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E098DD2-97DB-448D-B745-82779D3F3853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70" i="1" l="1"/>
  <c r="CL270" i="1"/>
  <c r="CL22" i="1"/>
  <c r="CL23" i="1"/>
  <c r="CL24" i="1"/>
  <c r="CL27" i="1"/>
  <c r="CL28" i="1"/>
  <c r="CL29" i="1"/>
  <c r="CL32" i="1"/>
  <c r="CL33" i="1"/>
  <c r="CL34" i="1"/>
  <c r="CL17" i="1"/>
  <c r="CL15" i="1"/>
  <c r="CL9" i="1"/>
  <c r="Z14" i="1"/>
  <c r="Y14" i="1"/>
  <c r="X14" i="1"/>
  <c r="W14" i="1"/>
  <c r="V14" i="1"/>
  <c r="U14" i="1"/>
  <c r="T14" i="1"/>
  <c r="S14" i="1"/>
  <c r="R14" i="1"/>
  <c r="Z13" i="1"/>
  <c r="Y13" i="1"/>
  <c r="X13" i="1"/>
  <c r="W13" i="1"/>
  <c r="V13" i="1"/>
  <c r="U13" i="1"/>
  <c r="T13" i="1"/>
  <c r="S13" i="1"/>
  <c r="R13" i="1"/>
  <c r="Z12" i="1"/>
  <c r="Y12" i="1"/>
  <c r="X12" i="1"/>
  <c r="W12" i="1"/>
  <c r="V12" i="1"/>
  <c r="U12" i="1"/>
  <c r="T12" i="1"/>
  <c r="S12" i="1"/>
  <c r="R12" i="1"/>
  <c r="Z11" i="1"/>
  <c r="Y11" i="1"/>
  <c r="X11" i="1"/>
  <c r="W11" i="1"/>
  <c r="V11" i="1"/>
  <c r="U11" i="1"/>
  <c r="T11" i="1"/>
  <c r="S11" i="1"/>
  <c r="R11" i="1"/>
  <c r="R6" i="1"/>
  <c r="S6" i="1"/>
  <c r="S23" i="1" s="1"/>
  <c r="T6" i="1"/>
  <c r="U6" i="1"/>
  <c r="V6" i="1"/>
  <c r="W6" i="1"/>
  <c r="X6" i="1"/>
  <c r="Y6" i="1"/>
  <c r="Z6" i="1"/>
  <c r="Z23" i="1" s="1"/>
  <c r="R7" i="1"/>
  <c r="S7" i="1"/>
  <c r="S29" i="1" s="1"/>
  <c r="T7" i="1"/>
  <c r="U7" i="1"/>
  <c r="V7" i="1"/>
  <c r="W7" i="1"/>
  <c r="X7" i="1"/>
  <c r="Y7" i="1"/>
  <c r="Y24" i="1" s="1"/>
  <c r="Z7" i="1"/>
  <c r="Z24" i="1" s="1"/>
  <c r="R8" i="1"/>
  <c r="S8" i="1"/>
  <c r="T8" i="1"/>
  <c r="U8" i="1"/>
  <c r="V8" i="1"/>
  <c r="W8" i="1"/>
  <c r="X8" i="1"/>
  <c r="Y8" i="1"/>
  <c r="Z8" i="1"/>
  <c r="Z5" i="1"/>
  <c r="Y5" i="1"/>
  <c r="X5" i="1"/>
  <c r="W5" i="1"/>
  <c r="V5" i="1"/>
  <c r="U5" i="1"/>
  <c r="T5" i="1"/>
  <c r="S5" i="1"/>
  <c r="R5" i="1"/>
  <c r="Q12" i="1"/>
  <c r="Q13" i="1"/>
  <c r="Q14" i="1"/>
  <c r="Q11" i="1"/>
  <c r="Q7" i="1"/>
  <c r="Q8" i="1"/>
  <c r="Q6" i="1"/>
  <c r="Q5" i="1"/>
  <c r="Z28" i="1"/>
  <c r="Z27" i="1"/>
  <c r="Y15" i="1"/>
  <c r="Y28" i="1"/>
  <c r="W23" i="1"/>
  <c r="CK22" i="1"/>
  <c r="CK23" i="1"/>
  <c r="CK24" i="1"/>
  <c r="CK27" i="1"/>
  <c r="CK28" i="1"/>
  <c r="CK29" i="1"/>
  <c r="CK32" i="1"/>
  <c r="CK33" i="1"/>
  <c r="CK34" i="1"/>
  <c r="CK17" i="1"/>
  <c r="Z17" i="1" s="1"/>
  <c r="CK15" i="1"/>
  <c r="Z15" i="1" s="1"/>
  <c r="CK9" i="1"/>
  <c r="Z9" i="1" s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CJ24" i="1"/>
  <c r="CI24" i="1"/>
  <c r="CH24" i="1"/>
  <c r="CG24" i="1"/>
  <c r="CF24" i="1"/>
  <c r="CE24" i="1"/>
  <c r="CD24" i="1"/>
  <c r="CC24" i="1"/>
  <c r="CB24" i="1"/>
  <c r="CA24" i="1"/>
  <c r="BZ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CJ17" i="1"/>
  <c r="CI17" i="1"/>
  <c r="CH17" i="1"/>
  <c r="CG17" i="1"/>
  <c r="CF17" i="1"/>
  <c r="CE17" i="1"/>
  <c r="CD17" i="1"/>
  <c r="CC17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67" i="1"/>
  <c r="AB40" i="1"/>
  <c r="AC40" i="1"/>
  <c r="AD40" i="1"/>
  <c r="AE40" i="1"/>
  <c r="AB53" i="1"/>
  <c r="AC53" i="1"/>
  <c r="AD53" i="1"/>
  <c r="AE53" i="1"/>
  <c r="AE52" i="1"/>
  <c r="AD52" i="1"/>
  <c r="AC52" i="1"/>
  <c r="AB52" i="1"/>
  <c r="AJ240" i="1"/>
  <c r="AB40" i="2"/>
  <c r="AB26" i="2"/>
  <c r="AC93" i="2"/>
  <c r="AC99" i="2"/>
  <c r="AE23" i="2"/>
  <c r="AF56" i="2"/>
  <c r="AB61" i="2"/>
  <c r="AB93" i="2"/>
  <c r="AC73" i="2"/>
  <c r="AE61" i="2"/>
  <c r="AE11" i="2"/>
  <c r="AD49" i="2"/>
  <c r="AD48" i="2"/>
  <c r="AB20" i="2"/>
  <c r="AD35" i="2"/>
  <c r="AF76" i="2"/>
  <c r="AC92" i="2"/>
  <c r="AC74" i="2"/>
  <c r="AB15" i="2"/>
  <c r="AC42" i="2"/>
  <c r="AD86" i="2"/>
  <c r="AC63" i="2"/>
  <c r="AF15" i="2"/>
  <c r="AE43" i="2"/>
  <c r="AB87" i="2"/>
  <c r="AE64" i="2"/>
  <c r="AB108" i="2"/>
  <c r="AF80" i="2"/>
  <c r="AC17" i="2"/>
  <c r="AF71" i="2"/>
  <c r="AE21" i="2"/>
  <c r="AF74" i="2"/>
  <c r="AE6" i="2"/>
  <c r="AD64" i="2"/>
  <c r="AF62" i="2"/>
  <c r="AE31" i="2"/>
  <c r="AD97" i="2"/>
  <c r="AB51" i="2"/>
  <c r="AD20" i="2"/>
  <c r="AD27" i="2"/>
  <c r="AF44" i="2"/>
  <c r="AF36" i="2"/>
  <c r="AC76" i="2"/>
  <c r="AE7" i="2"/>
  <c r="AF59" i="2"/>
  <c r="AD45" i="2"/>
  <c r="AD40" i="2"/>
  <c r="AF6" i="2"/>
  <c r="AD19" i="2"/>
  <c r="AF68" i="2"/>
  <c r="AD98" i="2"/>
  <c r="AE83" i="2"/>
  <c r="AE9" i="2"/>
  <c r="AB54" i="2"/>
  <c r="AB57" i="2"/>
  <c r="AC81" i="2"/>
  <c r="AB24" i="2"/>
  <c r="AF11" i="2"/>
  <c r="AE34" i="2"/>
  <c r="AB83" i="2"/>
  <c r="AC57" i="2"/>
  <c r="AF52" i="2"/>
  <c r="AF34" i="2"/>
  <c r="AB66" i="2"/>
  <c r="AD53" i="2"/>
  <c r="AD56" i="2"/>
  <c r="AD54" i="2"/>
  <c r="AD7" i="2"/>
  <c r="AD12" i="2"/>
  <c r="AC9" i="2"/>
  <c r="AE49" i="2"/>
  <c r="AD60" i="2"/>
  <c r="AB77" i="2"/>
  <c r="AE96" i="2"/>
  <c r="AF72" i="2"/>
  <c r="AF70" i="2"/>
  <c r="AD77" i="2"/>
  <c r="AB14" i="2"/>
  <c r="AF31" i="2"/>
  <c r="AD16" i="2"/>
  <c r="AF87" i="2"/>
  <c r="AB9" i="2"/>
  <c r="AC49" i="2"/>
  <c r="AC104" i="2"/>
  <c r="AC7" i="2"/>
  <c r="AB65" i="2"/>
  <c r="AB106" i="2"/>
  <c r="AF104" i="2"/>
  <c r="AC51" i="2"/>
  <c r="AF22" i="2"/>
  <c r="AB99" i="2"/>
  <c r="AF26" i="2"/>
  <c r="AD32" i="2"/>
  <c r="AF107" i="2"/>
  <c r="AD96" i="2"/>
  <c r="AD63" i="2"/>
  <c r="AF9" i="2"/>
  <c r="AE32" i="2"/>
  <c r="AF94" i="2"/>
  <c r="AC48" i="2"/>
  <c r="AD79" i="2"/>
  <c r="AF43" i="2"/>
  <c r="AC71" i="2"/>
  <c r="AF110" i="2"/>
  <c r="AD11" i="2"/>
  <c r="AD108" i="2"/>
  <c r="AC46" i="2"/>
  <c r="AC108" i="2"/>
  <c r="AF89" i="2"/>
  <c r="AF67" i="2"/>
  <c r="AE29" i="2"/>
  <c r="AF45" i="2"/>
  <c r="AB48" i="2"/>
  <c r="AB45" i="2"/>
  <c r="AD15" i="2"/>
  <c r="AF30" i="2"/>
  <c r="AD73" i="2"/>
  <c r="AC13" i="2"/>
  <c r="AB69" i="2"/>
  <c r="AB105" i="2"/>
  <c r="AC85" i="2"/>
  <c r="AC88" i="2"/>
  <c r="AE105" i="2"/>
  <c r="AD57" i="2"/>
  <c r="AF61" i="2"/>
  <c r="AB55" i="2"/>
  <c r="AD65" i="2"/>
  <c r="AF92" i="2"/>
  <c r="AC55" i="2"/>
  <c r="AC98" i="2"/>
  <c r="AB23" i="2"/>
  <c r="AC54" i="2"/>
  <c r="AD94" i="2"/>
  <c r="AC75" i="2"/>
  <c r="AF23" i="2"/>
  <c r="AE55" i="2"/>
  <c r="AB95" i="2"/>
  <c r="AE76" i="2"/>
  <c r="AE71" i="2"/>
  <c r="AD8" i="2"/>
  <c r="AC29" i="2"/>
  <c r="AF79" i="2"/>
  <c r="AE48" i="2"/>
  <c r="AF90" i="2"/>
  <c r="AE18" i="2"/>
  <c r="AD72" i="2"/>
  <c r="AC22" i="2"/>
  <c r="AD75" i="2"/>
  <c r="AC24" i="2"/>
  <c r="AC16" i="2"/>
  <c r="AC23" i="2"/>
  <c r="AF66" i="2"/>
  <c r="AF55" i="2"/>
  <c r="AB70" i="2"/>
  <c r="AF91" i="2"/>
  <c r="AB36" i="2"/>
  <c r="AF84" i="2"/>
  <c r="AF82" i="2"/>
  <c r="AB91" i="2"/>
  <c r="AD89" i="2"/>
  <c r="AE14" i="2"/>
  <c r="AC60" i="2"/>
  <c r="AF16" i="2"/>
  <c r="AE95" i="2"/>
  <c r="AD80" i="2"/>
  <c r="AF75" i="2"/>
  <c r="AE25" i="2"/>
  <c r="AF65" i="2"/>
  <c r="AD55" i="2"/>
  <c r="AF27" i="2"/>
  <c r="AB25" i="2"/>
  <c r="AB16" i="2"/>
  <c r="AC82" i="2"/>
  <c r="AE99" i="2"/>
  <c r="AD18" i="2"/>
  <c r="AB6" i="2"/>
  <c r="AB56" i="2"/>
  <c r="AE12" i="2"/>
  <c r="AD68" i="2"/>
  <c r="AC10" i="2"/>
  <c r="AD67" i="2"/>
  <c r="AD109" i="2"/>
  <c r="AC40" i="2"/>
  <c r="AF5" i="2"/>
  <c r="AF18" i="2"/>
  <c r="AB32" i="2"/>
  <c r="AB74" i="2"/>
  <c r="AD6" i="2"/>
  <c r="AE26" i="2"/>
  <c r="AF77" i="2"/>
  <c r="AC41" i="2"/>
  <c r="AF86" i="2"/>
  <c r="AC70" i="2"/>
  <c r="AD93" i="2"/>
  <c r="AF96" i="2"/>
  <c r="AB42" i="2"/>
  <c r="AB30" i="2"/>
  <c r="AE104" i="2"/>
  <c r="AE110" i="2"/>
  <c r="AF42" i="2"/>
  <c r="AF32" i="2"/>
  <c r="AC105" i="2"/>
  <c r="AB8" i="2"/>
  <c r="AE58" i="2"/>
  <c r="AD24" i="2"/>
  <c r="AC56" i="2"/>
  <c r="AF95" i="2"/>
  <c r="AC77" i="2"/>
  <c r="AB17" i="2"/>
  <c r="AE45" i="2"/>
  <c r="AD88" i="2"/>
  <c r="AE66" i="2"/>
  <c r="AC106" i="2"/>
  <c r="AB82" i="2"/>
  <c r="AF99" i="2"/>
  <c r="AF108" i="2"/>
  <c r="AC19" i="2"/>
  <c r="AB73" i="2"/>
  <c r="AC79" i="2"/>
  <c r="AE81" i="2"/>
  <c r="AC62" i="2"/>
  <c r="AE89" i="2"/>
  <c r="AE20" i="2"/>
  <c r="AF73" i="2"/>
  <c r="AC26" i="2"/>
  <c r="AF78" i="2"/>
  <c r="AC43" i="2"/>
  <c r="AF57" i="2"/>
  <c r="AC35" i="2"/>
  <c r="AB11" i="2"/>
  <c r="AC33" i="2"/>
  <c r="AD110" i="2"/>
  <c r="AE59" i="2"/>
  <c r="AB86" i="2"/>
  <c r="AF35" i="2"/>
  <c r="AF24" i="2"/>
  <c r="AE33" i="2"/>
  <c r="AE24" i="2"/>
  <c r="AD76" i="2"/>
  <c r="AC34" i="2"/>
  <c r="AD83" i="2"/>
  <c r="AC66" i="2"/>
  <c r="AC52" i="2"/>
  <c r="AF13" i="2"/>
  <c r="AF53" i="2"/>
  <c r="AF64" i="2"/>
  <c r="AB90" i="2"/>
  <c r="AD14" i="2"/>
  <c r="AE41" i="2"/>
  <c r="AF85" i="2"/>
  <c r="AE62" i="2"/>
  <c r="AF106" i="2"/>
  <c r="AC94" i="2"/>
  <c r="AE73" i="2"/>
  <c r="AE77" i="2"/>
  <c r="AB50" i="2"/>
  <c r="AB49" i="2"/>
  <c r="AD23" i="2"/>
  <c r="AF41" i="2"/>
  <c r="AF50" i="2"/>
  <c r="AF51" i="2"/>
  <c r="AB78" i="2"/>
  <c r="AE57" i="2"/>
  <c r="AE27" i="2"/>
  <c r="AD10" i="2"/>
  <c r="AE5" i="2"/>
  <c r="AD33" i="2"/>
  <c r="AB18" i="2"/>
  <c r="AF17" i="2"/>
  <c r="AC47" i="2"/>
  <c r="AE19" i="2"/>
  <c r="AB27" i="2"/>
  <c r="AB59" i="2"/>
  <c r="AB5" i="2"/>
  <c r="AB13" i="2"/>
  <c r="AE36" i="2"/>
  <c r="AD84" i="2"/>
  <c r="AE60" i="2"/>
  <c r="AD99" i="2"/>
  <c r="AC90" i="2"/>
  <c r="AF12" i="2"/>
  <c r="AF21" i="2"/>
  <c r="AE13" i="2"/>
  <c r="AB68" i="2"/>
  <c r="AB110" i="2"/>
  <c r="AD22" i="2"/>
  <c r="AE53" i="2"/>
  <c r="AF93" i="2"/>
  <c r="AE74" i="2"/>
  <c r="AE67" i="2"/>
  <c r="AD87" i="2"/>
  <c r="AE97" i="2"/>
  <c r="AC20" i="2"/>
  <c r="AB58" i="2"/>
  <c r="AD62" i="2"/>
  <c r="AD58" i="2"/>
  <c r="AC12" i="2"/>
  <c r="AF58" i="2"/>
  <c r="AB63" i="2"/>
  <c r="AD59" i="2"/>
  <c r="AE108" i="2"/>
  <c r="AE52" i="2"/>
  <c r="AB89" i="2"/>
  <c r="AC110" i="2"/>
  <c r="AC80" i="2"/>
  <c r="AB21" i="2"/>
  <c r="AE51" i="2"/>
  <c r="AD92" i="2"/>
  <c r="AE72" i="2"/>
  <c r="AE54" i="2"/>
  <c r="AF40" i="2"/>
  <c r="AF28" i="2"/>
  <c r="AF29" i="2"/>
  <c r="AE40" i="2"/>
  <c r="AB84" i="2"/>
  <c r="AE69" i="2"/>
  <c r="AD30" i="2"/>
  <c r="AD13" i="2"/>
  <c r="AF105" i="2"/>
  <c r="AE86" i="2"/>
  <c r="AE91" i="2"/>
  <c r="AD107" i="2"/>
  <c r="AB94" i="2"/>
  <c r="AE65" i="2"/>
  <c r="AC15" i="2"/>
  <c r="AD70" i="2"/>
  <c r="AE17" i="2"/>
  <c r="AD71" i="2"/>
  <c r="AE16" i="2"/>
  <c r="AB71" i="2"/>
  <c r="AC18" i="2"/>
  <c r="AB72" i="2"/>
  <c r="AC72" i="2"/>
  <c r="AD51" i="2"/>
  <c r="AD52" i="2"/>
  <c r="AB28" i="2"/>
  <c r="AD46" i="2"/>
  <c r="AB44" i="2"/>
  <c r="AB34" i="2"/>
  <c r="AC109" i="2"/>
  <c r="AF14" i="2"/>
  <c r="AE63" i="2"/>
  <c r="AC67" i="2"/>
  <c r="AE46" i="2"/>
  <c r="AC83" i="2"/>
  <c r="AF25" i="2"/>
  <c r="AC58" i="2"/>
  <c r="AB97" i="2"/>
  <c r="AB76" i="2"/>
  <c r="AE85" i="2"/>
  <c r="AC50" i="2"/>
  <c r="AD26" i="2"/>
  <c r="AD5" i="2"/>
  <c r="AF97" i="2"/>
  <c r="AE80" i="2"/>
  <c r="AE79" i="2"/>
  <c r="AD82" i="2"/>
  <c r="AC64" i="2"/>
  <c r="AF83" i="2"/>
  <c r="AB35" i="2"/>
  <c r="AB22" i="2"/>
  <c r="AE56" i="2"/>
  <c r="AD85" i="2"/>
  <c r="AC11" i="2"/>
  <c r="AE10" i="2"/>
  <c r="AB67" i="2"/>
  <c r="AC6" i="2"/>
  <c r="AC84" i="2"/>
  <c r="AC30" i="2"/>
  <c r="AF88" i="2"/>
  <c r="AE94" i="2"/>
  <c r="AF19" i="2"/>
  <c r="AD50" i="2"/>
  <c r="AC14" i="2"/>
  <c r="AB31" i="2"/>
  <c r="AC87" i="2"/>
  <c r="AB107" i="2"/>
  <c r="AC65" i="2"/>
  <c r="AD91" i="2"/>
  <c r="AF98" i="2"/>
  <c r="AB98" i="2"/>
  <c r="AE8" i="2"/>
  <c r="AB64" i="2"/>
  <c r="AD42" i="2"/>
  <c r="AD74" i="2"/>
  <c r="AF8" i="2"/>
  <c r="AD17" i="2"/>
  <c r="AE75" i="2"/>
  <c r="AC31" i="2"/>
  <c r="AD28" i="2"/>
  <c r="AC53" i="2"/>
  <c r="AD9" i="2"/>
  <c r="AF46" i="2"/>
  <c r="AD43" i="2"/>
  <c r="AE109" i="2"/>
  <c r="AE47" i="2"/>
  <c r="AD69" i="2"/>
  <c r="AD36" i="2"/>
  <c r="AD61" i="2"/>
  <c r="AB29" i="2"/>
  <c r="AB10" i="2"/>
  <c r="AD104" i="2"/>
  <c r="AE84" i="2"/>
  <c r="AE87" i="2"/>
  <c r="AF48" i="2"/>
  <c r="AF47" i="2"/>
  <c r="AB85" i="2"/>
  <c r="AC61" i="2"/>
  <c r="AB104" i="2"/>
  <c r="AE93" i="2"/>
  <c r="AD41" i="2"/>
  <c r="AD29" i="2"/>
  <c r="AC97" i="2"/>
  <c r="AC107" i="2"/>
  <c r="AE42" i="2"/>
  <c r="AC68" i="2"/>
  <c r="AC8" i="2"/>
  <c r="AB7" i="2"/>
  <c r="AC27" i="2"/>
  <c r="AD78" i="2"/>
  <c r="AE44" i="2"/>
  <c r="AF7" i="2"/>
  <c r="AE28" i="2"/>
  <c r="AB79" i="2"/>
  <c r="AC45" i="2"/>
  <c r="AB88" i="2"/>
  <c r="AC96" i="2"/>
  <c r="AC5" i="2"/>
  <c r="AC113" i="2" s="1"/>
  <c r="AF63" i="2"/>
  <c r="AB60" i="2"/>
  <c r="AC28" i="2"/>
  <c r="AB52" i="2"/>
  <c r="AB53" i="2"/>
  <c r="AD31" i="2"/>
  <c r="AF49" i="2"/>
  <c r="AD81" i="2"/>
  <c r="AC91" i="2"/>
  <c r="AC95" i="2"/>
  <c r="AE98" i="2"/>
  <c r="AF33" i="2"/>
  <c r="AF20" i="2"/>
  <c r="AB109" i="2"/>
  <c r="AB92" i="2"/>
  <c r="AF60" i="2"/>
  <c r="AD25" i="2"/>
  <c r="AD34" i="2"/>
  <c r="AD21" i="2"/>
  <c r="AF109" i="2"/>
  <c r="AE92" i="2"/>
  <c r="AE107" i="2"/>
  <c r="AD90" i="2"/>
  <c r="AE35" i="2"/>
  <c r="AB46" i="2"/>
  <c r="AB41" i="2"/>
  <c r="AC69" i="2"/>
  <c r="AD105" i="2"/>
  <c r="AD44" i="2"/>
  <c r="AE22" i="2"/>
  <c r="AB75" i="2"/>
  <c r="AD66" i="2"/>
  <c r="AB80" i="2"/>
  <c r="AE70" i="2"/>
  <c r="AB62" i="2"/>
  <c r="AC25" i="2"/>
  <c r="AE106" i="2"/>
  <c r="AC36" i="2"/>
  <c r="AF69" i="2"/>
  <c r="AD106" i="2"/>
  <c r="AE88" i="2"/>
  <c r="AC44" i="2"/>
  <c r="AE30" i="2"/>
  <c r="AC78" i="2"/>
  <c r="AB47" i="2"/>
  <c r="AE50" i="2"/>
  <c r="AC21" i="2"/>
  <c r="AB96" i="2"/>
  <c r="AE82" i="2"/>
  <c r="AB43" i="2"/>
  <c r="AC89" i="2"/>
  <c r="AE78" i="2"/>
  <c r="AB12" i="2"/>
  <c r="AB81" i="2"/>
  <c r="AD95" i="2"/>
  <c r="AF81" i="2"/>
  <c r="AC32" i="2"/>
  <c r="AB19" i="2"/>
  <c r="AC86" i="2"/>
  <c r="AF10" i="2"/>
  <c r="AE15" i="2"/>
  <c r="AB33" i="2"/>
  <c r="AE90" i="2"/>
  <c r="AC59" i="2"/>
  <c r="AD47" i="2"/>
  <c r="AE68" i="2"/>
  <c r="AF54" i="2"/>
  <c r="CE26" i="1" l="1"/>
  <c r="BQ26" i="1"/>
  <c r="BG26" i="1"/>
  <c r="AS26" i="1"/>
  <c r="CL26" i="1"/>
  <c r="S34" i="1"/>
  <c r="T34" i="1"/>
  <c r="U34" i="1"/>
  <c r="R34" i="1"/>
  <c r="Y33" i="1"/>
  <c r="V33" i="1"/>
  <c r="W32" i="1"/>
  <c r="U32" i="1"/>
  <c r="U23" i="1"/>
  <c r="Z22" i="1"/>
  <c r="AA180" i="1"/>
  <c r="AA166" i="1"/>
  <c r="AA162" i="1"/>
  <c r="AA157" i="1"/>
  <c r="AA155" i="1"/>
  <c r="AA150" i="1"/>
  <c r="AA148" i="1"/>
  <c r="AA109" i="1"/>
  <c r="AA82" i="1"/>
  <c r="AA77" i="1"/>
  <c r="AA70" i="1"/>
  <c r="AA67" i="1"/>
  <c r="AA63" i="1"/>
  <c r="AA55" i="1"/>
  <c r="AA53" i="1"/>
  <c r="AA51" i="1"/>
  <c r="AA44" i="1"/>
  <c r="AA39" i="1"/>
  <c r="AA203" i="1"/>
  <c r="AA202" i="1"/>
  <c r="AA201" i="1"/>
  <c r="AA195" i="1"/>
  <c r="AA194" i="1"/>
  <c r="AA191" i="1"/>
  <c r="AA190" i="1"/>
  <c r="AA186" i="1"/>
  <c r="AA184" i="1"/>
  <c r="AA182" i="1"/>
  <c r="AA181" i="1"/>
  <c r="AA178" i="1"/>
  <c r="AA177" i="1"/>
  <c r="AA176" i="1"/>
  <c r="AA175" i="1"/>
  <c r="AA174" i="1"/>
  <c r="AA173" i="1"/>
  <c r="AA171" i="1"/>
  <c r="AA168" i="1"/>
  <c r="AA167" i="1"/>
  <c r="AA164" i="1"/>
  <c r="AA163" i="1"/>
  <c r="AA158" i="1"/>
  <c r="AA156" i="1"/>
  <c r="AA153" i="1"/>
  <c r="AA149" i="1"/>
  <c r="AA110" i="1"/>
  <c r="AA108" i="1"/>
  <c r="AA98" i="1"/>
  <c r="AA78" i="1"/>
  <c r="AA76" i="1"/>
  <c r="AA66" i="1"/>
  <c r="AA56" i="1"/>
  <c r="AA54" i="1"/>
  <c r="AA52" i="1"/>
  <c r="AA46" i="1"/>
  <c r="AA40" i="1"/>
  <c r="AA57" i="1"/>
  <c r="AA284" i="1"/>
  <c r="AA283" i="1"/>
  <c r="AA262" i="1"/>
  <c r="AA225" i="1"/>
  <c r="AA214" i="1"/>
  <c r="AA211" i="1"/>
  <c r="AA210" i="1"/>
  <c r="AA204" i="1"/>
  <c r="AA192" i="1"/>
  <c r="AA185" i="1"/>
  <c r="AA179" i="1"/>
  <c r="AA165" i="1"/>
  <c r="AA169" i="1" s="1"/>
  <c r="AA159" i="1"/>
  <c r="AA151" i="1"/>
  <c r="AA64" i="1"/>
  <c r="AB113" i="2"/>
  <c r="AA105" i="1" s="1"/>
  <c r="AF112" i="2"/>
  <c r="AB111" i="2"/>
  <c r="AB112" i="2"/>
  <c r="AA104" i="1" s="1"/>
  <c r="BH26" i="1"/>
  <c r="R22" i="1"/>
  <c r="T23" i="1"/>
  <c r="X32" i="1"/>
  <c r="R23" i="1"/>
  <c r="Y27" i="1"/>
  <c r="X33" i="1"/>
  <c r="V22" i="1"/>
  <c r="R32" i="1"/>
  <c r="Q28" i="1"/>
  <c r="T33" i="1"/>
  <c r="Z26" i="1"/>
  <c r="V34" i="1"/>
  <c r="X15" i="1"/>
  <c r="W22" i="1"/>
  <c r="R28" i="1"/>
  <c r="AZ26" i="1"/>
  <c r="BX26" i="1"/>
  <c r="AU26" i="1"/>
  <c r="BS26" i="1"/>
  <c r="V29" i="1"/>
  <c r="V24" i="1"/>
  <c r="S33" i="1"/>
  <c r="R29" i="1"/>
  <c r="Z29" i="1"/>
  <c r="R24" i="1"/>
  <c r="W33" i="1"/>
  <c r="Y32" i="1"/>
  <c r="Z32" i="1"/>
  <c r="Z33" i="1"/>
  <c r="X24" i="1"/>
  <c r="S32" i="1"/>
  <c r="Y29" i="1"/>
  <c r="AV26" i="1"/>
  <c r="BD26" i="1"/>
  <c r="BT26" i="1"/>
  <c r="CB26" i="1"/>
  <c r="W28" i="1"/>
  <c r="V32" i="1"/>
  <c r="V28" i="1"/>
  <c r="Y9" i="1"/>
  <c r="Y26" i="1" s="1"/>
  <c r="R15" i="1"/>
  <c r="U28" i="1"/>
  <c r="S22" i="1"/>
  <c r="T32" i="1"/>
  <c r="T22" i="1"/>
  <c r="R33" i="1"/>
  <c r="AR26" i="1"/>
  <c r="BP26" i="1"/>
  <c r="CK26" i="1"/>
  <c r="U22" i="1"/>
  <c r="Z34" i="1"/>
  <c r="S28" i="1"/>
  <c r="S15" i="1"/>
  <c r="Y34" i="1"/>
  <c r="U33" i="1"/>
  <c r="BI26" i="1"/>
  <c r="CG26" i="1"/>
  <c r="S24" i="1"/>
  <c r="T28" i="1"/>
  <c r="X23" i="1"/>
  <c r="X34" i="1"/>
  <c r="U29" i="1"/>
  <c r="W34" i="1"/>
  <c r="CF26" i="1"/>
  <c r="AY26" i="1"/>
  <c r="BK26" i="1"/>
  <c r="BW26" i="1"/>
  <c r="CI26" i="1"/>
  <c r="BL26" i="1"/>
  <c r="CJ26" i="1"/>
  <c r="T15" i="1"/>
  <c r="BA26" i="1"/>
  <c r="BY26" i="1"/>
  <c r="X29" i="1"/>
  <c r="BC26" i="1"/>
  <c r="BO26" i="1"/>
  <c r="CA26" i="1"/>
  <c r="T29" i="1"/>
  <c r="V27" i="1"/>
  <c r="X28" i="1"/>
  <c r="U27" i="1"/>
  <c r="X27" i="1"/>
  <c r="W29" i="1"/>
  <c r="W15" i="1"/>
  <c r="Q15" i="1"/>
  <c r="Q29" i="1"/>
  <c r="Q9" i="1"/>
  <c r="S9" i="1"/>
  <c r="W9" i="1"/>
  <c r="U15" i="1"/>
  <c r="W27" i="1"/>
  <c r="X9" i="1"/>
  <c r="V15" i="1"/>
  <c r="X22" i="1"/>
  <c r="V23" i="1"/>
  <c r="T24" i="1"/>
  <c r="Y22" i="1"/>
  <c r="U24" i="1"/>
  <c r="Q27" i="1"/>
  <c r="R9" i="1"/>
  <c r="R27" i="1"/>
  <c r="Y23" i="1"/>
  <c r="W24" i="1"/>
  <c r="S27" i="1"/>
  <c r="T9" i="1"/>
  <c r="T27" i="1"/>
  <c r="U9" i="1"/>
  <c r="V9" i="1"/>
  <c r="AT26" i="1"/>
  <c r="BB26" i="1"/>
  <c r="BJ26" i="1"/>
  <c r="BR26" i="1"/>
  <c r="BZ26" i="1"/>
  <c r="CH26" i="1"/>
  <c r="AW26" i="1"/>
  <c r="BE26" i="1"/>
  <c r="BM26" i="1"/>
  <c r="BU26" i="1"/>
  <c r="CC26" i="1"/>
  <c r="AX26" i="1"/>
  <c r="BF26" i="1"/>
  <c r="BN26" i="1"/>
  <c r="BV26" i="1"/>
  <c r="CD26" i="1"/>
  <c r="B1" i="9"/>
  <c r="AD113" i="2"/>
  <c r="AE112" i="2"/>
  <c r="AC112" i="2"/>
  <c r="AD112" i="2"/>
  <c r="AC111" i="2"/>
  <c r="AE113" i="2"/>
  <c r="L1" i="9"/>
  <c r="AD111" i="2"/>
  <c r="AE111" i="2"/>
  <c r="AF111" i="2"/>
  <c r="AF113" i="2"/>
  <c r="A1" i="9"/>
  <c r="X26" i="1" l="1"/>
  <c r="AA41" i="1"/>
  <c r="AA58" i="1" s="1"/>
  <c r="AA47" i="1"/>
  <c r="AA275" i="1"/>
  <c r="AA129" i="1"/>
  <c r="AA277" i="1"/>
  <c r="AA279" i="1"/>
  <c r="AA213" i="1"/>
  <c r="AA160" i="1"/>
  <c r="AA199" i="1"/>
  <c r="AA140" i="1" s="1"/>
  <c r="AA68" i="1"/>
  <c r="AA206" i="1"/>
  <c r="AA187" i="1"/>
  <c r="R26" i="1"/>
  <c r="T26" i="1"/>
  <c r="S26" i="1"/>
  <c r="Q26" i="1"/>
  <c r="W26" i="1"/>
  <c r="V26" i="1"/>
  <c r="U26" i="1"/>
  <c r="DB270" i="1"/>
  <c r="DA270" i="1"/>
  <c r="CZ270" i="1"/>
  <c r="CY270" i="1"/>
  <c r="CX270" i="1"/>
  <c r="CW270" i="1"/>
  <c r="CV270" i="1"/>
  <c r="CU270" i="1"/>
  <c r="CT270" i="1"/>
  <c r="CS270" i="1"/>
  <c r="CR270" i="1"/>
  <c r="CQ270" i="1"/>
  <c r="CP270" i="1"/>
  <c r="CO270" i="1"/>
  <c r="CN270" i="1"/>
  <c r="CM270" i="1"/>
  <c r="CK270" i="1"/>
  <c r="CK167" i="1"/>
  <c r="CM167" i="1" s="1"/>
  <c r="CN167" i="1" s="1"/>
  <c r="CO167" i="1" s="1"/>
  <c r="CP167" i="1" s="1"/>
  <c r="CQ167" i="1" s="1"/>
  <c r="CR167" i="1" s="1"/>
  <c r="CS167" i="1" s="1"/>
  <c r="CT167" i="1" s="1"/>
  <c r="CU167" i="1" s="1"/>
  <c r="CV167" i="1" s="1"/>
  <c r="CW167" i="1" s="1"/>
  <c r="CX167" i="1" s="1"/>
  <c r="CY167" i="1" s="1"/>
  <c r="CZ167" i="1" s="1"/>
  <c r="DA167" i="1" s="1"/>
  <c r="DB167" i="1" s="1"/>
  <c r="CH183" i="1"/>
  <c r="CJ270" i="1"/>
  <c r="Z270" i="1"/>
  <c r="AA188" i="1" l="1"/>
  <c r="AA48" i="1"/>
  <c r="AA59" i="1"/>
  <c r="AA212" i="1"/>
  <c r="AA216" i="1"/>
  <c r="AA215" i="1" s="1"/>
  <c r="AA196" i="1"/>
  <c r="AA197" i="1" s="1"/>
  <c r="CI270" i="1"/>
  <c r="CG167" i="1"/>
  <c r="CG270" i="1"/>
  <c r="CH270" i="1"/>
  <c r="AB44" i="1"/>
  <c r="AC44" i="1"/>
  <c r="AD44" i="1"/>
  <c r="AE44" i="1"/>
  <c r="AB45" i="1"/>
  <c r="AC45" i="1"/>
  <c r="AD45" i="1"/>
  <c r="AE45" i="1"/>
  <c r="AB55" i="1"/>
  <c r="AC55" i="1"/>
  <c r="AD55" i="1"/>
  <c r="AE55" i="1"/>
  <c r="AB56" i="1"/>
  <c r="AC56" i="1"/>
  <c r="AD56" i="1"/>
  <c r="AE56" i="1"/>
  <c r="AB78" i="1"/>
  <c r="AC78" i="1"/>
  <c r="AD78" i="1"/>
  <c r="AE78" i="1"/>
  <c r="AB190" i="1"/>
  <c r="AC190" i="1"/>
  <c r="AD190" i="1"/>
  <c r="AE190" i="1"/>
  <c r="AB204" i="1"/>
  <c r="AC204" i="1"/>
  <c r="AD204" i="1"/>
  <c r="AE204" i="1"/>
  <c r="CE167" i="1"/>
  <c r="CE270" i="1"/>
  <c r="CF270" i="1"/>
  <c r="AI228" i="1"/>
  <c r="AI233" i="1"/>
  <c r="AI237" i="1"/>
  <c r="AI240" i="1"/>
  <c r="AI270" i="1"/>
  <c r="Y270" i="1"/>
  <c r="AM167" i="1"/>
  <c r="AO167" i="1"/>
  <c r="AQ167" i="1"/>
  <c r="AS167" i="1"/>
  <c r="AU167" i="1"/>
  <c r="AW167" i="1"/>
  <c r="AY167" i="1"/>
  <c r="BA167" i="1"/>
  <c r="BC167" i="1"/>
  <c r="BE167" i="1"/>
  <c r="BG167" i="1"/>
  <c r="BI167" i="1"/>
  <c r="BK167" i="1"/>
  <c r="BM167" i="1"/>
  <c r="BO167" i="1"/>
  <c r="BQ167" i="1"/>
  <c r="BS167" i="1"/>
  <c r="BU167" i="1"/>
  <c r="BW167" i="1"/>
  <c r="BY167" i="1"/>
  <c r="CA167" i="1"/>
  <c r="CC167" i="1"/>
  <c r="CD270" i="1"/>
  <c r="CC270" i="1"/>
  <c r="AJ270" i="1"/>
  <c r="AK270" i="1"/>
  <c r="AL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65" i="1" l="1"/>
  <c r="AA60" i="1"/>
  <c r="AA143" i="1"/>
  <c r="AA263" i="1"/>
  <c r="AA264" i="1" s="1"/>
  <c r="AA217" i="1"/>
  <c r="Y1" i="1"/>
  <c r="Z1" i="1" s="1"/>
  <c r="AA69" i="1" l="1"/>
  <c r="AA86" i="1"/>
  <c r="AA1" i="1"/>
  <c r="AB1" i="1" s="1"/>
  <c r="AC1" i="1" s="1"/>
  <c r="AD1" i="1" s="1"/>
  <c r="AE1" i="1" s="1"/>
  <c r="AA71" i="1" l="1"/>
  <c r="AA72" i="1"/>
  <c r="A1" i="3"/>
  <c r="AA265" i="1" l="1"/>
  <c r="AA73" i="1"/>
  <c r="AA276" i="1" s="1"/>
  <c r="AA79" i="1"/>
  <c r="A1" i="6"/>
  <c r="A1" i="4"/>
  <c r="AA83" i="1" l="1"/>
  <c r="AA85" i="1"/>
  <c r="AA224" i="1"/>
  <c r="AA226" i="1" s="1"/>
  <c r="AB66" i="1"/>
  <c r="BQ41" i="3"/>
  <c r="BG19" i="3"/>
  <c r="BO9" i="3"/>
  <c r="BN15" i="3"/>
  <c r="BE11" i="3"/>
  <c r="BH21" i="3"/>
  <c r="BU5" i="3"/>
  <c r="BV13" i="3"/>
  <c r="BH39" i="3"/>
  <c r="BS21" i="3"/>
  <c r="BI20" i="3"/>
  <c r="BE21" i="3"/>
  <c r="BJ28" i="3"/>
  <c r="BF39" i="3"/>
  <c r="Y68" i="2"/>
  <c r="Y42" i="2"/>
  <c r="BD45" i="3"/>
  <c r="BB12" i="3"/>
  <c r="BA30" i="3"/>
  <c r="EX15" i="4" a="1"/>
  <c r="BA42" i="3"/>
  <c r="Y7" i="2"/>
  <c r="BQ12" i="3"/>
  <c r="BT15" i="3"/>
  <c r="BR20" i="3"/>
  <c r="BO28" i="3"/>
  <c r="BH5" i="3"/>
  <c r="BK28" i="3"/>
  <c r="BN12" i="3"/>
  <c r="BM16" i="3"/>
  <c r="Y32" i="2"/>
  <c r="BD6" i="3"/>
  <c r="BU36" i="3"/>
  <c r="BN41" i="3"/>
  <c r="BV46" i="3"/>
  <c r="BI39" i="3"/>
  <c r="BI7" i="3"/>
  <c r="BE32" i="3"/>
  <c r="BG32" i="3"/>
  <c r="Y88" i="2"/>
  <c r="BC12" i="3"/>
  <c r="BA32" i="3"/>
  <c r="AA21" i="2"/>
  <c r="Z56" i="2"/>
  <c r="FA11" i="4" a="1"/>
  <c r="AA63" i="2"/>
  <c r="BQ45" i="3"/>
  <c r="BE26" i="3"/>
  <c r="BO11" i="3"/>
  <c r="BF23" i="3"/>
  <c r="CL66" i="1" s="1"/>
  <c r="BK12" i="3"/>
  <c r="BN8" i="3"/>
  <c r="BN9" i="3"/>
  <c r="AA17" i="2"/>
  <c r="Z107" i="2"/>
  <c r="BU25" i="3"/>
  <c r="BQ32" i="3"/>
  <c r="BL26" i="3"/>
  <c r="BR40" i="3"/>
  <c r="BP29" i="3"/>
  <c r="BI16" i="3"/>
  <c r="BP26" i="3"/>
  <c r="Z66" i="2"/>
  <c r="BD21" i="3"/>
  <c r="Z12" i="2"/>
  <c r="AA99" i="2"/>
  <c r="BU14" i="3"/>
  <c r="BT6" i="3"/>
  <c r="BV22" i="3"/>
  <c r="BS30" i="3"/>
  <c r="BH37" i="3"/>
  <c r="BM39" i="3"/>
  <c r="BE46" i="3"/>
  <c r="BK23" i="3"/>
  <c r="Z50" i="2"/>
  <c r="Y33" i="2"/>
  <c r="Z59" i="2"/>
  <c r="Z88" i="2"/>
  <c r="Z42" i="2"/>
  <c r="FE11" i="4" a="1"/>
  <c r="BV35" i="3"/>
  <c r="BQ9" i="3"/>
  <c r="BS41" i="3"/>
  <c r="BR17" i="3"/>
  <c r="BO25" i="3"/>
  <c r="BI32" i="3"/>
  <c r="BM23" i="3"/>
  <c r="BL39" i="3"/>
  <c r="BG9" i="3"/>
  <c r="Z22" i="2"/>
  <c r="Y58" i="2"/>
  <c r="Z73" i="2"/>
  <c r="BC23" i="3"/>
  <c r="Y54" i="2"/>
  <c r="FD16" i="4" a="1"/>
  <c r="BU39" i="3"/>
  <c r="BS7" i="3"/>
  <c r="BU16" i="3"/>
  <c r="BP12" i="3"/>
  <c r="BV24" i="3"/>
  <c r="BS32" i="3"/>
  <c r="BJ18" i="3"/>
  <c r="BF5" i="3"/>
  <c r="BH27" i="3"/>
  <c r="BM28" i="3"/>
  <c r="Z9" i="2"/>
  <c r="Z53" i="2"/>
  <c r="AA5" i="2"/>
  <c r="AA23" i="2"/>
  <c r="BD20" i="3"/>
  <c r="BT22" i="3"/>
  <c r="BF28" i="3"/>
  <c r="CL63" i="1" s="1"/>
  <c r="Y47" i="2"/>
  <c r="FC14" i="4" a="1"/>
  <c r="Y79" i="2"/>
  <c r="EZ6" i="4" a="1"/>
  <c r="BP42" i="3"/>
  <c r="BN40" i="3"/>
  <c r="Y92" i="2"/>
  <c r="FC12" i="4" a="1"/>
  <c r="V6" i="2"/>
  <c r="BB27" i="3"/>
  <c r="AA62" i="2"/>
  <c r="BN21" i="3"/>
  <c r="BR7" i="3"/>
  <c r="BK39" i="3"/>
  <c r="BO15" i="3"/>
  <c r="BH40" i="3"/>
  <c r="BM15" i="3"/>
  <c r="BL7" i="3"/>
  <c r="BU11" i="3"/>
  <c r="BT7" i="3"/>
  <c r="BV19" i="3"/>
  <c r="BS27" i="3"/>
  <c r="BK41" i="3"/>
  <c r="BE27" i="3"/>
  <c r="BJ6" i="3"/>
  <c r="BK15" i="3"/>
  <c r="Z109" i="2"/>
  <c r="AA36" i="2"/>
  <c r="AA108" i="2"/>
  <c r="AA31" i="2"/>
  <c r="Z7" i="2"/>
  <c r="EY9" i="4" a="1"/>
  <c r="BA35" i="3"/>
  <c r="Y86" i="2"/>
  <c r="BQ18" i="3"/>
  <c r="BP30" i="3"/>
  <c r="BR26" i="3"/>
  <c r="BO34" i="3"/>
  <c r="BL37" i="3"/>
  <c r="BH10" i="3"/>
  <c r="BM46" i="3"/>
  <c r="BG33" i="3"/>
  <c r="BD33" i="3"/>
  <c r="Z57" i="2"/>
  <c r="BU42" i="3"/>
  <c r="BI24" i="3"/>
  <c r="BS10" i="3"/>
  <c r="BJ21" i="3"/>
  <c r="BG12" i="3"/>
  <c r="BF42" i="3"/>
  <c r="CL82" i="1" s="1"/>
  <c r="BL8" i="3"/>
  <c r="Y28" i="2"/>
  <c r="AA87" i="2"/>
  <c r="BA41" i="3"/>
  <c r="BB33" i="3"/>
  <c r="BD27" i="3"/>
  <c r="FE9" i="4" a="1"/>
  <c r="BC7" i="3"/>
  <c r="BR9" i="3"/>
  <c r="BL19" i="3"/>
  <c r="BO17" i="3"/>
  <c r="BG5" i="3"/>
  <c r="BI17" i="3"/>
  <c r="BQ5" i="3"/>
  <c r="BR13" i="3"/>
  <c r="BN32" i="3"/>
  <c r="BO21" i="3"/>
  <c r="BM18" i="3"/>
  <c r="BK20" i="3"/>
  <c r="BN26" i="3"/>
  <c r="BU17" i="3"/>
  <c r="BP24" i="3"/>
  <c r="BV25" i="3"/>
  <c r="BS33" i="3"/>
  <c r="BH31" i="3"/>
  <c r="BH8" i="3"/>
  <c r="BF40" i="3"/>
  <c r="BK31" i="3"/>
  <c r="AA93" i="2"/>
  <c r="Z96" i="2"/>
  <c r="Z18" i="2"/>
  <c r="Z87" i="2"/>
  <c r="BB29" i="3"/>
  <c r="EZ13" i="4" a="1"/>
  <c r="AA104" i="2"/>
  <c r="BA21" i="3"/>
  <c r="BQ24" i="3"/>
  <c r="BM41" i="3"/>
  <c r="BR32" i="3"/>
  <c r="BP5" i="3"/>
  <c r="BP57" i="3" s="1"/>
  <c r="BP9" i="3"/>
  <c r="BN29" i="3"/>
  <c r="BG45" i="3"/>
  <c r="BH29" i="3"/>
  <c r="BB25" i="3"/>
  <c r="Z46" i="2"/>
  <c r="BV8" i="3"/>
  <c r="BF10" i="3"/>
  <c r="CL44" i="1" s="1"/>
  <c r="BS16" i="3"/>
  <c r="BL46" i="3"/>
  <c r="BE17" i="3"/>
  <c r="BJ12" i="3"/>
  <c r="BF25" i="3"/>
  <c r="CL67" i="1" s="1"/>
  <c r="C4" i="2"/>
  <c r="AA66" i="2"/>
  <c r="BC45" i="3"/>
  <c r="BB8" i="3"/>
  <c r="BC35" i="3"/>
  <c r="FA9" i="4" a="1"/>
  <c r="BQ7" i="3"/>
  <c r="BS37" i="3"/>
  <c r="BR15" i="3"/>
  <c r="BO23" i="3"/>
  <c r="BK25" i="3"/>
  <c r="BQ11" i="3"/>
  <c r="BT5" i="3"/>
  <c r="BR19" i="3"/>
  <c r="BO27" i="3"/>
  <c r="BG39" i="3"/>
  <c r="BI25" i="3"/>
  <c r="BJ46" i="3"/>
  <c r="BU23" i="3"/>
  <c r="BE39" i="3"/>
  <c r="BV31" i="3"/>
  <c r="BS46" i="3"/>
  <c r="BT46" i="3"/>
  <c r="BN27" i="3"/>
  <c r="BJ30" i="3"/>
  <c r="BN22" i="3"/>
  <c r="BD32" i="3"/>
  <c r="Y98" i="2"/>
  <c r="Y11" i="2"/>
  <c r="BB35" i="3"/>
  <c r="FF13" i="4" a="1"/>
  <c r="FB16" i="4" a="1"/>
  <c r="AA96" i="2"/>
  <c r="AA43" i="2"/>
  <c r="BQ30" i="3"/>
  <c r="BF21" i="3"/>
  <c r="CL53" i="1" s="1"/>
  <c r="BR38" i="3"/>
  <c r="BP22" i="3"/>
  <c r="BP27" i="3"/>
  <c r="BE10" i="3"/>
  <c r="BT42" i="3"/>
  <c r="Y13" i="2"/>
  <c r="Y44" i="2"/>
  <c r="BU6" i="3"/>
  <c r="BS36" i="3"/>
  <c r="BV14" i="3"/>
  <c r="BS22" i="3"/>
  <c r="BE24" i="3"/>
  <c r="BM21" i="3"/>
  <c r="BL31" i="3"/>
  <c r="BH42" i="3"/>
  <c r="AA29" i="2"/>
  <c r="AA30" i="2"/>
  <c r="Z23" i="2"/>
  <c r="AA97" i="2"/>
  <c r="Y41" i="2"/>
  <c r="FA13" i="4" a="1"/>
  <c r="BQ13" i="3"/>
  <c r="BT29" i="3"/>
  <c r="BR21" i="3"/>
  <c r="BO29" i="3"/>
  <c r="BF18" i="3"/>
  <c r="CL56" i="1" s="1"/>
  <c r="BE35" i="3"/>
  <c r="BL25" i="3"/>
  <c r="BK19" i="3"/>
  <c r="AA105" i="2"/>
  <c r="Y71" i="2"/>
  <c r="BU45" i="3"/>
  <c r="BR10" i="3"/>
  <c r="BJ32" i="3"/>
  <c r="BO18" i="3"/>
  <c r="BI8" i="3"/>
  <c r="BG18" i="3"/>
  <c r="BH17" i="3"/>
  <c r="BL28" i="3"/>
  <c r="Y64" i="2"/>
  <c r="Y43" i="2"/>
  <c r="BA28" i="3"/>
  <c r="BD9" i="3"/>
  <c r="BU32" i="3"/>
  <c r="BH28" i="3"/>
  <c r="BV40" i="3"/>
  <c r="BG26" i="3"/>
  <c r="BP7" i="3"/>
  <c r="BI18" i="3"/>
  <c r="BP28" i="3"/>
  <c r="AA109" i="2"/>
  <c r="BC41" i="3"/>
  <c r="Z21" i="2"/>
  <c r="AA65" i="2"/>
  <c r="BD17" i="3"/>
  <c r="FF15" i="4" a="1"/>
  <c r="BH12" i="3"/>
  <c r="BS19" i="3"/>
  <c r="BQ27" i="3"/>
  <c r="BL10" i="3"/>
  <c r="BR35" i="3"/>
  <c r="BT39" i="3"/>
  <c r="BP37" i="3"/>
  <c r="BJ39" i="3"/>
  <c r="BT31" i="3"/>
  <c r="BN16" i="3"/>
  <c r="BA20" i="3"/>
  <c r="Z95" i="2"/>
  <c r="AA12" i="2"/>
  <c r="BA34" i="3"/>
  <c r="FD7" i="4" a="1"/>
  <c r="BU9" i="3"/>
  <c r="BT26" i="3"/>
  <c r="BL34" i="3"/>
  <c r="BU34" i="3"/>
  <c r="BJ35" i="3"/>
  <c r="BV42" i="3"/>
  <c r="BE33" i="3"/>
  <c r="BM5" i="3"/>
  <c r="BM24" i="3"/>
  <c r="BI27" i="3"/>
  <c r="Y60" i="2"/>
  <c r="BB22" i="3"/>
  <c r="AA41" i="2"/>
  <c r="Z98" i="2"/>
  <c r="AA67" i="2"/>
  <c r="EZ14" i="4" a="1"/>
  <c r="BK46" i="3"/>
  <c r="BB32" i="3"/>
  <c r="Z16" i="2"/>
  <c r="EZ7" i="4" a="1"/>
  <c r="EX13" i="4" a="1"/>
  <c r="BH23" i="3"/>
  <c r="BF15" i="3"/>
  <c r="CL55" i="1" s="1"/>
  <c r="BC32" i="3"/>
  <c r="Z32" i="2"/>
  <c r="EX7" i="4" a="1"/>
  <c r="AA106" i="2"/>
  <c r="EY15" i="4" a="1"/>
  <c r="BR18" i="3"/>
  <c r="BQ28" i="3"/>
  <c r="BJ29" i="3"/>
  <c r="BQ17" i="3"/>
  <c r="BP18" i="3"/>
  <c r="BR25" i="3"/>
  <c r="BO33" i="3"/>
  <c r="BJ26" i="3"/>
  <c r="BL6" i="3"/>
  <c r="BL33" i="3"/>
  <c r="BU29" i="3"/>
  <c r="BF19" i="3"/>
  <c r="BV37" i="3"/>
  <c r="BP16" i="3"/>
  <c r="BP19" i="3"/>
  <c r="BE8" i="3"/>
  <c r="BT30" i="3"/>
  <c r="BK45" i="3"/>
  <c r="BA31" i="3"/>
  <c r="Y15" i="2"/>
  <c r="AA84" i="2"/>
  <c r="Z24" i="2"/>
  <c r="FF16" i="4" a="1"/>
  <c r="BB17" i="3"/>
  <c r="Y84" i="2"/>
  <c r="Y69" i="2"/>
  <c r="BQ36" i="3"/>
  <c r="BN39" i="3"/>
  <c r="BR46" i="3"/>
  <c r="BM37" i="3"/>
  <c r="BE7" i="3"/>
  <c r="BE30" i="3"/>
  <c r="BE31" i="3"/>
  <c r="AA19" i="2"/>
  <c r="AA8" i="2"/>
  <c r="BU12" i="3"/>
  <c r="BT23" i="3"/>
  <c r="BV20" i="3"/>
  <c r="BS28" i="3"/>
  <c r="BL11" i="3"/>
  <c r="BK30" i="3"/>
  <c r="BH19" i="3"/>
  <c r="BE18" i="3"/>
  <c r="Z13" i="2"/>
  <c r="Y62" i="2"/>
  <c r="Z35" i="2"/>
  <c r="Y66" i="2"/>
  <c r="AA57" i="2"/>
  <c r="EZ9" i="4" a="1"/>
  <c r="BQ19" i="3"/>
  <c r="BP46" i="3"/>
  <c r="BR27" i="3"/>
  <c r="BO35" i="3"/>
  <c r="BH59" i="3"/>
  <c r="BJ13" i="3"/>
  <c r="BF24" i="3"/>
  <c r="BK35" i="3"/>
  <c r="Z64" i="2"/>
  <c r="BC28" i="3"/>
  <c r="BQ8" i="3"/>
  <c r="BO39" i="3"/>
  <c r="BQ23" i="3"/>
  <c r="BI37" i="3"/>
  <c r="BR31" i="3"/>
  <c r="BS45" i="3"/>
  <c r="BT40" i="3"/>
  <c r="BN25" i="3"/>
  <c r="BH11" i="3"/>
  <c r="BU35" i="3"/>
  <c r="BH38" i="3"/>
  <c r="BV45" i="3"/>
  <c r="BG36" i="3"/>
  <c r="BK6" i="3"/>
  <c r="BI28" i="3"/>
  <c r="BG30" i="3"/>
  <c r="AA55" i="2"/>
  <c r="BA9" i="3"/>
  <c r="Z68" i="2"/>
  <c r="Y77" i="2"/>
  <c r="Z28" i="2"/>
  <c r="BQ29" i="3"/>
  <c r="BP11" i="3"/>
  <c r="BM20" i="3"/>
  <c r="BL27" i="3"/>
  <c r="BC14" i="3"/>
  <c r="EZ16" i="4" a="1"/>
  <c r="BA38" i="3"/>
  <c r="BO10" i="3"/>
  <c r="BI21" i="3"/>
  <c r="Y10" i="2"/>
  <c r="BP38" i="3"/>
  <c r="BP32" i="3"/>
  <c r="BP6" i="3"/>
  <c r="Z61" i="2"/>
  <c r="Z26" i="2"/>
  <c r="BQ31" i="3"/>
  <c r="BT17" i="3"/>
  <c r="BG13" i="3"/>
  <c r="BF45" i="3"/>
  <c r="CL94" i="1" s="1"/>
  <c r="BB15" i="3"/>
  <c r="BQ14" i="3"/>
  <c r="BM8" i="3"/>
  <c r="BO24" i="3"/>
  <c r="BT16" i="3"/>
  <c r="BM36" i="3"/>
  <c r="BI6" i="3"/>
  <c r="Y35" i="2"/>
  <c r="BB16" i="3"/>
  <c r="BB7" i="3"/>
  <c r="BV10" i="3"/>
  <c r="BV28" i="3"/>
  <c r="BN7" i="3"/>
  <c r="BK18" i="3"/>
  <c r="BF16" i="3"/>
  <c r="CL51" i="1" s="1"/>
  <c r="Y22" i="2"/>
  <c r="Y17" i="2"/>
  <c r="AA85" i="2"/>
  <c r="AA49" i="2"/>
  <c r="EY12" i="4" a="1"/>
  <c r="BV41" i="3"/>
  <c r="BQ33" i="3"/>
  <c r="BM32" i="3"/>
  <c r="BO31" i="3"/>
  <c r="BP23" i="3"/>
  <c r="BF36" i="3"/>
  <c r="BG25" i="3"/>
  <c r="BC16" i="3"/>
  <c r="BC39" i="3"/>
  <c r="Z58" i="2"/>
  <c r="EX16" i="4" a="1"/>
  <c r="BU27" i="3"/>
  <c r="BO40" i="3"/>
  <c r="BU40" i="3"/>
  <c r="BN24" i="3"/>
  <c r="BO42" i="3"/>
  <c r="BK10" i="3"/>
  <c r="BH25" i="3"/>
  <c r="BH13" i="3"/>
  <c r="BA19" i="3"/>
  <c r="BD19" i="3"/>
  <c r="BA13" i="3"/>
  <c r="BQ10" i="3"/>
  <c r="BI41" i="3"/>
  <c r="AA70" i="2"/>
  <c r="FC13" i="4" a="1"/>
  <c r="FB9" i="4" a="1"/>
  <c r="BT12" i="3"/>
  <c r="Y9" i="2"/>
  <c r="Y40" i="2"/>
  <c r="Z62" i="2"/>
  <c r="EX5" i="4" a="1"/>
  <c r="BT28" i="3"/>
  <c r="BT32" i="3"/>
  <c r="BC25" i="3"/>
  <c r="BD16" i="3"/>
  <c r="BQ34" i="3"/>
  <c r="BL15" i="3"/>
  <c r="Y19" i="2"/>
  <c r="BD31" i="3"/>
  <c r="EZ5" i="4" a="1"/>
  <c r="AA91" i="2"/>
  <c r="BP15" i="3"/>
  <c r="Z104" i="2"/>
  <c r="Y82" i="2"/>
  <c r="FF11" i="4" a="1"/>
  <c r="AY29" i="3"/>
  <c r="BR6" i="3"/>
  <c r="BL23" i="3"/>
  <c r="AA10" i="2"/>
  <c r="BB10" i="3"/>
  <c r="Z14" i="2"/>
  <c r="FB15" i="4" a="1"/>
  <c r="Z75" i="2"/>
  <c r="FD14" i="4" a="1"/>
  <c r="BM14" i="3"/>
  <c r="BC11" i="3"/>
  <c r="FD13" i="4" a="1"/>
  <c r="FB12" i="4" a="1"/>
  <c r="BR12" i="3"/>
  <c r="BH41" i="3"/>
  <c r="BD38" i="3"/>
  <c r="Z52" i="2"/>
  <c r="BO36" i="3"/>
  <c r="BJ16" i="3"/>
  <c r="AA74" i="2"/>
  <c r="BO45" i="3"/>
  <c r="BF32" i="3"/>
  <c r="BP41" i="3"/>
  <c r="BS40" i="3"/>
  <c r="BV34" i="3"/>
  <c r="BI23" i="3"/>
  <c r="Y51" i="2"/>
  <c r="BB23" i="3"/>
  <c r="BS13" i="3"/>
  <c r="BF46" i="3"/>
  <c r="CL95" i="1" s="1"/>
  <c r="BJ20" i="3"/>
  <c r="BD35" i="3"/>
  <c r="BU33" i="3"/>
  <c r="BV6" i="3"/>
  <c r="BL45" i="3"/>
  <c r="Y6" i="2"/>
  <c r="BQ35" i="3"/>
  <c r="BG6" i="3"/>
  <c r="BG41" i="3"/>
  <c r="BH9" i="3"/>
  <c r="BA40" i="3"/>
  <c r="BD23" i="3"/>
  <c r="BQ6" i="3"/>
  <c r="BO16" i="3"/>
  <c r="BF34" i="3"/>
  <c r="CL76" i="1" s="1"/>
  <c r="Y72" i="2"/>
  <c r="BK42" i="3"/>
  <c r="BI46" i="3"/>
  <c r="BP8" i="3"/>
  <c r="AA58" i="2"/>
  <c r="FE5" i="4" a="1"/>
  <c r="BQ37" i="3"/>
  <c r="BP36" i="3"/>
  <c r="BK33" i="3"/>
  <c r="BJ40" i="3"/>
  <c r="AA79" i="2"/>
  <c r="BQ20" i="3"/>
  <c r="BK29" i="3"/>
  <c r="BO30" i="3"/>
  <c r="BL21" i="3"/>
  <c r="BE22" i="3"/>
  <c r="BB45" i="3"/>
  <c r="BD8" i="3"/>
  <c r="Y67" i="2"/>
  <c r="BF31" i="3"/>
  <c r="BT25" i="3"/>
  <c r="Y31" i="2"/>
  <c r="EX6" i="4" a="1"/>
  <c r="BQ39" i="3"/>
  <c r="BI9" i="3"/>
  <c r="BM40" i="3"/>
  <c r="FF14" i="4" a="1"/>
  <c r="BT38" i="3"/>
  <c r="AA16" i="2"/>
  <c r="BN17" i="3"/>
  <c r="BE6" i="3"/>
  <c r="BS9" i="3"/>
  <c r="BJ5" i="3"/>
  <c r="AA52" i="2"/>
  <c r="Z25" i="2"/>
  <c r="BQ42" i="3"/>
  <c r="BO22" i="3"/>
  <c r="BN10" i="3"/>
  <c r="Z44" i="2"/>
  <c r="BL22" i="3"/>
  <c r="BF37" i="3"/>
  <c r="BM26" i="3"/>
  <c r="BS15" i="3"/>
  <c r="BH22" i="3"/>
  <c r="BC31" i="3"/>
  <c r="Y78" i="2"/>
  <c r="BR8" i="3"/>
  <c r="BN19" i="3"/>
  <c r="BF30" i="3"/>
  <c r="Z79" i="2"/>
  <c r="BV26" i="3"/>
  <c r="BP35" i="3"/>
  <c r="BL35" i="3"/>
  <c r="Z90" i="2"/>
  <c r="FC8" i="4" a="1"/>
  <c r="BH24" i="3"/>
  <c r="BP25" i="3"/>
  <c r="BH33" i="3"/>
  <c r="AA61" i="2"/>
  <c r="BU7" i="3"/>
  <c r="BQ38" i="3"/>
  <c r="BR22" i="3"/>
  <c r="BT27" i="3"/>
  <c r="BI13" i="3"/>
  <c r="BJ38" i="3"/>
  <c r="BH7" i="3"/>
  <c r="BD29" i="3"/>
  <c r="AA42" i="2"/>
  <c r="BU8" i="3"/>
  <c r="BF9" i="3"/>
  <c r="BS12" i="3"/>
  <c r="BM30" i="3"/>
  <c r="BN37" i="3"/>
  <c r="BN13" i="3"/>
  <c r="AA7" i="2"/>
  <c r="AA76" i="2"/>
  <c r="AA33" i="2"/>
  <c r="Z82" i="2"/>
  <c r="BV11" i="3"/>
  <c r="BS31" i="3"/>
  <c r="BR11" i="3"/>
  <c r="BR29" i="3"/>
  <c r="BJ9" i="3"/>
  <c r="BE19" i="3"/>
  <c r="BJ22" i="3"/>
  <c r="Z67" i="2"/>
  <c r="Y20" i="2"/>
  <c r="Z85" i="2"/>
  <c r="Z33" i="2"/>
  <c r="FF12" i="4" a="1"/>
  <c r="BS42" i="3"/>
  <c r="BM34" i="3"/>
  <c r="BO46" i="3"/>
  <c r="BV36" i="3"/>
  <c r="BL38" i="3"/>
  <c r="BE25" i="3"/>
  <c r="BT8" i="3"/>
  <c r="Z89" i="2"/>
  <c r="Y49" i="2"/>
  <c r="AA71" i="2"/>
  <c r="BA46" i="3"/>
  <c r="BO8" i="3"/>
  <c r="AA78" i="2"/>
  <c r="Z34" i="2"/>
  <c r="Z27" i="2"/>
  <c r="BE42" i="3"/>
  <c r="BN36" i="3"/>
  <c r="BB46" i="3"/>
  <c r="FA16" i="4" a="1"/>
  <c r="BA39" i="3"/>
  <c r="BT21" i="3"/>
  <c r="BN28" i="3"/>
  <c r="BH35" i="3"/>
  <c r="BC19" i="3"/>
  <c r="Y105" i="2"/>
  <c r="BO20" i="3"/>
  <c r="BE28" i="3"/>
  <c r="AA73" i="2"/>
  <c r="BB40" i="3"/>
  <c r="AA13" i="2"/>
  <c r="BQ40" i="3"/>
  <c r="BF22" i="3"/>
  <c r="AA48" i="2"/>
  <c r="BA18" i="3"/>
  <c r="EX12" i="4" a="1"/>
  <c r="BD12" i="3"/>
  <c r="BO26" i="3"/>
  <c r="BG37" i="3"/>
  <c r="Y96" i="2"/>
  <c r="EX11" i="4" a="1"/>
  <c r="Y48" i="2"/>
  <c r="Y61" i="2"/>
  <c r="BJ14" i="3"/>
  <c r="BV33" i="3"/>
  <c r="BN33" i="3"/>
  <c r="Z74" i="2"/>
  <c r="Z31" i="2"/>
  <c r="FB7" i="4" a="1"/>
  <c r="BO32" i="3"/>
  <c r="Z108" i="2"/>
  <c r="FF6" i="4" a="1"/>
  <c r="BG40" i="3"/>
  <c r="BK24" i="3"/>
  <c r="BD26" i="3"/>
  <c r="Y93" i="2"/>
  <c r="BO41" i="3"/>
  <c r="BH45" i="3"/>
  <c r="BE29" i="3"/>
  <c r="BV38" i="3"/>
  <c r="BA45" i="3"/>
  <c r="BC18" i="3"/>
  <c r="BM7" i="3"/>
  <c r="Y23" i="2"/>
  <c r="BR34" i="3"/>
  <c r="BG38" i="3"/>
  <c r="Y104" i="2"/>
  <c r="Y5" i="2"/>
  <c r="BG31" i="3"/>
  <c r="BP21" i="3"/>
  <c r="BL29" i="3"/>
  <c r="BR37" i="3"/>
  <c r="BT18" i="3"/>
  <c r="BJ17" i="3"/>
  <c r="AA24" i="2"/>
  <c r="AA25" i="2"/>
  <c r="AA34" i="2"/>
  <c r="BS35" i="3"/>
  <c r="BN45" i="3"/>
  <c r="BF7" i="3"/>
  <c r="Z19" i="2"/>
  <c r="BV32" i="3"/>
  <c r="BN11" i="3"/>
  <c r="Y83" i="2"/>
  <c r="Y45" i="2"/>
  <c r="FE16" i="4" a="1"/>
  <c r="BJ45" i="3"/>
  <c r="BP45" i="3"/>
  <c r="BT9" i="3"/>
  <c r="Y46" i="2"/>
  <c r="BU13" i="3"/>
  <c r="BQ46" i="3"/>
  <c r="BR28" i="3"/>
  <c r="BH6" i="3"/>
  <c r="BE23" i="3"/>
  <c r="BL9" i="3"/>
  <c r="Z76" i="2"/>
  <c r="W6" i="2"/>
  <c r="Z92" i="2"/>
  <c r="BU20" i="3"/>
  <c r="BI10" i="3"/>
  <c r="BS18" i="3"/>
  <c r="BT20" i="3"/>
  <c r="BM38" i="3"/>
  <c r="BL30" i="3"/>
  <c r="Z72" i="2"/>
  <c r="BC17" i="3"/>
  <c r="BD46" i="3"/>
  <c r="AA45" i="2"/>
  <c r="BK13" i="3"/>
  <c r="BT10" i="3"/>
  <c r="BT14" i="3"/>
  <c r="BR41" i="3"/>
  <c r="BF33" i="3"/>
  <c r="BK40" i="3"/>
  <c r="BP34" i="3"/>
  <c r="Y36" i="2"/>
  <c r="Z49" i="2"/>
  <c r="Y57" i="2"/>
  <c r="BD15" i="3"/>
  <c r="FC6" i="4" a="1"/>
  <c r="BK32" i="3"/>
  <c r="BL5" i="3"/>
  <c r="BI35" i="3"/>
  <c r="BS8" i="3"/>
  <c r="BK17" i="3"/>
  <c r="BL24" i="3"/>
  <c r="BG42" i="3"/>
  <c r="Y26" i="2"/>
  <c r="AA6" i="2"/>
  <c r="Z99" i="2"/>
  <c r="Z60" i="2"/>
  <c r="BF12" i="3"/>
  <c r="CL45" i="1" s="1"/>
  <c r="Z20" i="2"/>
  <c r="Y89" i="2"/>
  <c r="Y110" i="2"/>
  <c r="BQ16" i="3"/>
  <c r="BM45" i="3"/>
  <c r="AA22" i="2"/>
  <c r="EY16" i="4" a="1"/>
  <c r="AA88" i="2"/>
  <c r="BQ22" i="3"/>
  <c r="BN5" i="3"/>
  <c r="BF17" i="3"/>
  <c r="CL52" i="1" s="1"/>
  <c r="AA56" i="2"/>
  <c r="BD34" i="3"/>
  <c r="BL12" i="3"/>
  <c r="AA40" i="2"/>
  <c r="AA98" i="2"/>
  <c r="FA6" i="4" a="1"/>
  <c r="BC6" i="3"/>
  <c r="BJ25" i="3"/>
  <c r="BT37" i="3"/>
  <c r="Z80" i="2"/>
  <c r="BC26" i="3"/>
  <c r="BB39" i="3"/>
  <c r="Z78" i="2"/>
  <c r="BL36" i="3"/>
  <c r="AA54" i="2"/>
  <c r="Y55" i="2"/>
  <c r="FC5" i="4" a="1"/>
  <c r="AA69" i="2"/>
  <c r="AA82" i="2"/>
  <c r="AA44" i="2"/>
  <c r="BS29" i="3"/>
  <c r="BI42" i="3"/>
  <c r="BB6" i="3"/>
  <c r="Y27" i="2"/>
  <c r="Z65" i="2"/>
  <c r="BE16" i="3"/>
  <c r="Z5" i="2"/>
  <c r="FE7" i="4" a="1"/>
  <c r="Z55" i="2"/>
  <c r="BG23" i="3"/>
  <c r="BD13" i="3"/>
  <c r="BA10" i="3"/>
  <c r="BE36" i="3"/>
  <c r="AA18" i="2"/>
  <c r="BR45" i="3"/>
  <c r="BJ41" i="3"/>
  <c r="AA72" i="2"/>
  <c r="BB36" i="3"/>
  <c r="BA14" i="3"/>
  <c r="BI22" i="3"/>
  <c r="BM22" i="3"/>
  <c r="BN23" i="3"/>
  <c r="BU18" i="3"/>
  <c r="BJ31" i="3"/>
  <c r="Y81" i="2"/>
  <c r="BR33" i="3"/>
  <c r="BP14" i="3"/>
  <c r="BU19" i="3"/>
  <c r="BT41" i="3"/>
  <c r="BF29" i="3"/>
  <c r="CL70" i="1" s="1"/>
  <c r="BT19" i="3"/>
  <c r="Y80" i="2"/>
  <c r="BU26" i="3"/>
  <c r="BS24" i="3"/>
  <c r="BG34" i="3"/>
  <c r="BV7" i="3"/>
  <c r="BG16" i="3"/>
  <c r="Z47" i="2"/>
  <c r="FD8" i="4" a="1"/>
  <c r="Y107" i="2"/>
  <c r="BR14" i="3"/>
  <c r="BK16" i="3"/>
  <c r="AA77" i="2"/>
  <c r="BU30" i="3"/>
  <c r="BT11" i="3"/>
  <c r="BL17" i="3"/>
  <c r="BB30" i="3"/>
  <c r="Z71" i="2"/>
  <c r="BQ25" i="3"/>
  <c r="BO5" i="3"/>
  <c r="BL32" i="3"/>
  <c r="BH26" i="3"/>
  <c r="BC27" i="3"/>
  <c r="BU37" i="3"/>
  <c r="BJ7" i="3"/>
  <c r="BO12" i="3"/>
  <c r="BN30" i="3"/>
  <c r="BN35" i="3"/>
  <c r="BF13" i="3"/>
  <c r="Y99" i="2"/>
  <c r="AA26" i="2"/>
  <c r="X6" i="2"/>
  <c r="BU46" i="3"/>
  <c r="BV16" i="3"/>
  <c r="BT33" i="3"/>
  <c r="BM13" i="3"/>
  <c r="BF38" i="3"/>
  <c r="BL13" i="3"/>
  <c r="BB38" i="3"/>
  <c r="AA28" i="2"/>
  <c r="BA23" i="3"/>
  <c r="FB13" i="4" a="1"/>
  <c r="BV29" i="3"/>
  <c r="BQ21" i="3"/>
  <c r="BE12" i="3"/>
  <c r="BO19" i="3"/>
  <c r="BT24" i="3"/>
  <c r="BI40" i="3"/>
  <c r="BH32" i="3"/>
  <c r="BC38" i="3"/>
  <c r="BA6" i="3"/>
  <c r="BA7" i="3"/>
  <c r="Y87" i="2"/>
  <c r="BU21" i="3"/>
  <c r="BJ10" i="3"/>
  <c r="BU28" i="3"/>
  <c r="BE38" i="3"/>
  <c r="BS26" i="3"/>
  <c r="BP39" i="3"/>
  <c r="BF6" i="3"/>
  <c r="CL39" i="1" s="1"/>
  <c r="BM12" i="3"/>
  <c r="BB9" i="3"/>
  <c r="BA37" i="3"/>
  <c r="AA27" i="2"/>
  <c r="FC9" i="4" a="1"/>
  <c r="BN20" i="3"/>
  <c r="BA27" i="3"/>
  <c r="FE8" i="4" a="1"/>
  <c r="EX8" i="4" a="1"/>
  <c r="BS11" i="3"/>
  <c r="AA94" i="2"/>
  <c r="Z97" i="2"/>
  <c r="BG21" i="3"/>
  <c r="BD40" i="3"/>
  <c r="BI31" i="3"/>
  <c r="BE45" i="3"/>
  <c r="Y24" i="2"/>
  <c r="BB26" i="3"/>
  <c r="FD9" i="4" a="1"/>
  <c r="BH34" i="3"/>
  <c r="BD39" i="3"/>
  <c r="BC33" i="3"/>
  <c r="FB6" i="4" a="1"/>
  <c r="BM10" i="3"/>
  <c r="BF27" i="3"/>
  <c r="Y73" i="2"/>
  <c r="Z94" i="2"/>
  <c r="EZ12" i="4" a="1"/>
  <c r="BS5" i="3"/>
  <c r="EX14" i="4" a="1"/>
  <c r="BL42" i="3"/>
  <c r="BC10" i="3"/>
  <c r="BB42" i="3"/>
  <c r="FF5" i="4" a="1"/>
  <c r="FE14" i="4" a="1"/>
  <c r="Y65" i="2"/>
  <c r="Y95" i="2"/>
  <c r="BK22" i="3"/>
  <c r="BD42" i="3"/>
  <c r="FD12" i="4" a="1"/>
  <c r="FA12" i="4" a="1"/>
  <c r="Z17" i="2"/>
  <c r="BK21" i="3"/>
  <c r="Y56" i="2"/>
  <c r="BD41" i="3"/>
  <c r="BV39" i="3"/>
  <c r="BJ37" i="3"/>
  <c r="BC42" i="3"/>
  <c r="Z41" i="2"/>
  <c r="BG35" i="3"/>
  <c r="Y108" i="2"/>
  <c r="BS39" i="3"/>
  <c r="BD37" i="3"/>
  <c r="BA11" i="3"/>
  <c r="BF11" i="3"/>
  <c r="CL46" i="1" s="1"/>
  <c r="BV18" i="3"/>
  <c r="BI15" i="3"/>
  <c r="BJ34" i="3"/>
  <c r="Y59" i="2"/>
  <c r="BT34" i="3"/>
  <c r="BG11" i="3"/>
  <c r="BA8" i="3"/>
  <c r="BP10" i="3"/>
  <c r="BL40" i="3"/>
  <c r="BC22" i="3"/>
  <c r="BI33" i="3"/>
  <c r="BO6" i="3"/>
  <c r="AA51" i="2"/>
  <c r="BN38" i="3"/>
  <c r="BK7" i="3"/>
  <c r="AA92" i="2"/>
  <c r="BV23" i="3"/>
  <c r="BO7" i="3"/>
  <c r="BF8" i="3"/>
  <c r="Z29" i="2"/>
  <c r="FE15" i="4" a="1"/>
  <c r="BV12" i="3"/>
  <c r="BT36" i="3"/>
  <c r="AA90" i="2"/>
  <c r="AA83" i="2"/>
  <c r="BC13" i="3"/>
  <c r="FC15" i="4" a="1"/>
  <c r="Y91" i="2"/>
  <c r="BC8" i="3"/>
  <c r="BK14" i="3"/>
  <c r="Z40" i="2"/>
  <c r="BL14" i="3"/>
  <c r="Z70" i="2"/>
  <c r="FA14" i="4" a="1"/>
  <c r="BI19" i="3"/>
  <c r="BA33" i="3"/>
  <c r="BB18" i="3"/>
  <c r="BT45" i="3"/>
  <c r="Z63" i="2"/>
  <c r="BJ8" i="3"/>
  <c r="BV9" i="3"/>
  <c r="Z91" i="2"/>
  <c r="FF7" i="4" a="1"/>
  <c r="BP40" i="3"/>
  <c r="FC16" i="4" a="1"/>
  <c r="Y76" i="2"/>
  <c r="BI5" i="3"/>
  <c r="BD14" i="3"/>
  <c r="Y52" i="2"/>
  <c r="BU41" i="3"/>
  <c r="BU24" i="3"/>
  <c r="EY7" i="4" a="1"/>
  <c r="AB39" i="3"/>
  <c r="BO37" i="3"/>
  <c r="BA16" i="3"/>
  <c r="BS6" i="3"/>
  <c r="BE40" i="3"/>
  <c r="BA24" i="3"/>
  <c r="BS25" i="3"/>
  <c r="BO13" i="3"/>
  <c r="BK38" i="3"/>
  <c r="Y109" i="2"/>
  <c r="BU15" i="3"/>
  <c r="BH16" i="3"/>
  <c r="BG20" i="3"/>
  <c r="BB20" i="3"/>
  <c r="AA107" i="2"/>
  <c r="BC30" i="3"/>
  <c r="BT35" i="3"/>
  <c r="BD10" i="3"/>
  <c r="Z81" i="2"/>
  <c r="BJ42" i="3"/>
  <c r="AA11" i="2"/>
  <c r="BR24" i="3"/>
  <c r="BA36" i="3"/>
  <c r="Y25" i="2"/>
  <c r="BF41" i="3"/>
  <c r="BB31" i="3"/>
  <c r="BD28" i="3"/>
  <c r="BJ27" i="3"/>
  <c r="AA15" i="2"/>
  <c r="BC37" i="3"/>
  <c r="BG7" i="3"/>
  <c r="BB14" i="3"/>
  <c r="BB11" i="3"/>
  <c r="BF35" i="3"/>
  <c r="CL77" i="1" s="1"/>
  <c r="BF26" i="3"/>
  <c r="CL78" i="1" s="1"/>
  <c r="Z30" i="2"/>
  <c r="BR42" i="3"/>
  <c r="Y21" i="2"/>
  <c r="BC40" i="3"/>
  <c r="Z51" i="2"/>
  <c r="FC7" i="4" a="1"/>
  <c r="BO38" i="3"/>
  <c r="BI45" i="3"/>
  <c r="BB28" i="3"/>
  <c r="BG15" i="3"/>
  <c r="BK27" i="3"/>
  <c r="AA46" i="2"/>
  <c r="BR30" i="3"/>
  <c r="EZ11" i="4" a="1"/>
  <c r="EY6" i="4" a="1"/>
  <c r="EY14" i="4" a="1"/>
  <c r="BV27" i="3"/>
  <c r="BP31" i="3"/>
  <c r="BD36" i="3"/>
  <c r="BI11" i="3"/>
  <c r="BS34" i="3"/>
  <c r="AA9" i="2"/>
  <c r="BD22" i="3"/>
  <c r="BG29" i="3"/>
  <c r="AA81" i="2"/>
  <c r="BS38" i="3"/>
  <c r="AA80" i="2"/>
  <c r="BD25" i="3"/>
  <c r="BI29" i="3"/>
  <c r="BM27" i="3"/>
  <c r="BJ15" i="3"/>
  <c r="Y34" i="2"/>
  <c r="BV5" i="3"/>
  <c r="BG17" i="3"/>
  <c r="BH46" i="3"/>
  <c r="Z110" i="2"/>
  <c r="BB34" i="3"/>
  <c r="Y29" i="2"/>
  <c r="BK26" i="3"/>
  <c r="AV10" i="3"/>
  <c r="Z106" i="2"/>
  <c r="BV21" i="3"/>
  <c r="C5" i="2"/>
  <c r="BP33" i="3"/>
  <c r="Y30" i="2"/>
  <c r="Y63" i="2"/>
  <c r="BL20" i="3"/>
  <c r="Z43" i="2"/>
  <c r="FE12" i="4" a="1"/>
  <c r="EX9" i="4" a="1"/>
  <c r="BM6" i="3"/>
  <c r="BC29" i="3"/>
  <c r="Z11" i="2"/>
  <c r="BG8" i="3"/>
  <c r="Z86" i="2"/>
  <c r="BN34" i="3"/>
  <c r="EY8" i="4" a="1"/>
  <c r="BK34" i="3"/>
  <c r="BP20" i="3"/>
  <c r="BK5" i="3"/>
  <c r="AA14" i="2"/>
  <c r="AA95" i="2"/>
  <c r="BA22" i="3"/>
  <c r="BP17" i="3"/>
  <c r="BG46" i="3"/>
  <c r="AA86" i="2"/>
  <c r="BK8" i="3"/>
  <c r="Z6" i="2"/>
  <c r="BK9" i="3"/>
  <c r="BA17" i="3"/>
  <c r="Y18" i="2"/>
  <c r="BQ15" i="3"/>
  <c r="BI12" i="3"/>
  <c r="Y85" i="2"/>
  <c r="Y74" i="2"/>
  <c r="BN31" i="3"/>
  <c r="BV30" i="3"/>
  <c r="BN14" i="3"/>
  <c r="Y50" i="2"/>
  <c r="BF20" i="3"/>
  <c r="CL40" i="1" s="1"/>
  <c r="FA5" i="4" a="1"/>
  <c r="BV15" i="3"/>
  <c r="Y70" i="2"/>
  <c r="Z84" i="2"/>
  <c r="BS17" i="3"/>
  <c r="AA32" i="2"/>
  <c r="BM17" i="3"/>
  <c r="BD7" i="3"/>
  <c r="BJ24" i="3"/>
  <c r="BI30" i="3"/>
  <c r="Y53" i="2"/>
  <c r="EZ15" i="4" a="1"/>
  <c r="BC20" i="3"/>
  <c r="FB5" i="4" a="1"/>
  <c r="EZ8" i="4" a="1"/>
  <c r="BP13" i="3"/>
  <c r="Y97" i="2"/>
  <c r="AA64" i="2"/>
  <c r="BG27" i="3"/>
  <c r="BK36" i="3"/>
  <c r="BD30" i="3"/>
  <c r="Z105" i="2"/>
  <c r="BB5" i="3"/>
  <c r="Y8" i="2"/>
  <c r="BE5" i="3"/>
  <c r="FD15" i="4" a="1"/>
  <c r="BK11" i="3"/>
  <c r="BR39" i="3"/>
  <c r="BU31" i="3"/>
  <c r="BL16" i="3"/>
  <c r="AA89" i="2"/>
  <c r="BE9" i="3"/>
  <c r="BA29" i="3"/>
  <c r="EY11" i="4" a="1"/>
  <c r="BR5" i="3"/>
  <c r="BN46" i="3"/>
  <c r="Z36" i="2"/>
  <c r="BD24" i="3"/>
  <c r="BE34" i="3"/>
  <c r="BS14" i="3"/>
  <c r="BL41" i="3"/>
  <c r="BD11" i="3"/>
  <c r="BG10" i="3"/>
  <c r="FE13" i="4" a="1"/>
  <c r="BE13" i="3"/>
  <c r="AA59" i="2"/>
  <c r="FF8" i="4" a="1"/>
  <c r="BE15" i="3"/>
  <c r="BC5" i="3"/>
  <c r="BT13" i="3"/>
  <c r="BA25" i="3"/>
  <c r="Z45" i="2"/>
  <c r="BB24" i="3"/>
  <c r="FE6" i="4" a="1"/>
  <c r="BJ33" i="3"/>
  <c r="Y106" i="2"/>
  <c r="AA20" i="2"/>
  <c r="Y94" i="2"/>
  <c r="BB37" i="3"/>
  <c r="BB13" i="3"/>
  <c r="BM33" i="3"/>
  <c r="BC24" i="3"/>
  <c r="Z54" i="2"/>
  <c r="BC9" i="3"/>
  <c r="BI34" i="3"/>
  <c r="BE41" i="3"/>
  <c r="BQ26" i="3"/>
  <c r="BJ36" i="3"/>
  <c r="BC34" i="3"/>
  <c r="BH18" i="3"/>
  <c r="AA35" i="2"/>
  <c r="EY13" i="4" a="1"/>
  <c r="BM31" i="3"/>
  <c r="BG14" i="3"/>
  <c r="Y12" i="2"/>
  <c r="AA75" i="2"/>
  <c r="BE14" i="3"/>
  <c r="BS20" i="3"/>
  <c r="BJ19" i="3"/>
  <c r="Z10" i="2"/>
  <c r="BN6" i="3"/>
  <c r="Y90" i="2"/>
  <c r="BH15" i="3"/>
  <c r="FB8" i="4" a="1"/>
  <c r="FC11" i="4" a="1"/>
  <c r="BJ23" i="3"/>
  <c r="Z8" i="2"/>
  <c r="BL18" i="3"/>
  <c r="Z93" i="2"/>
  <c r="FD6" i="4" a="1"/>
  <c r="BB41" i="3"/>
  <c r="FB11" i="4" a="1"/>
  <c r="AA60" i="2"/>
  <c r="BM42" i="3"/>
  <c r="BD18" i="3"/>
  <c r="BG22" i="3"/>
  <c r="BG28" i="3"/>
  <c r="BM35" i="3"/>
  <c r="BU38" i="3"/>
  <c r="BN18" i="3"/>
  <c r="BB19" i="3"/>
  <c r="FD5" i="4" a="1"/>
  <c r="BH30" i="3"/>
  <c r="BH20" i="3"/>
  <c r="BC15" i="3"/>
  <c r="Z69" i="2"/>
  <c r="BU10" i="3"/>
  <c r="BH14" i="3"/>
  <c r="BH36" i="3"/>
  <c r="BA12" i="3"/>
  <c r="Z48" i="2"/>
  <c r="FA8" i="4" a="1"/>
  <c r="BI14" i="3"/>
  <c r="BI26" i="3"/>
  <c r="FA15" i="4" a="1"/>
  <c r="BN42" i="3"/>
  <c r="BM11" i="3"/>
  <c r="BA15" i="3"/>
  <c r="BF14" i="3"/>
  <c r="CL54" i="1" s="1"/>
  <c r="BR16" i="3"/>
  <c r="BI38" i="3"/>
  <c r="BM29" i="3"/>
  <c r="BE37" i="3"/>
  <c r="BA5" i="3"/>
  <c r="BV17" i="3"/>
  <c r="BR23" i="3"/>
  <c r="BE20" i="3"/>
  <c r="Z77" i="2"/>
  <c r="FF9" i="4" a="1"/>
  <c r="BU22" i="3"/>
  <c r="BK37" i="3"/>
  <c r="AA110" i="2"/>
  <c r="BC21" i="3"/>
  <c r="AA50" i="2"/>
  <c r="EY5" i="4" a="1"/>
  <c r="Y75" i="2"/>
  <c r="BJ11" i="3"/>
  <c r="BO14" i="3"/>
  <c r="AA53" i="2"/>
  <c r="Z15" i="2"/>
  <c r="AA47" i="2"/>
  <c r="FB14" i="4" a="1"/>
  <c r="BS23" i="3"/>
  <c r="Y16" i="2"/>
  <c r="FD11" i="4" a="1"/>
  <c r="BM19" i="3"/>
  <c r="BC36" i="3"/>
  <c r="FA7" i="4" a="1"/>
  <c r="Z83" i="2"/>
  <c r="AA68" i="2"/>
  <c r="BC46" i="3"/>
  <c r="BG24" i="3"/>
  <c r="BB21" i="3"/>
  <c r="BM25" i="3"/>
  <c r="BD5" i="3"/>
  <c r="BA26" i="3"/>
  <c r="BI36" i="3"/>
  <c r="BM9" i="3"/>
  <c r="BR36" i="3"/>
  <c r="Y14" i="2"/>
  <c r="BP84" i="3"/>
  <c r="BG58" i="3"/>
  <c r="BA94" i="3"/>
  <c r="BR91" i="3"/>
  <c r="BS72" i="3"/>
  <c r="BQ61" i="3"/>
  <c r="BM84" i="3"/>
  <c r="BD82" i="3"/>
  <c r="BH60" i="3"/>
  <c r="BF89" i="3"/>
  <c r="CL184" i="1" s="1"/>
  <c r="CL214" i="1" s="1"/>
  <c r="BU81" i="3"/>
  <c r="BQ58" i="3"/>
  <c r="BM49" i="3"/>
  <c r="BH79" i="3"/>
  <c r="BF71" i="3"/>
  <c r="BA67" i="3"/>
  <c r="BG55" i="3"/>
  <c r="BG94" i="3"/>
  <c r="BA78" i="3"/>
  <c r="BE72" i="3"/>
  <c r="BP73" i="3"/>
  <c r="BM59" i="3"/>
  <c r="BD49" i="3"/>
  <c r="BH58" i="3"/>
  <c r="BF47" i="3"/>
  <c r="BO59" i="3"/>
  <c r="BU70" i="3"/>
  <c r="BT62" i="3"/>
  <c r="BJ92" i="3"/>
  <c r="GH9" i="4" a="1"/>
  <c r="FV7" i="4" a="1"/>
  <c r="FT6" i="4" a="1"/>
  <c r="BA82" i="3"/>
  <c r="BG85" i="3"/>
  <c r="BH76" i="3"/>
  <c r="BE92" i="3"/>
  <c r="BV83" i="3"/>
  <c r="BU67" i="3"/>
  <c r="BT67" i="3"/>
  <c r="GR5" i="4" a="1"/>
  <c r="FG5" i="4" a="1"/>
  <c r="FZ15" i="4" a="1"/>
  <c r="FR8" i="4" a="1"/>
  <c r="GW14" i="4" a="1"/>
  <c r="BA59" i="3"/>
  <c r="BG67" i="3"/>
  <c r="BH77" i="3"/>
  <c r="BA88" i="3"/>
  <c r="BE71" i="3"/>
  <c r="BE85" i="3"/>
  <c r="BH63" i="3"/>
  <c r="BM57" i="3"/>
  <c r="BD93" i="3"/>
  <c r="BH92" i="3"/>
  <c r="BF66" i="3"/>
  <c r="CL182" i="1" s="1"/>
  <c r="BR64" i="3"/>
  <c r="BH72" i="3"/>
  <c r="BM76" i="3"/>
  <c r="BU47" i="3"/>
  <c r="BH90" i="3"/>
  <c r="BF80" i="3"/>
  <c r="CL190" i="1" s="1"/>
  <c r="BA70" i="3"/>
  <c r="BG83" i="3"/>
  <c r="BH64" i="3"/>
  <c r="BC57" i="3"/>
  <c r="BE70" i="3"/>
  <c r="BH70" i="3"/>
  <c r="BF83" i="3"/>
  <c r="CL191" i="1" s="1"/>
  <c r="BU54" i="3"/>
  <c r="BH82" i="3"/>
  <c r="BF93" i="3"/>
  <c r="BO94" i="3"/>
  <c r="BR59" i="3"/>
  <c r="BG90" i="3"/>
  <c r="HE12" i="4" a="1"/>
  <c r="GS5" i="4" a="1"/>
  <c r="GF11" i="4" a="1"/>
  <c r="BA92" i="3"/>
  <c r="BM93" i="3"/>
  <c r="BF90" i="3"/>
  <c r="CL157" i="1" s="1"/>
  <c r="BQ60" i="3"/>
  <c r="BI54" i="3"/>
  <c r="BT91" i="3"/>
  <c r="BU91" i="3"/>
  <c r="BT78" i="3"/>
  <c r="BS62" i="3"/>
  <c r="FG6" i="4" a="1"/>
  <c r="GI6" i="4" a="1"/>
  <c r="HC7" i="4" a="1"/>
  <c r="GN11" i="4" a="1"/>
  <c r="GG11" i="4" a="1"/>
  <c r="FT15" i="4" a="1"/>
  <c r="BP64" i="3"/>
  <c r="BM71" i="3"/>
  <c r="BH67" i="3"/>
  <c r="BF94" i="3"/>
  <c r="BA85" i="3"/>
  <c r="BG54" i="3"/>
  <c r="BM96" i="3"/>
  <c r="BQ48" i="3"/>
  <c r="BI58" i="3"/>
  <c r="BT93" i="3"/>
  <c r="BT49" i="3"/>
  <c r="BK68" i="3"/>
  <c r="BB50" i="3"/>
  <c r="BP59" i="3"/>
  <c r="BL47" i="3"/>
  <c r="BQ79" i="3"/>
  <c r="BO74" i="3"/>
  <c r="BR80" i="3"/>
  <c r="BK50" i="3"/>
  <c r="BB79" i="3"/>
  <c r="BI49" i="3"/>
  <c r="BL71" i="3"/>
  <c r="BQ76" i="3"/>
  <c r="BA63" i="3"/>
  <c r="BE62" i="3"/>
  <c r="BF86" i="3"/>
  <c r="BQ55" i="3"/>
  <c r="BG79" i="3"/>
  <c r="BC71" i="3"/>
  <c r="BB65" i="3"/>
  <c r="BI73" i="3"/>
  <c r="BL93" i="3"/>
  <c r="BQ63" i="3"/>
  <c r="BO82" i="3"/>
  <c r="BR96" i="3"/>
  <c r="BN48" i="3"/>
  <c r="BE79" i="3"/>
  <c r="BK83" i="3"/>
  <c r="GA5" i="4" a="1"/>
  <c r="FI7" i="4" a="1"/>
  <c r="GE6" i="4" a="1"/>
  <c r="BP88" i="3"/>
  <c r="BM61" i="3"/>
  <c r="BH69" i="3"/>
  <c r="BF92" i="3"/>
  <c r="CL186" i="1" s="1"/>
  <c r="BO63" i="3"/>
  <c r="BR81" i="3"/>
  <c r="BT89" i="3"/>
  <c r="BS94" i="3"/>
  <c r="GX9" i="4" a="1"/>
  <c r="HF8" i="4" a="1"/>
  <c r="GR6" i="4" a="1"/>
  <c r="GH12" i="4" a="1"/>
  <c r="GE14" i="4" a="1"/>
  <c r="GD8" i="4" a="1"/>
  <c r="BH66" i="3"/>
  <c r="BF60" i="3"/>
  <c r="CL153" i="1" s="1"/>
  <c r="BU61" i="3"/>
  <c r="BQ85" i="3"/>
  <c r="BM68" i="3"/>
  <c r="BH57" i="3"/>
  <c r="BI67" i="3"/>
  <c r="BN76" i="3"/>
  <c r="BG66" i="3"/>
  <c r="BU63" i="3"/>
  <c r="BB71" i="3"/>
  <c r="BI92" i="3"/>
  <c r="BL96" i="3"/>
  <c r="BQ71" i="3"/>
  <c r="BS83" i="3"/>
  <c r="BH61" i="3"/>
  <c r="BR71" i="3"/>
  <c r="BB56" i="3"/>
  <c r="BI86" i="3"/>
  <c r="BL74" i="3"/>
  <c r="BQ80" i="3"/>
  <c r="BP56" i="3"/>
  <c r="BM48" i="3"/>
  <c r="BH71" i="3"/>
  <c r="BQ56" i="3"/>
  <c r="BR61" i="3"/>
  <c r="BB74" i="3"/>
  <c r="BI97" i="3"/>
  <c r="BL82" i="3"/>
  <c r="BQ82" i="3"/>
  <c r="BS73" i="3"/>
  <c r="BV79" i="3"/>
  <c r="BN70" i="3"/>
  <c r="BI63" i="3"/>
  <c r="BK76" i="3"/>
  <c r="HG6" i="4" a="1"/>
  <c r="GP7" i="4" a="1"/>
  <c r="GM7" i="4" a="1"/>
  <c r="BH86" i="3"/>
  <c r="BF63" i="3"/>
  <c r="CL156" i="1" s="1"/>
  <c r="BU55" i="3"/>
  <c r="BH84" i="3"/>
  <c r="BF85" i="3"/>
  <c r="CL178" i="1" s="1"/>
  <c r="BO50" i="3"/>
  <c r="BR60" i="3"/>
  <c r="BN95" i="3"/>
  <c r="BH97" i="3"/>
  <c r="GA13" i="4" a="1"/>
  <c r="GK5" i="4" a="1"/>
  <c r="GZ6" i="4" a="1"/>
  <c r="GB13" i="4" a="1"/>
  <c r="BH81" i="3"/>
  <c r="BM94" i="3"/>
  <c r="BH74" i="3"/>
  <c r="BF54" i="3"/>
  <c r="BO81" i="3"/>
  <c r="BP80" i="3"/>
  <c r="BM73" i="3"/>
  <c r="BB94" i="3"/>
  <c r="BB77" i="3"/>
  <c r="BL59" i="3"/>
  <c r="BU72" i="3"/>
  <c r="BS55" i="3"/>
  <c r="BP83" i="3"/>
  <c r="BM77" i="3"/>
  <c r="BB90" i="3"/>
  <c r="BB80" i="3"/>
  <c r="BL56" i="3"/>
  <c r="BU74" i="3"/>
  <c r="BH96" i="3"/>
  <c r="BF84" i="3"/>
  <c r="CL177" i="1" s="1"/>
  <c r="BU48" i="3"/>
  <c r="BH80" i="3"/>
  <c r="BG63" i="3"/>
  <c r="BN84" i="3"/>
  <c r="BB78" i="3"/>
  <c r="BB57" i="3"/>
  <c r="BL79" i="3"/>
  <c r="BU76" i="3"/>
  <c r="BS77" i="3"/>
  <c r="BV80" i="3"/>
  <c r="BP69" i="3"/>
  <c r="BM69" i="3"/>
  <c r="BK97" i="3"/>
  <c r="GJ9" i="4" a="1"/>
  <c r="FR6" i="4" a="1"/>
  <c r="BU58" i="3"/>
  <c r="BC47" i="3"/>
  <c r="BB92" i="3"/>
  <c r="BI83" i="3"/>
  <c r="BL66" i="3"/>
  <c r="BQ74" i="3"/>
  <c r="BO87" i="3"/>
  <c r="BR90" i="3"/>
  <c r="BN58" i="3"/>
  <c r="BE54" i="3"/>
  <c r="BK75" i="3"/>
  <c r="FH5" i="4" a="1"/>
  <c r="GP8" i="4" a="1"/>
  <c r="FZ8" i="4" a="1"/>
  <c r="BK84" i="3"/>
  <c r="BL97" i="3"/>
  <c r="BB96" i="3"/>
  <c r="BP68" i="3"/>
  <c r="BL49" i="3"/>
  <c r="BQ84" i="3"/>
  <c r="BO72" i="3"/>
  <c r="BP89" i="3"/>
  <c r="BG64" i="3"/>
  <c r="BA66" i="3"/>
  <c r="BE84" i="3"/>
  <c r="BR50" i="3"/>
  <c r="BS69" i="3"/>
  <c r="BA81" i="3"/>
  <c r="BG70" i="3"/>
  <c r="BG72" i="3"/>
  <c r="BA77" i="3"/>
  <c r="BE78" i="3"/>
  <c r="BQ62" i="3"/>
  <c r="BC49" i="3"/>
  <c r="BB55" i="3"/>
  <c r="BI69" i="3"/>
  <c r="BL64" i="3"/>
  <c r="BA48" i="3"/>
  <c r="BG78" i="3"/>
  <c r="BG77" i="3"/>
  <c r="BA74" i="3"/>
  <c r="BE80" i="3"/>
  <c r="BR54" i="3"/>
  <c r="BS57" i="3"/>
  <c r="BV63" i="3"/>
  <c r="BF69" i="3"/>
  <c r="BF74" i="3"/>
  <c r="CL168" i="1" s="1"/>
  <c r="FM5" i="4" a="1"/>
  <c r="FX9" i="4" a="1"/>
  <c r="FP11" i="4" a="1"/>
  <c r="BK64" i="3"/>
  <c r="BM91" i="3"/>
  <c r="BB85" i="3"/>
  <c r="BI84" i="3"/>
  <c r="BL92" i="3"/>
  <c r="BQ83" i="3"/>
  <c r="BS88" i="3"/>
  <c r="BV54" i="3"/>
  <c r="BN72" i="3"/>
  <c r="BI65" i="3"/>
  <c r="BK86" i="3"/>
  <c r="GC7" i="4" a="1"/>
  <c r="FI8" i="4" a="1"/>
  <c r="FL8" i="4" a="1"/>
  <c r="FM12" i="4" a="1"/>
  <c r="GH16" i="4" a="1"/>
  <c r="BG59" i="3"/>
  <c r="BU50" i="3"/>
  <c r="BB59" i="3"/>
  <c r="BI88" i="3"/>
  <c r="BL70" i="3"/>
  <c r="BQ66" i="3"/>
  <c r="BS63" i="3"/>
  <c r="BA96" i="3"/>
  <c r="BG96" i="3"/>
  <c r="BH55" i="3"/>
  <c r="BC56" i="3"/>
  <c r="BE61" i="3"/>
  <c r="BV47" i="3"/>
  <c r="BU59" i="3"/>
  <c r="BA69" i="3"/>
  <c r="BG89" i="3"/>
  <c r="BH54" i="3"/>
  <c r="BC85" i="3"/>
  <c r="BE48" i="3"/>
  <c r="BH62" i="3"/>
  <c r="BR56" i="3"/>
  <c r="BB69" i="3"/>
  <c r="BI74" i="3"/>
  <c r="BL80" i="3"/>
  <c r="BA50" i="3"/>
  <c r="BG65" i="3"/>
  <c r="BH68" i="3"/>
  <c r="BC60" i="3"/>
  <c r="BE88" i="3"/>
  <c r="BV60" i="3"/>
  <c r="BU71" i="3"/>
  <c r="BT59" i="3"/>
  <c r="BO54" i="3"/>
  <c r="HF7" i="4" a="1"/>
  <c r="BP48" i="3"/>
  <c r="BM65" i="3"/>
  <c r="BB88" i="3"/>
  <c r="BB61" i="3"/>
  <c r="BL65" i="3"/>
  <c r="BU78" i="3"/>
  <c r="BS60" i="3"/>
  <c r="BA71" i="3"/>
  <c r="BE82" i="3"/>
  <c r="BM88" i="3"/>
  <c r="BQ50" i="3"/>
  <c r="BI90" i="3"/>
  <c r="BT92" i="3"/>
  <c r="BU77" i="3"/>
  <c r="BA84" i="3"/>
  <c r="BE74" i="3"/>
  <c r="BM92" i="3"/>
  <c r="BQ54" i="3"/>
  <c r="BI94" i="3"/>
  <c r="BG86" i="3"/>
  <c r="BN49" i="3"/>
  <c r="BB87" i="3"/>
  <c r="BB82" i="3"/>
  <c r="BL87" i="3"/>
  <c r="BA55" i="3"/>
  <c r="BE56" i="3"/>
  <c r="BF88" i="3"/>
  <c r="CL158" i="1" s="1"/>
  <c r="BQ57" i="3"/>
  <c r="BI57" i="3"/>
  <c r="BT84" i="3"/>
  <c r="BU90" i="3"/>
  <c r="BT55" i="3"/>
  <c r="BO96" i="3"/>
  <c r="FI6" i="4" a="1"/>
  <c r="FK6" i="4" a="1"/>
  <c r="FZ7" i="4" a="1"/>
  <c r="BA49" i="3"/>
  <c r="GS9" i="4" a="1"/>
  <c r="BA79" i="3"/>
  <c r="BV55" i="3"/>
  <c r="GU11" i="4" a="1"/>
  <c r="GN15" i="4" a="1"/>
  <c r="BA68" i="3"/>
  <c r="BM70" i="3"/>
  <c r="BI96" i="3"/>
  <c r="BL61" i="3"/>
  <c r="BV64" i="3"/>
  <c r="BS50" i="3"/>
  <c r="BV70" i="3"/>
  <c r="BF48" i="3"/>
  <c r="BF64" i="3"/>
  <c r="CL180" i="1" s="1"/>
  <c r="GC5" i="4" a="1"/>
  <c r="FQ12" i="4" a="1"/>
  <c r="HD5" i="4" a="1"/>
  <c r="BL63" i="3"/>
  <c r="BK74" i="3"/>
  <c r="BU68" i="3"/>
  <c r="BH56" i="3"/>
  <c r="BQ91" i="3"/>
  <c r="BO58" i="3"/>
  <c r="BR47" i="3"/>
  <c r="BP50" i="3"/>
  <c r="BC58" i="3"/>
  <c r="BB97" i="3"/>
  <c r="BI95" i="3"/>
  <c r="BL76" i="3"/>
  <c r="BQ92" i="3"/>
  <c r="BO95" i="3"/>
  <c r="BR73" i="3"/>
  <c r="BQ65" i="3"/>
  <c r="BM80" i="3"/>
  <c r="BP96" i="3"/>
  <c r="BH95" i="3"/>
  <c r="BI66" i="3"/>
  <c r="BN78" i="3"/>
  <c r="BU95" i="3"/>
  <c r="BT65" i="3"/>
  <c r="BP76" i="3"/>
  <c r="BA89" i="3"/>
  <c r="BG92" i="3"/>
  <c r="BS82" i="3"/>
  <c r="BN97" i="3"/>
  <c r="HA14" i="4" a="1"/>
  <c r="FL6" i="4" a="1"/>
  <c r="FN13" i="4" a="1"/>
  <c r="HH14" i="4" a="1"/>
  <c r="FM15" i="4" a="1"/>
  <c r="BC64" i="3"/>
  <c r="GA11" i="4" a="1"/>
  <c r="FU13" i="4" a="1"/>
  <c r="FR14" i="4" a="1"/>
  <c r="BM81" i="3"/>
  <c r="BU97" i="3"/>
  <c r="AA113" i="2"/>
  <c r="GW5" i="4" a="1"/>
  <c r="FI12" i="4" a="1"/>
  <c r="FW11" i="4" a="1"/>
  <c r="HB12" i="4" a="1"/>
  <c r="GU9" i="4" a="1"/>
  <c r="BC69" i="3"/>
  <c r="BC83" i="3"/>
  <c r="BO79" i="3"/>
  <c r="BN47" i="3"/>
  <c r="BF70" i="3"/>
  <c r="CL164" i="1" s="1"/>
  <c r="FZ11" i="4" a="1"/>
  <c r="GV6" i="4" a="1"/>
  <c r="GW15" i="4" a="1"/>
  <c r="BS71" i="3"/>
  <c r="BN56" i="3"/>
  <c r="BF56" i="3"/>
  <c r="CL148" i="1" s="1"/>
  <c r="FW6" i="4" a="1"/>
  <c r="FO7" i="4" a="1"/>
  <c r="GV9" i="4" a="1"/>
  <c r="FT14" i="4" a="1"/>
  <c r="HH13" i="4" a="1"/>
  <c r="FS16" i="4" a="1"/>
  <c r="BS80" i="3"/>
  <c r="BN66" i="3"/>
  <c r="BF50" i="3"/>
  <c r="CL105" i="1" s="1"/>
  <c r="FZ6" i="4" a="1"/>
  <c r="GD6" i="4" a="1"/>
  <c r="FH11" i="4" a="1"/>
  <c r="FM11" i="4" a="1"/>
  <c r="BF82" i="3"/>
  <c r="CL176" i="1" s="1"/>
  <c r="CL211" i="1" s="1"/>
  <c r="BT77" i="3"/>
  <c r="BE49" i="3"/>
  <c r="BK93" i="3"/>
  <c r="GV7" i="4" a="1"/>
  <c r="GZ12" i="4" a="1"/>
  <c r="GI11" i="4" a="1"/>
  <c r="GJ16" i="4" a="1"/>
  <c r="FM16" i="4" a="1"/>
  <c r="BC48" i="3"/>
  <c r="GZ13" i="4" a="1"/>
  <c r="BE86" i="3"/>
  <c r="BV89" i="3"/>
  <c r="BG48" i="3"/>
  <c r="BK94" i="3"/>
  <c r="GX8" i="4" a="1"/>
  <c r="GG7" i="4" a="1"/>
  <c r="GR13" i="4" a="1"/>
  <c r="FL16" i="4" a="1"/>
  <c r="GS15" i="4" a="1"/>
  <c r="FP14" i="4" a="1"/>
  <c r="FP16" i="4" a="1"/>
  <c r="BH83" i="3"/>
  <c r="BR67" i="3"/>
  <c r="GV14" i="4" a="1"/>
  <c r="BL69" i="3"/>
  <c r="BP95" i="3"/>
  <c r="FK7" i="4" a="1"/>
  <c r="FJ16" i="4" a="1"/>
  <c r="BA58" i="3"/>
  <c r="BB95" i="3"/>
  <c r="BB54" i="3"/>
  <c r="BE60" i="3"/>
  <c r="BV85" i="3"/>
  <c r="BU69" i="3"/>
  <c r="BT72" i="3"/>
  <c r="BO56" i="3"/>
  <c r="FN6" i="4" a="1"/>
  <c r="FU5" i="4" a="1"/>
  <c r="BP92" i="3"/>
  <c r="BC94" i="3"/>
  <c r="BB49" i="3"/>
  <c r="BI93" i="3"/>
  <c r="BL57" i="3"/>
  <c r="BQ94" i="3"/>
  <c r="BO92" i="3"/>
  <c r="BR97" i="3"/>
  <c r="BP67" i="3"/>
  <c r="BM66" i="3"/>
  <c r="BB47" i="3"/>
  <c r="BI78" i="3"/>
  <c r="BL89" i="3"/>
  <c r="BQ78" i="3"/>
  <c r="BS75" i="3"/>
  <c r="BV72" i="3"/>
  <c r="BH75" i="3"/>
  <c r="BM79" i="3"/>
  <c r="BH50" i="3"/>
  <c r="BF59" i="3"/>
  <c r="BO75" i="3"/>
  <c r="BR49" i="3"/>
  <c r="BT66" i="3"/>
  <c r="BA72" i="3"/>
  <c r="BG76" i="3"/>
  <c r="BQ49" i="3"/>
  <c r="BG57" i="3"/>
  <c r="BU89" i="3"/>
  <c r="AA111" i="2"/>
  <c r="GX7" i="4" a="1"/>
  <c r="GM11" i="4" a="1"/>
  <c r="FS11" i="4" a="1"/>
  <c r="GQ12" i="4" a="1"/>
  <c r="HH8" i="4" a="1"/>
  <c r="BC79" i="3"/>
  <c r="FZ12" i="4" a="1"/>
  <c r="GC15" i="4" a="1"/>
  <c r="GE16" i="4" a="1"/>
  <c r="BA76" i="3"/>
  <c r="BR82" i="3"/>
  <c r="BO78" i="3"/>
  <c r="BK81" i="3"/>
  <c r="FT8" i="4" a="1"/>
  <c r="GJ5" i="4" a="1"/>
  <c r="FW12" i="4" a="1"/>
  <c r="FS15" i="4" a="1"/>
  <c r="FG14" i="4" a="1"/>
  <c r="BM90" i="3"/>
  <c r="BS61" i="3"/>
  <c r="BP75" i="3"/>
  <c r="FT7" i="4" a="1"/>
  <c r="HA5" i="4" a="1"/>
  <c r="Z111" i="2"/>
  <c r="BU49" i="3"/>
  <c r="BP74" i="3"/>
  <c r="GH8" i="4" a="1"/>
  <c r="HC6" i="4" a="1"/>
  <c r="GK14" i="4" a="1"/>
  <c r="FN8" i="4" a="1"/>
  <c r="GD15" i="4" a="1"/>
  <c r="BB84" i="3"/>
  <c r="BU56" i="3"/>
  <c r="BP82" i="3"/>
  <c r="FY9" i="4" a="1"/>
  <c r="GW7" i="4" a="1"/>
  <c r="FG15" i="4" a="1"/>
  <c r="FK16" i="4" a="1"/>
  <c r="BR58" i="3"/>
  <c r="BT54" i="3"/>
  <c r="BI75" i="3"/>
  <c r="FJ7" i="4" a="1"/>
  <c r="FJ9" i="4" a="1"/>
  <c r="GY5" i="4" a="1"/>
  <c r="GF12" i="4" a="1"/>
  <c r="HE7" i="4" a="1"/>
  <c r="GK16" i="4" a="1"/>
  <c r="HC5" i="4" a="1"/>
  <c r="FQ11" i="4" a="1"/>
  <c r="BQ70" i="3"/>
  <c r="BT96" i="3"/>
  <c r="BE47" i="3"/>
  <c r="BK61" i="3"/>
  <c r="FQ8" i="4" a="1"/>
  <c r="FV13" i="4" a="1"/>
  <c r="GL11" i="4" a="1"/>
  <c r="GL16" i="4" a="1"/>
  <c r="FO16" i="4" a="1"/>
  <c r="Y113" i="2"/>
  <c r="FR7" i="4" a="1"/>
  <c r="GP16" i="4" a="1"/>
  <c r="BE87" i="3"/>
  <c r="BV92" i="3"/>
  <c r="BG62" i="3"/>
  <c r="BK56" i="3"/>
  <c r="GG5" i="4" a="1"/>
  <c r="FX8" i="4" a="1"/>
  <c r="GW13" i="4" a="1"/>
  <c r="FN16" i="4" a="1"/>
  <c r="GU15" i="4" a="1"/>
  <c r="BO80" i="3"/>
  <c r="BN55" i="3"/>
  <c r="BM55" i="3"/>
  <c r="GJ6" i="4" a="1"/>
  <c r="BI62" i="3"/>
  <c r="BV96" i="3"/>
  <c r="BG84" i="3"/>
  <c r="BK91" i="3"/>
  <c r="GL5" i="4" a="1"/>
  <c r="BL81" i="3"/>
  <c r="BE93" i="3"/>
  <c r="BF55" i="3"/>
  <c r="FX11" i="4" a="1"/>
  <c r="HF16" i="4" a="1"/>
  <c r="BA60" i="3"/>
  <c r="BB63" i="3"/>
  <c r="BA47" i="3"/>
  <c r="BE97" i="3"/>
  <c r="BT90" i="3"/>
  <c r="BU92" i="3"/>
  <c r="BT79" i="3"/>
  <c r="BS66" i="3"/>
  <c r="HH6" i="4" a="1"/>
  <c r="HB6" i="4" a="1"/>
  <c r="BK70" i="3"/>
  <c r="BM50" i="3"/>
  <c r="BB73" i="3"/>
  <c r="BI48" i="3"/>
  <c r="BL67" i="3"/>
  <c r="BQ75" i="3"/>
  <c r="BS90" i="3"/>
  <c r="BV95" i="3"/>
  <c r="BF79" i="3"/>
  <c r="CL174" i="1" s="1"/>
  <c r="BP94" i="3"/>
  <c r="BB60" i="3"/>
  <c r="BA64" i="3"/>
  <c r="BE94" i="3"/>
  <c r="BR89" i="3"/>
  <c r="BS92" i="3"/>
  <c r="BV74" i="3"/>
  <c r="BL88" i="3"/>
  <c r="Z113" i="2"/>
  <c r="BP62" i="3"/>
  <c r="BL83" i="3"/>
  <c r="BQ89" i="3"/>
  <c r="BO65" i="3"/>
  <c r="BR85" i="3"/>
  <c r="BN54" i="3"/>
  <c r="BA91" i="3"/>
  <c r="BG80" i="3"/>
  <c r="BH78" i="3"/>
  <c r="BB91" i="3"/>
  <c r="BR84" i="3"/>
  <c r="BO83" i="3"/>
  <c r="BK73" i="3"/>
  <c r="FL9" i="4" a="1"/>
  <c r="FZ5" i="4" a="1"/>
  <c r="FR12" i="4" a="1"/>
  <c r="FP15" i="4" a="1"/>
  <c r="HD13" i="4" a="1"/>
  <c r="FY13" i="4" a="1"/>
  <c r="HD15" i="4" a="1"/>
  <c r="BL60" i="3"/>
  <c r="BV90" i="3"/>
  <c r="BP55" i="3"/>
  <c r="BK60" i="3"/>
  <c r="HG13" i="4" a="1"/>
  <c r="GW8" i="4" a="1"/>
  <c r="FT13" i="4" a="1"/>
  <c r="HB15" i="4" a="1"/>
  <c r="GI15" i="4" a="1"/>
  <c r="BM97" i="3"/>
  <c r="BU65" i="3"/>
  <c r="Y112" i="2"/>
  <c r="FS6" i="4" a="1"/>
  <c r="GG12" i="4" a="1"/>
  <c r="BP97" i="3"/>
  <c r="BU84" i="3"/>
  <c r="Y111" i="2"/>
  <c r="GQ6" i="4" a="1"/>
  <c r="HH12" i="4" a="1"/>
  <c r="GE11" i="4" a="1"/>
  <c r="GF13" i="4" a="1"/>
  <c r="FY11" i="4" a="1"/>
  <c r="BP47" i="3"/>
  <c r="BU88" i="3"/>
  <c r="BO47" i="3"/>
  <c r="FS8" i="4" a="1"/>
  <c r="GD13" i="4" a="1"/>
  <c r="GK11" i="4" a="1"/>
  <c r="BO49" i="3"/>
  <c r="BN75" i="3"/>
  <c r="BM83" i="3"/>
  <c r="FG9" i="4" a="1"/>
  <c r="GS14" i="4" a="1"/>
  <c r="HF5" i="4" a="1"/>
  <c r="GE13" i="4" a="1"/>
  <c r="GQ9" i="4" a="1"/>
  <c r="GL8" i="4" a="1"/>
  <c r="FU8" i="4" a="1"/>
  <c r="GR15" i="4" a="1"/>
  <c r="BR63" i="3"/>
  <c r="BT60" i="3"/>
  <c r="BI79" i="3"/>
  <c r="GH7" i="4" a="1"/>
  <c r="GK9" i="4" a="1"/>
  <c r="FU6" i="4" a="1"/>
  <c r="GK12" i="4" a="1"/>
  <c r="GO11" i="4" a="1"/>
  <c r="GM16" i="4" a="1"/>
  <c r="BK58" i="3"/>
  <c r="FT9" i="4" a="1"/>
  <c r="FH13" i="4" a="1"/>
  <c r="BQ86" i="3"/>
  <c r="BT64" i="3"/>
  <c r="BE58" i="3"/>
  <c r="GT14" i="4" a="1"/>
  <c r="GC8" i="4" a="1"/>
  <c r="GT13" i="4" a="1"/>
  <c r="GQ11" i="4" a="1"/>
  <c r="GN16" i="4" a="1"/>
  <c r="FQ16" i="4" a="1"/>
  <c r="BB93" i="3"/>
  <c r="BS95" i="3"/>
  <c r="BN83" i="3"/>
  <c r="FX5" i="4" a="1"/>
  <c r="BQ67" i="3"/>
  <c r="BP70" i="3"/>
  <c r="BU87" i="3"/>
  <c r="BM75" i="3"/>
  <c r="HB7" i="4" a="1"/>
  <c r="FV8" i="4" a="1"/>
  <c r="BC72" i="3"/>
  <c r="BB67" i="3"/>
  <c r="BI81" i="3"/>
  <c r="BR88" i="3"/>
  <c r="BT48" i="3"/>
  <c r="BS58" i="3"/>
  <c r="HH9" i="4" a="1"/>
  <c r="GB9" i="4" a="1"/>
  <c r="BF87" i="3"/>
  <c r="CL183" i="1" s="1"/>
  <c r="BP66" i="3"/>
  <c r="BB72" i="3"/>
  <c r="BB86" i="3"/>
  <c r="BE66" i="3"/>
  <c r="BR70" i="3"/>
  <c r="BS93" i="3"/>
  <c r="BA87" i="3"/>
  <c r="BG61" i="3"/>
  <c r="BG60" i="3"/>
  <c r="BA97" i="3"/>
  <c r="BE76" i="3"/>
  <c r="BV59" i="3"/>
  <c r="BF91" i="3"/>
  <c r="CL185" i="1" s="1"/>
  <c r="BP60" i="3"/>
  <c r="BC50" i="3"/>
  <c r="BB62" i="3"/>
  <c r="BI64" i="3"/>
  <c r="BL78" i="3"/>
  <c r="BQ90" i="3"/>
  <c r="BS48" i="3"/>
  <c r="BR79" i="3"/>
  <c r="BN94" i="3"/>
  <c r="BQ59" i="3"/>
  <c r="BM95" i="3"/>
  <c r="BL90" i="3"/>
  <c r="BL55" i="3"/>
  <c r="BV91" i="3"/>
  <c r="BS49" i="3"/>
  <c r="BK66" i="3"/>
  <c r="GI13" i="4" a="1"/>
  <c r="GI8" i="4" a="1"/>
  <c r="FQ13" i="4" a="1"/>
  <c r="GZ15" i="4" a="1"/>
  <c r="GG15" i="4" a="1"/>
  <c r="FP9" i="4" a="1"/>
  <c r="GB16" i="4" a="1"/>
  <c r="BI76" i="3"/>
  <c r="BT71" i="3"/>
  <c r="BL95" i="3"/>
  <c r="BK63" i="3"/>
  <c r="FW7" i="4" a="1"/>
  <c r="GY7" i="4" a="1"/>
  <c r="FM8" i="4" a="1"/>
  <c r="FZ16" i="4" a="1"/>
  <c r="HG15" i="4" a="1"/>
  <c r="BA80" i="3"/>
  <c r="BR77" i="3"/>
  <c r="BO91" i="3"/>
  <c r="BK69" i="3"/>
  <c r="GR8" i="4" a="1"/>
  <c r="FM6" i="4" a="1"/>
  <c r="BA61" i="3"/>
  <c r="BO93" i="3"/>
  <c r="BK82" i="3"/>
  <c r="FM9" i="4" a="1"/>
  <c r="GK6" i="4" a="1"/>
  <c r="GE12" i="4" a="1"/>
  <c r="GF15" i="4" a="1"/>
  <c r="FW14" i="4" a="1"/>
  <c r="BR83" i="3"/>
  <c r="BS67" i="3"/>
  <c r="BK77" i="3"/>
  <c r="GP9" i="4" a="1"/>
  <c r="FG7" i="4" a="1"/>
  <c r="GM12" i="4" a="1"/>
  <c r="BC97" i="3"/>
  <c r="BS84" i="3"/>
  <c r="BN68" i="3"/>
  <c r="HE8" i="4" a="1"/>
  <c r="FH7" i="4" a="1"/>
  <c r="FT11" i="4" a="1"/>
  <c r="GB14" i="4" a="1"/>
  <c r="FV14" i="4" a="1"/>
  <c r="BC70" i="3"/>
  <c r="FM7" i="4" a="1"/>
  <c r="GJ11" i="4" a="1"/>
  <c r="BO55" i="3"/>
  <c r="BN64" i="3"/>
  <c r="BM63" i="3"/>
  <c r="GE9" i="4" a="1"/>
  <c r="FO15" i="4" a="1"/>
  <c r="GN5" i="4" a="1"/>
  <c r="GH13" i="4" a="1"/>
  <c r="HG9" i="4" a="1"/>
  <c r="GG9" i="4" a="1"/>
  <c r="FQ7" i="4" a="1"/>
  <c r="HC12" i="4" a="1"/>
  <c r="BG88" i="3"/>
  <c r="BR57" i="3"/>
  <c r="BF58" i="3"/>
  <c r="CL150" i="1" s="1"/>
  <c r="GO6" i="4" a="1"/>
  <c r="FX13" i="4" a="1"/>
  <c r="BM64" i="3"/>
  <c r="BG97" i="3"/>
  <c r="BQ73" i="3"/>
  <c r="BQ93" i="3"/>
  <c r="BO57" i="3"/>
  <c r="BR75" i="3"/>
  <c r="BN59" i="3"/>
  <c r="BH93" i="3"/>
  <c r="GQ13" i="4" a="1"/>
  <c r="FH8" i="4" a="1"/>
  <c r="BA73" i="3"/>
  <c r="BG87" i="3"/>
  <c r="BG56" i="3"/>
  <c r="BA83" i="3"/>
  <c r="BE50" i="3"/>
  <c r="BV71" i="3"/>
  <c r="BF95" i="3"/>
  <c r="CL195" i="1" s="1"/>
  <c r="BV69" i="3"/>
  <c r="BA93" i="3"/>
  <c r="BG81" i="3"/>
  <c r="BI82" i="3"/>
  <c r="BT69" i="3"/>
  <c r="BU80" i="3"/>
  <c r="BP61" i="3"/>
  <c r="BM82" i="3"/>
  <c r="BB68" i="3"/>
  <c r="BB76" i="3"/>
  <c r="BL48" i="3"/>
  <c r="BQ87" i="3"/>
  <c r="BS59" i="3"/>
  <c r="BV67" i="3"/>
  <c r="BN81" i="3"/>
  <c r="BH47" i="3"/>
  <c r="BM62" i="3"/>
  <c r="BC65" i="3"/>
  <c r="BI85" i="3"/>
  <c r="BV66" i="3"/>
  <c r="BL54" i="3"/>
  <c r="BK65" i="3"/>
  <c r="HA6" i="4" a="1"/>
  <c r="FN11" i="4" a="1"/>
  <c r="GT7" i="4" a="1"/>
  <c r="FX16" i="4" a="1"/>
  <c r="HE15" i="4" a="1"/>
  <c r="FU12" i="4" a="1"/>
  <c r="HB16" i="4" a="1"/>
  <c r="BQ95" i="3"/>
  <c r="BT83" i="3"/>
  <c r="GQ5" i="4" a="1"/>
  <c r="GM6" i="4" a="1"/>
  <c r="FW5" i="4" a="1"/>
  <c r="FP12" i="4" a="1"/>
  <c r="GZ16" i="4" a="1"/>
  <c r="GC16" i="4" a="1"/>
  <c r="GN9" i="4" a="1"/>
  <c r="BL62" i="3"/>
  <c r="BV88" i="3"/>
  <c r="BP63" i="3"/>
  <c r="BK87" i="3"/>
  <c r="GC14" i="4" a="1"/>
  <c r="GU5" i="4" a="1"/>
  <c r="BL91" i="3"/>
  <c r="BV84" i="3"/>
  <c r="BP65" i="3"/>
  <c r="BK62" i="3"/>
  <c r="HD14" i="4" a="1"/>
  <c r="GL7" i="4" a="1"/>
  <c r="GG13" i="4" a="1"/>
  <c r="HF15" i="4" a="1"/>
  <c r="GM15" i="4" a="1"/>
  <c r="BL75" i="3"/>
  <c r="BV82" i="3"/>
  <c r="BG82" i="3"/>
  <c r="BK57" i="3"/>
  <c r="FW15" i="4" a="1"/>
  <c r="FO9" i="4" a="1"/>
  <c r="GJ13" i="4" a="1"/>
  <c r="BU57" i="3"/>
  <c r="BP85" i="3"/>
  <c r="HA9" i="4" a="1"/>
  <c r="GF8" i="4" a="1"/>
  <c r="GV5" i="4" a="1"/>
  <c r="FQ9" i="4" a="1"/>
  <c r="GD12" i="4" a="1"/>
  <c r="GV8" i="4" a="1"/>
  <c r="BS85" i="3"/>
  <c r="BN69" i="3"/>
  <c r="GI9" i="4" a="1"/>
  <c r="GK7" i="4" a="1"/>
  <c r="GD11" i="4" a="1"/>
  <c r="GG14" i="4" a="1"/>
  <c r="GA14" i="4" a="1"/>
  <c r="FT12" i="4" a="1"/>
  <c r="BS97" i="3"/>
  <c r="BK47" i="3"/>
  <c r="FK9" i="4" a="1"/>
  <c r="BU66" i="3"/>
  <c r="BP71" i="3"/>
  <c r="BE55" i="3"/>
  <c r="BH48" i="3"/>
  <c r="BQ97" i="3"/>
  <c r="BO90" i="3"/>
  <c r="BR94" i="3"/>
  <c r="BN60" i="3"/>
  <c r="BK59" i="3"/>
  <c r="FV5" i="4" a="1"/>
  <c r="GO9" i="4" a="1"/>
  <c r="BA62" i="3"/>
  <c r="BG49" i="3"/>
  <c r="BE75" i="3"/>
  <c r="BT74" i="3"/>
  <c r="BU82" i="3"/>
  <c r="BT76" i="3"/>
  <c r="BQ77" i="3"/>
  <c r="BM72" i="3"/>
  <c r="BP93" i="3"/>
  <c r="BH65" i="3"/>
  <c r="BI59" i="3"/>
  <c r="BN88" i="3"/>
  <c r="BU94" i="3"/>
  <c r="BP72" i="3"/>
  <c r="BB64" i="3"/>
  <c r="BA54" i="3"/>
  <c r="BR65" i="3"/>
  <c r="BS91" i="3"/>
  <c r="BV78" i="3"/>
  <c r="BP79" i="3"/>
  <c r="BL86" i="3"/>
  <c r="BP87" i="3"/>
  <c r="BM56" i="3"/>
  <c r="BQ96" i="3"/>
  <c r="BT82" i="3"/>
  <c r="GB5" i="4" a="1"/>
  <c r="GB6" i="4" a="1"/>
  <c r="FK5" i="4" a="1"/>
  <c r="FH12" i="4" a="1"/>
  <c r="GX16" i="4" a="1"/>
  <c r="GA16" i="4" a="1"/>
  <c r="GA8" i="4" a="1"/>
  <c r="FR13" i="4" a="1"/>
  <c r="GJ7" i="4" a="1"/>
  <c r="GH15" i="4" a="1"/>
  <c r="BT75" i="3"/>
  <c r="BN89" i="3"/>
  <c r="BM54" i="3"/>
  <c r="GK8" i="4" a="1"/>
  <c r="GW12" i="4" a="1"/>
  <c r="FJ8" i="4" a="1"/>
  <c r="FO13" i="4" a="1"/>
  <c r="GP6" i="4" a="1"/>
  <c r="HA16" i="4" a="1"/>
  <c r="FJ5" i="4" a="1"/>
  <c r="BF65" i="3"/>
  <c r="CL181" i="1" s="1"/>
  <c r="BT68" i="3"/>
  <c r="BL85" i="3"/>
  <c r="BK71" i="3"/>
  <c r="GU7" i="4" a="1"/>
  <c r="FV9" i="4" a="1"/>
  <c r="BF78" i="3"/>
  <c r="CL173" i="1" s="1"/>
  <c r="BT63" i="3"/>
  <c r="BL73" i="3"/>
  <c r="BK79" i="3"/>
  <c r="GO5" i="4" a="1"/>
  <c r="HC11" i="4" a="1"/>
  <c r="GA9" i="4" a="1"/>
  <c r="GD16" i="4" a="1"/>
  <c r="HE16" i="4" a="1"/>
  <c r="BF49" i="3"/>
  <c r="CL104" i="1" s="1"/>
  <c r="BT58" i="3"/>
  <c r="BL50" i="3"/>
  <c r="BK89" i="3"/>
  <c r="FX7" i="4" a="1"/>
  <c r="FY12" i="4" a="1"/>
  <c r="GF9" i="4" a="1"/>
  <c r="BU64" i="3"/>
  <c r="BO48" i="3"/>
  <c r="GE8" i="4" a="1"/>
  <c r="HB13" i="4" a="1"/>
  <c r="GS11" i="4" a="1"/>
  <c r="FJ14" i="4" a="1"/>
  <c r="HH11" i="4" a="1"/>
  <c r="BC91" i="3"/>
  <c r="FS9" i="4" a="1"/>
  <c r="BB70" i="3"/>
  <c r="BU60" i="3"/>
  <c r="BF81" i="3"/>
  <c r="CL175" i="1" s="1"/>
  <c r="FO5" i="4" a="1"/>
  <c r="HD8" i="4" a="1"/>
  <c r="FN9" i="4" a="1"/>
  <c r="GL9" i="4" a="1"/>
  <c r="GC13" i="4" a="1"/>
  <c r="BC77" i="3"/>
  <c r="GM8" i="4" a="1"/>
  <c r="GS12" i="4" a="1"/>
  <c r="BC59" i="3"/>
  <c r="BS65" i="3"/>
  <c r="BN73" i="3"/>
  <c r="GX11" i="4" a="1"/>
  <c r="HD7" i="4" a="1"/>
  <c r="FS7" i="4" a="1"/>
  <c r="GJ14" i="4" a="1"/>
  <c r="GL14" i="4" a="1"/>
  <c r="BC95" i="3"/>
  <c r="BH73" i="3"/>
  <c r="BV62" i="3"/>
  <c r="BS79" i="3"/>
  <c r="BK95" i="3"/>
  <c r="GO14" i="4" a="1"/>
  <c r="BS78" i="3"/>
  <c r="BG93" i="3"/>
  <c r="BS56" i="3"/>
  <c r="FS5" i="4" a="1"/>
  <c r="FG13" i="4" a="1"/>
  <c r="BK78" i="3"/>
  <c r="BG50" i="3"/>
  <c r="BP86" i="3"/>
  <c r="BL68" i="3"/>
  <c r="BQ69" i="3"/>
  <c r="BS68" i="3"/>
  <c r="BV57" i="3"/>
  <c r="BN63" i="3"/>
  <c r="BI71" i="3"/>
  <c r="BK90" i="3"/>
  <c r="HA7" i="4" a="1"/>
  <c r="HE5" i="4" a="1"/>
  <c r="BA75" i="3"/>
  <c r="BM78" i="3"/>
  <c r="BP91" i="3"/>
  <c r="BQ88" i="3"/>
  <c r="BI55" i="3"/>
  <c r="BT73" i="3"/>
  <c r="BU93" i="3"/>
  <c r="BT81" i="3"/>
  <c r="BH87" i="3"/>
  <c r="BM67" i="3"/>
  <c r="BH85" i="3"/>
  <c r="BF61" i="3"/>
  <c r="BO71" i="3"/>
  <c r="BR48" i="3"/>
  <c r="BA56" i="3"/>
  <c r="BG69" i="3"/>
  <c r="BG73" i="3"/>
  <c r="BA86" i="3"/>
  <c r="BE68" i="3"/>
  <c r="BV75" i="3"/>
  <c r="BF97" i="3"/>
  <c r="BV73" i="3"/>
  <c r="BV48" i="3"/>
  <c r="BC82" i="3"/>
  <c r="BP78" i="3"/>
  <c r="BT94" i="3"/>
  <c r="BN79" i="3"/>
  <c r="BI50" i="3"/>
  <c r="FY8" i="4" a="1"/>
  <c r="GB12" i="4" a="1"/>
  <c r="GN7" i="4" a="1"/>
  <c r="FJ13" i="4" a="1"/>
  <c r="FV15" i="4" a="1"/>
  <c r="GY16" i="4" a="1"/>
  <c r="GC9" i="4" a="1"/>
  <c r="FQ14" i="4" a="1"/>
  <c r="GS13" i="4" a="1"/>
  <c r="BA65" i="3"/>
  <c r="BO77" i="3"/>
  <c r="BN96" i="3"/>
  <c r="BF72" i="3"/>
  <c r="CL166" i="1" s="1"/>
  <c r="FR11" i="4" a="1"/>
  <c r="FP6" i="4" a="1"/>
  <c r="HG8" i="4" a="1"/>
  <c r="FL14" i="4" a="1"/>
  <c r="FM13" i="4" a="1"/>
  <c r="BC55" i="3"/>
  <c r="GA15" i="4" a="1"/>
  <c r="BU75" i="3"/>
  <c r="BT85" i="3"/>
  <c r="BE77" i="3"/>
  <c r="HG5" i="4" a="1"/>
  <c r="GB7" i="4" a="1"/>
  <c r="GO15" i="4" a="1"/>
  <c r="BR92" i="3"/>
  <c r="BT86" i="3"/>
  <c r="BE81" i="3"/>
  <c r="FX6" i="4" a="1"/>
  <c r="FP8" i="4" a="1"/>
  <c r="FR5" i="4" a="1"/>
  <c r="FX12" i="4" a="1"/>
  <c r="HD16" i="4" a="1"/>
  <c r="BR93" i="3"/>
  <c r="BT87" i="3"/>
  <c r="BI56" i="3"/>
  <c r="GN6" i="4" a="1"/>
  <c r="GN8" i="4" a="1"/>
  <c r="GD5" i="4" a="1"/>
  <c r="GC12" i="4" a="1"/>
  <c r="BR87" i="3"/>
  <c r="BS70" i="3"/>
  <c r="BK55" i="3"/>
  <c r="HB9" i="4" a="1"/>
  <c r="GZ5" i="4" a="1"/>
  <c r="GP12" i="4" a="1"/>
  <c r="GJ15" i="4" a="1"/>
  <c r="GM14" i="4" a="1"/>
  <c r="HE9" i="4" a="1"/>
  <c r="BR78" i="3"/>
  <c r="BO69" i="3"/>
  <c r="GQ8" i="4" a="1"/>
  <c r="FX14" i="4" a="1"/>
  <c r="GV11" i="4" a="1"/>
  <c r="FO14" i="4" a="1"/>
  <c r="GA12" i="4" a="1"/>
  <c r="BC68" i="3"/>
  <c r="FJ11" i="4" a="1"/>
  <c r="GP13" i="4" a="1"/>
  <c r="BB66" i="3"/>
  <c r="BU62" i="3"/>
  <c r="BF67" i="3"/>
  <c r="GH5" i="4" a="1"/>
  <c r="FZ9" i="4" a="1"/>
  <c r="GW9" i="4" a="1"/>
  <c r="HC9" i="4" a="1"/>
  <c r="HE13" i="4" a="1"/>
  <c r="BC61" i="3"/>
  <c r="BE57" i="3"/>
  <c r="BV94" i="3"/>
  <c r="BG47" i="3"/>
  <c r="FK15" i="4" a="1"/>
  <c r="BB75" i="3"/>
  <c r="BV76" i="3"/>
  <c r="GX6" i="4" a="1"/>
  <c r="HC13" i="4" a="1"/>
  <c r="BL84" i="3"/>
  <c r="BG91" i="3"/>
  <c r="BI89" i="3"/>
  <c r="BL94" i="3"/>
  <c r="BR62" i="3"/>
  <c r="BS96" i="3"/>
  <c r="BV58" i="3"/>
  <c r="BP90" i="3"/>
  <c r="BM47" i="3"/>
  <c r="BK96" i="3"/>
  <c r="GR7" i="4" a="1"/>
  <c r="HG7" i="4" a="1"/>
  <c r="BP81" i="3"/>
  <c r="BM86" i="3"/>
  <c r="BH49" i="3"/>
  <c r="BF76" i="3"/>
  <c r="BO68" i="3"/>
  <c r="BR86" i="3"/>
  <c r="BT95" i="3"/>
  <c r="BL72" i="3"/>
  <c r="BK72" i="3"/>
  <c r="BU79" i="3"/>
  <c r="BL77" i="3"/>
  <c r="BQ68" i="3"/>
  <c r="BO62" i="3"/>
  <c r="BR95" i="3"/>
  <c r="BA95" i="3"/>
  <c r="BG75" i="3"/>
  <c r="BE96" i="3"/>
  <c r="BI68" i="3"/>
  <c r="BT61" i="3"/>
  <c r="BU73" i="3"/>
  <c r="BT88" i="3"/>
  <c r="BP77" i="3"/>
  <c r="BM60" i="3"/>
  <c r="BA90" i="3"/>
  <c r="BG71" i="3"/>
  <c r="BO70" i="3"/>
  <c r="BN71" i="3"/>
  <c r="BF96" i="3"/>
  <c r="CL194" i="1" s="1"/>
  <c r="FR9" i="4" a="1"/>
  <c r="GT5" i="4" a="1"/>
  <c r="GJ8" i="4" a="1"/>
  <c r="FI14" i="4" a="1"/>
  <c r="GT12" i="4" a="1"/>
  <c r="FS14" i="4" a="1"/>
  <c r="FM14" i="4" a="1"/>
  <c r="FY7" i="4" a="1"/>
  <c r="FI11" i="4" a="1"/>
  <c r="BM74" i="3"/>
  <c r="BS64" i="3"/>
  <c r="BP54" i="3"/>
  <c r="FR15" i="4" a="1"/>
  <c r="FW9" i="4" a="1"/>
  <c r="GL13" i="4" a="1"/>
  <c r="FO6" i="4" a="1"/>
  <c r="FX15" i="4" a="1"/>
  <c r="BC84" i="3"/>
  <c r="HC16" i="4" a="1"/>
  <c r="BT80" i="3"/>
  <c r="BN80" i="3"/>
  <c r="BM85" i="3"/>
  <c r="GU8" i="4" a="1"/>
  <c r="FS13" i="4" a="1"/>
  <c r="BC93" i="3"/>
  <c r="BN92" i="3"/>
  <c r="BN50" i="3"/>
  <c r="BM87" i="3"/>
  <c r="GM5" i="4" a="1"/>
  <c r="GY13" i="4" a="1"/>
  <c r="GO8" i="4" a="1"/>
  <c r="FW13" i="4" a="1"/>
  <c r="HB8" i="4" a="1"/>
  <c r="HH15" i="4" a="1"/>
  <c r="BN65" i="3"/>
  <c r="BN93" i="3"/>
  <c r="BM58" i="3"/>
  <c r="GQ7" i="4" a="1"/>
  <c r="FU14" i="4" a="1"/>
  <c r="HA8" i="4" a="1"/>
  <c r="FZ13" i="4" a="1"/>
  <c r="BE83" i="3"/>
  <c r="BV86" i="3"/>
  <c r="BG68" i="3"/>
  <c r="BK92" i="3"/>
  <c r="GO7" i="4" a="1"/>
  <c r="FJ6" i="4" a="1"/>
  <c r="GO13" i="4" a="1"/>
  <c r="FH16" i="4" a="1"/>
  <c r="GQ15" i="4" a="1"/>
  <c r="HD11" i="4" a="1"/>
  <c r="BQ47" i="3"/>
  <c r="BR68" i="3"/>
  <c r="BS74" i="3"/>
  <c r="BK88" i="3"/>
  <c r="FL11" i="4" a="1"/>
  <c r="FV6" i="4" a="1"/>
  <c r="GU12" i="4" a="1"/>
  <c r="GL15" i="4" a="1"/>
  <c r="GX14" i="4" a="1"/>
  <c r="FI9" i="4" a="1"/>
  <c r="GP14" i="4" a="1"/>
  <c r="BP58" i="3"/>
  <c r="BR76" i="3"/>
  <c r="BO73" i="3"/>
  <c r="GT11" i="4" a="1"/>
  <c r="BI77" i="3"/>
  <c r="FI5" i="4" a="1"/>
  <c r="GM13" i="4" a="1"/>
  <c r="GY9" i="4" a="1"/>
  <c r="BR55" i="3"/>
  <c r="BV65" i="3"/>
  <c r="BN85" i="3"/>
  <c r="FY6" i="4" a="1"/>
  <c r="GF7" i="4" a="1"/>
  <c r="HF12" i="4" a="1"/>
  <c r="GT15" i="4" a="1"/>
  <c r="FQ15" i="4" a="1"/>
  <c r="FH9" i="4" a="1"/>
  <c r="FL15" i="4" a="1"/>
  <c r="HH16" i="4" a="1"/>
  <c r="BS47" i="3"/>
  <c r="BN87" i="3"/>
  <c r="FH14" i="4" a="1"/>
  <c r="GS8" i="4" a="1"/>
  <c r="FL12" i="4" a="1"/>
  <c r="GZ14" i="4" a="1"/>
  <c r="HG14" i="4" a="1"/>
  <c r="FV12" i="4" a="1"/>
  <c r="BC63" i="3"/>
  <c r="GH14" i="4" a="1"/>
  <c r="BQ81" i="3"/>
  <c r="BT56" i="3"/>
  <c r="BE67" i="3"/>
  <c r="FP5" i="4" a="1"/>
  <c r="FQ6" i="4" a="1"/>
  <c r="BN74" i="3"/>
  <c r="GR12" i="4" a="1"/>
  <c r="BH89" i="3"/>
  <c r="HG12" i="4" a="1"/>
  <c r="BM89" i="3"/>
  <c r="GZ7" i="4" a="1"/>
  <c r="FZ14" i="4" a="1"/>
  <c r="BC76" i="3"/>
  <c r="BT70" i="3"/>
  <c r="GY6" i="4" a="1"/>
  <c r="BO88" i="3"/>
  <c r="BF73" i="3"/>
  <c r="GD7" i="4" a="1"/>
  <c r="FU9" i="4" a="1"/>
  <c r="HE6" i="4" a="1"/>
  <c r="FR16" i="4" a="1"/>
  <c r="GY15" i="4" a="1"/>
  <c r="GD9" i="4" a="1"/>
  <c r="FV16" i="4" a="1"/>
  <c r="FG16" i="4" a="1"/>
  <c r="FK14" i="4" a="1"/>
  <c r="BG74" i="3"/>
  <c r="BU96" i="3"/>
  <c r="BF75" i="3"/>
  <c r="HD6" i="4" a="1"/>
  <c r="GU6" i="4" a="1"/>
  <c r="FK11" i="4" a="1"/>
  <c r="FK12" i="4" a="1"/>
  <c r="FY15" i="4" a="1"/>
  <c r="GF5" i="4" a="1"/>
  <c r="GX15" i="4" a="1"/>
  <c r="BC90" i="3"/>
  <c r="BT50" i="3"/>
  <c r="BN77" i="3"/>
  <c r="BI61" i="3"/>
  <c r="FO8" i="4" a="1"/>
  <c r="FW8" i="4" a="1"/>
  <c r="GQ16" i="4" a="1"/>
  <c r="BK67" i="3"/>
  <c r="GT6" i="4" a="1"/>
  <c r="GP15" i="4" a="1"/>
  <c r="BN57" i="3"/>
  <c r="HB5" i="4" a="1"/>
  <c r="BU83" i="3"/>
  <c r="BO61" i="3"/>
  <c r="BK48" i="3"/>
  <c r="GY8" i="4" a="1"/>
  <c r="GN14" i="4" a="1"/>
  <c r="GY11" i="4" a="1"/>
  <c r="GR16" i="4" a="1"/>
  <c r="FU16" i="4" a="1"/>
  <c r="Z112" i="2"/>
  <c r="FK8" i="4" a="1"/>
  <c r="GV16" i="4" a="1"/>
  <c r="GW11" i="4" a="1"/>
  <c r="BI80" i="3"/>
  <c r="BR72" i="3"/>
  <c r="BO86" i="3"/>
  <c r="GG6" i="4" a="1"/>
  <c r="GE5" i="4" a="1"/>
  <c r="FJ12" i="4" a="1"/>
  <c r="HF14" i="4" a="1"/>
  <c r="FU15" i="4" a="1"/>
  <c r="GP5" i="4" a="1"/>
  <c r="GY14" i="4" a="1"/>
  <c r="GQ14" i="4" a="1"/>
  <c r="BO67" i="3"/>
  <c r="BF57" i="3"/>
  <c r="CL149" i="1" s="1"/>
  <c r="GZ8" i="4" a="1"/>
  <c r="GF6" i="4" a="1"/>
  <c r="BV56" i="3"/>
  <c r="GL6" i="4" a="1"/>
  <c r="GS6" i="4" a="1"/>
  <c r="FS12" i="4" a="1"/>
  <c r="BB48" i="3"/>
  <c r="BF77" i="3"/>
  <c r="CL171" i="1" s="1"/>
  <c r="FY5" i="4" a="1"/>
  <c r="BR74" i="3"/>
  <c r="BS81" i="3"/>
  <c r="GE15" i="4" a="1"/>
  <c r="FV11" i="4" a="1"/>
  <c r="HH5" i="4" a="1"/>
  <c r="GV12" i="4" a="1"/>
  <c r="FN14" i="4" a="1"/>
  <c r="GS16" i="4" a="1"/>
  <c r="GK13" i="4" a="1"/>
  <c r="FO11" i="4" a="1"/>
  <c r="FI15" i="4" a="1"/>
  <c r="FI16" i="4" a="1"/>
  <c r="GI16" i="4" a="1"/>
  <c r="BH88" i="3"/>
  <c r="BV93" i="3"/>
  <c r="BS87" i="3"/>
  <c r="BK85" i="3"/>
  <c r="GO12" i="4" a="1"/>
  <c r="FG8" i="4" a="1"/>
  <c r="FI13" i="4" a="1"/>
  <c r="GV15" i="4" a="1"/>
  <c r="HA15" i="4" a="1"/>
  <c r="FN5" i="4" a="1"/>
  <c r="GI12" i="4" a="1"/>
  <c r="GK15" i="4" a="1"/>
  <c r="BC92" i="3"/>
  <c r="BS86" i="3"/>
  <c r="BN91" i="3"/>
  <c r="GF14" i="4" a="1"/>
  <c r="FO12" i="4" a="1"/>
  <c r="BC54" i="3"/>
  <c r="BV87" i="3"/>
  <c r="BO76" i="3"/>
  <c r="GH6" i="4" a="1"/>
  <c r="GW6" i="4" a="1"/>
  <c r="FU11" i="4" a="1"/>
  <c r="BP49" i="3"/>
  <c r="BO60" i="3"/>
  <c r="GT9" i="4" a="1"/>
  <c r="BV50" i="3"/>
  <c r="BE65" i="3"/>
  <c r="FU7" i="4" a="1"/>
  <c r="GI5" i="4" a="1"/>
  <c r="GM9" i="4" a="1"/>
  <c r="GU13" i="4" a="1"/>
  <c r="HE11" i="4" a="1"/>
  <c r="GZ11" i="4" a="1"/>
  <c r="BC73" i="3"/>
  <c r="FL13" i="4" a="1"/>
  <c r="HC15" i="4" a="1"/>
  <c r="BC96" i="3"/>
  <c r="HG16" i="4" a="1"/>
  <c r="BI70" i="3"/>
  <c r="BV97" i="3"/>
  <c r="BH91" i="3"/>
  <c r="BK54" i="3"/>
  <c r="FH6" i="4" a="1"/>
  <c r="GR9" i="4" a="1"/>
  <c r="FN7" i="4" a="1"/>
  <c r="FT16" i="4" a="1"/>
  <c r="FW16" i="4" a="1"/>
  <c r="HD9" i="4" a="1"/>
  <c r="HF6" i="4" a="1"/>
  <c r="BC74" i="3"/>
  <c r="BG95" i="3"/>
  <c r="BU85" i="3"/>
  <c r="AA112" i="2"/>
  <c r="GE7" i="4" a="1"/>
  <c r="GF16" i="4" a="1"/>
  <c r="FN15" i="4" a="1"/>
  <c r="BT97" i="3"/>
  <c r="HC8" i="4" a="1"/>
  <c r="HA11" i="4" a="1"/>
  <c r="GL12" i="4" a="1"/>
  <c r="BQ72" i="3"/>
  <c r="BE91" i="3"/>
  <c r="BB83" i="3"/>
  <c r="BT57" i="3"/>
  <c r="BI87" i="3"/>
  <c r="HH7" i="4" a="1"/>
  <c r="GG8" i="4" a="1"/>
  <c r="GP11" i="4" a="1"/>
  <c r="GR14" i="4" a="1"/>
  <c r="HB14" i="4" a="1"/>
  <c r="BC75" i="3"/>
  <c r="BC89" i="3"/>
  <c r="HG11" i="4" a="1"/>
  <c r="GW16" i="4" a="1"/>
  <c r="BC87" i="3"/>
  <c r="BQ64" i="3"/>
  <c r="BT47" i="3"/>
  <c r="BE59" i="3"/>
  <c r="FL5" i="4" a="1"/>
  <c r="GX5" i="4" a="1"/>
  <c r="FJ15" i="4" a="1"/>
  <c r="HB11" i="4" a="1"/>
  <c r="GT16" i="4" a="1"/>
  <c r="GU16" i="4" a="1"/>
  <c r="FP7" i="4" a="1"/>
  <c r="GV13" i="4" a="1"/>
  <c r="GG16" i="4" a="1"/>
  <c r="BB81" i="3"/>
  <c r="BR66" i="3"/>
  <c r="BO64" i="3"/>
  <c r="GA7" i="4" a="1"/>
  <c r="GT8" i="4" a="1"/>
  <c r="GB8" i="4" a="1"/>
  <c r="FL7" i="4" a="1"/>
  <c r="GX13" i="4" a="1"/>
  <c r="FN12" i="4" a="1"/>
  <c r="BC80" i="3"/>
  <c r="HD12" i="4" a="1"/>
  <c r="BI47" i="3"/>
  <c r="BN61" i="3"/>
  <c r="GB11" i="4" a="1"/>
  <c r="GX12" i="4" a="1"/>
  <c r="HC14" i="4" a="1"/>
  <c r="BV77" i="3"/>
  <c r="BI60" i="3"/>
  <c r="BI72" i="3"/>
  <c r="BN86" i="3"/>
  <c r="BF68" i="3"/>
  <c r="CL165" i="1" s="1"/>
  <c r="GJ12" i="4" a="1"/>
  <c r="HF9" i="4" a="1"/>
  <c r="FG11" i="4" a="1"/>
  <c r="GR11" i="4" a="1"/>
  <c r="FH15" i="4" a="1"/>
  <c r="BC66" i="3"/>
  <c r="HF13" i="4" a="1"/>
  <c r="GN13" i="4" a="1"/>
  <c r="GI14" i="4" a="1"/>
  <c r="BV81" i="3"/>
  <c r="BN82" i="3"/>
  <c r="BI91" i="3"/>
  <c r="GS7" i="4" a="1"/>
  <c r="GH11" i="4" a="1"/>
  <c r="GA6" i="4" a="1"/>
  <c r="HA12" i="4" a="1"/>
  <c r="GD14" i="4" a="1"/>
  <c r="GY12" i="4" a="1"/>
  <c r="GI7" i="4" a="1"/>
  <c r="GB15" i="4" a="1"/>
  <c r="HA13" i="4" a="1"/>
  <c r="BL58" i="3"/>
  <c r="BV68" i="3"/>
  <c r="BS89" i="3"/>
  <c r="BK80" i="3"/>
  <c r="FK13" i="4" a="1"/>
  <c r="BC88" i="3"/>
  <c r="BS76" i="3"/>
  <c r="GZ9" i="4" a="1"/>
  <c r="GN12" i="4" a="1"/>
  <c r="GO16" i="4" a="1"/>
  <c r="BU86" i="3"/>
  <c r="BH94" i="3"/>
  <c r="BN90" i="3"/>
  <c r="GC6" i="4" a="1"/>
  <c r="FQ5" i="4" a="1"/>
  <c r="FG12" i="4" a="1"/>
  <c r="GU14" i="4" a="1"/>
  <c r="FP13" i="4" a="1"/>
  <c r="BC62" i="3"/>
  <c r="HF11" i="4" a="1"/>
  <c r="HE14" i="4" a="1"/>
  <c r="BC86" i="3"/>
  <c r="FY14" i="4" a="1"/>
  <c r="GC11" i="4" a="1"/>
  <c r="BO89" i="3"/>
  <c r="BN62" i="3"/>
  <c r="BF62" i="3"/>
  <c r="CL155" i="1" s="1"/>
  <c r="FT5" i="4" a="1"/>
  <c r="FY16" i="4" a="1"/>
  <c r="BK49" i="3"/>
  <c r="AC66" i="1"/>
  <c r="T5" i="6" a="1"/>
  <c r="AJ5" i="6" a="1"/>
  <c r="AY25" i="3"/>
  <c r="J6" i="6" a="1"/>
  <c r="AT31" i="3"/>
  <c r="AZ31" i="3"/>
  <c r="AI5" i="6" a="1"/>
  <c r="AX45" i="3"/>
  <c r="AX27" i="3"/>
  <c r="ER12" i="4" a="1"/>
  <c r="EV9" i="4" a="1"/>
  <c r="EL7" i="4" a="1"/>
  <c r="AF13" i="3"/>
  <c r="EL16" i="4" a="1"/>
  <c r="AZ39" i="3"/>
  <c r="AY6" i="3"/>
  <c r="AT30" i="3"/>
  <c r="AR5" i="3"/>
  <c r="AF17" i="3"/>
  <c r="AY11" i="3"/>
  <c r="EQ16" i="4" a="1"/>
  <c r="EL11" i="4" a="1"/>
  <c r="AS7" i="3"/>
  <c r="AZ10" i="3"/>
  <c r="AY28" i="3"/>
  <c r="EW14" i="4" a="1"/>
  <c r="AY45" i="3"/>
  <c r="AO5" i="6" a="1"/>
  <c r="AV28" i="3"/>
  <c r="AP5" i="6" a="1"/>
  <c r="AS15" i="3"/>
  <c r="AW35" i="3"/>
  <c r="AF9" i="3"/>
  <c r="AX33" i="3"/>
  <c r="AT5" i="3"/>
  <c r="AT46" i="3"/>
  <c r="AZ6" i="3"/>
  <c r="AX16" i="3"/>
  <c r="AU21" i="3"/>
  <c r="AS26" i="3"/>
  <c r="AW32" i="3"/>
  <c r="ER8" i="4" a="1"/>
  <c r="EL8" i="4" a="1"/>
  <c r="AZ22" i="3"/>
  <c r="AW15" i="3"/>
  <c r="ET15" i="4" a="1"/>
  <c r="ET7" i="4" a="1"/>
  <c r="AS17" i="3"/>
  <c r="N6" i="6" a="1"/>
  <c r="AV9" i="3"/>
  <c r="AV19" i="3"/>
  <c r="EW16" i="4" a="1"/>
  <c r="M6" i="6" a="1"/>
  <c r="EL6" i="4" a="1"/>
  <c r="AF33" i="3"/>
  <c r="AY30" i="3"/>
  <c r="AW30" i="3"/>
  <c r="AZ7" i="3"/>
  <c r="AF34" i="3"/>
  <c r="AV27" i="3"/>
  <c r="EO9" i="4" a="1"/>
  <c r="EN12" i="4" a="1"/>
  <c r="ET6" i="4" a="1"/>
  <c r="AY5" i="6" a="1"/>
  <c r="AZ46" i="3"/>
  <c r="EU9" i="4" a="1"/>
  <c r="O6" i="6" a="1"/>
  <c r="AU17" i="3"/>
  <c r="AS9" i="3"/>
  <c r="AN5" i="6" a="1"/>
  <c r="AU45" i="3"/>
  <c r="EQ11" i="4" a="1"/>
  <c r="Y5" i="6" a="1"/>
  <c r="EW6" i="4" a="1"/>
  <c r="AU42" i="3"/>
  <c r="AV40" i="3"/>
  <c r="AU5" i="3"/>
  <c r="AU12" i="3"/>
  <c r="AE6" i="6" a="1"/>
  <c r="AX30" i="3"/>
  <c r="AT27" i="3"/>
  <c r="AS25" i="3"/>
  <c r="AF39" i="3"/>
  <c r="EM7" i="4" a="1"/>
  <c r="EL14" i="4" a="1"/>
  <c r="AF14" i="3"/>
  <c r="EM15" i="4" a="1"/>
  <c r="EW13" i="4" a="1"/>
  <c r="AS24" i="3"/>
  <c r="AW17" i="3"/>
  <c r="AX39" i="3"/>
  <c r="AZ32" i="3"/>
  <c r="EQ12" i="4" a="1"/>
  <c r="AF36" i="3"/>
  <c r="EO14" i="4" a="1"/>
  <c r="EP7" i="4" a="1"/>
  <c r="AF32" i="3"/>
  <c r="AV33" i="3"/>
  <c r="AW38" i="3"/>
  <c r="ES7" i="4" a="1"/>
  <c r="AT22" i="3"/>
  <c r="S5" i="6" a="1"/>
  <c r="AF12" i="3"/>
  <c r="AP6" i="3"/>
  <c r="P6" i="6" a="1"/>
  <c r="AZ35" i="3"/>
  <c r="AY36" i="3"/>
  <c r="N5" i="6" a="1"/>
  <c r="AR7" i="3"/>
  <c r="AW22" i="3"/>
  <c r="AU18" i="3"/>
  <c r="AT21" i="3"/>
  <c r="AS37" i="3"/>
  <c r="AF7" i="3"/>
  <c r="AC5" i="6" a="1"/>
  <c r="ER5" i="4" a="1"/>
  <c r="ER15" i="4" a="1"/>
  <c r="AF45" i="3"/>
  <c r="EO12" i="4" a="1"/>
  <c r="AY16" i="3"/>
  <c r="AV5" i="6" a="1"/>
  <c r="AT40" i="3"/>
  <c r="AF18" i="3"/>
  <c r="AS33" i="3"/>
  <c r="AL6" i="6" a="1"/>
  <c r="C6" i="4" a="1"/>
  <c r="AX34" i="3"/>
  <c r="EP11" i="4" a="1"/>
  <c r="X6" i="6" a="1"/>
  <c r="AT39" i="3"/>
  <c r="AF40" i="3"/>
  <c r="AT5" i="6" a="1"/>
  <c r="AS22" i="3"/>
  <c r="AV13" i="3"/>
  <c r="EO7" i="4" a="1"/>
  <c r="AF38" i="3"/>
  <c r="EO15" i="4" a="1"/>
  <c r="AZ15" i="3"/>
  <c r="EQ8" i="4" a="1"/>
  <c r="ES6" i="4" a="1"/>
  <c r="AI6" i="6" a="1"/>
  <c r="AZ42" i="3"/>
  <c r="AW31" i="3"/>
  <c r="AV35" i="3"/>
  <c r="EQ6" i="4" a="1"/>
  <c r="AS28" i="3"/>
  <c r="EL13" i="4" a="1"/>
  <c r="ES15" i="4" a="1"/>
  <c r="EL15" i="4" a="1"/>
  <c r="AV42" i="3"/>
  <c r="AS23" i="3"/>
  <c r="AX13" i="3"/>
  <c r="AS32" i="3"/>
  <c r="AT19" i="3"/>
  <c r="AQ5" i="6" a="1"/>
  <c r="AL5" i="6" a="1"/>
  <c r="AZ5" i="3"/>
  <c r="AW12" i="3"/>
  <c r="AZ41" i="3"/>
  <c r="AV26" i="3"/>
  <c r="C5" i="3"/>
  <c r="AS6" i="6" a="1"/>
  <c r="AW6" i="3"/>
  <c r="AV29" i="3"/>
  <c r="AY13" i="3"/>
  <c r="AV23" i="3"/>
  <c r="AZ19" i="3"/>
  <c r="ES8" i="4" a="1"/>
  <c r="EV16" i="4" a="1"/>
  <c r="EQ9" i="4" a="1"/>
  <c r="EP9" i="4" a="1"/>
  <c r="AS29" i="3"/>
  <c r="I6" i="6" a="1"/>
  <c r="Z5" i="6" a="1"/>
  <c r="AF46" i="3"/>
  <c r="AZ27" i="3"/>
  <c r="ER16" i="4" a="1"/>
  <c r="W5" i="6" a="1"/>
  <c r="EQ14" i="4" a="1"/>
  <c r="AV37" i="3"/>
  <c r="AF41" i="3"/>
  <c r="AZ20" i="3"/>
  <c r="AH5" i="6" a="1"/>
  <c r="AW25" i="3"/>
  <c r="AV6" i="3"/>
  <c r="AY22" i="3"/>
  <c r="AW14" i="3"/>
  <c r="ET5" i="4" a="1"/>
  <c r="AT37" i="3"/>
  <c r="AV14" i="3"/>
  <c r="AT45" i="3"/>
  <c r="AZ28" i="3"/>
  <c r="AW41" i="3"/>
  <c r="AU11" i="3"/>
  <c r="AF35" i="3"/>
  <c r="V5" i="6" a="1"/>
  <c r="AN6" i="6" a="1"/>
  <c r="AV17" i="3"/>
  <c r="AV6" i="6" a="1"/>
  <c r="EL9" i="4" a="1"/>
  <c r="EW7" i="4" a="1"/>
  <c r="AV11" i="3"/>
  <c r="EU7" i="4" a="1"/>
  <c r="AZ38" i="3"/>
  <c r="AS35" i="3"/>
  <c r="AV39" i="3"/>
  <c r="AS40" i="3"/>
  <c r="AU14" i="3"/>
  <c r="AX37" i="3"/>
  <c r="EU11" i="4" a="1"/>
  <c r="AF24" i="3"/>
  <c r="ER7" i="4" a="1"/>
  <c r="AZ29" i="3"/>
  <c r="AW37" i="3"/>
  <c r="AU22" i="3"/>
  <c r="K5" i="6" a="1"/>
  <c r="AS13" i="3"/>
  <c r="AV12" i="3"/>
  <c r="EN16" i="4" a="1"/>
  <c r="AX18" i="3"/>
  <c r="ES9" i="4" a="1"/>
  <c r="AW29" i="3"/>
  <c r="AT6" i="3"/>
  <c r="EM16" i="4" a="1"/>
  <c r="C5" i="6" a="1"/>
  <c r="AV46" i="3"/>
  <c r="EO8" i="4" a="1"/>
  <c r="EW9" i="4" a="1"/>
  <c r="AZ34" i="3"/>
  <c r="ER13" i="4" a="1"/>
  <c r="AX11" i="3"/>
  <c r="AW5" i="6" a="1"/>
  <c r="AU27" i="3"/>
  <c r="AW28" i="3"/>
  <c r="AQ6" i="6" a="1"/>
  <c r="AZ40" i="3"/>
  <c r="AV38" i="3"/>
  <c r="F45" i="3"/>
  <c r="AY35" i="3"/>
  <c r="AY8" i="3"/>
  <c r="AU37" i="3"/>
  <c r="EW5" i="4" a="1"/>
  <c r="E6" i="6" a="1"/>
  <c r="C5" i="4" a="1"/>
  <c r="EP14" i="4" a="1"/>
  <c r="AV8" i="3"/>
  <c r="AF29" i="3"/>
  <c r="AF5" i="3"/>
  <c r="AZ9" i="3"/>
  <c r="AZ26" i="3"/>
  <c r="EP12" i="4" a="1"/>
  <c r="S6" i="6" a="1"/>
  <c r="AW36" i="3"/>
  <c r="AS46" i="3"/>
  <c r="AU36" i="3"/>
  <c r="AU13" i="3"/>
  <c r="AT16" i="3"/>
  <c r="ET16" i="4" a="1"/>
  <c r="H6" i="6" a="1"/>
  <c r="AF20" i="3"/>
  <c r="AW33" i="3"/>
  <c r="AX15" i="3"/>
  <c r="AX7" i="3"/>
  <c r="AS36" i="3"/>
  <c r="AS39" i="3"/>
  <c r="AY32" i="3"/>
  <c r="AB5" i="3"/>
  <c r="AF8" i="3"/>
  <c r="AZ18" i="3"/>
  <c r="AR6" i="3"/>
  <c r="AW34" i="3"/>
  <c r="AF6" i="3"/>
  <c r="AS10" i="3"/>
  <c r="EM12" i="4" a="1"/>
  <c r="EV14" i="4" a="1"/>
  <c r="AT17" i="3"/>
  <c r="ER6" i="4" a="1"/>
  <c r="AS5" i="3"/>
  <c r="AX29" i="3"/>
  <c r="AT14" i="3"/>
  <c r="AS38" i="3"/>
  <c r="AD5" i="6" a="1"/>
  <c r="AW24" i="3"/>
  <c r="EN13" i="4" a="1"/>
  <c r="AF37" i="3"/>
  <c r="ES12" i="4" a="1"/>
  <c r="AU33" i="3"/>
  <c r="AW39" i="3"/>
  <c r="AX5" i="3"/>
  <c r="AZ37" i="3"/>
  <c r="AU40" i="3"/>
  <c r="AP7" i="3"/>
  <c r="EV7" i="4" a="1"/>
  <c r="AF15" i="3"/>
  <c r="AB6" i="6" a="1"/>
  <c r="AS11" i="3"/>
  <c r="AS42" i="3"/>
  <c r="AS14" i="3"/>
  <c r="I5" i="6" a="1"/>
  <c r="AR6" i="6" a="1"/>
  <c r="AV7" i="3"/>
  <c r="AS16" i="3"/>
  <c r="EQ7" i="4" a="1"/>
  <c r="AY15" i="3"/>
  <c r="ES13" i="4" a="1"/>
  <c r="AW8" i="3"/>
  <c r="AS21" i="3"/>
  <c r="AM6" i="6" a="1"/>
  <c r="AF11" i="3"/>
  <c r="AU26" i="3"/>
  <c r="AS5" i="6" a="1"/>
  <c r="AU7" i="3"/>
  <c r="AT10" i="3"/>
  <c r="AU10" i="3"/>
  <c r="AU16" i="3"/>
  <c r="AZ11" i="3"/>
  <c r="EO5" i="4" a="1"/>
  <c r="AV25" i="3"/>
  <c r="AW46" i="3"/>
  <c r="AZ23" i="3"/>
  <c r="AZ33" i="3"/>
  <c r="EV15" i="4" a="1"/>
  <c r="ET14" i="4" a="1"/>
  <c r="AF28" i="3"/>
  <c r="EO11" i="4" a="1"/>
  <c r="V6" i="6" a="1"/>
  <c r="O5" i="6" a="1"/>
  <c r="AS18" i="3"/>
  <c r="AY12" i="3"/>
  <c r="AO6" i="6" a="1"/>
  <c r="AF23" i="3"/>
  <c r="EM11" i="4" a="1"/>
  <c r="EP5" i="4" a="1"/>
  <c r="AV16" i="3"/>
  <c r="AU5" i="6" a="1"/>
  <c r="Q5" i="6" a="1"/>
  <c r="AU29" i="3"/>
  <c r="EQ5" i="4" a="1"/>
  <c r="EV6" i="4" a="1"/>
  <c r="AW5" i="3"/>
  <c r="AX19" i="3"/>
  <c r="AY34" i="3"/>
  <c r="AV21" i="3"/>
  <c r="AT25" i="3"/>
  <c r="U6" i="6" a="1"/>
  <c r="K6" i="6" a="1"/>
  <c r="AX28" i="3"/>
  <c r="AX10" i="3"/>
  <c r="AT41" i="3"/>
  <c r="AU9" i="3"/>
  <c r="AS20" i="3"/>
  <c r="AV5" i="3"/>
  <c r="AS30" i="3"/>
  <c r="AT36" i="3"/>
  <c r="EN11" i="4" a="1"/>
  <c r="EW11" i="4" a="1"/>
  <c r="AX32" i="3"/>
  <c r="AX46" i="3"/>
  <c r="EL5" i="4" a="1"/>
  <c r="AK5" i="6" a="1"/>
  <c r="AX25" i="3"/>
  <c r="AW42" i="3"/>
  <c r="AW18" i="3"/>
  <c r="EP6" i="4" a="1"/>
  <c r="EL12" i="4" a="1"/>
  <c r="AU31" i="3"/>
  <c r="AX21" i="3"/>
  <c r="AY23" i="3"/>
  <c r="AC6" i="6" a="1"/>
  <c r="AF10" i="3"/>
  <c r="AX6" i="3"/>
  <c r="AU19" i="3"/>
  <c r="AZ24" i="3"/>
  <c r="F5" i="6" a="1"/>
  <c r="AW45" i="3"/>
  <c r="AW13" i="3"/>
  <c r="AV20" i="3"/>
  <c r="D6" i="6" a="1"/>
  <c r="EO16" i="4" a="1"/>
  <c r="ET9" i="4" a="1"/>
  <c r="AV15" i="3"/>
  <c r="ET13" i="4" a="1"/>
  <c r="U5" i="6" a="1"/>
  <c r="AU41" i="3"/>
  <c r="AF6" i="6" a="1"/>
  <c r="AY21" i="3"/>
  <c r="AT32" i="3"/>
  <c r="AU30" i="3"/>
  <c r="ES16" i="4" a="1"/>
  <c r="EO13" i="4" a="1"/>
  <c r="AT11" i="3"/>
  <c r="AA5" i="6" a="1"/>
  <c r="AP6" i="6" a="1"/>
  <c r="AT23" i="3"/>
  <c r="EV5" i="4" a="1"/>
  <c r="AW11" i="3"/>
  <c r="AU38" i="3"/>
  <c r="AZ30" i="3"/>
  <c r="AT9" i="3"/>
  <c r="R5" i="6" a="1"/>
  <c r="AF21" i="3"/>
  <c r="AS19" i="3"/>
  <c r="AT20" i="3"/>
  <c r="AW27" i="3"/>
  <c r="AF22" i="3"/>
  <c r="AT15" i="3"/>
  <c r="AZ36" i="3"/>
  <c r="AX40" i="3"/>
  <c r="AZ45" i="3"/>
  <c r="AY38" i="3"/>
  <c r="EP13" i="4" a="1"/>
  <c r="EV8" i="4" a="1"/>
  <c r="AT8" i="3"/>
  <c r="AV18" i="3"/>
  <c r="AY37" i="3"/>
  <c r="AV36" i="3"/>
  <c r="AX36" i="3"/>
  <c r="AY5" i="3"/>
  <c r="F6" i="6" a="1"/>
  <c r="AT12" i="3"/>
  <c r="M5" i="6" a="1"/>
  <c r="EU13" i="4" a="1"/>
  <c r="AT26" i="3"/>
  <c r="EV11" i="4" a="1"/>
  <c r="EN8" i="4" a="1"/>
  <c r="AY7" i="3"/>
  <c r="AX35" i="3"/>
  <c r="AS41" i="3"/>
  <c r="AD6" i="6" a="1"/>
  <c r="AF5" i="6" a="1"/>
  <c r="EM8" i="4" a="1"/>
  <c r="AS31" i="3"/>
  <c r="AX26" i="3"/>
  <c r="AX5" i="6" a="1"/>
  <c r="EU16" i="4" a="1"/>
  <c r="AU25" i="3"/>
  <c r="AS45" i="3"/>
  <c r="AX23" i="3"/>
  <c r="AV34" i="3"/>
  <c r="EN5" i="4" a="1"/>
  <c r="AZ17" i="3"/>
  <c r="AY42" i="3"/>
  <c r="AT34" i="3"/>
  <c r="AS27" i="3"/>
  <c r="R6" i="6" a="1"/>
  <c r="AU15" i="3"/>
  <c r="AW23" i="3"/>
  <c r="AX9" i="3"/>
  <c r="AF25" i="3"/>
  <c r="AX38" i="3"/>
  <c r="AU6" i="6" a="1"/>
  <c r="AV45" i="3"/>
  <c r="AF31" i="3"/>
  <c r="ET11" i="4" a="1"/>
  <c r="EM13" i="4" a="1"/>
  <c r="EU15" i="4" a="1"/>
  <c r="AX8" i="3"/>
  <c r="EQ13" i="4" a="1"/>
  <c r="AT38" i="3"/>
  <c r="AX24" i="3"/>
  <c r="AF27" i="3"/>
  <c r="L5" i="6" a="1"/>
  <c r="X5" i="6" a="1"/>
  <c r="ET8" i="4" a="1"/>
  <c r="AV32" i="3"/>
  <c r="AW9" i="3"/>
  <c r="AW16" i="3"/>
  <c r="AY27" i="3"/>
  <c r="AY19" i="3"/>
  <c r="Y6" i="6" a="1"/>
  <c r="AY46" i="3"/>
  <c r="H5" i="6" a="1"/>
  <c r="AP5" i="3"/>
  <c r="AV22" i="3"/>
  <c r="AW6" i="6" a="1"/>
  <c r="AY33" i="3"/>
  <c r="AV41" i="3"/>
  <c r="AY6" i="6" a="1"/>
  <c r="AG5" i="6" a="1"/>
  <c r="AU24" i="3"/>
  <c r="AX12" i="3"/>
  <c r="AG6" i="6" a="1"/>
  <c r="AY31" i="3"/>
  <c r="AJ6" i="6" a="1"/>
  <c r="AV31" i="3"/>
  <c r="EW15" i="4" a="1"/>
  <c r="ER9" i="4" a="1"/>
  <c r="AU28" i="3"/>
  <c r="F46" i="3"/>
  <c r="EN7" i="4" a="1"/>
  <c r="EU8" i="4" a="1"/>
  <c r="AZ14" i="3"/>
  <c r="C6" i="6" a="1"/>
  <c r="AY9" i="3"/>
  <c r="AX14" i="3"/>
  <c r="AR5" i="6" a="1"/>
  <c r="AX41" i="3"/>
  <c r="AT33" i="3"/>
  <c r="EO6" i="4" a="1"/>
  <c r="AU34" i="3"/>
  <c r="AF30" i="3"/>
  <c r="AT29" i="3"/>
  <c r="AW10" i="3"/>
  <c r="AB5" i="6" a="1"/>
  <c r="EU14" i="4" a="1"/>
  <c r="EN9" i="4" a="1"/>
  <c r="AY39" i="3"/>
  <c r="AW40" i="3"/>
  <c r="EM6" i="4" a="1"/>
  <c r="EU12" i="4" a="1"/>
  <c r="AY40" i="3"/>
  <c r="Z6" i="6" a="1"/>
  <c r="AZ8" i="3"/>
  <c r="J5" i="6" a="1"/>
  <c r="EW8" i="4" a="1"/>
  <c r="AU20" i="3"/>
  <c r="EM5" i="4" a="1"/>
  <c r="ES11" i="4" a="1"/>
  <c r="AU32" i="3"/>
  <c r="EN6" i="4" a="1"/>
  <c r="EV13" i="4" a="1"/>
  <c r="G6" i="6" a="1"/>
  <c r="EU6" i="4" a="1"/>
  <c r="AT7" i="3"/>
  <c r="AU8" i="3"/>
  <c r="AF26" i="3"/>
  <c r="AU6" i="3"/>
  <c r="AT18" i="3"/>
  <c r="AY10" i="3"/>
  <c r="AT42" i="3"/>
  <c r="AF42" i="3"/>
  <c r="AX20" i="3"/>
  <c r="EP15" i="4" a="1"/>
  <c r="AW20" i="3"/>
  <c r="AA6" i="6" a="1"/>
  <c r="EQ15" i="4" a="1"/>
  <c r="AS8" i="3"/>
  <c r="EM14" i="4" a="1"/>
  <c r="E5" i="6" a="1"/>
  <c r="AW26" i="3"/>
  <c r="AH6" i="6" a="1"/>
  <c r="AU35" i="3"/>
  <c r="AY26" i="3"/>
  <c r="ER11" i="4" a="1"/>
  <c r="AZ25" i="3"/>
  <c r="EU5" i="4" a="1"/>
  <c r="G5" i="6" a="1"/>
  <c r="AT28" i="3"/>
  <c r="AT13" i="3"/>
  <c r="EP8" i="4" a="1"/>
  <c r="D5" i="6" a="1"/>
  <c r="EN14" i="4" a="1"/>
  <c r="EP16" i="4" a="1"/>
  <c r="EW12" i="4" a="1"/>
  <c r="AF19" i="3"/>
  <c r="AU23" i="3"/>
  <c r="AS12" i="3"/>
  <c r="AU39" i="3"/>
  <c r="AX42" i="3"/>
  <c r="ER14" i="4" a="1"/>
  <c r="Q6" i="6" a="1"/>
  <c r="ES14" i="4" a="1"/>
  <c r="AZ13" i="3"/>
  <c r="AS34" i="3"/>
  <c r="AU46" i="3"/>
  <c r="AX6" i="6" a="1"/>
  <c r="AX17" i="3"/>
  <c r="AK6" i="6" a="1"/>
  <c r="AX22" i="3"/>
  <c r="EN15" i="4" a="1"/>
  <c r="AX31" i="3"/>
  <c r="AZ21" i="3"/>
  <c r="AY18" i="3"/>
  <c r="AW19" i="3"/>
  <c r="AZ16" i="3"/>
  <c r="ET12" i="4" a="1"/>
  <c r="AY17" i="3"/>
  <c r="AY20" i="3"/>
  <c r="T6" i="6" a="1"/>
  <c r="AY14" i="3"/>
  <c r="L6" i="6" a="1"/>
  <c r="AF16" i="3"/>
  <c r="AZ12" i="3"/>
  <c r="AW7" i="3"/>
  <c r="AV30" i="3"/>
  <c r="ES5" i="4" a="1"/>
  <c r="W6" i="6" a="1"/>
  <c r="AE5" i="6" a="1"/>
  <c r="AM5" i="6" a="1"/>
  <c r="AS6" i="3"/>
  <c r="AV24" i="3"/>
  <c r="AT24" i="3"/>
  <c r="EM9" i="4" a="1"/>
  <c r="AY41" i="3"/>
  <c r="P5" i="6" a="1"/>
  <c r="AY24" i="3"/>
  <c r="AT35" i="3"/>
  <c r="AT6" i="6" a="1"/>
  <c r="EV12" i="4" a="1"/>
  <c r="AW21" i="3"/>
  <c r="BR69" i="3" l="1"/>
  <c r="BA57" i="3"/>
  <c r="BE90" i="3"/>
  <c r="BC78" i="3"/>
  <c r="BE73" i="3"/>
  <c r="BB58" i="3"/>
  <c r="BC81" i="3"/>
  <c r="BC67" i="3"/>
  <c r="BB89" i="3"/>
  <c r="BE89" i="3"/>
  <c r="BE64" i="3"/>
  <c r="BE63" i="3"/>
  <c r="BE69" i="3"/>
  <c r="CL169" i="1"/>
  <c r="CL159" i="1"/>
  <c r="CL179" i="1"/>
  <c r="BE95" i="3"/>
  <c r="BO97" i="3"/>
  <c r="BD88" i="3"/>
  <c r="CJ158" i="1" s="1"/>
  <c r="CK158" i="1" s="1"/>
  <c r="CM158" i="1" s="1"/>
  <c r="CN158" i="1" s="1"/>
  <c r="CO158" i="1" s="1"/>
  <c r="CP158" i="1" s="1"/>
  <c r="CQ158" i="1" s="1"/>
  <c r="CR158" i="1" s="1"/>
  <c r="CS158" i="1" s="1"/>
  <c r="CT158" i="1" s="1"/>
  <c r="CU158" i="1" s="1"/>
  <c r="CV158" i="1" s="1"/>
  <c r="CW158" i="1" s="1"/>
  <c r="CX158" i="1" s="1"/>
  <c r="CY158" i="1" s="1"/>
  <c r="CZ158" i="1" s="1"/>
  <c r="DA158" i="1" s="1"/>
  <c r="DB158" i="1" s="1"/>
  <c r="BS54" i="3"/>
  <c r="BD92" i="3"/>
  <c r="CJ186" i="1" s="1"/>
  <c r="BO85" i="3"/>
  <c r="BV49" i="3"/>
  <c r="BO84" i="3"/>
  <c r="BN67" i="3"/>
  <c r="BJ60" i="3"/>
  <c r="BO66" i="3"/>
  <c r="BV61" i="3"/>
  <c r="BJ86" i="3"/>
  <c r="BJ95" i="3"/>
  <c r="BD94" i="3"/>
  <c r="BD62" i="3"/>
  <c r="CJ155" i="1" s="1"/>
  <c r="BJ94" i="3"/>
  <c r="BD75" i="3"/>
  <c r="BD70" i="3"/>
  <c r="CJ164" i="1" s="1"/>
  <c r="CK164" i="1" s="1"/>
  <c r="JX8" i="4" s="1"/>
  <c r="JY14" i="4" s="1"/>
  <c r="KH8" i="4" s="1"/>
  <c r="BJ79" i="3"/>
  <c r="BD54" i="3"/>
  <c r="BJ88" i="3"/>
  <c r="BJ82" i="3"/>
  <c r="BJ96" i="3"/>
  <c r="BJ56" i="3"/>
  <c r="BJ72" i="3"/>
  <c r="BJ57" i="3"/>
  <c r="BD79" i="3"/>
  <c r="CJ174" i="1" s="1"/>
  <c r="JR16" i="4" s="1"/>
  <c r="BJ47" i="3"/>
  <c r="BD76" i="3"/>
  <c r="BJ64" i="3"/>
  <c r="BD84" i="3"/>
  <c r="CJ177" i="1" s="1"/>
  <c r="BJ78" i="3"/>
  <c r="BJ80" i="3"/>
  <c r="BJ93" i="3"/>
  <c r="BD66" i="3"/>
  <c r="CJ182" i="1" s="1"/>
  <c r="KD15" i="4" s="1"/>
  <c r="KB16" i="4" s="1"/>
  <c r="BJ89" i="3"/>
  <c r="BD48" i="3"/>
  <c r="BD72" i="3"/>
  <c r="CJ166" i="1" s="1"/>
  <c r="CK166" i="1" s="1"/>
  <c r="CM166" i="1" s="1"/>
  <c r="CN166" i="1" s="1"/>
  <c r="CO166" i="1" s="1"/>
  <c r="CP166" i="1" s="1"/>
  <c r="CQ166" i="1" s="1"/>
  <c r="CR166" i="1" s="1"/>
  <c r="CS166" i="1" s="1"/>
  <c r="CT166" i="1" s="1"/>
  <c r="CU166" i="1" s="1"/>
  <c r="CV166" i="1" s="1"/>
  <c r="CW166" i="1" s="1"/>
  <c r="CX166" i="1" s="1"/>
  <c r="CY166" i="1" s="1"/>
  <c r="CZ166" i="1" s="1"/>
  <c r="DA166" i="1" s="1"/>
  <c r="DB166" i="1" s="1"/>
  <c r="JT15" i="4" s="1"/>
  <c r="JR9" i="4" s="1"/>
  <c r="BD58" i="3"/>
  <c r="CJ150" i="1" s="1"/>
  <c r="BJ61" i="3"/>
  <c r="BJ63" i="3"/>
  <c r="BJ65" i="3"/>
  <c r="BD96" i="3"/>
  <c r="CJ194" i="1" s="1"/>
  <c r="BD57" i="3"/>
  <c r="CJ149" i="1" s="1"/>
  <c r="CK149" i="1" s="1"/>
  <c r="CM149" i="1" s="1"/>
  <c r="CN149" i="1" s="1"/>
  <c r="CO149" i="1" s="1"/>
  <c r="CP149" i="1" s="1"/>
  <c r="CQ149" i="1" s="1"/>
  <c r="CR149" i="1" s="1"/>
  <c r="CS149" i="1" s="1"/>
  <c r="CT149" i="1" s="1"/>
  <c r="CU149" i="1" s="1"/>
  <c r="CV149" i="1" s="1"/>
  <c r="CW149" i="1" s="1"/>
  <c r="CX149" i="1" s="1"/>
  <c r="CY149" i="1" s="1"/>
  <c r="CZ149" i="1" s="1"/>
  <c r="DA149" i="1" s="1"/>
  <c r="DB149" i="1" s="1"/>
  <c r="BD67" i="3"/>
  <c r="BD95" i="3"/>
  <c r="CJ195" i="1" s="1"/>
  <c r="CK195" i="1" s="1"/>
  <c r="CM195" i="1" s="1"/>
  <c r="CN195" i="1" s="1"/>
  <c r="CO195" i="1" s="1"/>
  <c r="CP195" i="1" s="1"/>
  <c r="CQ195" i="1" s="1"/>
  <c r="CR195" i="1" s="1"/>
  <c r="CS195" i="1" s="1"/>
  <c r="CT195" i="1" s="1"/>
  <c r="CU195" i="1" s="1"/>
  <c r="CV195" i="1" s="1"/>
  <c r="CW195" i="1" s="1"/>
  <c r="CX195" i="1" s="1"/>
  <c r="CY195" i="1" s="1"/>
  <c r="CZ195" i="1" s="1"/>
  <c r="DA195" i="1" s="1"/>
  <c r="DB195" i="1" s="1"/>
  <c r="BJ49" i="3"/>
  <c r="BJ81" i="3"/>
  <c r="BD61" i="3"/>
  <c r="BD81" i="3"/>
  <c r="CJ175" i="1" s="1"/>
  <c r="BJ97" i="3"/>
  <c r="BD56" i="3"/>
  <c r="CJ148" i="1" s="1"/>
  <c r="KD8" i="4" s="1"/>
  <c r="JS9" i="4" s="1"/>
  <c r="KF16" i="4" s="1"/>
  <c r="BJ74" i="3"/>
  <c r="BD86" i="3"/>
  <c r="BJ90" i="3"/>
  <c r="BD89" i="3"/>
  <c r="CJ184" i="1" s="1"/>
  <c r="BJ67" i="3"/>
  <c r="BJ87" i="3"/>
  <c r="BJ58" i="3"/>
  <c r="BD83" i="3"/>
  <c r="CJ191" i="1" s="1"/>
  <c r="BJ59" i="3"/>
  <c r="BD60" i="3"/>
  <c r="CJ153" i="1" s="1"/>
  <c r="CK153" i="1" s="1"/>
  <c r="CM153" i="1" s="1"/>
  <c r="CN153" i="1" s="1"/>
  <c r="CO153" i="1" s="1"/>
  <c r="CP153" i="1" s="1"/>
  <c r="CQ153" i="1" s="1"/>
  <c r="CR153" i="1" s="1"/>
  <c r="CS153" i="1" s="1"/>
  <c r="CT153" i="1" s="1"/>
  <c r="CU153" i="1" s="1"/>
  <c r="CV153" i="1" s="1"/>
  <c r="CW153" i="1" s="1"/>
  <c r="CX153" i="1" s="1"/>
  <c r="CY153" i="1" s="1"/>
  <c r="CZ153" i="1" s="1"/>
  <c r="DA153" i="1" s="1"/>
  <c r="DB153" i="1" s="1"/>
  <c r="KE16" i="4" s="1"/>
  <c r="BD73" i="3"/>
  <c r="BD87" i="3"/>
  <c r="CJ183" i="1" s="1"/>
  <c r="KF9" i="4" s="1"/>
  <c r="BD55" i="3"/>
  <c r="BJ69" i="3"/>
  <c r="BJ91" i="3"/>
  <c r="BD78" i="3"/>
  <c r="CJ173" i="1" s="1"/>
  <c r="KG9" i="4" s="1"/>
  <c r="BD85" i="3"/>
  <c r="CJ178" i="1" s="1"/>
  <c r="BJ76" i="3"/>
  <c r="BD71" i="3"/>
  <c r="BD59" i="3"/>
  <c r="BJ71" i="3"/>
  <c r="BJ73" i="3"/>
  <c r="BJ48" i="3"/>
  <c r="BD65" i="3"/>
  <c r="CJ181" i="1" s="1"/>
  <c r="KE9" i="4" s="1"/>
  <c r="JQ9" i="4" s="1"/>
  <c r="JT9" i="4" s="1"/>
  <c r="BD68" i="3"/>
  <c r="CJ165" i="1" s="1"/>
  <c r="BD77" i="3"/>
  <c r="CJ171" i="1" s="1"/>
  <c r="KH16" i="4" s="1"/>
  <c r="BJ68" i="3"/>
  <c r="BD64" i="3"/>
  <c r="CJ180" i="1" s="1"/>
  <c r="BJ75" i="3"/>
  <c r="BD80" i="3"/>
  <c r="CJ190" i="1" s="1"/>
  <c r="JT16" i="4" s="1"/>
  <c r="JU9" i="4" s="1"/>
  <c r="JU21" i="4" s="1"/>
  <c r="BJ55" i="3"/>
  <c r="BD47" i="3"/>
  <c r="BD97" i="3"/>
  <c r="BD90" i="3"/>
  <c r="CJ157" i="1" s="1"/>
  <c r="CK157" i="1" s="1"/>
  <c r="CM157" i="1" s="1"/>
  <c r="CN157" i="1" s="1"/>
  <c r="CO157" i="1" s="1"/>
  <c r="CP157" i="1" s="1"/>
  <c r="CQ157" i="1" s="1"/>
  <c r="CR157" i="1" s="1"/>
  <c r="CS157" i="1" s="1"/>
  <c r="CT157" i="1" s="1"/>
  <c r="CU157" i="1" s="1"/>
  <c r="CV157" i="1" s="1"/>
  <c r="CW157" i="1" s="1"/>
  <c r="CX157" i="1" s="1"/>
  <c r="CY157" i="1" s="1"/>
  <c r="CZ157" i="1" s="1"/>
  <c r="DA157" i="1" s="1"/>
  <c r="DB157" i="1" s="1"/>
  <c r="KD16" i="4" s="1"/>
  <c r="BJ83" i="3"/>
  <c r="BD91" i="3"/>
  <c r="CJ185" i="1" s="1"/>
  <c r="BD50" i="3"/>
  <c r="CJ105" i="1" s="1"/>
  <c r="KA16" i="4" s="1"/>
  <c r="KA21" i="4" s="1"/>
  <c r="JZ7" i="4" s="1"/>
  <c r="BJ50" i="3"/>
  <c r="BJ70" i="3"/>
  <c r="BJ62" i="3"/>
  <c r="BD74" i="3"/>
  <c r="CJ168" i="1" s="1"/>
  <c r="CK168" i="1" s="1"/>
  <c r="CM168" i="1" s="1"/>
  <c r="CN168" i="1" s="1"/>
  <c r="CO168" i="1" s="1"/>
  <c r="CP168" i="1" s="1"/>
  <c r="CQ168" i="1" s="1"/>
  <c r="CR168" i="1" s="1"/>
  <c r="CS168" i="1" s="1"/>
  <c r="CT168" i="1" s="1"/>
  <c r="CU168" i="1" s="1"/>
  <c r="CV168" i="1" s="1"/>
  <c r="CW168" i="1" s="1"/>
  <c r="CX168" i="1" s="1"/>
  <c r="CY168" i="1" s="1"/>
  <c r="CZ168" i="1" s="1"/>
  <c r="DA168" i="1" s="1"/>
  <c r="DB168" i="1" s="1"/>
  <c r="BJ85" i="3"/>
  <c r="BD69" i="3"/>
  <c r="BD63" i="3"/>
  <c r="CJ156" i="1" s="1"/>
  <c r="CK156" i="1" s="1"/>
  <c r="CM156" i="1" s="1"/>
  <c r="CN156" i="1" s="1"/>
  <c r="CO156" i="1" s="1"/>
  <c r="BJ54" i="3"/>
  <c r="BJ66" i="3"/>
  <c r="BJ84" i="3"/>
  <c r="BJ77" i="3"/>
  <c r="Z104" i="1"/>
  <c r="KA9" i="4" s="1"/>
  <c r="JQ16" i="4" s="1"/>
  <c r="KC16" i="4" s="1"/>
  <c r="Y104" i="1"/>
  <c r="JU16" i="4" s="1"/>
  <c r="JX9" i="4" s="1"/>
  <c r="CK105" i="1"/>
  <c r="JY9" i="4" s="1"/>
  <c r="CI105" i="1"/>
  <c r="KH9" i="4" s="1"/>
  <c r="X104" i="1"/>
  <c r="Y105" i="1"/>
  <c r="X105" i="1"/>
  <c r="JS16" i="4" s="1"/>
  <c r="CH104" i="1"/>
  <c r="CK104" i="1"/>
  <c r="KD9" i="4" s="1"/>
  <c r="Z105" i="1"/>
  <c r="KC9" i="4" s="1"/>
  <c r="CG104" i="1"/>
  <c r="KH7" i="4" s="1"/>
  <c r="CG105" i="1"/>
  <c r="JV9" i="4" s="1"/>
  <c r="CI104" i="1"/>
  <c r="JZ9" i="4" s="1"/>
  <c r="CH105" i="1"/>
  <c r="KG7" i="4" s="1"/>
  <c r="JW15" i="4" s="1"/>
  <c r="CJ104" i="1"/>
  <c r="CJ176" i="1"/>
  <c r="X51" i="1"/>
  <c r="CG78" i="1"/>
  <c r="CH53" i="1"/>
  <c r="Z167" i="1"/>
  <c r="CH167" i="1" s="1"/>
  <c r="CI167" i="1" s="1"/>
  <c r="Y195" i="1"/>
  <c r="Z155" i="1"/>
  <c r="Y54" i="1"/>
  <c r="X190" i="1"/>
  <c r="Z180" i="1"/>
  <c r="CI53" i="1"/>
  <c r="Z98" i="1"/>
  <c r="JP9" i="4" s="1"/>
  <c r="Y176" i="1"/>
  <c r="CK40" i="1"/>
  <c r="CG55" i="1"/>
  <c r="Y156" i="1"/>
  <c r="CG45" i="1"/>
  <c r="CI55" i="1"/>
  <c r="CJ56" i="1"/>
  <c r="Y203" i="1"/>
  <c r="CK54" i="1"/>
  <c r="Z190" i="1"/>
  <c r="X46" i="1"/>
  <c r="Z82" i="1"/>
  <c r="CI76" i="1"/>
  <c r="Y184" i="1"/>
  <c r="X108" i="1"/>
  <c r="Y153" i="1"/>
  <c r="CG67" i="1"/>
  <c r="CK55" i="1"/>
  <c r="CJ46" i="1"/>
  <c r="CK76" i="1"/>
  <c r="CM76" i="1" s="1"/>
  <c r="CG70" i="1"/>
  <c r="Z164" i="1"/>
  <c r="CH164" i="1" s="1"/>
  <c r="CI164" i="1" s="1"/>
  <c r="CI40" i="1"/>
  <c r="Z76" i="1"/>
  <c r="X180" i="1"/>
  <c r="X201" i="1"/>
  <c r="X56" i="1"/>
  <c r="CG52" i="1"/>
  <c r="Y39" i="1"/>
  <c r="Z166" i="1"/>
  <c r="CH166" i="1" s="1"/>
  <c r="CI166" i="1" s="1"/>
  <c r="Z202" i="1"/>
  <c r="Z51" i="1"/>
  <c r="Y166" i="1"/>
  <c r="Y162" i="1" s="1"/>
  <c r="Y44" i="1"/>
  <c r="CI70" i="1"/>
  <c r="Y150" i="1"/>
  <c r="X163" i="1"/>
  <c r="X70" i="1"/>
  <c r="Y108" i="1"/>
  <c r="CB44" i="1"/>
  <c r="X78" i="1"/>
  <c r="CH76" i="1"/>
  <c r="Y98" i="1"/>
  <c r="CJ67" i="1"/>
  <c r="Z178" i="1"/>
  <c r="CH178" i="1" s="1"/>
  <c r="CH63" i="1"/>
  <c r="Y181" i="1"/>
  <c r="Y70" i="1"/>
  <c r="CH46" i="1"/>
  <c r="CH54" i="1"/>
  <c r="Z54" i="1"/>
  <c r="CJ63" i="1"/>
  <c r="X67" i="1"/>
  <c r="Z44" i="1"/>
  <c r="CJ44" i="1"/>
  <c r="Z109" i="1"/>
  <c r="CH40" i="1"/>
  <c r="CG51" i="1"/>
  <c r="X182" i="1"/>
  <c r="CJ54" i="1"/>
  <c r="X175" i="1"/>
  <c r="JO16" i="4" s="1"/>
  <c r="Y163" i="1"/>
  <c r="CH56" i="1"/>
  <c r="Z195" i="1"/>
  <c r="CH195" i="1" s="1"/>
  <c r="CI195" i="1" s="1"/>
  <c r="Y78" i="1"/>
  <c r="Z181" i="1"/>
  <c r="CH181" i="1" s="1"/>
  <c r="CG46" i="1"/>
  <c r="X110" i="1"/>
  <c r="Y148" i="1"/>
  <c r="CI82" i="1"/>
  <c r="X158" i="1"/>
  <c r="Y52" i="1"/>
  <c r="CJ82" i="1"/>
  <c r="X202" i="1"/>
  <c r="CH82" i="1"/>
  <c r="CI44" i="1"/>
  <c r="X174" i="1"/>
  <c r="CH78" i="1"/>
  <c r="CK94" i="1"/>
  <c r="JN8" i="4" s="1"/>
  <c r="JO9" i="4" s="1"/>
  <c r="Z63" i="1"/>
  <c r="X157" i="1"/>
  <c r="X185" i="1" s="1"/>
  <c r="CG39" i="1"/>
  <c r="CK45" i="1"/>
  <c r="CG66" i="1"/>
  <c r="Y171" i="1"/>
  <c r="Z176" i="1"/>
  <c r="X109" i="1"/>
  <c r="Y155" i="1"/>
  <c r="X178" i="1"/>
  <c r="CG54" i="1"/>
  <c r="Z173" i="1"/>
  <c r="Z56" i="1"/>
  <c r="CG44" i="1"/>
  <c r="CK51" i="1"/>
  <c r="X63" i="1"/>
  <c r="CH39" i="1"/>
  <c r="Z184" i="1"/>
  <c r="Y191" i="1"/>
  <c r="CI78" i="1"/>
  <c r="Y178" i="1"/>
  <c r="CI39" i="1"/>
  <c r="CJ76" i="1"/>
  <c r="Z158" i="1"/>
  <c r="CH158" i="1" s="1"/>
  <c r="CI158" i="1" s="1"/>
  <c r="X98" i="1"/>
  <c r="Z39" i="1"/>
  <c r="CJ55" i="1"/>
  <c r="X186" i="1"/>
  <c r="Y194" i="1"/>
  <c r="Z153" i="1"/>
  <c r="CH153" i="1" s="1"/>
  <c r="CI153" i="1" s="1"/>
  <c r="CJ95" i="1"/>
  <c r="CI95" i="1" s="1"/>
  <c r="CH95" i="1" s="1"/>
  <c r="CG95" i="1" s="1"/>
  <c r="CF95" i="1" s="1"/>
  <c r="CE95" i="1" s="1"/>
  <c r="CD95" i="1" s="1"/>
  <c r="CC95" i="1" s="1"/>
  <c r="CB95" i="1" s="1"/>
  <c r="CA95" i="1" s="1"/>
  <c r="BZ95" i="1" s="1"/>
  <c r="BY95" i="1" s="1"/>
  <c r="BX95" i="1" s="1"/>
  <c r="BW95" i="1" s="1"/>
  <c r="BV95" i="1" s="1"/>
  <c r="BU95" i="1" s="1"/>
  <c r="BT95" i="1" s="1"/>
  <c r="BS95" i="1" s="1"/>
  <c r="BR95" i="1" s="1"/>
  <c r="BQ95" i="1" s="1"/>
  <c r="BP95" i="1" s="1"/>
  <c r="BO95" i="1" s="1"/>
  <c r="BN95" i="1" s="1"/>
  <c r="BM95" i="1" s="1"/>
  <c r="BL95" i="1" s="1"/>
  <c r="BK95" i="1" s="1"/>
  <c r="BJ95" i="1" s="1"/>
  <c r="BI95" i="1" s="1"/>
  <c r="BH95" i="1" s="1"/>
  <c r="BG95" i="1" s="1"/>
  <c r="BF95" i="1" s="1"/>
  <c r="BE95" i="1" s="1"/>
  <c r="BD95" i="1" s="1"/>
  <c r="BC95" i="1" s="1"/>
  <c r="BB95" i="1" s="1"/>
  <c r="BA95" i="1" s="1"/>
  <c r="AZ95" i="1" s="1"/>
  <c r="AY95" i="1" s="1"/>
  <c r="AX95" i="1" s="1"/>
  <c r="AW95" i="1" s="1"/>
  <c r="AV95" i="1" s="1"/>
  <c r="AU95" i="1" s="1"/>
  <c r="AT95" i="1" s="1"/>
  <c r="AS95" i="1" s="1"/>
  <c r="AR95" i="1" s="1"/>
  <c r="AQ95" i="1" s="1"/>
  <c r="AP95" i="1" s="1"/>
  <c r="AO95" i="1" s="1"/>
  <c r="AN95" i="1" s="1"/>
  <c r="AM95" i="1" s="1"/>
  <c r="AL95" i="1" s="1"/>
  <c r="AK95" i="1" s="1"/>
  <c r="AJ95" i="1" s="1"/>
  <c r="AI95" i="1" s="1"/>
  <c r="CI52" i="1"/>
  <c r="Y173" i="1"/>
  <c r="Y175" i="1"/>
  <c r="CK66" i="1"/>
  <c r="X153" i="1"/>
  <c r="X195" i="1"/>
  <c r="Y53" i="1"/>
  <c r="Z67" i="1"/>
  <c r="X66" i="1"/>
  <c r="CI56" i="1"/>
  <c r="CK70" i="1"/>
  <c r="X203" i="1"/>
  <c r="CJ78" i="1"/>
  <c r="Y110" i="1"/>
  <c r="X156" i="1"/>
  <c r="CJ45" i="1"/>
  <c r="CG56" i="1"/>
  <c r="Z156" i="1"/>
  <c r="CH156" i="1" s="1"/>
  <c r="CI156" i="1" s="1"/>
  <c r="Z55" i="1"/>
  <c r="Z174" i="1"/>
  <c r="CH174" i="1" s="1"/>
  <c r="CK63" i="1"/>
  <c r="CK225" i="1" s="1"/>
  <c r="CK82" i="1"/>
  <c r="Y63" i="1"/>
  <c r="Z191" i="1"/>
  <c r="CH191" i="1" s="1"/>
  <c r="Z171" i="1"/>
  <c r="X194" i="1"/>
  <c r="CK67" i="1"/>
  <c r="Y77" i="1"/>
  <c r="Y201" i="1"/>
  <c r="Y168" i="1"/>
  <c r="Z77" i="1"/>
  <c r="Z175" i="1"/>
  <c r="Z40" i="1"/>
  <c r="Z149" i="1"/>
  <c r="CH149" i="1" s="1"/>
  <c r="CI149" i="1" s="1"/>
  <c r="CJ70" i="1"/>
  <c r="Y177" i="1"/>
  <c r="X191" i="1"/>
  <c r="Y67" i="1"/>
  <c r="Z182" i="1"/>
  <c r="CH182" i="1" s="1"/>
  <c r="CK39" i="1"/>
  <c r="CK41" i="1" s="1"/>
  <c r="X168" i="1"/>
  <c r="Z177" i="1"/>
  <c r="CH177" i="1" s="1"/>
  <c r="X173" i="1"/>
  <c r="CJ66" i="1"/>
  <c r="X39" i="1"/>
  <c r="CJ77" i="1"/>
  <c r="CH66" i="1"/>
  <c r="X181" i="1"/>
  <c r="Y182" i="1"/>
  <c r="CI46" i="1"/>
  <c r="Y190" i="1"/>
  <c r="Y51" i="1"/>
  <c r="CH44" i="1"/>
  <c r="CE70" i="1"/>
  <c r="X53" i="1"/>
  <c r="CJ51" i="1"/>
  <c r="CI67" i="1"/>
  <c r="CI51" i="1"/>
  <c r="Z194" i="1"/>
  <c r="CH194" i="1" s="1"/>
  <c r="Z201" i="1"/>
  <c r="X52" i="1"/>
  <c r="CH51" i="1"/>
  <c r="X82" i="1"/>
  <c r="CH55" i="1"/>
  <c r="JN16" i="4" s="1"/>
  <c r="CI54" i="1"/>
  <c r="X176" i="1"/>
  <c r="Y167" i="1"/>
  <c r="CI63" i="1"/>
  <c r="Y164" i="1"/>
  <c r="JN9" i="4" s="1"/>
  <c r="Z186" i="1"/>
  <c r="CH186" i="1" s="1"/>
  <c r="Y82" i="1"/>
  <c r="Y55" i="1"/>
  <c r="CK56" i="1"/>
  <c r="Z53" i="1"/>
  <c r="CH52" i="1"/>
  <c r="JP16" i="4" s="1"/>
  <c r="X54" i="1"/>
  <c r="Z108" i="1"/>
  <c r="JN7" i="4" s="1"/>
  <c r="Y76" i="1"/>
  <c r="Z168" i="1"/>
  <c r="CH168" i="1" s="1"/>
  <c r="CI168" i="1" s="1"/>
  <c r="Z148" i="1"/>
  <c r="CG76" i="1"/>
  <c r="Z46" i="1"/>
  <c r="Y202" i="1"/>
  <c r="CG40" i="1"/>
  <c r="CJ52" i="1"/>
  <c r="CG63" i="1"/>
  <c r="X150" i="1"/>
  <c r="X164" i="1"/>
  <c r="X171" i="1"/>
  <c r="CK77" i="1"/>
  <c r="CM77" i="1" s="1"/>
  <c r="CN77" i="1" s="1"/>
  <c r="CO77" i="1" s="1"/>
  <c r="CP77" i="1" s="1"/>
  <c r="CQ77" i="1" s="1"/>
  <c r="CR77" i="1" s="1"/>
  <c r="CS77" i="1" s="1"/>
  <c r="CT77" i="1" s="1"/>
  <c r="CU77" i="1" s="1"/>
  <c r="X148" i="1"/>
  <c r="Y66" i="1"/>
  <c r="Z70" i="1"/>
  <c r="Z78" i="1"/>
  <c r="X55" i="1"/>
  <c r="CK44" i="1"/>
  <c r="Z150" i="1"/>
  <c r="CH150" i="1" s="1"/>
  <c r="CH77" i="1"/>
  <c r="X44" i="1"/>
  <c r="CI77" i="1"/>
  <c r="CK52" i="1"/>
  <c r="CH67" i="1"/>
  <c r="CG53" i="1"/>
  <c r="CH70" i="1"/>
  <c r="Y157" i="1"/>
  <c r="Y185" i="1" s="1"/>
  <c r="Y56" i="1"/>
  <c r="Z203" i="1"/>
  <c r="Z157" i="1"/>
  <c r="CH157" i="1" s="1"/>
  <c r="CI157" i="1" s="1"/>
  <c r="Y186" i="1"/>
  <c r="X166" i="1"/>
  <c r="X162" i="1" s="1"/>
  <c r="CG77" i="1"/>
  <c r="Y40" i="1"/>
  <c r="Z110" i="1"/>
  <c r="X177" i="1"/>
  <c r="X155" i="1"/>
  <c r="CJ40" i="1"/>
  <c r="Z66" i="1"/>
  <c r="X184" i="1"/>
  <c r="CI66" i="1"/>
  <c r="Y174" i="1"/>
  <c r="Y149" i="1"/>
  <c r="X77" i="1"/>
  <c r="Y180" i="1"/>
  <c r="CK95" i="1"/>
  <c r="Y46" i="1"/>
  <c r="CJ53" i="1"/>
  <c r="Y109" i="1"/>
  <c r="Z52" i="1"/>
  <c r="CK78" i="1"/>
  <c r="Z163" i="1"/>
  <c r="CH163" i="1" s="1"/>
  <c r="CI163" i="1" s="1"/>
  <c r="Y158" i="1"/>
  <c r="CI45" i="1"/>
  <c r="CJ39" i="1"/>
  <c r="X76" i="1"/>
  <c r="X40" i="1"/>
  <c r="CG82" i="1"/>
  <c r="CH45" i="1"/>
  <c r="CJ94" i="1"/>
  <c r="X149" i="1"/>
  <c r="X167" i="1"/>
  <c r="CK53" i="1"/>
  <c r="CK46" i="1"/>
  <c r="CL225" i="1"/>
  <c r="CL284" i="1"/>
  <c r="CL262" i="1"/>
  <c r="CL41" i="1"/>
  <c r="CL47" i="1" s="1"/>
  <c r="CL192" i="1"/>
  <c r="CL187" i="1"/>
  <c r="CL216" i="1" s="1"/>
  <c r="CL215" i="1" s="1"/>
  <c r="CL151" i="1"/>
  <c r="CL210" i="1"/>
  <c r="CL283" i="1"/>
  <c r="CL96" i="1"/>
  <c r="CL57" i="1"/>
  <c r="CL58" i="1" s="1"/>
  <c r="JN14" i="4"/>
  <c r="JN19" i="4" s="1"/>
  <c r="CH109" i="1" s="1"/>
  <c r="KE8" i="4"/>
  <c r="JS8" i="4"/>
  <c r="KB8" i="4"/>
  <c r="JQ14" i="4"/>
  <c r="KG8" i="4"/>
  <c r="KE15" i="4"/>
  <c r="JU8" i="4"/>
  <c r="JZ8" i="4"/>
  <c r="JP7" i="4"/>
  <c r="JR7" i="4"/>
  <c r="AB77" i="1"/>
  <c r="JY8" i="4"/>
  <c r="KC7" i="4"/>
  <c r="Y211" i="1"/>
  <c r="CI194" i="1"/>
  <c r="CN76" i="1"/>
  <c r="CO76" i="1" s="1"/>
  <c r="CP76" i="1" s="1"/>
  <c r="CQ76" i="1" s="1"/>
  <c r="CI94" i="1"/>
  <c r="CJ96" i="1"/>
  <c r="Z162" i="1"/>
  <c r="Y233" i="1"/>
  <c r="Z204" i="1"/>
  <c r="CI283" i="1"/>
  <c r="Z262" i="1"/>
  <c r="CH176" i="1"/>
  <c r="CH211" i="1" s="1"/>
  <c r="CI211" i="1" s="1"/>
  <c r="Z211" i="1"/>
  <c r="CJ283" i="1"/>
  <c r="CM164" i="1"/>
  <c r="CN164" i="1" s="1"/>
  <c r="CO164" i="1" s="1"/>
  <c r="CP164" i="1" s="1"/>
  <c r="KE7" i="4"/>
  <c r="JQ7" i="4"/>
  <c r="JR8" i="4"/>
  <c r="JW8" i="4"/>
  <c r="JX7" i="4"/>
  <c r="KF14" i="4"/>
  <c r="KH14" i="4"/>
  <c r="KH19" i="4" s="1"/>
  <c r="JS14" i="4"/>
  <c r="JQ8" i="4"/>
  <c r="JS15" i="4"/>
  <c r="JW20" i="4"/>
  <c r="JQ19" i="4"/>
  <c r="CK109" i="1" s="1"/>
  <c r="KF7" i="4"/>
  <c r="JN15" i="4"/>
  <c r="JN20" i="4" s="1"/>
  <c r="CH110" i="1" s="1"/>
  <c r="JP14" i="4"/>
  <c r="JP19" i="4" s="1"/>
  <c r="CJ109" i="1" s="1"/>
  <c r="X262" i="1"/>
  <c r="X41" i="1"/>
  <c r="JO7" i="4"/>
  <c r="JT14" i="4"/>
  <c r="KD14" i="4"/>
  <c r="JV8" i="4"/>
  <c r="KF15" i="4"/>
  <c r="KB7" i="4"/>
  <c r="JT7" i="4"/>
  <c r="JO8" i="4"/>
  <c r="JV14" i="4"/>
  <c r="JT8" i="4"/>
  <c r="KC8" i="4"/>
  <c r="JU14" i="4"/>
  <c r="KE14" i="4"/>
  <c r="JO15" i="4"/>
  <c r="JO20" i="4" s="1"/>
  <c r="CI110" i="1" s="1"/>
  <c r="KA14" i="4"/>
  <c r="JS7" i="4"/>
  <c r="JV7" i="4"/>
  <c r="JV15" i="4"/>
  <c r="JZ14" i="4"/>
  <c r="KB14" i="4"/>
  <c r="JY15" i="4"/>
  <c r="KG15" i="4"/>
  <c r="JW14" i="4"/>
  <c r="JO14" i="4"/>
  <c r="JU15" i="4"/>
  <c r="KD7" i="4"/>
  <c r="KA7" i="4"/>
  <c r="JZ15" i="4"/>
  <c r="JW7" i="4"/>
  <c r="JW19" i="4" s="1"/>
  <c r="KC15" i="4"/>
  <c r="JR14" i="4"/>
  <c r="KC14" i="4"/>
  <c r="CP51" i="1"/>
  <c r="CT51" i="1" s="1"/>
  <c r="CX51" i="1" s="1"/>
  <c r="DB51" i="1" s="1"/>
  <c r="JP8" i="4"/>
  <c r="JP15" i="4"/>
  <c r="KB15" i="4"/>
  <c r="KA8" i="4"/>
  <c r="KF8" i="4"/>
  <c r="KA15" i="4"/>
  <c r="JY7" i="4"/>
  <c r="JR15" i="4"/>
  <c r="KG14" i="4"/>
  <c r="KG19" i="4" s="1"/>
  <c r="KH15" i="4"/>
  <c r="JU7" i="4"/>
  <c r="JX15" i="4"/>
  <c r="BY53" i="1"/>
  <c r="CA40" i="1"/>
  <c r="CE53" i="1"/>
  <c r="CA53" i="1"/>
  <c r="CF53" i="1"/>
  <c r="CD53" i="1"/>
  <c r="BZ53" i="1"/>
  <c r="BL53" i="1"/>
  <c r="CC53" i="1"/>
  <c r="CB53" i="1"/>
  <c r="CF40" i="1"/>
  <c r="CD40" i="1"/>
  <c r="BY40" i="1"/>
  <c r="CE40" i="1"/>
  <c r="BZ40" i="1"/>
  <c r="CC40" i="1"/>
  <c r="CB40" i="1"/>
  <c r="BL40" i="1"/>
  <c r="CD56" i="1"/>
  <c r="CC76" i="1"/>
  <c r="CA39" i="1"/>
  <c r="CA262" i="1" s="1"/>
  <c r="CD70" i="1"/>
  <c r="AH7" i="6" s="1"/>
  <c r="CD66" i="1"/>
  <c r="CF67" i="1"/>
  <c r="BY76" i="1"/>
  <c r="BL76" i="1"/>
  <c r="CD77" i="1"/>
  <c r="AV7" i="6" s="1"/>
  <c r="CB51" i="1"/>
  <c r="R7" i="6" s="1"/>
  <c r="X7" i="6" s="1"/>
  <c r="CD76" i="1"/>
  <c r="CD46" i="1"/>
  <c r="V7" i="6" s="1"/>
  <c r="BY46" i="1"/>
  <c r="CB39" i="1"/>
  <c r="CB262" i="1" s="1"/>
  <c r="BY82" i="1"/>
  <c r="BL39" i="1"/>
  <c r="AW7" i="6" s="1"/>
  <c r="BY52" i="1"/>
  <c r="CA44" i="1"/>
  <c r="CB54" i="1"/>
  <c r="BZ67" i="1"/>
  <c r="O7" i="6" s="1"/>
  <c r="BL78" i="1"/>
  <c r="AQ7" i="6" s="1"/>
  <c r="CF39" i="1"/>
  <c r="JJ9" i="4" s="1"/>
  <c r="BY77" i="1"/>
  <c r="AM7" i="6" s="1"/>
  <c r="JM16" i="4" s="1"/>
  <c r="CF78" i="1"/>
  <c r="CA55" i="1"/>
  <c r="BL54" i="1"/>
  <c r="BL77" i="1"/>
  <c r="CF66" i="1"/>
  <c r="BL67" i="1"/>
  <c r="BZ76" i="1"/>
  <c r="CC56" i="1"/>
  <c r="CC52" i="1"/>
  <c r="JM9" i="4" s="1"/>
  <c r="CA52" i="1"/>
  <c r="JL16" i="4" s="1"/>
  <c r="BZ55" i="1"/>
  <c r="CB52" i="1"/>
  <c r="CC44" i="1"/>
  <c r="JK16" i="4" s="1"/>
  <c r="CA82" i="1"/>
  <c r="BZ45" i="1"/>
  <c r="CE46" i="1"/>
  <c r="CC45" i="1"/>
  <c r="C7" i="6" s="1"/>
  <c r="T7" i="6" s="1"/>
  <c r="BY55" i="1"/>
  <c r="CC77" i="1"/>
  <c r="CC39" i="1"/>
  <c r="CC262" i="1" s="1"/>
  <c r="CB66" i="1"/>
  <c r="JL9" i="4" s="1"/>
  <c r="CF70" i="1"/>
  <c r="AL7" i="6" s="1"/>
  <c r="BZ63" i="1"/>
  <c r="BZ66" i="1"/>
  <c r="J7" i="6" s="1"/>
  <c r="BY78" i="1"/>
  <c r="Z7" i="6" s="1"/>
  <c r="BL51" i="1"/>
  <c r="CF44" i="1"/>
  <c r="CF54" i="1"/>
  <c r="BZ44" i="1"/>
  <c r="CA46" i="1"/>
  <c r="CD45" i="1"/>
  <c r="BL52" i="1"/>
  <c r="BY45" i="1"/>
  <c r="CE63" i="1"/>
  <c r="AD7" i="6" s="1"/>
  <c r="CF56" i="1"/>
  <c r="CE51" i="1"/>
  <c r="CA78" i="1"/>
  <c r="CD67" i="1"/>
  <c r="CB55" i="1"/>
  <c r="CD78" i="1"/>
  <c r="AP7" i="6" s="1"/>
  <c r="Y7" i="6" s="1"/>
  <c r="CA56" i="1"/>
  <c r="AA7" i="6" s="1"/>
  <c r="AJ7" i="6" s="1"/>
  <c r="BY39" i="1"/>
  <c r="BY54" i="1"/>
  <c r="CB70" i="1"/>
  <c r="CE56" i="1"/>
  <c r="I7" i="6" s="1"/>
  <c r="AK7" i="6" s="1"/>
  <c r="CE45" i="1"/>
  <c r="K7" i="6" s="1"/>
  <c r="F7" i="6" s="1"/>
  <c r="CB76" i="1"/>
  <c r="CF55" i="1"/>
  <c r="AC7" i="6" s="1"/>
  <c r="AE7" i="6" s="1"/>
  <c r="M7" i="6" s="1"/>
  <c r="Q7" i="6" s="1"/>
  <c r="CA77" i="1"/>
  <c r="BZ77" i="1"/>
  <c r="CA67" i="1"/>
  <c r="CF77" i="1"/>
  <c r="AU7" i="6" s="1"/>
  <c r="BL46" i="1"/>
  <c r="CE55" i="1"/>
  <c r="CB63" i="1"/>
  <c r="CC78" i="1"/>
  <c r="CC82" i="1"/>
  <c r="AX7" i="6" s="1"/>
  <c r="BZ54" i="1"/>
  <c r="AT7" i="6" s="1"/>
  <c r="S7" i="6" s="1"/>
  <c r="BY44" i="1"/>
  <c r="CE66" i="1"/>
  <c r="CA76" i="1"/>
  <c r="CB78" i="1"/>
  <c r="CA66" i="1"/>
  <c r="CF82" i="1"/>
  <c r="CF52" i="1"/>
  <c r="CA51" i="1"/>
  <c r="AN7" i="6" s="1"/>
  <c r="CE77" i="1"/>
  <c r="CC46" i="1"/>
  <c r="CE82" i="1"/>
  <c r="CF46" i="1"/>
  <c r="G7" i="6" s="1"/>
  <c r="BL63" i="1"/>
  <c r="AF7" i="6" s="1"/>
  <c r="CC51" i="1"/>
  <c r="CD51" i="1"/>
  <c r="JJ16" i="4" s="1"/>
  <c r="BY56" i="1"/>
  <c r="CB77" i="1"/>
  <c r="CE39" i="1"/>
  <c r="AB7" i="6" s="1"/>
  <c r="BL45" i="1"/>
  <c r="CD82" i="1"/>
  <c r="BY51" i="1"/>
  <c r="BZ46" i="1"/>
  <c r="CD52" i="1"/>
  <c r="L7" i="6" s="1"/>
  <c r="BL70" i="1"/>
  <c r="BZ39" i="1"/>
  <c r="BZ262" i="1" s="1"/>
  <c r="CA63" i="1"/>
  <c r="BZ70" i="1"/>
  <c r="BY63" i="1"/>
  <c r="AI7" i="6" s="1"/>
  <c r="CC70" i="1"/>
  <c r="D7" i="6" s="1"/>
  <c r="BZ52" i="1"/>
  <c r="AG7" i="6" s="1"/>
  <c r="BZ51" i="1"/>
  <c r="BL82" i="1"/>
  <c r="W7" i="6" s="1"/>
  <c r="CB82" i="1"/>
  <c r="CE78" i="1"/>
  <c r="CF51" i="1"/>
  <c r="CC54" i="1"/>
  <c r="CD54" i="1"/>
  <c r="CE44" i="1"/>
  <c r="BY66" i="1"/>
  <c r="CC66" i="1"/>
  <c r="BZ82" i="1"/>
  <c r="AS7" i="6" s="1"/>
  <c r="BZ78" i="1"/>
  <c r="CE67" i="1"/>
  <c r="CD44" i="1"/>
  <c r="BL66" i="1"/>
  <c r="CB45" i="1"/>
  <c r="CC63" i="1"/>
  <c r="BY70" i="1"/>
  <c r="H7" i="6" s="1"/>
  <c r="CA54" i="1"/>
  <c r="BZ56" i="1"/>
  <c r="CD39" i="1"/>
  <c r="CD262" i="1" s="1"/>
  <c r="AR7" i="6" s="1"/>
  <c r="CF45" i="1"/>
  <c r="BL44" i="1"/>
  <c r="BL55" i="1"/>
  <c r="JK9" i="4" s="1"/>
  <c r="AO7" i="6" s="1"/>
  <c r="CA70" i="1"/>
  <c r="BL56" i="1"/>
  <c r="CA45" i="1"/>
  <c r="CE76" i="1"/>
  <c r="CD55" i="1"/>
  <c r="P7" i="6" s="1"/>
  <c r="E7" i="6" s="1"/>
  <c r="U7" i="6" s="1"/>
  <c r="CC55" i="1"/>
  <c r="AY7" i="6" s="1"/>
  <c r="CD63" i="1"/>
  <c r="CB46" i="1"/>
  <c r="CC67" i="1"/>
  <c r="CB67" i="1"/>
  <c r="CE54" i="1"/>
  <c r="CE52" i="1"/>
  <c r="CF63" i="1"/>
  <c r="CB56" i="1"/>
  <c r="BY67" i="1"/>
  <c r="CF76" i="1"/>
  <c r="N7" i="6" s="1"/>
  <c r="AD66" i="1"/>
  <c r="AZ78" i="3"/>
  <c r="AF54" i="3"/>
  <c r="AX96" i="3"/>
  <c r="AY50" i="3"/>
  <c r="AF60" i="3"/>
  <c r="AY58" i="3"/>
  <c r="AU62" i="3"/>
  <c r="C65" i="3"/>
  <c r="AZ47" i="3"/>
  <c r="AY49" i="3"/>
  <c r="AX79" i="3"/>
  <c r="C61" i="3"/>
  <c r="AF55" i="3"/>
  <c r="AZ72" i="3"/>
  <c r="C79" i="3"/>
  <c r="AF67" i="3"/>
  <c r="C81" i="3"/>
  <c r="AU65" i="3"/>
  <c r="AW54" i="3"/>
  <c r="AT90" i="3"/>
  <c r="AZ60" i="3"/>
  <c r="AZ87" i="3"/>
  <c r="AS55" i="3"/>
  <c r="AT57" i="3"/>
  <c r="AF83" i="3"/>
  <c r="AF61" i="3"/>
  <c r="AU71" i="3"/>
  <c r="AZ91" i="3"/>
  <c r="C69" i="3"/>
  <c r="AY96" i="3"/>
  <c r="AF65" i="3"/>
  <c r="AV63" i="3"/>
  <c r="AX64" i="3"/>
  <c r="AW79" i="3"/>
  <c r="AV79" i="3"/>
  <c r="AY77" i="3"/>
  <c r="AY91" i="3"/>
  <c r="AS82" i="3"/>
  <c r="AV54" i="3"/>
  <c r="AX91" i="3"/>
  <c r="AV78" i="3"/>
  <c r="AT97" i="3"/>
  <c r="AY93" i="3"/>
  <c r="AY89" i="3"/>
  <c r="AU60" i="3"/>
  <c r="AX58" i="3"/>
  <c r="AU66" i="3"/>
  <c r="AV59" i="3"/>
  <c r="AF80" i="3"/>
  <c r="AT87" i="3"/>
  <c r="AS67" i="3"/>
  <c r="AX74" i="3"/>
  <c r="AZ84" i="3"/>
  <c r="C91" i="3"/>
  <c r="AY82" i="3"/>
  <c r="AT69" i="3"/>
  <c r="C90" i="3"/>
  <c r="AX73" i="3"/>
  <c r="AX54" i="3"/>
  <c r="C85" i="3"/>
  <c r="AU73" i="3"/>
  <c r="AW61" i="3"/>
  <c r="C68" i="3"/>
  <c r="AS78" i="3"/>
  <c r="C55" i="3"/>
  <c r="AT86" i="3"/>
  <c r="AU50" i="3"/>
  <c r="AT56" i="3"/>
  <c r="AU87" i="3"/>
  <c r="AF88" i="3"/>
  <c r="AS92" i="3"/>
  <c r="AV91" i="3"/>
  <c r="C74" i="3"/>
  <c r="AT83" i="3"/>
  <c r="AF73" i="3"/>
  <c r="AW90" i="3"/>
  <c r="AU78" i="3"/>
  <c r="AV76" i="3"/>
  <c r="AT55" i="3"/>
  <c r="AY48" i="3"/>
  <c r="AV49" i="3"/>
  <c r="AF89" i="3"/>
  <c r="AU79" i="3"/>
  <c r="AY84" i="3"/>
  <c r="AS48" i="3"/>
  <c r="AS50" i="3"/>
  <c r="AF95" i="3"/>
  <c r="AF74" i="3"/>
  <c r="AF75" i="3"/>
  <c r="AS94" i="3"/>
  <c r="AT94" i="3"/>
  <c r="AV94" i="3"/>
  <c r="AZ81" i="3"/>
  <c r="AS88" i="3"/>
  <c r="AW84" i="3"/>
  <c r="AZ48" i="3"/>
  <c r="AS61" i="3"/>
  <c r="AT95" i="3"/>
  <c r="AW56" i="3"/>
  <c r="AF87" i="3"/>
  <c r="AU97" i="3"/>
  <c r="AX80" i="3"/>
  <c r="AS87" i="3"/>
  <c r="AX93" i="3"/>
  <c r="AT76" i="3"/>
  <c r="AY78" i="3"/>
  <c r="AU58" i="3"/>
  <c r="AT82" i="3"/>
  <c r="AZ70" i="3"/>
  <c r="AW70" i="3"/>
  <c r="C93" i="3"/>
  <c r="AW75" i="3"/>
  <c r="AT96" i="3"/>
  <c r="AU72" i="3"/>
  <c r="AZ94" i="3"/>
  <c r="AW59" i="3"/>
  <c r="AV81" i="3"/>
  <c r="AT92" i="3"/>
  <c r="AW94" i="3"/>
  <c r="AS85" i="3"/>
  <c r="AU63" i="3"/>
  <c r="AY63" i="3"/>
  <c r="AZ76" i="3"/>
  <c r="AX94" i="3"/>
  <c r="AY60" i="3"/>
  <c r="AS72" i="3"/>
  <c r="AU77" i="3"/>
  <c r="AT80" i="3"/>
  <c r="AF77" i="3"/>
  <c r="AZ85" i="3"/>
  <c r="AZ89" i="3"/>
  <c r="AZ97" i="3"/>
  <c r="AV87" i="3"/>
  <c r="AT60" i="3"/>
  <c r="AV86" i="3"/>
  <c r="C94" i="3"/>
  <c r="AX56" i="3"/>
  <c r="AZ79" i="3"/>
  <c r="AZ62" i="3"/>
  <c r="AZ90" i="3"/>
  <c r="AF76" i="3"/>
  <c r="C75" i="3"/>
  <c r="AV69" i="3"/>
  <c r="C73" i="3"/>
  <c r="AF47" i="3"/>
  <c r="C78" i="3"/>
  <c r="AY56" i="3"/>
  <c r="AY95" i="3"/>
  <c r="AY54" i="3"/>
  <c r="AS80" i="3"/>
  <c r="C84" i="3"/>
  <c r="AX57" i="3"/>
  <c r="AW67" i="3"/>
  <c r="AS65" i="3"/>
  <c r="AT91" i="3"/>
  <c r="AF71" i="3"/>
  <c r="AX95" i="3"/>
  <c r="AS96" i="3"/>
  <c r="AU90" i="3"/>
  <c r="AU61" i="3"/>
  <c r="AS71" i="3"/>
  <c r="AU67" i="3"/>
  <c r="AU64" i="3"/>
  <c r="AX78" i="3"/>
  <c r="C58" i="3"/>
  <c r="AX90" i="3"/>
  <c r="AY70" i="3"/>
  <c r="AY79" i="3"/>
  <c r="AS79" i="3"/>
  <c r="AS68" i="3"/>
  <c r="AF94" i="3"/>
  <c r="AZ64" i="3"/>
  <c r="AT89" i="3"/>
  <c r="AZ82" i="3"/>
  <c r="AW72" i="3"/>
  <c r="AV88" i="3"/>
  <c r="AX81" i="3"/>
  <c r="AX63" i="3"/>
  <c r="AY76" i="3"/>
  <c r="AF86" i="3"/>
  <c r="AY71" i="3"/>
  <c r="AU54" i="3"/>
  <c r="AX68" i="3"/>
  <c r="AZ88" i="3"/>
  <c r="AZ93" i="3"/>
  <c r="AX55" i="3"/>
  <c r="AY66" i="3"/>
  <c r="C89" i="3"/>
  <c r="AW66" i="3"/>
  <c r="AW92" i="3"/>
  <c r="AT64" i="3"/>
  <c r="AV68" i="3"/>
  <c r="AU76" i="3"/>
  <c r="AX65" i="3"/>
  <c r="AY47" i="3"/>
  <c r="AZ65" i="3"/>
  <c r="AU80" i="3"/>
  <c r="AW97" i="3"/>
  <c r="C60" i="3"/>
  <c r="AS77" i="3"/>
  <c r="AT72" i="3"/>
  <c r="AU88" i="3"/>
  <c r="AV71" i="3"/>
  <c r="AX62" i="3"/>
  <c r="AF90" i="3"/>
  <c r="C92" i="3"/>
  <c r="AV89" i="3"/>
  <c r="AS90" i="3"/>
  <c r="AT47" i="3"/>
  <c r="AU84" i="3"/>
  <c r="AW55" i="3"/>
  <c r="AX70" i="3"/>
  <c r="AV72" i="3"/>
  <c r="AY69" i="3"/>
  <c r="AU75" i="3"/>
  <c r="AX83" i="3"/>
  <c r="AZ61" i="3"/>
  <c r="C77" i="3"/>
  <c r="AV90" i="3"/>
  <c r="AW95" i="3"/>
  <c r="AU91" i="3"/>
  <c r="AV66" i="3"/>
  <c r="AZ75" i="3"/>
  <c r="AU69" i="3"/>
  <c r="AZ67" i="3"/>
  <c r="AS56" i="3"/>
  <c r="AS62" i="3"/>
  <c r="C71" i="3"/>
  <c r="AW50" i="3"/>
  <c r="AT50" i="3"/>
  <c r="AF82" i="3"/>
  <c r="AY90" i="3"/>
  <c r="AV62" i="3"/>
  <c r="AF70" i="3"/>
  <c r="C63" i="3"/>
  <c r="AW80" i="3"/>
  <c r="AZ83" i="3"/>
  <c r="AS91" i="3"/>
  <c r="AT74" i="3"/>
  <c r="AW57" i="3"/>
  <c r="AU96" i="3"/>
  <c r="AS84" i="3"/>
  <c r="AF91" i="3"/>
  <c r="AU56" i="3"/>
  <c r="AV97" i="3"/>
  <c r="C86" i="3"/>
  <c r="AW78" i="3"/>
  <c r="AW58" i="3"/>
  <c r="AX49" i="3"/>
  <c r="AW76" i="3"/>
  <c r="AW96" i="3"/>
  <c r="AT71" i="3"/>
  <c r="AY72" i="3"/>
  <c r="AW48" i="3"/>
  <c r="AS76" i="3"/>
  <c r="C67" i="3"/>
  <c r="AV75" i="3"/>
  <c r="AF72" i="3"/>
  <c r="AX77" i="3"/>
  <c r="AY97" i="3"/>
  <c r="AS74" i="3"/>
  <c r="AV74" i="3"/>
  <c r="AV84" i="3"/>
  <c r="AX92" i="3"/>
  <c r="AY62" i="3"/>
  <c r="AU95" i="3"/>
  <c r="AW89" i="3"/>
  <c r="AX50" i="3"/>
  <c r="AT65" i="3"/>
  <c r="AZ92" i="3"/>
  <c r="AU85" i="3"/>
  <c r="AU57" i="3"/>
  <c r="AS97" i="3"/>
  <c r="AU55" i="3"/>
  <c r="AS70" i="3"/>
  <c r="AU93" i="3"/>
  <c r="AU49" i="3"/>
  <c r="AY65" i="3"/>
  <c r="AF58" i="3"/>
  <c r="AX84" i="3"/>
  <c r="AF85" i="3"/>
  <c r="AW82" i="3"/>
  <c r="AY81" i="3"/>
  <c r="AT68" i="3"/>
  <c r="AW62" i="3"/>
  <c r="AY75" i="3"/>
  <c r="AY57" i="3"/>
  <c r="AX61" i="3"/>
  <c r="AW77" i="3"/>
  <c r="AZ63" i="3"/>
  <c r="C97" i="3"/>
  <c r="AT78" i="3"/>
  <c r="AX82" i="3"/>
  <c r="AZ55" i="3"/>
  <c r="AZ58" i="3"/>
  <c r="C50" i="3"/>
  <c r="AT61" i="3"/>
  <c r="AT88" i="3"/>
  <c r="C56" i="3"/>
  <c r="AW74" i="3"/>
  <c r="AZ77" i="3"/>
  <c r="AX47" i="3"/>
  <c r="AX67" i="3"/>
  <c r="AV92" i="3"/>
  <c r="AF59" i="3"/>
  <c r="AF64" i="3"/>
  <c r="AX60" i="3"/>
  <c r="C57" i="3"/>
  <c r="C59" i="3"/>
  <c r="AW73" i="3"/>
  <c r="AU94" i="3"/>
  <c r="AY59" i="3"/>
  <c r="AT93" i="3"/>
  <c r="AV56" i="3"/>
  <c r="AS95" i="3"/>
  <c r="AT85" i="3"/>
  <c r="AY86" i="3"/>
  <c r="AU83" i="3"/>
  <c r="AU86" i="3"/>
  <c r="AV73" i="3"/>
  <c r="AF56" i="3"/>
  <c r="C70" i="3"/>
  <c r="AY87" i="3"/>
  <c r="AY68" i="3"/>
  <c r="AX66" i="3"/>
  <c r="AT70" i="3"/>
  <c r="AF93" i="3"/>
  <c r="AV83" i="3"/>
  <c r="C54" i="3"/>
  <c r="AY67" i="3"/>
  <c r="AF92" i="3"/>
  <c r="AX72" i="3"/>
  <c r="AT81" i="3"/>
  <c r="AZ80" i="3"/>
  <c r="AU92" i="3"/>
  <c r="AS83" i="3"/>
  <c r="AU89" i="3"/>
  <c r="AW64" i="3"/>
  <c r="C72" i="3"/>
  <c r="AS93" i="3"/>
  <c r="AT63" i="3"/>
  <c r="C96" i="3"/>
  <c r="AV80" i="3"/>
  <c r="AY85" i="3"/>
  <c r="AU70" i="3"/>
  <c r="AW93" i="3"/>
  <c r="AS75" i="3"/>
  <c r="AS89" i="3"/>
  <c r="AT79" i="3"/>
  <c r="AU68" i="3"/>
  <c r="AZ96" i="3"/>
  <c r="AF62" i="3"/>
  <c r="AS59" i="3"/>
  <c r="AT84" i="3"/>
  <c r="AV48" i="3"/>
  <c r="AF63" i="3"/>
  <c r="AS69" i="3"/>
  <c r="AZ49" i="3"/>
  <c r="AZ68" i="3"/>
  <c r="C88" i="3"/>
  <c r="AT62" i="3"/>
  <c r="AS63" i="3"/>
  <c r="AZ50" i="3"/>
  <c r="AW83" i="3"/>
  <c r="AW81" i="3"/>
  <c r="AF84" i="3"/>
  <c r="AY92" i="3"/>
  <c r="AV95" i="3"/>
  <c r="AU74" i="3"/>
  <c r="AZ56" i="3"/>
  <c r="AX87" i="3"/>
  <c r="AZ95" i="3"/>
  <c r="AS57" i="3"/>
  <c r="AY64" i="3"/>
  <c r="C82" i="3"/>
  <c r="AW91" i="3"/>
  <c r="AW85" i="3"/>
  <c r="AX76" i="3"/>
  <c r="AS66" i="3"/>
  <c r="AX71" i="3"/>
  <c r="AX69" i="3"/>
  <c r="AV65" i="3"/>
  <c r="AY88" i="3"/>
  <c r="AV55" i="3"/>
  <c r="AS58" i="3"/>
  <c r="AS86" i="3"/>
  <c r="AY94" i="3"/>
  <c r="AW63" i="3"/>
  <c r="AX89" i="3"/>
  <c r="AW86" i="3"/>
  <c r="AV64" i="3"/>
  <c r="AW69" i="3"/>
  <c r="AY73" i="3"/>
  <c r="AU82" i="3"/>
  <c r="AX48" i="3"/>
  <c r="AV57" i="3"/>
  <c r="AW47" i="3"/>
  <c r="AZ59" i="3"/>
  <c r="AT73" i="3"/>
  <c r="AS54" i="3"/>
  <c r="AT49" i="3"/>
  <c r="AF66" i="3"/>
  <c r="AW88" i="3"/>
  <c r="AS60" i="3"/>
  <c r="AZ86" i="3"/>
  <c r="AT67" i="3"/>
  <c r="AS73" i="3"/>
  <c r="AW49" i="3"/>
  <c r="AF57" i="3"/>
  <c r="AF68" i="3"/>
  <c r="AX85" i="3"/>
  <c r="AV82" i="3"/>
  <c r="AW87" i="3"/>
  <c r="C64" i="3"/>
  <c r="AV61" i="3"/>
  <c r="AV50" i="3"/>
  <c r="AF78" i="3"/>
  <c r="AF81" i="3"/>
  <c r="AX88" i="3"/>
  <c r="AV58" i="3"/>
  <c r="AW65" i="3"/>
  <c r="AV93" i="3"/>
  <c r="AF97" i="3"/>
  <c r="AW68" i="3"/>
  <c r="AT54" i="3"/>
  <c r="AS64" i="3"/>
  <c r="AV85" i="3"/>
  <c r="C83" i="3"/>
  <c r="C80" i="3"/>
  <c r="AW71" i="3"/>
  <c r="AX75" i="3"/>
  <c r="AU81" i="3"/>
  <c r="AZ66" i="3"/>
  <c r="AZ74" i="3"/>
  <c r="AV67" i="3"/>
  <c r="AT75" i="3"/>
  <c r="AF79" i="3"/>
  <c r="AX97" i="3"/>
  <c r="C95" i="3"/>
  <c r="AF96" i="3"/>
  <c r="C76" i="3"/>
  <c r="AY80" i="3"/>
  <c r="AX86" i="3"/>
  <c r="C87" i="3"/>
  <c r="AX59" i="3"/>
  <c r="AV60" i="3"/>
  <c r="AT48" i="3"/>
  <c r="AY83" i="3"/>
  <c r="AT58" i="3"/>
  <c r="AU59" i="3"/>
  <c r="AV70" i="3"/>
  <c r="AV47" i="3"/>
  <c r="AW60" i="3"/>
  <c r="AU47" i="3"/>
  <c r="C62" i="3"/>
  <c r="C66" i="3"/>
  <c r="AZ71" i="3"/>
  <c r="AZ54" i="3"/>
  <c r="AV77" i="3"/>
  <c r="AT59" i="3"/>
  <c r="AY55" i="3"/>
  <c r="AF49" i="3"/>
  <c r="AZ69" i="3"/>
  <c r="AZ73" i="3"/>
  <c r="AF69" i="3"/>
  <c r="AY61" i="3"/>
  <c r="AT77" i="3"/>
  <c r="AT66" i="3"/>
  <c r="AY74" i="3"/>
  <c r="AU48" i="3"/>
  <c r="AV96" i="3"/>
  <c r="AZ57" i="3"/>
  <c r="AS81" i="3"/>
  <c r="Y210" i="1" l="1"/>
  <c r="CK47" i="1"/>
  <c r="CL50" i="1" s="1"/>
  <c r="CH184" i="1"/>
  <c r="CH214" i="1" s="1"/>
  <c r="CI214" i="1" s="1"/>
  <c r="Z214" i="1"/>
  <c r="CH173" i="1"/>
  <c r="Z179" i="1"/>
  <c r="AA227" i="1" s="1"/>
  <c r="X210" i="1"/>
  <c r="Y262" i="1"/>
  <c r="Y41" i="1"/>
  <c r="Y214" i="1"/>
  <c r="KE20" i="4"/>
  <c r="AC77" i="1"/>
  <c r="CV77" i="1"/>
  <c r="CW77" i="1" s="1"/>
  <c r="CX77" i="1" s="1"/>
  <c r="CY77" i="1" s="1"/>
  <c r="Y192" i="1"/>
  <c r="CI225" i="1"/>
  <c r="CH57" i="1"/>
  <c r="CO51" i="1"/>
  <c r="CS51" i="1" s="1"/>
  <c r="CW51" i="1" s="1"/>
  <c r="DA51" i="1" s="1"/>
  <c r="CG283" i="1"/>
  <c r="Z185" i="1"/>
  <c r="CH185" i="1" s="1"/>
  <c r="Z284" i="1"/>
  <c r="Z225" i="1"/>
  <c r="CH190" i="1"/>
  <c r="CH155" i="1"/>
  <c r="CL213" i="1"/>
  <c r="CL199" i="1"/>
  <c r="CH148" i="1"/>
  <c r="CM51" i="1"/>
  <c r="CQ51" i="1" s="1"/>
  <c r="CU51" i="1" s="1"/>
  <c r="CY51" i="1" s="1"/>
  <c r="X165" i="1"/>
  <c r="X151" i="1"/>
  <c r="X206" i="1" s="1"/>
  <c r="CJ262" i="1"/>
  <c r="CJ41" i="1"/>
  <c r="CK57" i="1"/>
  <c r="KB20" i="4"/>
  <c r="CH171" i="1"/>
  <c r="AA233" i="1"/>
  <c r="CJ210" i="1"/>
  <c r="CK210" i="1" s="1"/>
  <c r="JV16" i="4"/>
  <c r="JV21" i="4" s="1"/>
  <c r="CJ214" i="1"/>
  <c r="CK214" i="1" s="1"/>
  <c r="KG16" i="4"/>
  <c r="KG21" i="4" s="1"/>
  <c r="JX16" i="4" s="1"/>
  <c r="JX21" i="4" s="1"/>
  <c r="JW9" i="4" s="1"/>
  <c r="JW16" i="4" s="1"/>
  <c r="JW21" i="4" s="1"/>
  <c r="CP156" i="1"/>
  <c r="CQ156" i="1" s="1"/>
  <c r="JY16" i="4"/>
  <c r="JY21" i="4" s="1"/>
  <c r="JX14" i="4" s="1"/>
  <c r="KB9" i="4" s="1"/>
  <c r="CL48" i="1"/>
  <c r="CL59" i="1"/>
  <c r="CL277" i="1"/>
  <c r="CL279" i="1"/>
  <c r="CL212" i="1"/>
  <c r="CL217" i="1"/>
  <c r="JS21" i="4"/>
  <c r="JQ15" i="4" s="1"/>
  <c r="JQ20" i="4" s="1"/>
  <c r="CK110" i="1" s="1"/>
  <c r="CJ211" i="1"/>
  <c r="CK211" i="1" s="1"/>
  <c r="CM211" i="1" s="1"/>
  <c r="CN211" i="1" s="1"/>
  <c r="CO211" i="1" s="1"/>
  <c r="CP211" i="1" s="1"/>
  <c r="CQ211" i="1" s="1"/>
  <c r="CR211" i="1" s="1"/>
  <c r="JO21" i="4"/>
  <c r="CI108" i="1" s="1"/>
  <c r="CL129" i="1"/>
  <c r="CL130" i="1" s="1"/>
  <c r="JX19" i="4"/>
  <c r="JN21" i="4"/>
  <c r="CH108" i="1" s="1"/>
  <c r="JP21" i="4"/>
  <c r="CJ108" i="1" s="1"/>
  <c r="CH283" i="1"/>
  <c r="X214" i="1"/>
  <c r="CJ163" i="1"/>
  <c r="CL188" i="1"/>
  <c r="CL196" i="1" s="1"/>
  <c r="CL160" i="1"/>
  <c r="CL123" i="1"/>
  <c r="CL43" i="1"/>
  <c r="X211" i="1"/>
  <c r="Z233" i="1"/>
  <c r="CJ192" i="1"/>
  <c r="CK240" i="1" s="1"/>
  <c r="KC21" i="4"/>
  <c r="X159" i="1"/>
  <c r="CN51" i="1"/>
  <c r="CR51" i="1" s="1"/>
  <c r="CV51" i="1" s="1"/>
  <c r="CZ51" i="1" s="1"/>
  <c r="CJ57" i="1"/>
  <c r="Z283" i="1"/>
  <c r="Y187" i="1"/>
  <c r="Y179" i="1"/>
  <c r="Z41" i="1"/>
  <c r="CK155" i="1"/>
  <c r="CJ159" i="1"/>
  <c r="CK194" i="1"/>
  <c r="CM194" i="1" s="1"/>
  <c r="CN194" i="1" s="1"/>
  <c r="CO194" i="1" s="1"/>
  <c r="CP194" i="1" s="1"/>
  <c r="CQ194" i="1" s="1"/>
  <c r="CR194" i="1" s="1"/>
  <c r="CS194" i="1" s="1"/>
  <c r="CT194" i="1" s="1"/>
  <c r="CU194" i="1" s="1"/>
  <c r="CV194" i="1" s="1"/>
  <c r="CW194" i="1" s="1"/>
  <c r="CX194" i="1" s="1"/>
  <c r="CY194" i="1" s="1"/>
  <c r="CZ194" i="1" s="1"/>
  <c r="DA194" i="1" s="1"/>
  <c r="DB194" i="1" s="1"/>
  <c r="CK148" i="1"/>
  <c r="CM148" i="1" s="1"/>
  <c r="CN148" i="1" s="1"/>
  <c r="CO148" i="1" s="1"/>
  <c r="CP148" i="1" s="1"/>
  <c r="CQ148" i="1" s="1"/>
  <c r="CR148" i="1" s="1"/>
  <c r="CS148" i="1" s="1"/>
  <c r="CT148" i="1" s="1"/>
  <c r="CU148" i="1" s="1"/>
  <c r="CV148" i="1" s="1"/>
  <c r="CW148" i="1" s="1"/>
  <c r="CX148" i="1" s="1"/>
  <c r="CY148" i="1" s="1"/>
  <c r="CZ148" i="1" s="1"/>
  <c r="DA148" i="1" s="1"/>
  <c r="DB148" i="1" s="1"/>
  <c r="CJ151" i="1"/>
  <c r="CJ123" i="1" s="1"/>
  <c r="CK64" i="1"/>
  <c r="CJ169" i="1"/>
  <c r="CJ187" i="1"/>
  <c r="CJ216" i="1" s="1"/>
  <c r="KD21" i="4"/>
  <c r="CG225" i="1"/>
  <c r="CG284" i="1"/>
  <c r="Z151" i="1"/>
  <c r="CI57" i="1"/>
  <c r="CH175" i="1"/>
  <c r="CH210" i="1" s="1"/>
  <c r="CI210" i="1" s="1"/>
  <c r="Z210" i="1"/>
  <c r="CK96" i="1"/>
  <c r="X283" i="1"/>
  <c r="CH225" i="1"/>
  <c r="CH284" i="1"/>
  <c r="CH180" i="1"/>
  <c r="JT20" i="4"/>
  <c r="KE19" i="4"/>
  <c r="KH21" i="4"/>
  <c r="X179" i="1"/>
  <c r="Y283" i="1"/>
  <c r="CH41" i="1"/>
  <c r="CL42" i="1" s="1"/>
  <c r="CH262" i="1"/>
  <c r="CK129" i="1"/>
  <c r="CK130" i="1" s="1"/>
  <c r="CJ225" i="1"/>
  <c r="CJ284" i="1"/>
  <c r="CJ179" i="1"/>
  <c r="CJ213" i="1" s="1"/>
  <c r="CK171" i="1"/>
  <c r="CL233" i="1" s="1"/>
  <c r="JZ19" i="4"/>
  <c r="JY20" i="4"/>
  <c r="KG20" i="4"/>
  <c r="Y225" i="1"/>
  <c r="Y284" i="1"/>
  <c r="X284" i="1"/>
  <c r="X225" i="1"/>
  <c r="Y159" i="1"/>
  <c r="Y68" i="1" s="1"/>
  <c r="CG262" i="1"/>
  <c r="CJ129" i="1"/>
  <c r="CJ130" i="1" s="1"/>
  <c r="CG41" i="1"/>
  <c r="Y151" i="1"/>
  <c r="Y165" i="1"/>
  <c r="X204" i="1"/>
  <c r="X192" i="1"/>
  <c r="JU20" i="4"/>
  <c r="KD19" i="4"/>
  <c r="JZ20" i="4"/>
  <c r="KE21" i="4"/>
  <c r="JR19" i="4"/>
  <c r="CL109" i="1" s="1"/>
  <c r="KC19" i="4"/>
  <c r="JQ21" i="4"/>
  <c r="CK108" i="1" s="1"/>
  <c r="CI284" i="1"/>
  <c r="Y204" i="1"/>
  <c r="CI262" i="1"/>
  <c r="CI41" i="1"/>
  <c r="CG57" i="1"/>
  <c r="X187" i="1"/>
  <c r="JY19" i="4"/>
  <c r="JR20" i="4"/>
  <c r="CL110" i="1" s="1"/>
  <c r="Y57" i="1"/>
  <c r="Z57" i="1"/>
  <c r="Z192" i="1"/>
  <c r="AA240" i="1" s="1"/>
  <c r="Z159" i="1"/>
  <c r="X57" i="1"/>
  <c r="X58" i="1" s="1"/>
  <c r="KD20" i="4"/>
  <c r="KH20" i="4"/>
  <c r="JT21" i="4"/>
  <c r="JX20" i="4"/>
  <c r="JR21" i="4"/>
  <c r="KF21" i="4"/>
  <c r="KB19" i="4"/>
  <c r="JS20" i="4"/>
  <c r="JP20" i="4"/>
  <c r="CJ110" i="1" s="1"/>
  <c r="JO19" i="4"/>
  <c r="CI109" i="1" s="1"/>
  <c r="CH179" i="1"/>
  <c r="Z213" i="1"/>
  <c r="KA20" i="4"/>
  <c r="KA19" i="4"/>
  <c r="JV19" i="4"/>
  <c r="KF20" i="4"/>
  <c r="JS19" i="4"/>
  <c r="AB76" i="1"/>
  <c r="CJ138" i="1"/>
  <c r="JV20" i="4"/>
  <c r="Y129" i="1"/>
  <c r="Y47" i="1"/>
  <c r="Y42" i="1"/>
  <c r="Y219" i="1"/>
  <c r="AB164" i="1"/>
  <c r="CQ164" i="1"/>
  <c r="CR164" i="1" s="1"/>
  <c r="CS164" i="1" s="1"/>
  <c r="CT164" i="1" s="1"/>
  <c r="CR76" i="1"/>
  <c r="CS76" i="1" s="1"/>
  <c r="CT76" i="1" s="1"/>
  <c r="CU76" i="1" s="1"/>
  <c r="CK48" i="1"/>
  <c r="KF19" i="4"/>
  <c r="Z165" i="1"/>
  <c r="CH162" i="1"/>
  <c r="Z279" i="1"/>
  <c r="JT19" i="4"/>
  <c r="X129" i="1"/>
  <c r="X47" i="1"/>
  <c r="KC20" i="4"/>
  <c r="JU19" i="4"/>
  <c r="CH94" i="1"/>
  <c r="CI96" i="1"/>
  <c r="CI139" i="1" s="1"/>
  <c r="Z68" i="1"/>
  <c r="CF225" i="1"/>
  <c r="CE225" i="1"/>
  <c r="CC225" i="1"/>
  <c r="CB225" i="1"/>
  <c r="BZ225" i="1"/>
  <c r="BY225" i="1"/>
  <c r="BZ156" i="1"/>
  <c r="CA156" i="1" s="1"/>
  <c r="BL104" i="1"/>
  <c r="CF105" i="1"/>
  <c r="CB177" i="1"/>
  <c r="CC177" i="1" s="1"/>
  <c r="CD184" i="1"/>
  <c r="CD214" i="1" s="1"/>
  <c r="CE214" i="1" s="1"/>
  <c r="CB195" i="1"/>
  <c r="CC195" i="1" s="1"/>
  <c r="BL155" i="1"/>
  <c r="BM155" i="1" s="1"/>
  <c r="CD164" i="1"/>
  <c r="CD155" i="1"/>
  <c r="CE155" i="1" s="1"/>
  <c r="CF158" i="1"/>
  <c r="CG158" i="1" s="1"/>
  <c r="CB158" i="1"/>
  <c r="CC158" i="1" s="1"/>
  <c r="CB183" i="1"/>
  <c r="CC183" i="1" s="1"/>
  <c r="CB175" i="1"/>
  <c r="CB210" i="1" s="1"/>
  <c r="CC210" i="1" s="1"/>
  <c r="BZ184" i="1"/>
  <c r="BZ214" i="1" s="1"/>
  <c r="CA214" i="1" s="1"/>
  <c r="BZ195" i="1"/>
  <c r="CA195" i="1" s="1"/>
  <c r="BZ185" i="1"/>
  <c r="CA185" i="1" s="1"/>
  <c r="BZ191" i="1"/>
  <c r="BZ181" i="1"/>
  <c r="CA181" i="1" s="1"/>
  <c r="BZ163" i="1"/>
  <c r="BL176" i="1"/>
  <c r="BL211" i="1" s="1"/>
  <c r="BM211" i="1" s="1"/>
  <c r="BL184" i="1"/>
  <c r="BL214" i="1" s="1"/>
  <c r="BM214" i="1" s="1"/>
  <c r="BL153" i="1"/>
  <c r="BM153" i="1" s="1"/>
  <c r="CA104" i="1"/>
  <c r="CF104" i="1"/>
  <c r="CF177" i="1"/>
  <c r="CG177" i="1" s="1"/>
  <c r="CF164" i="1"/>
  <c r="CB105" i="1"/>
  <c r="CF175" i="1"/>
  <c r="CF210" i="1" s="1"/>
  <c r="CG210" i="1" s="1"/>
  <c r="CF153" i="1"/>
  <c r="CG153" i="1" s="1"/>
  <c r="CB180" i="1"/>
  <c r="CC180" i="1" s="1"/>
  <c r="CF195" i="1"/>
  <c r="CG195" i="1" s="1"/>
  <c r="CB156" i="1"/>
  <c r="CC156" i="1" s="1"/>
  <c r="CB194" i="1"/>
  <c r="CC194" i="1" s="1"/>
  <c r="CD105" i="1"/>
  <c r="CB190" i="1"/>
  <c r="CD176" i="1"/>
  <c r="CD211" i="1" s="1"/>
  <c r="CE211" i="1" s="1"/>
  <c r="CD153" i="1"/>
  <c r="CE153" i="1" s="1"/>
  <c r="BL156" i="1"/>
  <c r="CD162" i="1"/>
  <c r="CD182" i="1"/>
  <c r="CE182" i="1" s="1"/>
  <c r="CD190" i="1"/>
  <c r="CD173" i="1"/>
  <c r="CE173" i="1" s="1"/>
  <c r="CF171" i="1"/>
  <c r="CF157" i="1"/>
  <c r="CG157" i="1" s="1"/>
  <c r="CB173" i="1"/>
  <c r="CC173" i="1" s="1"/>
  <c r="BL185" i="1"/>
  <c r="BM185" i="1" s="1"/>
  <c r="BL194" i="1"/>
  <c r="BM194" i="1" s="1"/>
  <c r="BL195" i="1"/>
  <c r="CB157" i="1"/>
  <c r="CC157" i="1" s="1"/>
  <c r="CE105" i="1"/>
  <c r="BZ190" i="1"/>
  <c r="BZ194" i="1"/>
  <c r="CA194" i="1" s="1"/>
  <c r="BZ150" i="1"/>
  <c r="BZ158" i="1"/>
  <c r="CA158" i="1" s="1"/>
  <c r="CF176" i="1"/>
  <c r="CF211" i="1" s="1"/>
  <c r="CG211" i="1" s="1"/>
  <c r="CF163" i="1"/>
  <c r="CF180" i="1"/>
  <c r="CB150" i="1"/>
  <c r="CB176" i="1"/>
  <c r="CB211" i="1" s="1"/>
  <c r="CC211" i="1" s="1"/>
  <c r="CD191" i="1"/>
  <c r="CD183" i="1"/>
  <c r="CE183" i="1" s="1"/>
  <c r="CB104" i="1"/>
  <c r="BZ186" i="1"/>
  <c r="CA186" i="1" s="1"/>
  <c r="BZ164" i="1"/>
  <c r="BZ148" i="1"/>
  <c r="BZ178" i="1"/>
  <c r="CA178" i="1" s="1"/>
  <c r="BZ105" i="1"/>
  <c r="BZ155" i="1"/>
  <c r="CA155" i="1" s="1"/>
  <c r="BZ157" i="1"/>
  <c r="CA157" i="1" s="1"/>
  <c r="BZ173" i="1"/>
  <c r="CA173" i="1" s="1"/>
  <c r="BZ162" i="1"/>
  <c r="BL164" i="1"/>
  <c r="BL180" i="1"/>
  <c r="BM180" i="1" s="1"/>
  <c r="CF155" i="1"/>
  <c r="CF184" i="1"/>
  <c r="CF214" i="1" s="1"/>
  <c r="CG214" i="1" s="1"/>
  <c r="CG184" i="1" s="1"/>
  <c r="CD185" i="1"/>
  <c r="CE185" i="1" s="1"/>
  <c r="CF185" i="1"/>
  <c r="CG185" i="1" s="1"/>
  <c r="CB162" i="1"/>
  <c r="CB185" i="1"/>
  <c r="CC185" i="1" s="1"/>
  <c r="BY105" i="1"/>
  <c r="CD194" i="1"/>
  <c r="CE194" i="1" s="1"/>
  <c r="CD166" i="1"/>
  <c r="CE166" i="1" s="1"/>
  <c r="BL191" i="1"/>
  <c r="CB184" i="1"/>
  <c r="CB214" i="1" s="1"/>
  <c r="CC214" i="1" s="1"/>
  <c r="CB149" i="1"/>
  <c r="CC149" i="1" s="1"/>
  <c r="BL181" i="1"/>
  <c r="BM181" i="1" s="1"/>
  <c r="CD158" i="1"/>
  <c r="CE158" i="1" s="1"/>
  <c r="CD178" i="1"/>
  <c r="CE178" i="1" s="1"/>
  <c r="CD150" i="1"/>
  <c r="CD177" i="1"/>
  <c r="CE177" i="1" s="1"/>
  <c r="CD186" i="1"/>
  <c r="CE186" i="1" s="1"/>
  <c r="CD171" i="1"/>
  <c r="CE171" i="1" s="1"/>
  <c r="CF148" i="1"/>
  <c r="CF149" i="1"/>
  <c r="CG149" i="1" s="1"/>
  <c r="CF182" i="1"/>
  <c r="CG182" i="1" s="1"/>
  <c r="CF194" i="1"/>
  <c r="CG194" i="1" s="1"/>
  <c r="CB191" i="1"/>
  <c r="CB171" i="1"/>
  <c r="AI105" i="1"/>
  <c r="BL178" i="1"/>
  <c r="BM178" i="1" s="1"/>
  <c r="BL166" i="1"/>
  <c r="BM166" i="1" s="1"/>
  <c r="BL157" i="1"/>
  <c r="BM157" i="1" s="1"/>
  <c r="CB155" i="1"/>
  <c r="CC155" i="1" s="1"/>
  <c r="BL177" i="1"/>
  <c r="BM177" i="1" s="1"/>
  <c r="BZ166" i="1"/>
  <c r="CA166" i="1" s="1"/>
  <c r="BZ104" i="1"/>
  <c r="BL183" i="1"/>
  <c r="BM183" i="1" s="1"/>
  <c r="CB163" i="1"/>
  <c r="CF178" i="1"/>
  <c r="CG178" i="1" s="1"/>
  <c r="CB178" i="1"/>
  <c r="CC178" i="1" s="1"/>
  <c r="CD104" i="1"/>
  <c r="CC105" i="1"/>
  <c r="CD149" i="1"/>
  <c r="CE149" i="1" s="1"/>
  <c r="BL150" i="1"/>
  <c r="CD156" i="1"/>
  <c r="CE156" i="1" s="1"/>
  <c r="CF190" i="1"/>
  <c r="CF183" i="1"/>
  <c r="CG183" i="1" s="1"/>
  <c r="CE104" i="1"/>
  <c r="BZ176" i="1"/>
  <c r="BZ211" i="1" s="1"/>
  <c r="CA211" i="1" s="1"/>
  <c r="BZ153" i="1"/>
  <c r="CA153" i="1" s="1"/>
  <c r="BZ175" i="1"/>
  <c r="BZ210" i="1" s="1"/>
  <c r="CA210" i="1" s="1"/>
  <c r="BZ149" i="1"/>
  <c r="CA149" i="1" s="1"/>
  <c r="BZ180" i="1"/>
  <c r="BZ182" i="1"/>
  <c r="CA182" i="1" s="1"/>
  <c r="BZ177" i="1"/>
  <c r="CA177" i="1" s="1"/>
  <c r="BZ171" i="1"/>
  <c r="CA171" i="1" s="1"/>
  <c r="BZ183" i="1"/>
  <c r="CA183" i="1" s="1"/>
  <c r="BL186" i="1"/>
  <c r="BM186" i="1" s="1"/>
  <c r="BL175" i="1"/>
  <c r="BL210" i="1" s="1"/>
  <c r="BM210" i="1" s="1"/>
  <c r="BL162" i="1"/>
  <c r="BL163" i="1"/>
  <c r="CA105" i="1"/>
  <c r="CF186" i="1"/>
  <c r="CG186" i="1" s="1"/>
  <c r="CF181" i="1"/>
  <c r="CG181" i="1" s="1"/>
  <c r="CF191" i="1"/>
  <c r="CB148" i="1"/>
  <c r="CC148" i="1" s="1"/>
  <c r="CF162" i="1"/>
  <c r="CF150" i="1"/>
  <c r="CF156" i="1"/>
  <c r="CG156" i="1" s="1"/>
  <c r="CD157" i="1"/>
  <c r="CE157" i="1" s="1"/>
  <c r="CB186" i="1"/>
  <c r="CC186" i="1" s="1"/>
  <c r="CB166" i="1"/>
  <c r="CC166" i="1" s="1"/>
  <c r="CB182" i="1"/>
  <c r="CC182" i="1" s="1"/>
  <c r="CD148" i="1"/>
  <c r="BL171" i="1"/>
  <c r="CB164" i="1"/>
  <c r="BL158" i="1"/>
  <c r="BM158" i="1" s="1"/>
  <c r="CD163" i="1"/>
  <c r="CD175" i="1"/>
  <c r="CD210" i="1" s="1"/>
  <c r="CE210" i="1" s="1"/>
  <c r="CD181" i="1"/>
  <c r="CE181" i="1" s="1"/>
  <c r="CD180" i="1"/>
  <c r="CE180" i="1" s="1"/>
  <c r="CD195" i="1"/>
  <c r="CE195" i="1" s="1"/>
  <c r="CF166" i="1"/>
  <c r="CG166" i="1" s="1"/>
  <c r="CF173" i="1"/>
  <c r="CG173" i="1" s="1"/>
  <c r="CC104" i="1"/>
  <c r="CB181" i="1"/>
  <c r="CC181" i="1" s="1"/>
  <c r="CB153" i="1"/>
  <c r="CC153" i="1" s="1"/>
  <c r="BL190" i="1"/>
  <c r="BL148" i="1"/>
  <c r="BM148" i="1" s="1"/>
  <c r="BL182" i="1"/>
  <c r="BM182" i="1" s="1"/>
  <c r="BL173" i="1"/>
  <c r="BM173" i="1" s="1"/>
  <c r="BL149" i="1"/>
  <c r="BM149" i="1" s="1"/>
  <c r="BL284" i="1"/>
  <c r="CH129" i="1"/>
  <c r="CB168" i="1"/>
  <c r="CC168" i="1" s="1"/>
  <c r="CF168" i="1"/>
  <c r="CG168" i="1" s="1"/>
  <c r="CD168" i="1"/>
  <c r="CE168" i="1" s="1"/>
  <c r="BL168" i="1"/>
  <c r="BM168" i="1" s="1"/>
  <c r="BZ168" i="1"/>
  <c r="CA168" i="1" s="1"/>
  <c r="BL174" i="1"/>
  <c r="CD174" i="1"/>
  <c r="CB174" i="1"/>
  <c r="CF174" i="1"/>
  <c r="BZ174" i="1"/>
  <c r="CA283" i="1"/>
  <c r="JJ21" i="4"/>
  <c r="CD108" i="1" s="1"/>
  <c r="CA41" i="1"/>
  <c r="CA47" i="1" s="1"/>
  <c r="CA48" i="1" s="1"/>
  <c r="JK14" i="4"/>
  <c r="BL41" i="1"/>
  <c r="BL47" i="1" s="1"/>
  <c r="BY41" i="1"/>
  <c r="BY47" i="1" s="1"/>
  <c r="BL225" i="1"/>
  <c r="CF41" i="1"/>
  <c r="CF283" i="1"/>
  <c r="JL21" i="4"/>
  <c r="CF108" i="1" s="1"/>
  <c r="CF129" i="1"/>
  <c r="CB57" i="1"/>
  <c r="CE262" i="1"/>
  <c r="CC284" i="1"/>
  <c r="CA57" i="1"/>
  <c r="CE283" i="1"/>
  <c r="CC283" i="1"/>
  <c r="JM7" i="4"/>
  <c r="CA284" i="1"/>
  <c r="JJ8" i="4"/>
  <c r="CF57" i="1"/>
  <c r="BZ283" i="1"/>
  <c r="BZ41" i="1"/>
  <c r="CA225" i="1"/>
  <c r="CD284" i="1"/>
  <c r="CB129" i="1"/>
  <c r="JK21" i="4"/>
  <c r="CE108" i="1" s="1"/>
  <c r="JK15" i="4"/>
  <c r="CD283" i="1"/>
  <c r="JL14" i="4"/>
  <c r="CC57" i="1"/>
  <c r="BY57" i="1"/>
  <c r="CI129" i="1"/>
  <c r="CF262" i="1"/>
  <c r="BY284" i="1"/>
  <c r="JL8" i="4"/>
  <c r="CE57" i="1"/>
  <c r="BL283" i="1"/>
  <c r="CE129" i="1"/>
  <c r="CD41" i="1"/>
  <c r="CD47" i="1" s="1"/>
  <c r="CC41" i="1"/>
  <c r="CD225" i="1"/>
  <c r="CE41" i="1"/>
  <c r="CG129" i="1"/>
  <c r="CD129" i="1"/>
  <c r="CB41" i="1"/>
  <c r="CB47" i="1" s="1"/>
  <c r="CB283" i="1"/>
  <c r="CC129" i="1"/>
  <c r="JJ15" i="4"/>
  <c r="CB284" i="1"/>
  <c r="BY283" i="1"/>
  <c r="CD57" i="1"/>
  <c r="JM8" i="4"/>
  <c r="JL7" i="4"/>
  <c r="CF284" i="1"/>
  <c r="JJ7" i="4"/>
  <c r="JK8" i="4"/>
  <c r="JM21" i="4"/>
  <c r="CG108" i="1" s="1"/>
  <c r="BZ284" i="1"/>
  <c r="CE284" i="1"/>
  <c r="JK7" i="4"/>
  <c r="BL57" i="1"/>
  <c r="JL15" i="4"/>
  <c r="BZ57" i="1"/>
  <c r="JM14" i="4"/>
  <c r="JM15" i="4"/>
  <c r="JJ14" i="4"/>
  <c r="AD77" i="1"/>
  <c r="CZ77" i="1"/>
  <c r="DA77" i="1" s="1"/>
  <c r="DB77" i="1" s="1"/>
  <c r="AE66" i="1"/>
  <c r="U39" i="1"/>
  <c r="V39" i="1"/>
  <c r="W39" i="1"/>
  <c r="Z240" i="1" l="1"/>
  <c r="KB21" i="4"/>
  <c r="Y58" i="1"/>
  <c r="CK133" i="1"/>
  <c r="Y206" i="1"/>
  <c r="CI43" i="1"/>
  <c r="CH47" i="1"/>
  <c r="CL49" i="1" s="1"/>
  <c r="CK138" i="1"/>
  <c r="Y240" i="1"/>
  <c r="Y160" i="1"/>
  <c r="CG176" i="1"/>
  <c r="AA89" i="1"/>
  <c r="CI171" i="1"/>
  <c r="CJ233" i="1" s="1"/>
  <c r="CI233" i="1"/>
  <c r="X169" i="1"/>
  <c r="X64" i="1"/>
  <c r="Y279" i="1"/>
  <c r="CK58" i="1"/>
  <c r="CH192" i="1"/>
  <c r="CH187" i="1"/>
  <c r="CH216" i="1" s="1"/>
  <c r="CH215" i="1" s="1"/>
  <c r="CI215" i="1" s="1"/>
  <c r="CI183" i="1" s="1"/>
  <c r="X160" i="1"/>
  <c r="X199" i="1"/>
  <c r="X140" i="1" s="1"/>
  <c r="CK43" i="1"/>
  <c r="CJ47" i="1"/>
  <c r="Z187" i="1"/>
  <c r="CK135" i="1"/>
  <c r="CK139" i="1"/>
  <c r="CI155" i="1"/>
  <c r="CI159" i="1" s="1"/>
  <c r="CH159" i="1"/>
  <c r="CH58" i="1"/>
  <c r="CI148" i="1"/>
  <c r="CH151" i="1"/>
  <c r="CK59" i="1"/>
  <c r="X279" i="1"/>
  <c r="Y237" i="1"/>
  <c r="Y199" i="1"/>
  <c r="Y140" i="1" s="1"/>
  <c r="Y280" i="1"/>
  <c r="CK159" i="1"/>
  <c r="Y213" i="1"/>
  <c r="Y188" i="1"/>
  <c r="Z227" i="1"/>
  <c r="CR156" i="1"/>
  <c r="CJ279" i="1"/>
  <c r="CS211" i="1"/>
  <c r="CJ125" i="1"/>
  <c r="CJ215" i="1"/>
  <c r="CJ133" i="1"/>
  <c r="Z58" i="1"/>
  <c r="CK134" i="1"/>
  <c r="Y216" i="1"/>
  <c r="Y215" i="1" s="1"/>
  <c r="CI47" i="1"/>
  <c r="CJ43" i="1"/>
  <c r="Y64" i="1"/>
  <c r="Y169" i="1"/>
  <c r="Y277" i="1" s="1"/>
  <c r="Z219" i="1"/>
  <c r="Z42" i="1"/>
  <c r="Z47" i="1"/>
  <c r="AA49" i="1" s="1"/>
  <c r="Z129" i="1"/>
  <c r="CG175" i="1"/>
  <c r="CI130" i="1"/>
  <c r="CI133" i="1" s="1"/>
  <c r="AA219" i="1"/>
  <c r="AA42" i="1"/>
  <c r="Z206" i="1"/>
  <c r="AA238" i="1"/>
  <c r="AA280" i="1"/>
  <c r="AA237" i="1"/>
  <c r="CL60" i="1"/>
  <c r="CL65" i="1"/>
  <c r="CL69" i="1" s="1"/>
  <c r="CL263" i="1"/>
  <c r="CL264" i="1" s="1"/>
  <c r="CJ162" i="1"/>
  <c r="CK162" i="1" s="1"/>
  <c r="CK163" i="1"/>
  <c r="CL163" i="1" s="1"/>
  <c r="CL162" i="1" s="1"/>
  <c r="CJ217" i="1"/>
  <c r="CJ212" i="1"/>
  <c r="CL138" i="1"/>
  <c r="CL126" i="1"/>
  <c r="CL275" i="1"/>
  <c r="CL256" i="1"/>
  <c r="CJ219" i="1"/>
  <c r="CL127" i="1"/>
  <c r="CL135" i="1"/>
  <c r="CL139" i="1"/>
  <c r="JZ16" i="4"/>
  <c r="JZ21" i="4" s="1"/>
  <c r="CL108" i="1"/>
  <c r="CL134" i="1"/>
  <c r="CL197" i="1"/>
  <c r="CL219" i="1"/>
  <c r="X68" i="1"/>
  <c r="CJ277" i="1"/>
  <c r="X188" i="1"/>
  <c r="X196" i="1" s="1"/>
  <c r="X197" i="1" s="1"/>
  <c r="X216" i="1"/>
  <c r="X215" i="1" s="1"/>
  <c r="Y228" i="1"/>
  <c r="CI58" i="1"/>
  <c r="CK42" i="1"/>
  <c r="CH43" i="1"/>
  <c r="CG47" i="1"/>
  <c r="CJ256" i="1"/>
  <c r="CK233" i="1"/>
  <c r="X213" i="1"/>
  <c r="Y227" i="1"/>
  <c r="CJ134" i="1"/>
  <c r="CJ126" i="1"/>
  <c r="Z160" i="1"/>
  <c r="Z199" i="1"/>
  <c r="Z140" i="1" s="1"/>
  <c r="Z280" i="1"/>
  <c r="Z237" i="1"/>
  <c r="CG58" i="1"/>
  <c r="CJ58" i="1"/>
  <c r="CJ188" i="1"/>
  <c r="CJ196" i="1" s="1"/>
  <c r="CJ275" i="1"/>
  <c r="CJ160" i="1"/>
  <c r="AC76" i="1"/>
  <c r="CI138" i="1"/>
  <c r="CH165" i="1"/>
  <c r="CI162" i="1"/>
  <c r="CI165" i="1" s="1"/>
  <c r="CM155" i="1"/>
  <c r="Z169" i="1"/>
  <c r="Z64" i="1"/>
  <c r="CJ197" i="1"/>
  <c r="CV76" i="1"/>
  <c r="CW76" i="1" s="1"/>
  <c r="CX76" i="1" s="1"/>
  <c r="CY76" i="1" s="1"/>
  <c r="CZ76" i="1" s="1"/>
  <c r="DA76" i="1" s="1"/>
  <c r="DB76" i="1" s="1"/>
  <c r="AE76" i="1" s="1"/>
  <c r="Y48" i="1"/>
  <c r="Y59" i="1"/>
  <c r="Z49" i="1"/>
  <c r="CI50" i="1"/>
  <c r="CH48" i="1"/>
  <c r="CH59" i="1"/>
  <c r="CL61" i="1" s="1"/>
  <c r="CM214" i="1"/>
  <c r="CK237" i="1"/>
  <c r="CK280" i="1"/>
  <c r="CU164" i="1"/>
  <c r="CV164" i="1" s="1"/>
  <c r="CW164" i="1" s="1"/>
  <c r="CX164" i="1" s="1"/>
  <c r="AC164" i="1"/>
  <c r="CM171" i="1"/>
  <c r="CM233" i="1" s="1"/>
  <c r="CI59" i="1"/>
  <c r="CM210" i="1"/>
  <c r="X48" i="1"/>
  <c r="X59" i="1"/>
  <c r="Y49" i="1"/>
  <c r="Z48" i="1"/>
  <c r="Z59" i="1"/>
  <c r="CH213" i="1"/>
  <c r="CJ135" i="1"/>
  <c r="CJ139" i="1"/>
  <c r="CJ127" i="1"/>
  <c r="CG94" i="1"/>
  <c r="CH96" i="1"/>
  <c r="Z212" i="1"/>
  <c r="CK50" i="1"/>
  <c r="CJ59" i="1"/>
  <c r="CJ48" i="1"/>
  <c r="BZ192" i="1"/>
  <c r="BL192" i="1"/>
  <c r="CB233" i="1"/>
  <c r="CA148" i="1"/>
  <c r="BZ151" i="1"/>
  <c r="BL151" i="1"/>
  <c r="CB192" i="1"/>
  <c r="CC240" i="1" s="1"/>
  <c r="CG155" i="1"/>
  <c r="CG159" i="1" s="1"/>
  <c r="CF159" i="1"/>
  <c r="CD165" i="1"/>
  <c r="CE64" i="1" s="1"/>
  <c r="CC171" i="1"/>
  <c r="CD233" i="1" s="1"/>
  <c r="CC233" i="1"/>
  <c r="CE148" i="1"/>
  <c r="CD151" i="1"/>
  <c r="BM171" i="1"/>
  <c r="BM233" i="1" s="1"/>
  <c r="CD192" i="1"/>
  <c r="CF233" i="1"/>
  <c r="CE159" i="1"/>
  <c r="BM156" i="1"/>
  <c r="BM159" i="1" s="1"/>
  <c r="BL159" i="1"/>
  <c r="CG171" i="1"/>
  <c r="CG180" i="1"/>
  <c r="CG187" i="1" s="1"/>
  <c r="CF187" i="1"/>
  <c r="CF216" i="1" s="1"/>
  <c r="CF215" i="1" s="1"/>
  <c r="CG148" i="1"/>
  <c r="CF151" i="1"/>
  <c r="CA180" i="1"/>
  <c r="BZ187" i="1"/>
  <c r="BZ216" i="1" s="1"/>
  <c r="BZ215" i="1" s="1"/>
  <c r="BZ165" i="1"/>
  <c r="BZ169" i="1" s="1"/>
  <c r="CA159" i="1"/>
  <c r="CB165" i="1"/>
  <c r="CF192" i="1"/>
  <c r="BL165" i="1"/>
  <c r="CF165" i="1"/>
  <c r="CF169" i="1" s="1"/>
  <c r="CC159" i="1"/>
  <c r="CB159" i="1"/>
  <c r="CE233" i="1"/>
  <c r="BZ159" i="1"/>
  <c r="CB187" i="1"/>
  <c r="CB216" i="1" s="1"/>
  <c r="CB215" i="1" s="1"/>
  <c r="BL187" i="1"/>
  <c r="BL216" i="1" s="1"/>
  <c r="BL215" i="1" s="1"/>
  <c r="CD187" i="1"/>
  <c r="CD216" i="1" s="1"/>
  <c r="CD215" i="1" s="1"/>
  <c r="CB151" i="1"/>
  <c r="CD159" i="1"/>
  <c r="BM174" i="1"/>
  <c r="BL179" i="1"/>
  <c r="CE174" i="1"/>
  <c r="CD179" i="1"/>
  <c r="CC174" i="1"/>
  <c r="CB179" i="1"/>
  <c r="CG174" i="1"/>
  <c r="CF179" i="1"/>
  <c r="CA174" i="1"/>
  <c r="BZ179" i="1"/>
  <c r="CA58" i="1"/>
  <c r="CA43" i="1"/>
  <c r="JK19" i="4"/>
  <c r="CE109" i="1" s="1"/>
  <c r="BL58" i="1"/>
  <c r="CC42" i="1"/>
  <c r="CC58" i="1"/>
  <c r="CI256" i="1"/>
  <c r="CF47" i="1"/>
  <c r="CG43" i="1"/>
  <c r="CJ42" i="1"/>
  <c r="BY58" i="1"/>
  <c r="JL20" i="4"/>
  <c r="CF110" i="1" s="1"/>
  <c r="BZ47" i="1"/>
  <c r="CD49" i="1" s="1"/>
  <c r="CF58" i="1"/>
  <c r="Y89" i="1"/>
  <c r="JJ19" i="4"/>
  <c r="CD109" i="1" s="1"/>
  <c r="JM20" i="4"/>
  <c r="CG110" i="1" s="1"/>
  <c r="CD58" i="1"/>
  <c r="JM19" i="4"/>
  <c r="CG109" i="1" s="1"/>
  <c r="CE184" i="1"/>
  <c r="CE187" i="1" s="1"/>
  <c r="CE216" i="1" s="1"/>
  <c r="CE215" i="1" s="1"/>
  <c r="JJ20" i="4"/>
  <c r="CD110" i="1" s="1"/>
  <c r="JL19" i="4"/>
  <c r="CF109" i="1" s="1"/>
  <c r="JK20" i="4"/>
  <c r="CE110" i="1" s="1"/>
  <c r="CA59" i="1"/>
  <c r="CA263" i="1" s="1"/>
  <c r="CA264" i="1" s="1"/>
  <c r="CD219" i="1"/>
  <c r="CD42" i="1"/>
  <c r="BZ43" i="1"/>
  <c r="CD256" i="1"/>
  <c r="BZ58" i="1"/>
  <c r="CE175" i="1"/>
  <c r="CE219" i="1"/>
  <c r="CG219" i="1"/>
  <c r="CF42" i="1"/>
  <c r="CH256" i="1"/>
  <c r="CE58" i="1"/>
  <c r="CC47" i="1"/>
  <c r="CC50" i="1" s="1"/>
  <c r="CF256" i="1"/>
  <c r="CB43" i="1"/>
  <c r="Z89" i="1"/>
  <c r="CE42" i="1"/>
  <c r="CG256" i="1"/>
  <c r="CF43" i="1"/>
  <c r="CF219" i="1"/>
  <c r="CE256" i="1"/>
  <c r="CC43" i="1"/>
  <c r="CC256" i="1"/>
  <c r="CE176" i="1"/>
  <c r="CB58" i="1"/>
  <c r="CB48" i="1"/>
  <c r="CB59" i="1"/>
  <c r="CB50" i="1"/>
  <c r="CD59" i="1"/>
  <c r="CD43" i="1"/>
  <c r="CH42" i="1"/>
  <c r="CI219" i="1"/>
  <c r="CI134" i="1"/>
  <c r="CE47" i="1"/>
  <c r="CE50" i="1" s="1"/>
  <c r="CI42" i="1"/>
  <c r="CD48" i="1"/>
  <c r="CI135" i="1"/>
  <c r="CG42" i="1"/>
  <c r="CE43" i="1"/>
  <c r="CH219" i="1"/>
  <c r="CA233" i="1"/>
  <c r="BL48" i="1"/>
  <c r="BL59" i="1"/>
  <c r="BY48" i="1"/>
  <c r="BY59" i="1"/>
  <c r="AE77" i="1"/>
  <c r="V262" i="1"/>
  <c r="W262" i="1"/>
  <c r="U262" i="1"/>
  <c r="CJ237" i="1" l="1"/>
  <c r="CH49" i="1"/>
  <c r="Z216" i="1"/>
  <c r="AA228" i="1"/>
  <c r="AA229" i="1" s="1"/>
  <c r="AA230" i="1" s="1"/>
  <c r="CK215" i="1"/>
  <c r="CM215" i="1" s="1"/>
  <c r="CN215" i="1" s="1"/>
  <c r="CO215" i="1" s="1"/>
  <c r="CP215" i="1" s="1"/>
  <c r="CQ215" i="1" s="1"/>
  <c r="CJ280" i="1"/>
  <c r="CL237" i="1"/>
  <c r="CL280" i="1"/>
  <c r="CL281" i="1"/>
  <c r="CL62" i="1"/>
  <c r="CI216" i="1"/>
  <c r="Y234" i="1"/>
  <c r="Y232" i="1" s="1"/>
  <c r="Y196" i="1"/>
  <c r="Y197" i="1" s="1"/>
  <c r="Y275" i="1"/>
  <c r="Y212" i="1"/>
  <c r="Y217" i="1"/>
  <c r="CI48" i="1"/>
  <c r="CJ50" i="1"/>
  <c r="CK60" i="1"/>
  <c r="CK65" i="1"/>
  <c r="CH199" i="1"/>
  <c r="CH160" i="1"/>
  <c r="Z188" i="1"/>
  <c r="Z228" i="1"/>
  <c r="Z229" i="1" s="1"/>
  <c r="CH188" i="1"/>
  <c r="CI280" i="1"/>
  <c r="CI237" i="1"/>
  <c r="CK49" i="1"/>
  <c r="CG48" i="1"/>
  <c r="CH50" i="1"/>
  <c r="CG59" i="1"/>
  <c r="CS156" i="1"/>
  <c r="CM42" i="1"/>
  <c r="X275" i="1"/>
  <c r="X277" i="1"/>
  <c r="CH279" i="1"/>
  <c r="CI240" i="1"/>
  <c r="CG179" i="1"/>
  <c r="CG213" i="1" s="1"/>
  <c r="CG212" i="1" s="1"/>
  <c r="CT211" i="1"/>
  <c r="AA236" i="1"/>
  <c r="Z234" i="1"/>
  <c r="Z232" i="1" s="1"/>
  <c r="AA234" i="1"/>
  <c r="AA232" i="1" s="1"/>
  <c r="AA61" i="1"/>
  <c r="AA281" i="1"/>
  <c r="AA282" i="1" s="1"/>
  <c r="CF59" i="1"/>
  <c r="AA90" i="1"/>
  <c r="CL71" i="1"/>
  <c r="CL72" i="1"/>
  <c r="CM162" i="1"/>
  <c r="CN162" i="1" s="1"/>
  <c r="CO162" i="1" s="1"/>
  <c r="CP162" i="1" s="1"/>
  <c r="CL125" i="1"/>
  <c r="CL133" i="1"/>
  <c r="CK165" i="1"/>
  <c r="CL143" i="1"/>
  <c r="CL257" i="1"/>
  <c r="Y229" i="1"/>
  <c r="CK212" i="1"/>
  <c r="X212" i="1"/>
  <c r="X217" i="1"/>
  <c r="CH61" i="1"/>
  <c r="CL282" i="1"/>
  <c r="AD76" i="1"/>
  <c r="CM58" i="1"/>
  <c r="CK62" i="1"/>
  <c r="CJ263" i="1"/>
  <c r="CJ264" i="1" s="1"/>
  <c r="CJ281" i="1"/>
  <c r="CJ282" i="1" s="1"/>
  <c r="CJ60" i="1"/>
  <c r="CJ65" i="1"/>
  <c r="CJ69" i="1" s="1"/>
  <c r="CH138" i="1"/>
  <c r="CH139" i="1"/>
  <c r="CH212" i="1"/>
  <c r="CI212" i="1" s="1"/>
  <c r="CH217" i="1"/>
  <c r="CL220" i="1" s="1"/>
  <c r="Y281" i="1"/>
  <c r="Y282" i="1" s="1"/>
  <c r="Y60" i="1"/>
  <c r="Y263" i="1"/>
  <c r="Y264" i="1" s="1"/>
  <c r="Y143" i="1"/>
  <c r="Y65" i="1"/>
  <c r="CH123" i="1"/>
  <c r="CI263" i="1"/>
  <c r="CI264" i="1" s="1"/>
  <c r="CI60" i="1"/>
  <c r="CI65" i="1"/>
  <c r="CI69" i="1" s="1"/>
  <c r="CJ62" i="1"/>
  <c r="CI281" i="1"/>
  <c r="CN214" i="1"/>
  <c r="CH169" i="1"/>
  <c r="CI64" i="1"/>
  <c r="X263" i="1"/>
  <c r="X264" i="1" s="1"/>
  <c r="X65" i="1"/>
  <c r="X143" i="1"/>
  <c r="X60" i="1"/>
  <c r="Y61" i="1"/>
  <c r="CN171" i="1"/>
  <c r="CN233" i="1" s="1"/>
  <c r="CJ64" i="1"/>
  <c r="CI169" i="1"/>
  <c r="CJ234" i="1" s="1"/>
  <c r="CJ232" i="1" s="1"/>
  <c r="CH130" i="1"/>
  <c r="CY164" i="1"/>
  <c r="CZ164" i="1" s="1"/>
  <c r="DA164" i="1" s="1"/>
  <c r="DB164" i="1" s="1"/>
  <c r="AE164" i="1" s="1"/>
  <c r="AD164" i="1"/>
  <c r="CI62" i="1"/>
  <c r="CH263" i="1"/>
  <c r="CH264" i="1" s="1"/>
  <c r="CH65" i="1"/>
  <c r="CH69" i="1" s="1"/>
  <c r="CH60" i="1"/>
  <c r="CK143" i="1"/>
  <c r="CF94" i="1"/>
  <c r="CG96" i="1"/>
  <c r="CG130" i="1" s="1"/>
  <c r="CG133" i="1" s="1"/>
  <c r="CN210" i="1"/>
  <c r="CN155" i="1"/>
  <c r="CM159" i="1"/>
  <c r="Z61" i="1"/>
  <c r="Z143" i="1"/>
  <c r="Z263" i="1"/>
  <c r="Z264" i="1" s="1"/>
  <c r="Z281" i="1"/>
  <c r="Z282" i="1" s="1"/>
  <c r="Z60" i="1"/>
  <c r="Z65" i="1"/>
  <c r="Z277" i="1"/>
  <c r="Z275" i="1"/>
  <c r="CG280" i="1"/>
  <c r="CH233" i="1"/>
  <c r="CG233" i="1"/>
  <c r="CA240" i="1"/>
  <c r="BZ279" i="1"/>
  <c r="CD237" i="1"/>
  <c r="CF280" i="1"/>
  <c r="BM240" i="1"/>
  <c r="BL279" i="1"/>
  <c r="CF237" i="1"/>
  <c r="CF160" i="1"/>
  <c r="BL160" i="1"/>
  <c r="BL199" i="1"/>
  <c r="BL140" i="1" s="1"/>
  <c r="CA64" i="1"/>
  <c r="CA165" i="1"/>
  <c r="CB169" i="1"/>
  <c r="CC64" i="1"/>
  <c r="CC165" i="1"/>
  <c r="BZ199" i="1"/>
  <c r="BZ160" i="1"/>
  <c r="CD169" i="1"/>
  <c r="CE165" i="1"/>
  <c r="CE240" i="1"/>
  <c r="CD279" i="1"/>
  <c r="CA280" i="1"/>
  <c r="CA237" i="1"/>
  <c r="BM237" i="1"/>
  <c r="BM280" i="1"/>
  <c r="CG240" i="1"/>
  <c r="CF199" i="1"/>
  <c r="CF279" i="1"/>
  <c r="BM165" i="1"/>
  <c r="BM169" i="1" s="1"/>
  <c r="BL169" i="1"/>
  <c r="BL277" i="1" s="1"/>
  <c r="CG64" i="1"/>
  <c r="CG165" i="1"/>
  <c r="CH280" i="1"/>
  <c r="CH237" i="1"/>
  <c r="CG237" i="1"/>
  <c r="CB280" i="1"/>
  <c r="CB160" i="1"/>
  <c r="CB199" i="1"/>
  <c r="CB237" i="1"/>
  <c r="CB279" i="1"/>
  <c r="CC280" i="1"/>
  <c r="CC237" i="1"/>
  <c r="CE237" i="1"/>
  <c r="CD280" i="1"/>
  <c r="CD160" i="1"/>
  <c r="CD199" i="1"/>
  <c r="CE280" i="1"/>
  <c r="BL213" i="1"/>
  <c r="BL188" i="1"/>
  <c r="CD213" i="1"/>
  <c r="CD188" i="1"/>
  <c r="CB213" i="1"/>
  <c r="CB188" i="1"/>
  <c r="CF213" i="1"/>
  <c r="CF188" i="1"/>
  <c r="CF196" i="1" s="1"/>
  <c r="BZ213" i="1"/>
  <c r="BZ188" i="1"/>
  <c r="BZ196" i="1" s="1"/>
  <c r="BZ50" i="1"/>
  <c r="BZ59" i="1"/>
  <c r="BZ48" i="1"/>
  <c r="CA50" i="1"/>
  <c r="CG216" i="1"/>
  <c r="CH228" i="1"/>
  <c r="CG228" i="1"/>
  <c r="CJ49" i="1"/>
  <c r="CF48" i="1"/>
  <c r="CG50" i="1"/>
  <c r="CF49" i="1"/>
  <c r="BZ277" i="1"/>
  <c r="CF277" i="1"/>
  <c r="CF275" i="1"/>
  <c r="CG138" i="1"/>
  <c r="CG49" i="1"/>
  <c r="CC48" i="1"/>
  <c r="Y90" i="1"/>
  <c r="CC59" i="1"/>
  <c r="CC65" i="1" s="1"/>
  <c r="CC69" i="1" s="1"/>
  <c r="CC18" i="1" s="1"/>
  <c r="CD50" i="1"/>
  <c r="CC49" i="1"/>
  <c r="CE179" i="1"/>
  <c r="CE228" i="1"/>
  <c r="CF228" i="1"/>
  <c r="CA65" i="1"/>
  <c r="CA69" i="1" s="1"/>
  <c r="CA60" i="1"/>
  <c r="CD60" i="1"/>
  <c r="CB60" i="1"/>
  <c r="CB263" i="1"/>
  <c r="CB264" i="1" s="1"/>
  <c r="CB65" i="1"/>
  <c r="CB69" i="1" s="1"/>
  <c r="CB18" i="1" s="1"/>
  <c r="CB17" i="1" s="1"/>
  <c r="CB62" i="1"/>
  <c r="CB281" i="1"/>
  <c r="CD263" i="1"/>
  <c r="CD264" i="1" s="1"/>
  <c r="CD65" i="1"/>
  <c r="CD69" i="1" s="1"/>
  <c r="CF50" i="1"/>
  <c r="CE49" i="1"/>
  <c r="CI49" i="1"/>
  <c r="Z90" i="1"/>
  <c r="CE59" i="1"/>
  <c r="CE48" i="1"/>
  <c r="BY65" i="1"/>
  <c r="BY69" i="1" s="1"/>
  <c r="BY18" i="1" s="1"/>
  <c r="BY17" i="1" s="1"/>
  <c r="BY60" i="1"/>
  <c r="BL65" i="1"/>
  <c r="BL69" i="1" s="1"/>
  <c r="BL18" i="1" s="1"/>
  <c r="BL17" i="1" s="1"/>
  <c r="BL60" i="1"/>
  <c r="AB181" i="1"/>
  <c r="A1" i="1"/>
  <c r="Z217" i="1" l="1"/>
  <c r="Z215" i="1"/>
  <c r="CK216" i="1"/>
  <c r="CR215" i="1"/>
  <c r="CN42" i="1"/>
  <c r="AA244" i="1"/>
  <c r="AA91" i="1"/>
  <c r="CO42" i="1"/>
  <c r="CK69" i="1"/>
  <c r="CM48" i="1"/>
  <c r="CN48" i="1" s="1"/>
  <c r="CO48" i="1" s="1"/>
  <c r="Z196" i="1"/>
  <c r="Z197" i="1" s="1"/>
  <c r="CI282" i="1"/>
  <c r="CM216" i="1"/>
  <c r="CH140" i="1"/>
  <c r="CI68" i="1"/>
  <c r="CH281" i="1"/>
  <c r="CH282" i="1" s="1"/>
  <c r="Y220" i="1"/>
  <c r="Y221" i="1" s="1"/>
  <c r="CK61" i="1"/>
  <c r="CG60" i="1"/>
  <c r="CJ143" i="1"/>
  <c r="CH62" i="1"/>
  <c r="CG65" i="1"/>
  <c r="CG263" i="1"/>
  <c r="CG264" i="1" s="1"/>
  <c r="CJ257" i="1"/>
  <c r="CH196" i="1"/>
  <c r="CH197" i="1" s="1"/>
  <c r="CT156" i="1"/>
  <c r="CI143" i="1"/>
  <c r="CG62" i="1"/>
  <c r="CI257" i="1"/>
  <c r="CG281" i="1"/>
  <c r="CF60" i="1"/>
  <c r="CF263" i="1"/>
  <c r="CF264" i="1" s="1"/>
  <c r="CJ61" i="1"/>
  <c r="CF65" i="1"/>
  <c r="CF61" i="1"/>
  <c r="CG257" i="1"/>
  <c r="CK213" i="1"/>
  <c r="CK217" i="1" s="1"/>
  <c r="CS215" i="1"/>
  <c r="CG227" i="1"/>
  <c r="CG188" i="1"/>
  <c r="CH227" i="1"/>
  <c r="CU211" i="1"/>
  <c r="AA241" i="1"/>
  <c r="AA242" i="1" s="1"/>
  <c r="CL73" i="1"/>
  <c r="CL276" i="1" s="1"/>
  <c r="CL79" i="1"/>
  <c r="CL265" i="1"/>
  <c r="AB162" i="1"/>
  <c r="CQ162" i="1"/>
  <c r="CR162" i="1" s="1"/>
  <c r="CS162" i="1" s="1"/>
  <c r="CT162" i="1" s="1"/>
  <c r="CK169" i="1"/>
  <c r="CL64" i="1"/>
  <c r="CM64" i="1" s="1"/>
  <c r="CN64" i="1" s="1"/>
  <c r="CO64" i="1" s="1"/>
  <c r="CP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CP42" i="1"/>
  <c r="CL86" i="1"/>
  <c r="CH141" i="1"/>
  <c r="CN58" i="1"/>
  <c r="CG139" i="1"/>
  <c r="CO171" i="1"/>
  <c r="CP171" i="1" s="1"/>
  <c r="CI234" i="1"/>
  <c r="CI232" i="1" s="1"/>
  <c r="CH277" i="1"/>
  <c r="CH275" i="1"/>
  <c r="CH125" i="1"/>
  <c r="CH126" i="1"/>
  <c r="CH127" i="1"/>
  <c r="CI18" i="1"/>
  <c r="CI72" i="1"/>
  <c r="CI71" i="1"/>
  <c r="CD72" i="1"/>
  <c r="CD265" i="1" s="1"/>
  <c r="CD18" i="1"/>
  <c r="CA72" i="1"/>
  <c r="CA79" i="1" s="1"/>
  <c r="CA224" i="1" s="1"/>
  <c r="CA226" i="1" s="1"/>
  <c r="CA18" i="1"/>
  <c r="CA17" i="1" s="1"/>
  <c r="CM212" i="1"/>
  <c r="CO210" i="1"/>
  <c r="CE94" i="1"/>
  <c r="CF96" i="1"/>
  <c r="Z86" i="1"/>
  <c r="Z69" i="1"/>
  <c r="CH18" i="1"/>
  <c r="CH72" i="1"/>
  <c r="CL74" i="1" s="1"/>
  <c r="CH71" i="1"/>
  <c r="CH134" i="1"/>
  <c r="CH133" i="1"/>
  <c r="CH135" i="1"/>
  <c r="CO214" i="1"/>
  <c r="CN216" i="1"/>
  <c r="CM280" i="1"/>
  <c r="CM237" i="1"/>
  <c r="Y86" i="1"/>
  <c r="Y69" i="1"/>
  <c r="CI213" i="1"/>
  <c r="CI177" i="1"/>
  <c r="CG135" i="1"/>
  <c r="CJ18" i="1"/>
  <c r="CJ72" i="1"/>
  <c r="CJ71" i="1"/>
  <c r="CG134" i="1"/>
  <c r="CO155" i="1"/>
  <c r="CN159" i="1"/>
  <c r="X69" i="1"/>
  <c r="X86" i="1"/>
  <c r="CF197" i="1"/>
  <c r="CA169" i="1"/>
  <c r="CB64" i="1"/>
  <c r="CB196" i="1"/>
  <c r="CB197" i="1" s="1"/>
  <c r="CD196" i="1"/>
  <c r="CD197" i="1" s="1"/>
  <c r="CB277" i="1"/>
  <c r="CB275" i="1"/>
  <c r="CE169" i="1"/>
  <c r="CF64" i="1"/>
  <c r="CB282" i="1"/>
  <c r="BZ197" i="1"/>
  <c r="CD64" i="1"/>
  <c r="CC169" i="1"/>
  <c r="BZ140" i="1"/>
  <c r="CA68" i="1"/>
  <c r="CD275" i="1"/>
  <c r="CD277" i="1"/>
  <c r="CF140" i="1"/>
  <c r="CG68" i="1"/>
  <c r="CH64" i="1"/>
  <c r="CG169" i="1"/>
  <c r="CB140" i="1"/>
  <c r="CC68" i="1"/>
  <c r="CD140" i="1"/>
  <c r="CE68" i="1"/>
  <c r="CF212" i="1"/>
  <c r="CF217" i="1"/>
  <c r="CJ220" i="1" s="1"/>
  <c r="BL217" i="1"/>
  <c r="BL212" i="1"/>
  <c r="CD217" i="1"/>
  <c r="CD212" i="1"/>
  <c r="CB217" i="1"/>
  <c r="CB212" i="1"/>
  <c r="BZ212" i="1"/>
  <c r="BZ217" i="1"/>
  <c r="BZ60" i="1"/>
  <c r="BZ65" i="1"/>
  <c r="CA281" i="1"/>
  <c r="CA282" i="1" s="1"/>
  <c r="CA62" i="1"/>
  <c r="BZ263" i="1"/>
  <c r="BZ264" i="1" s="1"/>
  <c r="CD61" i="1"/>
  <c r="BZ62" i="1"/>
  <c r="BZ281" i="1"/>
  <c r="CB143" i="1"/>
  <c r="CD143" i="1"/>
  <c r="CC281" i="1"/>
  <c r="CC282" i="1" s="1"/>
  <c r="CE227" i="1"/>
  <c r="CE229" i="1" s="1"/>
  <c r="CE188" i="1"/>
  <c r="CG215" i="1"/>
  <c r="CG217" i="1"/>
  <c r="CC263" i="1"/>
  <c r="CC264" i="1" s="1"/>
  <c r="CG61" i="1"/>
  <c r="Y91" i="1"/>
  <c r="CC60" i="1"/>
  <c r="CC257" i="1"/>
  <c r="CD281" i="1"/>
  <c r="CD282" i="1" s="1"/>
  <c r="CC143" i="1"/>
  <c r="CD257" i="1"/>
  <c r="CC62" i="1"/>
  <c r="CD62" i="1"/>
  <c r="CC61" i="1"/>
  <c r="CC72" i="1"/>
  <c r="CC71" i="1"/>
  <c r="CF69" i="1"/>
  <c r="CF18" i="1" s="1"/>
  <c r="CE213" i="1"/>
  <c r="CF227" i="1"/>
  <c r="CF229" i="1" s="1"/>
  <c r="CA71" i="1"/>
  <c r="CD71" i="1"/>
  <c r="CF143" i="1"/>
  <c r="CD86" i="1"/>
  <c r="CE62" i="1"/>
  <c r="CE143" i="1"/>
  <c r="CE257" i="1"/>
  <c r="CB71" i="1"/>
  <c r="CB72" i="1"/>
  <c r="CE281" i="1"/>
  <c r="CE282" i="1" s="1"/>
  <c r="CF281" i="1"/>
  <c r="CF282" i="1" s="1"/>
  <c r="CE263" i="1"/>
  <c r="CE264" i="1" s="1"/>
  <c r="Z91" i="1"/>
  <c r="CE61" i="1"/>
  <c r="CH143" i="1"/>
  <c r="CE60" i="1"/>
  <c r="CG143" i="1"/>
  <c r="CE65" i="1"/>
  <c r="CH257" i="1"/>
  <c r="CF62" i="1"/>
  <c r="CI61" i="1"/>
  <c r="CF257" i="1"/>
  <c r="BL72" i="1"/>
  <c r="BL71" i="1"/>
  <c r="BY71" i="1"/>
  <c r="BY72" i="1"/>
  <c r="AC181" i="1"/>
  <c r="Z220" i="1" l="1"/>
  <c r="Z221" i="1" s="1"/>
  <c r="AA220" i="1"/>
  <c r="AA221" i="1" s="1"/>
  <c r="CK71" i="1"/>
  <c r="CK72" i="1"/>
  <c r="CK18" i="1"/>
  <c r="CP48" i="1"/>
  <c r="CG69" i="1"/>
  <c r="CJ86" i="1"/>
  <c r="CH142" i="1"/>
  <c r="CU156" i="1"/>
  <c r="CG282" i="1"/>
  <c r="CT215" i="1"/>
  <c r="CG229" i="1"/>
  <c r="CH229" i="1"/>
  <c r="CV211" i="1"/>
  <c r="CQ42" i="1"/>
  <c r="CR42" i="1"/>
  <c r="CS42" i="1"/>
  <c r="CL83" i="1"/>
  <c r="CL97" i="1"/>
  <c r="CL224" i="1"/>
  <c r="CL226" i="1" s="1"/>
  <c r="CU162" i="1"/>
  <c r="CV162" i="1" s="1"/>
  <c r="CW162" i="1" s="1"/>
  <c r="CX162" i="1" s="1"/>
  <c r="AC162" i="1"/>
  <c r="CL234" i="1"/>
  <c r="CL232" i="1" s="1"/>
  <c r="CK234" i="1"/>
  <c r="CK232" i="1" s="1"/>
  <c r="CL258" i="1"/>
  <c r="CA150" i="1"/>
  <c r="CA151" i="1" s="1"/>
  <c r="CA83" i="1"/>
  <c r="CA265" i="1"/>
  <c r="CA73" i="1"/>
  <c r="CA276" i="1" s="1"/>
  <c r="CO233" i="1"/>
  <c r="CD79" i="1"/>
  <c r="CD83" i="1" s="1"/>
  <c r="CM71" i="1"/>
  <c r="CQ48" i="1"/>
  <c r="CH74" i="1"/>
  <c r="CO58" i="1"/>
  <c r="CP58" i="1" s="1"/>
  <c r="CD73" i="1"/>
  <c r="CD276" i="1" s="1"/>
  <c r="CI265" i="1"/>
  <c r="CI79" i="1"/>
  <c r="CI73" i="1"/>
  <c r="CI276" i="1" s="1"/>
  <c r="CJ75" i="1"/>
  <c r="Z18" i="1"/>
  <c r="Z72" i="1"/>
  <c r="AA74" i="1" s="1"/>
  <c r="Z71" i="1"/>
  <c r="CP233" i="1"/>
  <c r="CQ171" i="1"/>
  <c r="X18" i="1"/>
  <c r="X17" i="1" s="1"/>
  <c r="X72" i="1"/>
  <c r="X71" i="1"/>
  <c r="CP214" i="1"/>
  <c r="CO216" i="1"/>
  <c r="CN212" i="1"/>
  <c r="CM213" i="1"/>
  <c r="CM217" i="1" s="1"/>
  <c r="CF130" i="1"/>
  <c r="CF123" i="1"/>
  <c r="CF138" i="1"/>
  <c r="CF141" i="1" s="1"/>
  <c r="CF144" i="1" s="1"/>
  <c r="CF139" i="1"/>
  <c r="CF142" i="1" s="1"/>
  <c r="CF145" i="1" s="1"/>
  <c r="CI75" i="1"/>
  <c r="CH79" i="1"/>
  <c r="CH73" i="1"/>
  <c r="CH276" i="1" s="1"/>
  <c r="CH265" i="1"/>
  <c r="CJ79" i="1"/>
  <c r="CK75" i="1"/>
  <c r="CJ73" i="1"/>
  <c r="CJ276" i="1" s="1"/>
  <c r="CJ265" i="1"/>
  <c r="CN280" i="1"/>
  <c r="CN237" i="1"/>
  <c r="CD94" i="1"/>
  <c r="CE96" i="1"/>
  <c r="CP155" i="1"/>
  <c r="CO159" i="1"/>
  <c r="Y18" i="1"/>
  <c r="Y17" i="1" s="1"/>
  <c r="Y72" i="1"/>
  <c r="Y71" i="1"/>
  <c r="CP210" i="1"/>
  <c r="CG18" i="1"/>
  <c r="CG72" i="1"/>
  <c r="CG71" i="1"/>
  <c r="CA234" i="1"/>
  <c r="CA232" i="1" s="1"/>
  <c r="CB234" i="1"/>
  <c r="CB232" i="1" s="1"/>
  <c r="CE234" i="1"/>
  <c r="CE232" i="1" s="1"/>
  <c r="CF234" i="1"/>
  <c r="CF232" i="1" s="1"/>
  <c r="CH234" i="1"/>
  <c r="CH232" i="1" s="1"/>
  <c r="CG234" i="1"/>
  <c r="CG232" i="1" s="1"/>
  <c r="CV156" i="1"/>
  <c r="CD234" i="1"/>
  <c r="CD232" i="1" s="1"/>
  <c r="CC234" i="1"/>
  <c r="CC232" i="1" s="1"/>
  <c r="CF220" i="1"/>
  <c r="CD220" i="1"/>
  <c r="CH220" i="1"/>
  <c r="BZ69" i="1"/>
  <c r="BZ18" i="1" s="1"/>
  <c r="BZ17" i="1" s="1"/>
  <c r="CB86" i="1"/>
  <c r="CD258" i="1"/>
  <c r="CF72" i="1"/>
  <c r="CF71" i="1"/>
  <c r="CC74" i="1"/>
  <c r="CC265" i="1"/>
  <c r="CC79" i="1"/>
  <c r="CC73" i="1"/>
  <c r="CC276" i="1" s="1"/>
  <c r="CD75" i="1"/>
  <c r="CE212" i="1"/>
  <c r="CE217" i="1"/>
  <c r="CC75" i="1"/>
  <c r="CH144" i="1"/>
  <c r="CH145" i="1"/>
  <c r="CF86" i="1"/>
  <c r="CH86" i="1"/>
  <c r="CE69" i="1"/>
  <c r="CE18" i="1" s="1"/>
  <c r="CB79" i="1"/>
  <c r="CB75" i="1"/>
  <c r="CB265" i="1"/>
  <c r="CB73" i="1"/>
  <c r="CB276" i="1" s="1"/>
  <c r="BL79" i="1"/>
  <c r="BL73" i="1"/>
  <c r="BL276" i="1" s="1"/>
  <c r="CM95" i="1"/>
  <c r="CN95" i="1" s="1"/>
  <c r="CO95" i="1" s="1"/>
  <c r="CP95" i="1" s="1"/>
  <c r="BY73" i="1"/>
  <c r="BY276" i="1" s="1"/>
  <c r="BY79" i="1"/>
  <c r="CW211" i="1"/>
  <c r="AE181" i="1"/>
  <c r="AD181" i="1"/>
  <c r="CL75" i="1" l="1"/>
  <c r="CK73" i="1"/>
  <c r="CK79" i="1"/>
  <c r="CT42" i="1"/>
  <c r="CU215" i="1"/>
  <c r="CL85" i="1"/>
  <c r="CA160" i="1"/>
  <c r="CG74" i="1"/>
  <c r="CA238" i="1"/>
  <c r="CA236" i="1" s="1"/>
  <c r="CD224" i="1"/>
  <c r="CD226" i="1" s="1"/>
  <c r="CF265" i="1"/>
  <c r="AA92" i="1"/>
  <c r="AD162" i="1"/>
  <c r="CY162" i="1"/>
  <c r="CZ162" i="1" s="1"/>
  <c r="DA162" i="1" s="1"/>
  <c r="DB162" i="1" s="1"/>
  <c r="AE162" i="1" s="1"/>
  <c r="Y92" i="1"/>
  <c r="CN71" i="1"/>
  <c r="CR48" i="1"/>
  <c r="CO71" i="1"/>
  <c r="CQ58" i="1"/>
  <c r="CR58" i="1" s="1"/>
  <c r="CK74" i="1"/>
  <c r="CJ258" i="1"/>
  <c r="CG265" i="1"/>
  <c r="CG79" i="1"/>
  <c r="CH75" i="1"/>
  <c r="CG73" i="1"/>
  <c r="CG276" i="1" s="1"/>
  <c r="CQ155" i="1"/>
  <c r="CP159" i="1"/>
  <c r="CQ210" i="1"/>
  <c r="CE130" i="1"/>
  <c r="CE139" i="1"/>
  <c r="CE138" i="1"/>
  <c r="CF125" i="1"/>
  <c r="CF127" i="1"/>
  <c r="CF126" i="1"/>
  <c r="CQ214" i="1"/>
  <c r="CP216" i="1"/>
  <c r="CJ83" i="1"/>
  <c r="CJ224" i="1"/>
  <c r="CJ226" i="1" s="1"/>
  <c r="CJ97" i="1"/>
  <c r="Z74" i="1"/>
  <c r="Z265" i="1"/>
  <c r="Z79" i="1"/>
  <c r="Z73" i="1"/>
  <c r="Z276" i="1" s="1"/>
  <c r="CC94" i="1"/>
  <c r="CD96" i="1"/>
  <c r="CF133" i="1"/>
  <c r="CF135" i="1"/>
  <c r="CF134" i="1"/>
  <c r="CO212" i="1"/>
  <c r="CN213" i="1"/>
  <c r="CN217" i="1" s="1"/>
  <c r="Y265" i="1"/>
  <c r="Y73" i="1"/>
  <c r="Y276" i="1" s="1"/>
  <c r="Y79" i="1"/>
  <c r="CH224" i="1"/>
  <c r="CH226" i="1" s="1"/>
  <c r="CH230" i="1" s="1"/>
  <c r="CH244" i="1" s="1"/>
  <c r="CH97" i="1"/>
  <c r="CH83" i="1"/>
  <c r="X265" i="1"/>
  <c r="X73" i="1"/>
  <c r="X276" i="1" s="1"/>
  <c r="Y74" i="1"/>
  <c r="X79" i="1"/>
  <c r="CI150" i="1"/>
  <c r="CI151" i="1" s="1"/>
  <c r="CI83" i="1"/>
  <c r="CI97" i="1"/>
  <c r="CI224" i="1"/>
  <c r="CI226" i="1" s="1"/>
  <c r="CQ95" i="1"/>
  <c r="CR95" i="1" s="1"/>
  <c r="CS95" i="1" s="1"/>
  <c r="CT95" i="1" s="1"/>
  <c r="AB95" i="1"/>
  <c r="AA95" i="1" s="1"/>
  <c r="Z95" i="1" s="1"/>
  <c r="Y95" i="1" s="1"/>
  <c r="X95" i="1" s="1"/>
  <c r="W95" i="1" s="1"/>
  <c r="V95" i="1" s="1"/>
  <c r="U95" i="1" s="1"/>
  <c r="T95" i="1" s="1"/>
  <c r="S95" i="1" s="1"/>
  <c r="R95" i="1" s="1"/>
  <c r="Q95" i="1" s="1"/>
  <c r="P95" i="1" s="1"/>
  <c r="O95" i="1" s="1"/>
  <c r="N95" i="1" s="1"/>
  <c r="M95" i="1" s="1"/>
  <c r="L95" i="1" s="1"/>
  <c r="K95" i="1" s="1"/>
  <c r="J95" i="1" s="1"/>
  <c r="I95" i="1" s="1"/>
  <c r="H95" i="1" s="1"/>
  <c r="G95" i="1" s="1"/>
  <c r="F95" i="1" s="1"/>
  <c r="E95" i="1" s="1"/>
  <c r="CO280" i="1"/>
  <c r="CO237" i="1"/>
  <c r="CQ233" i="1"/>
  <c r="CR171" i="1"/>
  <c r="CV215" i="1"/>
  <c r="CW156" i="1"/>
  <c r="CM39" i="1"/>
  <c r="CF74" i="1"/>
  <c r="CF73" i="1"/>
  <c r="CF276" i="1" s="1"/>
  <c r="BZ72" i="1"/>
  <c r="BZ71" i="1"/>
  <c r="CJ74" i="1"/>
  <c r="CG75" i="1"/>
  <c r="CI258" i="1"/>
  <c r="CF79" i="1"/>
  <c r="CD85" i="1"/>
  <c r="CC83" i="1"/>
  <c r="CC150" i="1"/>
  <c r="CC151" i="1" s="1"/>
  <c r="CC224" i="1"/>
  <c r="CC226" i="1" s="1"/>
  <c r="CB83" i="1"/>
  <c r="CB224" i="1"/>
  <c r="CB226" i="1" s="1"/>
  <c r="CB238" i="1"/>
  <c r="CB236" i="1" s="1"/>
  <c r="CE72" i="1"/>
  <c r="CE71" i="1"/>
  <c r="BY224" i="1"/>
  <c r="BY226" i="1" s="1"/>
  <c r="BY83" i="1"/>
  <c r="BL224" i="1"/>
  <c r="BL226" i="1" s="1"/>
  <c r="BL83" i="1"/>
  <c r="CX211" i="1"/>
  <c r="AB157" i="1"/>
  <c r="AB167" i="1"/>
  <c r="AB166" i="1"/>
  <c r="AB158" i="1"/>
  <c r="AB153" i="1"/>
  <c r="AB182" i="1"/>
  <c r="AB174" i="1"/>
  <c r="AB149" i="1"/>
  <c r="CK97" i="1" l="1"/>
  <c r="CK83" i="1"/>
  <c r="CL100" i="1"/>
  <c r="CJ238" i="1"/>
  <c r="CJ236" i="1" s="1"/>
  <c r="CL116" i="1"/>
  <c r="CL117" i="1"/>
  <c r="CL118" i="1"/>
  <c r="CS58" i="1"/>
  <c r="CK100" i="1"/>
  <c r="CS48" i="1"/>
  <c r="CP71" i="1"/>
  <c r="CI123" i="1"/>
  <c r="CI238" i="1"/>
  <c r="CI236" i="1" s="1"/>
  <c r="CI160" i="1"/>
  <c r="CI86" i="1" s="1"/>
  <c r="X85" i="1"/>
  <c r="X224" i="1"/>
  <c r="X226" i="1" s="1"/>
  <c r="X83" i="1"/>
  <c r="Y224" i="1"/>
  <c r="Y226" i="1" s="1"/>
  <c r="Y230" i="1" s="1"/>
  <c r="Y244" i="1" s="1"/>
  <c r="Y238" i="1"/>
  <c r="Y236" i="1" s="1"/>
  <c r="Y85" i="1"/>
  <c r="Y83" i="1"/>
  <c r="CD130" i="1"/>
  <c r="CD139" i="1"/>
  <c r="CD142" i="1" s="1"/>
  <c r="CD145" i="1" s="1"/>
  <c r="CD138" i="1"/>
  <c r="CD141" i="1" s="1"/>
  <c r="CD144" i="1" s="1"/>
  <c r="CD123" i="1"/>
  <c r="CD97" i="1"/>
  <c r="CR155" i="1"/>
  <c r="CQ159" i="1"/>
  <c r="CB94" i="1"/>
  <c r="CC96" i="1"/>
  <c r="CE133" i="1"/>
  <c r="CE134" i="1"/>
  <c r="CE135" i="1"/>
  <c r="CG224" i="1"/>
  <c r="CG226" i="1" s="1"/>
  <c r="CG230" i="1" s="1"/>
  <c r="CG244" i="1" s="1"/>
  <c r="CG83" i="1"/>
  <c r="CG97" i="1"/>
  <c r="CJ100" i="1" s="1"/>
  <c r="CJ85" i="1"/>
  <c r="CG150" i="1"/>
  <c r="CG151" i="1" s="1"/>
  <c r="CP280" i="1"/>
  <c r="CP237" i="1"/>
  <c r="CR233" i="1"/>
  <c r="CS171" i="1"/>
  <c r="CU95" i="1"/>
  <c r="CV95" i="1" s="1"/>
  <c r="CW95" i="1" s="1"/>
  <c r="CX95" i="1" s="1"/>
  <c r="AC95" i="1"/>
  <c r="Z224" i="1"/>
  <c r="Z226" i="1" s="1"/>
  <c r="Z230" i="1" s="1"/>
  <c r="Z244" i="1" s="1"/>
  <c r="Z238" i="1"/>
  <c r="Z236" i="1" s="1"/>
  <c r="Z85" i="1"/>
  <c r="Z83" i="1"/>
  <c r="CR214" i="1"/>
  <c r="CQ216" i="1"/>
  <c r="CR210" i="1"/>
  <c r="CP212" i="1"/>
  <c r="CO213" i="1"/>
  <c r="CO217" i="1" s="1"/>
  <c r="CW215" i="1"/>
  <c r="CX156" i="1"/>
  <c r="CN39" i="1"/>
  <c r="BZ73" i="1"/>
  <c r="BZ276" i="1" s="1"/>
  <c r="BZ75" i="1"/>
  <c r="CC258" i="1"/>
  <c r="BZ79" i="1"/>
  <c r="CC85" i="1" s="1"/>
  <c r="BZ265" i="1"/>
  <c r="CD74" i="1"/>
  <c r="CA75" i="1"/>
  <c r="CF224" i="1"/>
  <c r="CF226" i="1" s="1"/>
  <c r="CF230" i="1" s="1"/>
  <c r="CF244" i="1" s="1"/>
  <c r="CF83" i="1"/>
  <c r="CF97" i="1"/>
  <c r="CI100" i="1" s="1"/>
  <c r="CI85" i="1"/>
  <c r="CC160" i="1"/>
  <c r="CC86" i="1" s="1"/>
  <c r="CC238" i="1"/>
  <c r="CC236" i="1" s="1"/>
  <c r="CD238" i="1"/>
  <c r="CD236" i="1" s="1"/>
  <c r="CG258" i="1"/>
  <c r="CI74" i="1"/>
  <c r="CH258" i="1"/>
  <c r="CE75" i="1"/>
  <c r="CE73" i="1"/>
  <c r="CE276" i="1" s="1"/>
  <c r="CE74" i="1"/>
  <c r="CF75" i="1"/>
  <c r="CE79" i="1"/>
  <c r="CF258" i="1"/>
  <c r="CE258" i="1"/>
  <c r="Z92" i="1"/>
  <c r="CE265" i="1"/>
  <c r="CY211" i="1"/>
  <c r="AC167" i="1"/>
  <c r="AC157" i="1"/>
  <c r="AB195" i="1"/>
  <c r="AC153" i="1"/>
  <c r="AC182" i="1"/>
  <c r="AB178" i="1"/>
  <c r="AB185" i="1"/>
  <c r="AC174" i="1"/>
  <c r="AC158" i="1"/>
  <c r="AB186" i="1"/>
  <c r="AC149" i="1"/>
  <c r="AC166" i="1"/>
  <c r="CK117" i="1" l="1"/>
  <c r="CK118" i="1"/>
  <c r="Z241" i="1"/>
  <c r="Z242" i="1" s="1"/>
  <c r="CT58" i="1"/>
  <c r="CU58" i="1" s="1"/>
  <c r="CQ71" i="1"/>
  <c r="CC123" i="1"/>
  <c r="CK116" i="1"/>
  <c r="CV58" i="1"/>
  <c r="CT48" i="1"/>
  <c r="CU48" i="1" s="1"/>
  <c r="CW58" i="1"/>
  <c r="CS233" i="1"/>
  <c r="CT171" i="1"/>
  <c r="CS155" i="1"/>
  <c r="CR159" i="1"/>
  <c r="Y241" i="1"/>
  <c r="Y242" i="1" s="1"/>
  <c r="CQ212" i="1"/>
  <c r="CP213" i="1"/>
  <c r="CP217" i="1" s="1"/>
  <c r="CD125" i="1"/>
  <c r="CD126" i="1"/>
  <c r="CD127" i="1"/>
  <c r="CS210" i="1"/>
  <c r="CY95" i="1"/>
  <c r="CZ95" i="1" s="1"/>
  <c r="DA95" i="1" s="1"/>
  <c r="DB95" i="1" s="1"/>
  <c r="AE95" i="1" s="1"/>
  <c r="AD95" i="1"/>
  <c r="CG238" i="1"/>
  <c r="CG236" i="1" s="1"/>
  <c r="CG241" i="1" s="1"/>
  <c r="CG191" i="1" s="1"/>
  <c r="CG192" i="1" s="1"/>
  <c r="CG160" i="1"/>
  <c r="CG86" i="1" s="1"/>
  <c r="CG123" i="1"/>
  <c r="CH238" i="1"/>
  <c r="CH236" i="1" s="1"/>
  <c r="CC130" i="1"/>
  <c r="CC97" i="1"/>
  <c r="CD133" i="1"/>
  <c r="CD135" i="1"/>
  <c r="CD134" i="1"/>
  <c r="CA94" i="1"/>
  <c r="CB96" i="1"/>
  <c r="CS214" i="1"/>
  <c r="CR216" i="1"/>
  <c r="CJ116" i="1"/>
  <c r="CJ117" i="1"/>
  <c r="CJ118" i="1"/>
  <c r="CQ280" i="1"/>
  <c r="CQ237" i="1"/>
  <c r="CI125" i="1"/>
  <c r="CI127" i="1"/>
  <c r="CI126" i="1"/>
  <c r="CX215" i="1"/>
  <c r="CY156" i="1"/>
  <c r="CB85" i="1"/>
  <c r="BZ83" i="1"/>
  <c r="BZ224" i="1"/>
  <c r="BZ226" i="1" s="1"/>
  <c r="CI118" i="1"/>
  <c r="CI116" i="1"/>
  <c r="CI117" i="1"/>
  <c r="CE83" i="1"/>
  <c r="CE150" i="1"/>
  <c r="CE151" i="1" s="1"/>
  <c r="CE85" i="1" s="1"/>
  <c r="CE224" i="1"/>
  <c r="CE226" i="1" s="1"/>
  <c r="CE230" i="1" s="1"/>
  <c r="CE244" i="1" s="1"/>
  <c r="CE97" i="1"/>
  <c r="CF85" i="1"/>
  <c r="CG85" i="1"/>
  <c r="CH85" i="1"/>
  <c r="CZ211" i="1"/>
  <c r="AE167" i="1"/>
  <c r="AD167" i="1"/>
  <c r="AE157" i="1"/>
  <c r="AD157" i="1"/>
  <c r="AC195" i="1"/>
  <c r="AE182" i="1"/>
  <c r="AD182" i="1"/>
  <c r="AE174" i="1"/>
  <c r="AD174" i="1"/>
  <c r="AD149" i="1"/>
  <c r="AE149" i="1"/>
  <c r="AC185" i="1"/>
  <c r="AE158" i="1"/>
  <c r="AD158" i="1"/>
  <c r="AE166" i="1"/>
  <c r="AD166" i="1"/>
  <c r="AC186" i="1"/>
  <c r="AC178" i="1"/>
  <c r="AE153" i="1"/>
  <c r="AD153" i="1"/>
  <c r="CR71" i="1" l="1"/>
  <c r="CL121" i="1"/>
  <c r="CX58" i="1"/>
  <c r="CV48" i="1"/>
  <c r="CY58" i="1"/>
  <c r="CZ58" i="1" s="1"/>
  <c r="CR212" i="1"/>
  <c r="CQ213" i="1"/>
  <c r="CQ217" i="1" s="1"/>
  <c r="CR280" i="1"/>
  <c r="CR237" i="1"/>
  <c r="CG242" i="1"/>
  <c r="CH240" i="1"/>
  <c r="CH241" i="1" s="1"/>
  <c r="CH242" i="1" s="1"/>
  <c r="CG199" i="1"/>
  <c r="CG275" i="1"/>
  <c r="CG277" i="1"/>
  <c r="CG196" i="1"/>
  <c r="CG197" i="1" s="1"/>
  <c r="CG279" i="1"/>
  <c r="CT210" i="1"/>
  <c r="CT155" i="1"/>
  <c r="CS159" i="1"/>
  <c r="CT214" i="1"/>
  <c r="CS216" i="1"/>
  <c r="CT233" i="1"/>
  <c r="CU171" i="1"/>
  <c r="CU233" i="1" s="1"/>
  <c r="BZ94" i="1"/>
  <c r="CA96" i="1"/>
  <c r="CB130" i="1"/>
  <c r="CB123" i="1"/>
  <c r="CB97" i="1"/>
  <c r="CG126" i="1"/>
  <c r="CG125" i="1"/>
  <c r="CG127" i="1"/>
  <c r="CY215" i="1"/>
  <c r="CZ156" i="1"/>
  <c r="CF100" i="1"/>
  <c r="CH100" i="1"/>
  <c r="CL101" i="1" s="1"/>
  <c r="CG100" i="1"/>
  <c r="CK101" i="1" s="1"/>
  <c r="CE123" i="1"/>
  <c r="CF238" i="1"/>
  <c r="CF236" i="1" s="1"/>
  <c r="CE160" i="1"/>
  <c r="CE86" i="1" s="1"/>
  <c r="CE238" i="1"/>
  <c r="CE236" i="1" s="1"/>
  <c r="CE241" i="1" s="1"/>
  <c r="CE191" i="1" s="1"/>
  <c r="CE192" i="1" s="1"/>
  <c r="CE196" i="1" s="1"/>
  <c r="DA211" i="1"/>
  <c r="AE195" i="1"/>
  <c r="AD195" i="1"/>
  <c r="AE185" i="1"/>
  <c r="AD185" i="1"/>
  <c r="AE186" i="1"/>
  <c r="AD186" i="1"/>
  <c r="AE178" i="1"/>
  <c r="AD178" i="1"/>
  <c r="BY262" i="1"/>
  <c r="CW48" i="1" l="1"/>
  <c r="CS71" i="1"/>
  <c r="CE100" i="1"/>
  <c r="CT71" i="1"/>
  <c r="CX48" i="1"/>
  <c r="DA58" i="1"/>
  <c r="DB58" i="1" s="1"/>
  <c r="CY48" i="1"/>
  <c r="CZ48" i="1" s="1"/>
  <c r="CA97" i="1"/>
  <c r="CD100" i="1" s="1"/>
  <c r="CH101" i="1" s="1"/>
  <c r="CA123" i="1"/>
  <c r="CU155" i="1"/>
  <c r="CT159" i="1"/>
  <c r="CH68" i="1"/>
  <c r="CG140" i="1"/>
  <c r="CU210" i="1"/>
  <c r="BY94" i="1"/>
  <c r="BZ96" i="1"/>
  <c r="CV171" i="1"/>
  <c r="CV233" i="1" s="1"/>
  <c r="CU214" i="1"/>
  <c r="CT216" i="1"/>
  <c r="CS280" i="1"/>
  <c r="CS237" i="1"/>
  <c r="CS212" i="1"/>
  <c r="CR213" i="1"/>
  <c r="CR217" i="1" s="1"/>
  <c r="CZ215" i="1"/>
  <c r="DA156" i="1"/>
  <c r="CE125" i="1"/>
  <c r="CE126" i="1"/>
  <c r="CE127" i="1"/>
  <c r="CE275" i="1"/>
  <c r="CE117" i="1"/>
  <c r="CI101" i="1"/>
  <c r="CE118" i="1"/>
  <c r="CE279" i="1"/>
  <c r="CG116" i="1"/>
  <c r="CG118" i="1"/>
  <c r="CG117" i="1"/>
  <c r="CE199" i="1"/>
  <c r="CE140" i="1" s="1"/>
  <c r="CE142" i="1" s="1"/>
  <c r="CE145" i="1" s="1"/>
  <c r="CF240" i="1"/>
  <c r="CF241" i="1" s="1"/>
  <c r="CF242" i="1" s="1"/>
  <c r="CE277" i="1"/>
  <c r="CH117" i="1"/>
  <c r="CK121" i="1" s="1"/>
  <c r="CH116" i="1"/>
  <c r="CH118" i="1"/>
  <c r="CE242" i="1"/>
  <c r="CJ101" i="1"/>
  <c r="CF118" i="1"/>
  <c r="CF116" i="1"/>
  <c r="CF117" i="1"/>
  <c r="CU42" i="1"/>
  <c r="CV42" i="1" s="1"/>
  <c r="DB211" i="1"/>
  <c r="CE197" i="1"/>
  <c r="AB51" i="1"/>
  <c r="CE116" i="1" l="1"/>
  <c r="CU71" i="1"/>
  <c r="DA48" i="1"/>
  <c r="DB48" i="1" s="1"/>
  <c r="CV210" i="1"/>
  <c r="CG142" i="1"/>
  <c r="CG145" i="1" s="1"/>
  <c r="CG141" i="1"/>
  <c r="CG144" i="1" s="1"/>
  <c r="CT280" i="1"/>
  <c r="CT237" i="1"/>
  <c r="CW171" i="1"/>
  <c r="CW233" i="1" s="1"/>
  <c r="CV155" i="1"/>
  <c r="CU159" i="1"/>
  <c r="BZ123" i="1"/>
  <c r="BZ97" i="1"/>
  <c r="CC100" i="1" s="1"/>
  <c r="CG101" i="1" s="1"/>
  <c r="CV214" i="1"/>
  <c r="CU216" i="1"/>
  <c r="CT212" i="1"/>
  <c r="CS213" i="1"/>
  <c r="CS217" i="1" s="1"/>
  <c r="BX94" i="1"/>
  <c r="BW94" i="1" s="1"/>
  <c r="BV94" i="1" s="1"/>
  <c r="BU94" i="1" s="1"/>
  <c r="BT94" i="1" s="1"/>
  <c r="BS94" i="1" s="1"/>
  <c r="BR94" i="1" s="1"/>
  <c r="BQ94" i="1" s="1"/>
  <c r="BP94" i="1" s="1"/>
  <c r="BO94" i="1" s="1"/>
  <c r="BN94" i="1" s="1"/>
  <c r="BM94" i="1" s="1"/>
  <c r="BL94" i="1" s="1"/>
  <c r="BY96" i="1"/>
  <c r="BY97" i="1" s="1"/>
  <c r="CD117" i="1"/>
  <c r="CD116" i="1"/>
  <c r="CD118" i="1"/>
  <c r="DA215" i="1"/>
  <c r="DB156" i="1"/>
  <c r="CJ121" i="1"/>
  <c r="CH121" i="1"/>
  <c r="CF68" i="1"/>
  <c r="CI121" i="1"/>
  <c r="CG121" i="1"/>
  <c r="CW42" i="1"/>
  <c r="CE141" i="1"/>
  <c r="CE144" i="1" s="1"/>
  <c r="AC51" i="1"/>
  <c r="BY263" i="1"/>
  <c r="BY264" i="1" s="1"/>
  <c r="CV71" i="1" l="1"/>
  <c r="CB100" i="1"/>
  <c r="CF101" i="1" s="1"/>
  <c r="CW214" i="1"/>
  <c r="CV216" i="1"/>
  <c r="CU280" i="1"/>
  <c r="CU237" i="1"/>
  <c r="CU212" i="1"/>
  <c r="CT213" i="1"/>
  <c r="CT217" i="1" s="1"/>
  <c r="CX171" i="1"/>
  <c r="CY171" i="1" s="1"/>
  <c r="BK94" i="1"/>
  <c r="BJ94" i="1" s="1"/>
  <c r="BI94" i="1" s="1"/>
  <c r="BH94" i="1" s="1"/>
  <c r="BG94" i="1" s="1"/>
  <c r="BF94" i="1" s="1"/>
  <c r="BE94" i="1" s="1"/>
  <c r="BD94" i="1" s="1"/>
  <c r="BC94" i="1" s="1"/>
  <c r="BB94" i="1" s="1"/>
  <c r="BA94" i="1" s="1"/>
  <c r="AZ94" i="1" s="1"/>
  <c r="AY94" i="1" s="1"/>
  <c r="AX94" i="1" s="1"/>
  <c r="AW94" i="1" s="1"/>
  <c r="AV94" i="1" s="1"/>
  <c r="AU94" i="1" s="1"/>
  <c r="AT94" i="1" s="1"/>
  <c r="AS94" i="1" s="1"/>
  <c r="AR94" i="1" s="1"/>
  <c r="AQ94" i="1" s="1"/>
  <c r="AP94" i="1" s="1"/>
  <c r="AO94" i="1" s="1"/>
  <c r="AN94" i="1" s="1"/>
  <c r="AM94" i="1" s="1"/>
  <c r="AL94" i="1" s="1"/>
  <c r="BL96" i="1"/>
  <c r="CW155" i="1"/>
  <c r="CV159" i="1"/>
  <c r="CW210" i="1"/>
  <c r="DB215" i="1"/>
  <c r="CX42" i="1"/>
  <c r="CY42" i="1" s="1"/>
  <c r="CZ42" i="1" s="1"/>
  <c r="AD51" i="1"/>
  <c r="BY265" i="1"/>
  <c r="CW71" i="1" l="1"/>
  <c r="CX233" i="1"/>
  <c r="CV280" i="1"/>
  <c r="CV237" i="1"/>
  <c r="CX210" i="1"/>
  <c r="CX155" i="1"/>
  <c r="CW159" i="1"/>
  <c r="CV212" i="1"/>
  <c r="CU213" i="1"/>
  <c r="CU217" i="1" s="1"/>
  <c r="BL123" i="1"/>
  <c r="BL97" i="1"/>
  <c r="CY233" i="1"/>
  <c r="CZ171" i="1"/>
  <c r="AK94" i="1"/>
  <c r="AJ94" i="1" s="1"/>
  <c r="AI94" i="1" s="1"/>
  <c r="AL96" i="1"/>
  <c r="CX214" i="1"/>
  <c r="CW216" i="1"/>
  <c r="DA42" i="1"/>
  <c r="DB42" i="1" s="1"/>
  <c r="AE51" i="1"/>
  <c r="CX71" i="1" l="1"/>
  <c r="CY71" i="1" s="1"/>
  <c r="CW280" i="1"/>
  <c r="CW237" i="1"/>
  <c r="CW212" i="1"/>
  <c r="CV213" i="1"/>
  <c r="CV217" i="1" s="1"/>
  <c r="CY210" i="1"/>
  <c r="CY214" i="1"/>
  <c r="CX216" i="1"/>
  <c r="CZ233" i="1"/>
  <c r="DA171" i="1"/>
  <c r="DB171" i="1" s="1"/>
  <c r="DB233" i="1" s="1"/>
  <c r="CY155" i="1"/>
  <c r="CX159" i="1"/>
  <c r="BI96" i="1"/>
  <c r="AT96" i="1"/>
  <c r="BT96" i="1"/>
  <c r="AV96" i="1"/>
  <c r="AX96" i="1"/>
  <c r="AR96" i="1"/>
  <c r="CZ71" i="1" l="1"/>
  <c r="DA71" i="1" s="1"/>
  <c r="DB71" i="1" s="1"/>
  <c r="CZ210" i="1"/>
  <c r="CX212" i="1"/>
  <c r="CW213" i="1"/>
  <c r="CW217" i="1" s="1"/>
  <c r="CX280" i="1"/>
  <c r="CX237" i="1"/>
  <c r="CZ214" i="1"/>
  <c r="CY216" i="1"/>
  <c r="CZ155" i="1"/>
  <c r="CY159" i="1"/>
  <c r="DA233" i="1"/>
  <c r="AO96" i="1"/>
  <c r="BK96" i="1"/>
  <c r="AN96" i="1"/>
  <c r="AW96" i="1"/>
  <c r="BB96" i="1"/>
  <c r="BM96" i="1"/>
  <c r="BQ96" i="1"/>
  <c r="AJ96" i="1"/>
  <c r="BS96" i="1"/>
  <c r="BR96" i="1"/>
  <c r="BO96" i="1"/>
  <c r="AM96" i="1"/>
  <c r="AI96" i="1"/>
  <c r="AP96" i="1"/>
  <c r="AZ96" i="1"/>
  <c r="AS96" i="1"/>
  <c r="BN96" i="1"/>
  <c r="BU96" i="1"/>
  <c r="BA96" i="1"/>
  <c r="BC96" i="1"/>
  <c r="AU96" i="1"/>
  <c r="BW96" i="1"/>
  <c r="BP96" i="1"/>
  <c r="BJ96" i="1"/>
  <c r="BH96" i="1"/>
  <c r="BX96" i="1"/>
  <c r="BG96" i="1"/>
  <c r="AQ96" i="1"/>
  <c r="AY96" i="1"/>
  <c r="AK96" i="1"/>
  <c r="BE96" i="1"/>
  <c r="BD96" i="1"/>
  <c r="BV96" i="1"/>
  <c r="BF96" i="1"/>
  <c r="DA214" i="1" l="1"/>
  <c r="CZ216" i="1"/>
  <c r="CY280" i="1"/>
  <c r="CY237" i="1"/>
  <c r="CY212" i="1"/>
  <c r="CX213" i="1"/>
  <c r="CX217" i="1" s="1"/>
  <c r="DA155" i="1"/>
  <c r="CZ159" i="1"/>
  <c r="DA210" i="1"/>
  <c r="BL262" i="1"/>
  <c r="CZ237" i="1" l="1"/>
  <c r="CZ280" i="1"/>
  <c r="DB155" i="1"/>
  <c r="DB159" i="1" s="1"/>
  <c r="DA159" i="1"/>
  <c r="CZ212" i="1"/>
  <c r="CY213" i="1"/>
  <c r="CY217" i="1" s="1"/>
  <c r="DB210" i="1"/>
  <c r="DB214" i="1"/>
  <c r="DB216" i="1" s="1"/>
  <c r="DA216" i="1"/>
  <c r="AB171" i="1"/>
  <c r="DA212" i="1" l="1"/>
  <c r="CZ213" i="1"/>
  <c r="CZ217" i="1" s="1"/>
  <c r="DA237" i="1"/>
  <c r="DA280" i="1"/>
  <c r="DB237" i="1"/>
  <c r="DB280" i="1"/>
  <c r="CN108" i="1"/>
  <c r="AB233" i="1"/>
  <c r="DB212" i="1" l="1"/>
  <c r="DB213" i="1" s="1"/>
  <c r="DB217" i="1" s="1"/>
  <c r="DA213" i="1"/>
  <c r="DA217" i="1" s="1"/>
  <c r="CO108" i="1"/>
  <c r="CM94" i="1"/>
  <c r="CP108" i="1" l="1"/>
  <c r="CN94" i="1"/>
  <c r="CM96" i="1"/>
  <c r="W16" i="2"/>
  <c r="L13" i="2"/>
  <c r="Q11" i="2"/>
  <c r="K25" i="2"/>
  <c r="I10" i="2"/>
  <c r="Q15" i="2"/>
  <c r="T23" i="2"/>
  <c r="L29" i="2"/>
  <c r="L7" i="2"/>
  <c r="M33" i="2"/>
  <c r="G26" i="2"/>
  <c r="K20" i="2"/>
  <c r="J35" i="2"/>
  <c r="AR97" i="3"/>
  <c r="X35" i="2"/>
  <c r="F36" i="3"/>
  <c r="AD8" i="3"/>
  <c r="F21" i="3"/>
  <c r="CC11" i="4" a="1"/>
  <c r="DY11" i="4" a="1"/>
  <c r="BX16" i="4" a="1"/>
  <c r="DX13" i="4" a="1"/>
  <c r="EF5" i="4" a="1"/>
  <c r="U17" i="2"/>
  <c r="X13" i="2"/>
  <c r="R32" i="2"/>
  <c r="G5" i="2"/>
  <c r="W26" i="2"/>
  <c r="K43" i="2"/>
  <c r="AR92" i="3"/>
  <c r="G12" i="2"/>
  <c r="F18" i="3"/>
  <c r="U45" i="3"/>
  <c r="E45" i="3"/>
  <c r="BJ11" i="4" a="1"/>
  <c r="K7" i="4" a="1"/>
  <c r="P7" i="4" a="1"/>
  <c r="BI16" i="4" a="1"/>
  <c r="N5" i="2"/>
  <c r="P9" i="2"/>
  <c r="V33" i="2"/>
  <c r="J6" i="2"/>
  <c r="T27" i="2"/>
  <c r="H21" i="2"/>
  <c r="AR88" i="3"/>
  <c r="AR65" i="3"/>
  <c r="F17" i="3"/>
  <c r="AR17" i="3"/>
  <c r="AR26" i="3"/>
  <c r="EC15" i="4" a="1"/>
  <c r="K5" i="2"/>
  <c r="V26" i="2"/>
  <c r="S26" i="2"/>
  <c r="L9" i="2"/>
  <c r="K24" i="2"/>
  <c r="C25" i="2"/>
  <c r="AR90" i="3"/>
  <c r="AS47" i="3"/>
  <c r="F32" i="3"/>
  <c r="AB45" i="3"/>
  <c r="AR8" i="3"/>
  <c r="DL9" i="4" a="1"/>
  <c r="DF15" i="4" a="1"/>
  <c r="M7" i="4" a="1"/>
  <c r="J7" i="4" a="1"/>
  <c r="AZ8" i="4" a="1"/>
  <c r="L8" i="2"/>
  <c r="P34" i="2"/>
  <c r="I15" i="2"/>
  <c r="W11" i="2"/>
  <c r="H18" i="2"/>
  <c r="W14" i="2"/>
  <c r="H14" i="2"/>
  <c r="H25" i="2"/>
  <c r="G31" i="3"/>
  <c r="AR46" i="3"/>
  <c r="D41" i="3"/>
  <c r="Z15" i="4" a="1"/>
  <c r="DH15" i="4" a="1"/>
  <c r="D13" i="4" a="1"/>
  <c r="CN7" i="4" a="1"/>
  <c r="AD12" i="4" a="1"/>
  <c r="DZ11" i="4" a="1"/>
  <c r="F23" i="2"/>
  <c r="L23" i="2"/>
  <c r="L33" i="2"/>
  <c r="C28" i="2"/>
  <c r="I35" i="2"/>
  <c r="E24" i="2"/>
  <c r="R27" i="2"/>
  <c r="M31" i="2"/>
  <c r="V15" i="2"/>
  <c r="AD13" i="3"/>
  <c r="E31" i="3"/>
  <c r="CI14" i="4" a="1"/>
  <c r="AC11" i="4" a="1"/>
  <c r="M14" i="2"/>
  <c r="L17" i="2"/>
  <c r="D20" i="2"/>
  <c r="R21" i="2"/>
  <c r="V36" i="2"/>
  <c r="P35" i="2"/>
  <c r="R17" i="2"/>
  <c r="M30" i="2"/>
  <c r="O14" i="2"/>
  <c r="D29" i="3"/>
  <c r="AD12" i="3"/>
  <c r="ED16" i="4" a="1"/>
  <c r="CR8" i="4" a="1"/>
  <c r="BN16" i="4" a="1"/>
  <c r="DG11" i="4" a="1"/>
  <c r="DF11" i="4" a="1"/>
  <c r="F13" i="2"/>
  <c r="R10" i="2"/>
  <c r="N27" i="2"/>
  <c r="C34" i="2"/>
  <c r="R9" i="2"/>
  <c r="H26" i="2"/>
  <c r="T21" i="2"/>
  <c r="S24" i="2"/>
  <c r="N15" i="2"/>
  <c r="F12" i="3"/>
  <c r="G23" i="3"/>
  <c r="DV16" i="4" a="1"/>
  <c r="BV5" i="4" a="1"/>
  <c r="K15" i="4" a="1"/>
  <c r="AI13" i="4" a="1"/>
  <c r="T34" i="2"/>
  <c r="G20" i="2"/>
  <c r="T33" i="2"/>
  <c r="P17" i="2"/>
  <c r="K30" i="2"/>
  <c r="W28" i="2"/>
  <c r="AR62" i="3"/>
  <c r="E32" i="2"/>
  <c r="H30" i="2"/>
  <c r="C19" i="2"/>
  <c r="H16" i="2"/>
  <c r="E25" i="2"/>
  <c r="P31" i="2"/>
  <c r="J8" i="2"/>
  <c r="N32" i="2"/>
  <c r="D36" i="3"/>
  <c r="E33" i="3"/>
  <c r="Q46" i="3"/>
  <c r="BV14" i="4" a="1"/>
  <c r="BG5" i="4" a="1"/>
  <c r="AA12" i="4" a="1"/>
  <c r="EF13" i="4" a="1"/>
  <c r="CR9" i="4" a="1"/>
  <c r="G15" i="2"/>
  <c r="M19" i="2"/>
  <c r="E30" i="2"/>
  <c r="H31" i="2"/>
  <c r="X18" i="2"/>
  <c r="C36" i="2"/>
  <c r="G21" i="2"/>
  <c r="C33" i="2"/>
  <c r="AR13" i="3"/>
  <c r="G9" i="3"/>
  <c r="AD6" i="3"/>
  <c r="CZ16" i="4" a="1"/>
  <c r="CQ6" i="4" a="1"/>
  <c r="CJ5" i="4" a="1"/>
  <c r="DW6" i="4" a="1"/>
  <c r="I27" i="2"/>
  <c r="C31" i="2"/>
  <c r="V16" i="2"/>
  <c r="R24" i="2"/>
  <c r="P26" i="2"/>
  <c r="C32" i="2"/>
  <c r="AR72" i="3"/>
  <c r="W34" i="2"/>
  <c r="D19" i="3"/>
  <c r="F13" i="3"/>
  <c r="AH45" i="3"/>
  <c r="J8" i="4" a="1"/>
  <c r="J24" i="2"/>
  <c r="D47" i="2"/>
  <c r="D17" i="2"/>
  <c r="T7" i="2"/>
  <c r="J36" i="2"/>
  <c r="X92" i="2"/>
  <c r="AR50" i="3"/>
  <c r="AR47" i="3"/>
  <c r="F8" i="3"/>
  <c r="AR25" i="3"/>
  <c r="E7" i="3"/>
  <c r="BU6" i="4" a="1"/>
  <c r="DS12" i="4" a="1"/>
  <c r="AE6" i="4" a="1"/>
  <c r="W13" i="4" a="1"/>
  <c r="AU13" i="4" a="1"/>
  <c r="U36" i="2"/>
  <c r="Q21" i="2"/>
  <c r="H13" i="2"/>
  <c r="E31" i="2"/>
  <c r="P30" i="2"/>
  <c r="Q32" i="2"/>
  <c r="J16" i="2"/>
  <c r="E21" i="2"/>
  <c r="E18" i="3"/>
  <c r="F24" i="3"/>
  <c r="F38" i="3"/>
  <c r="BU12" i="4" a="1"/>
  <c r="AC16" i="4" a="1"/>
  <c r="BH6" i="4" a="1"/>
  <c r="EB8" i="4" a="1"/>
  <c r="DO6" i="4" a="1"/>
  <c r="BW16" i="4" a="1"/>
  <c r="H9" i="2"/>
  <c r="X11" i="2"/>
  <c r="P22" i="2"/>
  <c r="L19" i="2"/>
  <c r="I17" i="2"/>
  <c r="O34" i="2"/>
  <c r="V11" i="2"/>
  <c r="AR75" i="3"/>
  <c r="AG45" i="3"/>
  <c r="R46" i="3"/>
  <c r="AJ45" i="3"/>
  <c r="AF7" i="4" a="1"/>
  <c r="AK8" i="4" a="1"/>
  <c r="Q69" i="2"/>
  <c r="P7" i="2"/>
  <c r="V24" i="2"/>
  <c r="R23" i="2"/>
  <c r="V18" i="2"/>
  <c r="X21" i="2"/>
  <c r="Q59" i="2"/>
  <c r="AR54" i="3"/>
  <c r="G7" i="3"/>
  <c r="V45" i="3"/>
  <c r="D38" i="3"/>
  <c r="CX7" i="4" a="1"/>
  <c r="BH5" i="4" a="1"/>
  <c r="AB11" i="4" a="1"/>
  <c r="BY5" i="4" a="1"/>
  <c r="EE12" i="4" a="1"/>
  <c r="U19" i="2"/>
  <c r="V35" i="2"/>
  <c r="T15" i="2"/>
  <c r="T29" i="2"/>
  <c r="J31" i="2"/>
  <c r="M36" i="2"/>
  <c r="E17" i="2"/>
  <c r="AR80" i="3"/>
  <c r="C21" i="2"/>
  <c r="H24" i="2"/>
  <c r="I12" i="2"/>
  <c r="O20" i="2"/>
  <c r="P16" i="2"/>
  <c r="P29" i="2"/>
  <c r="J29" i="2"/>
  <c r="O9" i="2"/>
  <c r="X66" i="2"/>
  <c r="C27" i="2"/>
  <c r="D23" i="2"/>
  <c r="S31" i="2"/>
  <c r="S21" i="2"/>
  <c r="W74" i="2"/>
  <c r="I13" i="2"/>
  <c r="C45" i="3"/>
  <c r="G6" i="3"/>
  <c r="F40" i="3"/>
  <c r="CT11" i="4" a="1"/>
  <c r="EG14" i="4" a="1"/>
  <c r="DL6" i="4" a="1"/>
  <c r="DZ12" i="4" a="1"/>
  <c r="BS15" i="4" a="1"/>
  <c r="R35" i="2"/>
  <c r="C24" i="2"/>
  <c r="G22" i="2"/>
  <c r="M27" i="2"/>
  <c r="F12" i="2"/>
  <c r="E6" i="2"/>
  <c r="N34" i="2"/>
  <c r="V27" i="2"/>
  <c r="AR21" i="3"/>
  <c r="O46" i="3"/>
  <c r="AM45" i="3"/>
  <c r="BR12" i="4" a="1"/>
  <c r="CM8" i="4" a="1"/>
  <c r="I11" i="4" a="1"/>
  <c r="ED9" i="4" a="1"/>
  <c r="J18" i="2"/>
  <c r="F27" i="2"/>
  <c r="U22" i="2"/>
  <c r="D22" i="2"/>
  <c r="R15" i="2"/>
  <c r="K6" i="2"/>
  <c r="M34" i="2"/>
  <c r="C13" i="2"/>
  <c r="E28" i="3"/>
  <c r="AL46" i="3"/>
  <c r="D18" i="3"/>
  <c r="DH14" i="4" a="1"/>
  <c r="X41" i="2"/>
  <c r="X23" i="2"/>
  <c r="F34" i="2"/>
  <c r="E29" i="2"/>
  <c r="M12" i="2"/>
  <c r="O10" i="2"/>
  <c r="AR68" i="3"/>
  <c r="C15" i="2"/>
  <c r="AE46" i="3"/>
  <c r="F31" i="3"/>
  <c r="E15" i="3"/>
  <c r="BL13" i="4" a="1"/>
  <c r="C9" i="4" a="1"/>
  <c r="DQ13" i="4" a="1"/>
  <c r="AK6" i="4" a="1"/>
  <c r="V29" i="2"/>
  <c r="U14" i="2"/>
  <c r="J21" i="2"/>
  <c r="Q55" i="2"/>
  <c r="N10" i="2"/>
  <c r="L36" i="2"/>
  <c r="T10" i="2"/>
  <c r="K19" i="2"/>
  <c r="AR81" i="3"/>
  <c r="D40" i="3"/>
  <c r="F27" i="3"/>
  <c r="F11" i="4" a="1"/>
  <c r="BX8" i="4" a="1"/>
  <c r="CT8" i="4" a="1"/>
  <c r="DE15" i="4" a="1"/>
  <c r="BS12" i="4" a="1"/>
  <c r="BQ8" i="4" a="1"/>
  <c r="AT15" i="4" a="1"/>
  <c r="F10" i="2"/>
  <c r="C6" i="2"/>
  <c r="D29" i="2"/>
  <c r="K7" i="2"/>
  <c r="G35" i="2"/>
  <c r="F29" i="2"/>
  <c r="AR60" i="3"/>
  <c r="F22" i="2"/>
  <c r="F39" i="3"/>
  <c r="G45" i="3"/>
  <c r="F5" i="3"/>
  <c r="BF9" i="4" a="1"/>
  <c r="CG16" i="4" a="1"/>
  <c r="T26" i="2"/>
  <c r="O17" i="2"/>
  <c r="K10" i="2"/>
  <c r="W25" i="2"/>
  <c r="O26" i="2"/>
  <c r="V14" i="2"/>
  <c r="K8" i="2"/>
  <c r="L24" i="2"/>
  <c r="I33" i="2"/>
  <c r="N12" i="2"/>
  <c r="G34" i="2"/>
  <c r="I18" i="2"/>
  <c r="O18" i="2"/>
  <c r="D36" i="2"/>
  <c r="T16" i="2"/>
  <c r="Q25" i="2"/>
  <c r="N13" i="2"/>
  <c r="U32" i="2"/>
  <c r="T46" i="3"/>
  <c r="AR45" i="3"/>
  <c r="D28" i="3"/>
  <c r="BW11" i="4" a="1"/>
  <c r="V15" i="4" a="1"/>
  <c r="AC15" i="4" a="1"/>
  <c r="BC5" i="4" a="1"/>
  <c r="BJ9" i="4" a="1"/>
  <c r="K28" i="2"/>
  <c r="L16" i="2"/>
  <c r="N28" i="2"/>
  <c r="S30" i="2"/>
  <c r="P24" i="2"/>
  <c r="L14" i="2"/>
  <c r="T25" i="2"/>
  <c r="S11" i="2"/>
  <c r="X45" i="3"/>
  <c r="E38" i="3"/>
  <c r="D5" i="3"/>
  <c r="CR13" i="4" a="1"/>
  <c r="EH16" i="4" a="1"/>
  <c r="CO13" i="4" a="1"/>
  <c r="AU11" i="4" a="1"/>
  <c r="S27" i="2"/>
  <c r="K12" i="2"/>
  <c r="S62" i="2"/>
  <c r="X15" i="2"/>
  <c r="Q10" i="2"/>
  <c r="F16" i="2"/>
  <c r="T32" i="2"/>
  <c r="F15" i="2"/>
  <c r="AR9" i="3"/>
  <c r="AP46" i="3"/>
  <c r="D14" i="3"/>
  <c r="J16" i="4" a="1"/>
  <c r="D9" i="2"/>
  <c r="R54" i="2"/>
  <c r="O30" i="2"/>
  <c r="J12" i="2"/>
  <c r="M20" i="2"/>
  <c r="AR89" i="3"/>
  <c r="U24" i="2"/>
  <c r="E9" i="2"/>
  <c r="AR24" i="3"/>
  <c r="Q45" i="3"/>
  <c r="AB46" i="3"/>
  <c r="AV9" i="4" a="1"/>
  <c r="DP9" i="4" a="1"/>
  <c r="DY16" i="4" a="1"/>
  <c r="DL11" i="4" a="1"/>
  <c r="F24" i="2"/>
  <c r="U23" i="2"/>
  <c r="U18" i="2"/>
  <c r="D12" i="2"/>
  <c r="W29" i="2"/>
  <c r="S7" i="2"/>
  <c r="C7" i="2"/>
  <c r="AR48" i="3"/>
  <c r="AR37" i="3"/>
  <c r="G46" i="3"/>
  <c r="F9" i="3"/>
  <c r="BV7" i="4" a="1"/>
  <c r="BE11" i="4" a="1"/>
  <c r="R13" i="4" a="1"/>
  <c r="P9" i="4" a="1"/>
  <c r="DG16" i="4" a="1"/>
  <c r="I13" i="4" a="1"/>
  <c r="BC15" i="4" a="1"/>
  <c r="U27" i="2"/>
  <c r="S12" i="2"/>
  <c r="Q14" i="2"/>
  <c r="H36" i="2"/>
  <c r="F20" i="2"/>
  <c r="X30" i="2"/>
  <c r="C10" i="2"/>
  <c r="K14" i="2"/>
  <c r="S46" i="3"/>
  <c r="AR27" i="3"/>
  <c r="D20" i="3"/>
  <c r="Z8" i="4" a="1"/>
  <c r="AI11" i="4" a="1"/>
  <c r="K26" i="2"/>
  <c r="K32" i="2"/>
  <c r="O12" i="2"/>
  <c r="J19" i="2"/>
  <c r="E10" i="2"/>
  <c r="H15" i="2"/>
  <c r="T8" i="2"/>
  <c r="I11" i="2"/>
  <c r="F22" i="3"/>
  <c r="K46" i="3"/>
  <c r="E34" i="3"/>
  <c r="BK8" i="4" a="1"/>
  <c r="BL9" i="4" a="1"/>
  <c r="CX6" i="4" a="1"/>
  <c r="AD5" i="4" a="1"/>
  <c r="DI13" i="4" a="1"/>
  <c r="K11" i="2"/>
  <c r="W17" i="2"/>
  <c r="J22" i="2"/>
  <c r="G14" i="2"/>
  <c r="T9" i="2"/>
  <c r="V9" i="2"/>
  <c r="E7" i="2"/>
  <c r="W19" i="2"/>
  <c r="D6" i="2"/>
  <c r="H99" i="2"/>
  <c r="R31" i="2"/>
  <c r="K31" i="2"/>
  <c r="L28" i="2"/>
  <c r="S5" i="2"/>
  <c r="E16" i="2"/>
  <c r="F21" i="2"/>
  <c r="X9" i="2"/>
  <c r="X16" i="2"/>
  <c r="O5" i="2"/>
  <c r="N30" i="2"/>
  <c r="S18" i="2"/>
  <c r="I6" i="2"/>
  <c r="AR82" i="3"/>
  <c r="AI45" i="3"/>
  <c r="E36" i="3"/>
  <c r="EH5" i="4" a="1"/>
  <c r="DV5" i="4" a="1"/>
  <c r="AP9" i="4" a="1"/>
  <c r="DY8" i="4" a="1"/>
  <c r="X6" i="4" a="1"/>
  <c r="V32" i="2"/>
  <c r="S33" i="2"/>
  <c r="D26" i="2"/>
  <c r="M25" i="2"/>
  <c r="I29" i="2"/>
  <c r="W27" i="2"/>
  <c r="L25" i="2"/>
  <c r="W22" i="2"/>
  <c r="AR66" i="3"/>
  <c r="D17" i="3"/>
  <c r="AD5" i="3"/>
  <c r="AD9" i="4" a="1"/>
  <c r="DM6" i="4" a="1"/>
  <c r="DE14" i="4" a="1"/>
  <c r="BR5" i="4" a="1"/>
  <c r="BE6" i="4" a="1"/>
  <c r="X14" i="2"/>
  <c r="L10" i="2"/>
  <c r="C9" i="2"/>
  <c r="M5" i="2"/>
  <c r="M29" i="2"/>
  <c r="M10" i="2"/>
  <c r="J14" i="2"/>
  <c r="J30" i="2"/>
  <c r="D34" i="3"/>
  <c r="D45" i="3"/>
  <c r="AK45" i="3"/>
  <c r="BE15" i="4" a="1"/>
  <c r="O16" i="2"/>
  <c r="C17" i="2"/>
  <c r="K36" i="2"/>
  <c r="O28" i="2"/>
  <c r="W33" i="2"/>
  <c r="T31" i="2"/>
  <c r="K22" i="2"/>
  <c r="T17" i="2"/>
  <c r="F29" i="3"/>
  <c r="AL45" i="3"/>
  <c r="K45" i="3"/>
  <c r="DG12" i="4" a="1"/>
  <c r="BB13" i="4" a="1"/>
  <c r="DC7" i="4" a="1"/>
  <c r="AB9" i="4" a="1"/>
  <c r="I23" i="2"/>
  <c r="I28" i="2"/>
  <c r="Q33" i="2"/>
  <c r="H54" i="2"/>
  <c r="P33" i="2"/>
  <c r="G8" i="2"/>
  <c r="AR57" i="3"/>
  <c r="AR83" i="3"/>
  <c r="AR19" i="3"/>
  <c r="D30" i="3"/>
  <c r="AR31" i="3"/>
  <c r="BF11" i="4" a="1"/>
  <c r="DB14" i="4" a="1"/>
  <c r="BM15" i="4" a="1"/>
  <c r="CX15" i="4" a="1"/>
  <c r="CL9" i="4" a="1"/>
  <c r="DA14" i="4" a="1"/>
  <c r="CG14" i="4" a="1"/>
  <c r="H8" i="2"/>
  <c r="L20" i="2"/>
  <c r="S17" i="2"/>
  <c r="R34" i="2"/>
  <c r="R14" i="2"/>
  <c r="V31" i="2"/>
  <c r="J11" i="2"/>
  <c r="K27" i="2"/>
  <c r="F20" i="3"/>
  <c r="O45" i="3"/>
  <c r="AD16" i="3"/>
  <c r="AG7" i="4" a="1"/>
  <c r="CD5" i="4" a="1"/>
  <c r="G23" i="2"/>
  <c r="D8" i="2"/>
  <c r="I20" i="2"/>
  <c r="C59" i="2"/>
  <c r="L18" i="2"/>
  <c r="J20" i="2"/>
  <c r="F26" i="2"/>
  <c r="I34" i="2"/>
  <c r="AR12" i="3"/>
  <c r="E35" i="3"/>
  <c r="AR29" i="3"/>
  <c r="AK9" i="4" a="1"/>
  <c r="AF16" i="4" a="1"/>
  <c r="CV9" i="4" a="1"/>
  <c r="BR13" i="4" a="1"/>
  <c r="DP5" i="4" a="1"/>
  <c r="O7" i="2"/>
  <c r="K87" i="2"/>
  <c r="S16" i="2"/>
  <c r="M28" i="2"/>
  <c r="F9" i="2"/>
  <c r="G9" i="2"/>
  <c r="K18" i="2"/>
  <c r="H33" i="2"/>
  <c r="AD10" i="3"/>
  <c r="E37" i="3"/>
  <c r="AR10" i="3"/>
  <c r="CM12" i="4" a="1"/>
  <c r="EC7" i="4" a="1"/>
  <c r="AE16" i="4" a="1"/>
  <c r="H12" i="2"/>
  <c r="O27" i="2"/>
  <c r="S34" i="2"/>
  <c r="X5" i="2"/>
  <c r="O29" i="2"/>
  <c r="X17" i="2"/>
  <c r="H17" i="2"/>
  <c r="J13" i="2"/>
  <c r="O33" i="2"/>
  <c r="X34" i="2"/>
  <c r="P19" i="2"/>
  <c r="Q13" i="2"/>
  <c r="E36" i="2"/>
  <c r="AR74" i="3"/>
  <c r="G13" i="2"/>
  <c r="F42" i="3"/>
  <c r="AD9" i="3"/>
  <c r="DT7" i="4" a="1"/>
  <c r="AG12" i="4" a="1"/>
  <c r="EE14" i="4" a="1"/>
  <c r="O7" i="4" a="1"/>
  <c r="AP15" i="4" a="1"/>
  <c r="Q22" i="2"/>
  <c r="R25" i="2"/>
  <c r="W23" i="2"/>
  <c r="W8" i="2"/>
  <c r="N26" i="2"/>
  <c r="Q23" i="2"/>
  <c r="M23" i="2"/>
  <c r="AR85" i="3"/>
  <c r="AR61" i="3"/>
  <c r="E6" i="3"/>
  <c r="G24" i="3"/>
  <c r="E16" i="4" a="1"/>
  <c r="BT7" i="4" a="1"/>
  <c r="CW14" i="4" a="1"/>
  <c r="BE8" i="4" a="1"/>
  <c r="V21" i="2"/>
  <c r="H29" i="2"/>
  <c r="R18" i="2"/>
  <c r="I32" i="2"/>
  <c r="W10" i="2"/>
  <c r="U10" i="2"/>
  <c r="L30" i="2"/>
  <c r="O31" i="2"/>
  <c r="AR77" i="3"/>
  <c r="AP45" i="3"/>
  <c r="G13" i="3"/>
  <c r="N9" i="4" a="1"/>
  <c r="D8" i="4" a="1"/>
  <c r="U6" i="2"/>
  <c r="J10" i="2"/>
  <c r="M8" i="2"/>
  <c r="L15" i="2"/>
  <c r="L22" i="2"/>
  <c r="H28" i="2"/>
  <c r="X32" i="2"/>
  <c r="V25" i="2"/>
  <c r="E14" i="3"/>
  <c r="AD7" i="3"/>
  <c r="F41" i="3"/>
  <c r="D14" i="4" a="1"/>
  <c r="DM12" i="4" a="1"/>
  <c r="P16" i="4" a="1"/>
  <c r="CP13" i="4" a="1"/>
  <c r="L34" i="2"/>
  <c r="N18" i="2"/>
  <c r="F17" i="2"/>
  <c r="U7" i="2"/>
  <c r="T13" i="2"/>
  <c r="M15" i="2"/>
  <c r="AR93" i="3"/>
  <c r="P12" i="2"/>
  <c r="D37" i="3"/>
  <c r="D11" i="3"/>
  <c r="F30" i="3"/>
  <c r="Y16" i="4" a="1"/>
  <c r="BP7" i="4" a="1"/>
  <c r="BU8" i="4" a="1"/>
  <c r="BZ9" i="4" a="1"/>
  <c r="DS6" i="4" a="1"/>
  <c r="X9" i="4" a="1"/>
  <c r="AJ5" i="4" a="1"/>
  <c r="U29" i="2"/>
  <c r="U30" i="2"/>
  <c r="W35" i="2"/>
  <c r="S19" i="2"/>
  <c r="L31" i="2"/>
  <c r="E12" i="2"/>
  <c r="U33" i="2"/>
  <c r="D14" i="2"/>
  <c r="E41" i="3"/>
  <c r="Z45" i="3"/>
  <c r="U46" i="3"/>
  <c r="AO12" i="4" a="1"/>
  <c r="CF9" i="4" a="1"/>
  <c r="Q6" i="2"/>
  <c r="O15" i="2"/>
  <c r="D24" i="2"/>
  <c r="N19" i="2"/>
  <c r="T19" i="2"/>
  <c r="I25" i="2"/>
  <c r="W70" i="2"/>
  <c r="H35" i="2"/>
  <c r="F19" i="3"/>
  <c r="AQ45" i="3"/>
  <c r="D31" i="3"/>
  <c r="BX9" i="4" a="1"/>
  <c r="CQ14" i="4" a="1"/>
  <c r="AQ13" i="4" a="1"/>
  <c r="CF14" i="4" a="1"/>
  <c r="BK11" i="4" a="1"/>
  <c r="W46" i="2"/>
  <c r="O19" i="2"/>
  <c r="R13" i="2"/>
  <c r="R20" i="2"/>
  <c r="E8" i="2"/>
  <c r="M7" i="2"/>
  <c r="X36" i="2"/>
  <c r="Q54" i="2"/>
  <c r="F25" i="3"/>
  <c r="G21" i="3"/>
  <c r="D7" i="3"/>
  <c r="EI16" i="4" a="1"/>
  <c r="CS14" i="4" a="1"/>
  <c r="DC12" i="4" a="1"/>
  <c r="V34" i="2"/>
  <c r="W21" i="2"/>
  <c r="Q28" i="2"/>
  <c r="J27" i="2"/>
  <c r="N25" i="2"/>
  <c r="E35" i="2"/>
  <c r="D21" i="2"/>
  <c r="T28" i="2"/>
  <c r="N23" i="2"/>
  <c r="K34" i="2"/>
  <c r="H20" i="2"/>
  <c r="Q17" i="2"/>
  <c r="K35" i="2"/>
  <c r="P11" i="2"/>
  <c r="I36" i="2"/>
  <c r="AF50" i="3"/>
  <c r="AR79" i="3"/>
  <c r="AR22" i="3"/>
  <c r="D10" i="3"/>
  <c r="G12" i="3"/>
  <c r="BN7" i="4" a="1"/>
  <c r="BZ8" i="4" a="1"/>
  <c r="R6" i="4" a="1"/>
  <c r="AF9" i="4" a="1"/>
  <c r="ED6" i="4" a="1"/>
  <c r="G7" i="2"/>
  <c r="L35" i="2"/>
  <c r="S36" i="2"/>
  <c r="W18" i="2"/>
  <c r="X25" i="2"/>
  <c r="E11" i="2"/>
  <c r="AR76" i="3"/>
  <c r="AR73" i="3"/>
  <c r="E5" i="3"/>
  <c r="D23" i="3"/>
  <c r="F23" i="3"/>
  <c r="CI15" i="4" a="1"/>
  <c r="AI7" i="4" a="1"/>
  <c r="DG13" i="4" a="1"/>
  <c r="DQ9" i="4" a="1"/>
  <c r="W36" i="2"/>
  <c r="P27" i="2"/>
  <c r="W24" i="2"/>
  <c r="F11" i="2"/>
  <c r="H34" i="2"/>
  <c r="Q35" i="2"/>
  <c r="E21" i="3"/>
  <c r="R12" i="2"/>
  <c r="E22" i="3"/>
  <c r="R6" i="2"/>
  <c r="C16" i="2"/>
  <c r="BY7" i="4" a="1"/>
  <c r="N16" i="2"/>
  <c r="AR84" i="3"/>
  <c r="X13" i="4" a="1"/>
  <c r="AH15" i="4" a="1"/>
  <c r="Q24" i="2"/>
  <c r="M21" i="2"/>
  <c r="CF16" i="4" a="1"/>
  <c r="BB6" i="4" a="1"/>
  <c r="K13" i="2"/>
  <c r="O23" i="2"/>
  <c r="P46" i="3"/>
  <c r="F75" i="2"/>
  <c r="G27" i="2"/>
  <c r="R11" i="2"/>
  <c r="D8" i="3"/>
  <c r="BQ7" i="4" a="1"/>
  <c r="BO5" i="4" a="1"/>
  <c r="W5" i="2"/>
  <c r="P13" i="2"/>
  <c r="R22" i="2"/>
  <c r="F33" i="3"/>
  <c r="G30" i="3"/>
  <c r="BD15" i="4" a="1"/>
  <c r="P14" i="4" a="1"/>
  <c r="Q58" i="2"/>
  <c r="I8" i="2"/>
  <c r="T30" i="2"/>
  <c r="P8" i="2"/>
  <c r="V22" i="2"/>
  <c r="T6" i="2"/>
  <c r="J23" i="2"/>
  <c r="U9" i="2"/>
  <c r="D26" i="3"/>
  <c r="F11" i="3"/>
  <c r="G22" i="3"/>
  <c r="AI14" i="4" a="1"/>
  <c r="CB13" i="4" a="1"/>
  <c r="AE7" i="4" a="1"/>
  <c r="CM6" i="4" a="1"/>
  <c r="X7" i="2"/>
  <c r="E34" i="2"/>
  <c r="F16" i="3"/>
  <c r="DO12" i="4" a="1"/>
  <c r="BV15" i="4" a="1"/>
  <c r="BG7" i="4" a="1"/>
  <c r="AJ16" i="4" a="1"/>
  <c r="CA6" i="4" a="1"/>
  <c r="L13" i="4" a="1"/>
  <c r="CD14" i="4" a="1"/>
  <c r="F6" i="2"/>
  <c r="X26" i="2"/>
  <c r="DZ14" i="4" a="1"/>
  <c r="AY7" i="4" a="1"/>
  <c r="BO13" i="4" a="1"/>
  <c r="BH16" i="4" a="1"/>
  <c r="CD9" i="4" a="1"/>
  <c r="N7" i="4" a="1"/>
  <c r="BW13" i="4" a="1"/>
  <c r="DX14" i="4" a="1"/>
  <c r="CV11" i="4" a="1"/>
  <c r="AD13" i="4" a="1"/>
  <c r="CV16" i="4" a="1"/>
  <c r="D18" i="2"/>
  <c r="H46" i="3"/>
  <c r="R14" i="4" a="1"/>
  <c r="CA9" i="4" a="1"/>
  <c r="DF12" i="4" a="1"/>
  <c r="CZ9" i="4" a="1"/>
  <c r="DQ7" i="4" a="1"/>
  <c r="I12" i="4" a="1"/>
  <c r="BK5" i="4" a="1"/>
  <c r="BY9" i="4" a="1"/>
  <c r="CJ7" i="4" a="1"/>
  <c r="EH15" i="4" a="1"/>
  <c r="CU13" i="4" a="1"/>
  <c r="D32" i="2"/>
  <c r="F8" i="2"/>
  <c r="R45" i="3"/>
  <c r="AQ15" i="4" a="1"/>
  <c r="DP15" i="4" a="1"/>
  <c r="BY14" i="4" a="1"/>
  <c r="CM15" i="4" a="1"/>
  <c r="CR16" i="4" a="1"/>
  <c r="BB5" i="4" a="1"/>
  <c r="CG5" i="4" a="1"/>
  <c r="EC5" i="4" a="1"/>
  <c r="DH7" i="4" a="1"/>
  <c r="AU14" i="4" a="1"/>
  <c r="CX11" i="4" a="1"/>
  <c r="DL8" i="4" a="1"/>
  <c r="G19" i="2"/>
  <c r="C65" i="2"/>
  <c r="F35" i="3"/>
  <c r="CN14" i="4" a="1"/>
  <c r="L5" i="4" a="1"/>
  <c r="DX8" i="4" a="1"/>
  <c r="DT11" i="4" a="1"/>
  <c r="CV5" i="4" a="1"/>
  <c r="AE13" i="4" a="1"/>
  <c r="AT13" i="4" a="1"/>
  <c r="M13" i="4" a="1"/>
  <c r="AM8" i="4" a="1"/>
  <c r="DV11" i="4" a="1"/>
  <c r="DA15" i="4" a="1"/>
  <c r="DN11" i="4" a="1"/>
  <c r="AF6" i="4" a="1"/>
  <c r="T12" i="2"/>
  <c r="E13" i="2"/>
  <c r="AJ12" i="4" a="1"/>
  <c r="BI5" i="4" a="1"/>
  <c r="DQ5" i="4" a="1"/>
  <c r="AW7" i="4" a="1"/>
  <c r="BB15" i="4" a="1"/>
  <c r="G6" i="4" a="1"/>
  <c r="DY5" i="4" a="1"/>
  <c r="EE13" i="4" a="1"/>
  <c r="DH5" i="4" a="1"/>
  <c r="CS16" i="4" a="1"/>
  <c r="AM14" i="4" a="1"/>
  <c r="CW8" i="4" a="1"/>
  <c r="F19" i="2"/>
  <c r="AR38" i="3"/>
  <c r="DN9" i="4" a="1"/>
  <c r="EA15" i="4" a="1"/>
  <c r="Z5" i="4" a="1"/>
  <c r="CI16" i="4" a="1"/>
  <c r="CF11" i="4" a="1"/>
  <c r="E12" i="4" a="1"/>
  <c r="AA8" i="4" a="1"/>
  <c r="DQ6" i="4" a="1"/>
  <c r="Z6" i="4" a="1"/>
  <c r="AA15" i="4" a="1"/>
  <c r="BS8" i="4" a="1"/>
  <c r="M16" i="2"/>
  <c r="O21" i="2"/>
  <c r="Y45" i="3"/>
  <c r="D28" i="2"/>
  <c r="AM46" i="3"/>
  <c r="BF7" i="4" a="1"/>
  <c r="BL8" i="4" a="1"/>
  <c r="AY11" i="4" a="1"/>
  <c r="T6" i="4" a="1"/>
  <c r="AO7" i="4" a="1"/>
  <c r="AX9" i="4" a="1"/>
  <c r="CM11" i="4" a="1"/>
  <c r="EK14" i="4" a="1"/>
  <c r="CA16" i="4" a="1"/>
  <c r="S6" i="2"/>
  <c r="D15" i="3"/>
  <c r="AK14" i="4" a="1"/>
  <c r="U9" i="4" a="1"/>
  <c r="AL15" i="4" a="1"/>
  <c r="E9" i="4" a="1"/>
  <c r="AV11" i="4" a="1"/>
  <c r="DP6" i="4" a="1"/>
  <c r="DJ7" i="4" a="1"/>
  <c r="M12" i="4" a="1"/>
  <c r="CE14" i="4" a="1"/>
  <c r="AM13" i="4" a="1"/>
  <c r="EJ5" i="4" a="1"/>
  <c r="CQ5" i="4" a="1"/>
  <c r="AT14" i="4" a="1"/>
  <c r="CQ11" i="4" a="1"/>
  <c r="BV6" i="4" a="1"/>
  <c r="BL5" i="4" a="1"/>
  <c r="AP12" i="4" a="1"/>
  <c r="I7" i="2"/>
  <c r="N12" i="4" a="1"/>
  <c r="EF11" i="4" a="1"/>
  <c r="CZ7" i="4" a="1"/>
  <c r="EG13" i="4" a="1"/>
  <c r="CQ9" i="4" a="1"/>
  <c r="CS7" i="4" a="1"/>
  <c r="G9" i="4" a="1"/>
  <c r="AL9" i="4" a="1"/>
  <c r="BI11" i="4" a="1"/>
  <c r="X24" i="2"/>
  <c r="CH15" i="4" a="1"/>
  <c r="DL12" i="4" a="1"/>
  <c r="EG11" i="4" a="1"/>
  <c r="BI8" i="4" a="1"/>
  <c r="AY8" i="4" a="1"/>
  <c r="BQ5" i="4" a="1"/>
  <c r="BP9" i="4" a="1"/>
  <c r="CN6" i="4" a="1"/>
  <c r="CC9" i="4" a="1"/>
  <c r="DA7" i="4" a="1"/>
  <c r="CD16" i="4" a="1"/>
  <c r="E15" i="4" a="1"/>
  <c r="CM5" i="4" a="1"/>
  <c r="BO16" i="4" a="1"/>
  <c r="AE12" i="4" a="1"/>
  <c r="BR7" i="4" a="1"/>
  <c r="BX7" i="4" a="1"/>
  <c r="AC8" i="4" a="1"/>
  <c r="CR14" i="4" a="1"/>
  <c r="O15" i="4" a="1"/>
  <c r="EH12" i="4" a="1"/>
  <c r="BG14" i="4" a="1"/>
  <c r="X22" i="2"/>
  <c r="AR13" i="4" a="1"/>
  <c r="EI11" i="4" a="1"/>
  <c r="X16" i="4" a="1"/>
  <c r="BV12" i="4" a="1"/>
  <c r="E19" i="3"/>
  <c r="BJ15" i="4" a="1"/>
  <c r="CJ6" i="4" a="1"/>
  <c r="H7" i="4" a="1"/>
  <c r="AM15" i="4" a="1"/>
  <c r="AV6" i="4" a="1"/>
  <c r="BE14" i="4" a="1"/>
  <c r="AQ6" i="4" a="1"/>
  <c r="BJ16" i="4" a="1"/>
  <c r="BT14" i="4" a="1"/>
  <c r="AQ14" i="4" a="1"/>
  <c r="EJ9" i="4" a="1"/>
  <c r="DK8" i="4" a="1"/>
  <c r="CB5" i="4" a="1"/>
  <c r="CI5" i="4" a="1"/>
  <c r="CN5" i="4" a="1"/>
  <c r="AD92" i="3"/>
  <c r="E68" i="3"/>
  <c r="F92" i="3"/>
  <c r="F61" i="3"/>
  <c r="E85" i="3"/>
  <c r="F97" i="3"/>
  <c r="E55" i="3"/>
  <c r="E83" i="3"/>
  <c r="AD90" i="3"/>
  <c r="AD55" i="3"/>
  <c r="AD80" i="3"/>
  <c r="E77" i="3"/>
  <c r="AD65" i="3"/>
  <c r="AD95" i="3"/>
  <c r="E63" i="3"/>
  <c r="AD82" i="3"/>
  <c r="G36" i="2"/>
  <c r="K21" i="2"/>
  <c r="E16" i="3"/>
  <c r="H19" i="2"/>
  <c r="AR20" i="3"/>
  <c r="J9" i="2"/>
  <c r="AR78" i="3"/>
  <c r="W9" i="2"/>
  <c r="O36" i="2"/>
  <c r="AR96" i="3"/>
  <c r="S11" i="4" a="1"/>
  <c r="Q19" i="2"/>
  <c r="U20" i="2"/>
  <c r="AI46" i="3"/>
  <c r="BV13" i="4" a="1"/>
  <c r="AC6" i="4" a="1"/>
  <c r="V23" i="2"/>
  <c r="R19" i="2"/>
  <c r="I45" i="3"/>
  <c r="R29" i="2"/>
  <c r="M32" i="2"/>
  <c r="V19" i="2"/>
  <c r="E13" i="3"/>
  <c r="AZ7" i="4" a="1"/>
  <c r="CQ8" i="4" a="1"/>
  <c r="J26" i="2"/>
  <c r="G28" i="2"/>
  <c r="V8" i="2"/>
  <c r="N45" i="3"/>
  <c r="E8" i="3"/>
  <c r="BD6" i="4" a="1"/>
  <c r="CD8" i="4" a="1"/>
  <c r="U12" i="2"/>
  <c r="X8" i="2"/>
  <c r="J25" i="2"/>
  <c r="P6" i="2"/>
  <c r="T14" i="2"/>
  <c r="J17" i="2"/>
  <c r="C23" i="2"/>
  <c r="J34" i="2"/>
  <c r="AD18" i="3"/>
  <c r="G10" i="3"/>
  <c r="F28" i="3"/>
  <c r="EG12" i="4" a="1"/>
  <c r="CG12" i="4" a="1"/>
  <c r="CH7" i="4" a="1"/>
  <c r="DN12" i="4" a="1"/>
  <c r="U15" i="2"/>
  <c r="R16" i="2"/>
  <c r="D46" i="3"/>
  <c r="CZ15" i="4" a="1"/>
  <c r="CT7" i="4" a="1"/>
  <c r="K9" i="4" a="1"/>
  <c r="AR5" i="4" a="1"/>
  <c r="BT15" i="4" a="1"/>
  <c r="ED5" i="4" a="1"/>
  <c r="BT6" i="4" a="1"/>
  <c r="P23" i="2"/>
  <c r="C30" i="2"/>
  <c r="CM16" i="4" a="1"/>
  <c r="AD7" i="4" a="1"/>
  <c r="DU11" i="4" a="1"/>
  <c r="AA6" i="4" a="1"/>
  <c r="AS5" i="4" a="1"/>
  <c r="EA6" i="4" a="1"/>
  <c r="CG6" i="4" a="1"/>
  <c r="Q8" i="4" a="1"/>
  <c r="AR15" i="4" a="1"/>
  <c r="DK15" i="4" a="1"/>
  <c r="E33" i="2"/>
  <c r="L5" i="2"/>
  <c r="G19" i="3"/>
  <c r="CS8" i="4" a="1"/>
  <c r="DV15" i="4" a="1"/>
  <c r="CL12" i="4" a="1"/>
  <c r="BF14" i="4" a="1"/>
  <c r="CB15" i="4" a="1"/>
  <c r="BN6" i="4" a="1"/>
  <c r="F6" i="4" a="1"/>
  <c r="DD8" i="4" a="1"/>
  <c r="DV12" i="4" a="1"/>
  <c r="CE9" i="4" a="1"/>
  <c r="AB8" i="4" a="1"/>
  <c r="I31" i="2"/>
  <c r="S10" i="2"/>
  <c r="Y5" i="4" a="1"/>
  <c r="AC12" i="4" a="1"/>
  <c r="BZ11" i="4" a="1"/>
  <c r="BT16" i="4" a="1"/>
  <c r="EB5" i="4" a="1"/>
  <c r="CP15" i="4" a="1"/>
  <c r="BK9" i="4" a="1"/>
  <c r="DR8" i="4" a="1"/>
  <c r="CD13" i="4" a="1"/>
  <c r="BG13" i="4" a="1"/>
  <c r="L8" i="4" a="1"/>
  <c r="CI9" i="4" a="1"/>
  <c r="E11" i="4" a="1"/>
  <c r="T22" i="2"/>
  <c r="M9" i="2"/>
  <c r="BF13" i="4" a="1"/>
  <c r="X15" i="4" a="1"/>
  <c r="K16" i="4" a="1"/>
  <c r="DI7" i="4" a="1"/>
  <c r="AQ5" i="4" a="1"/>
  <c r="EH8" i="4" a="1"/>
  <c r="DS8" i="4" a="1"/>
  <c r="EF6" i="4" a="1"/>
  <c r="DX16" i="4" a="1"/>
  <c r="P13" i="4" a="1"/>
  <c r="CJ16" i="4" a="1"/>
  <c r="CK16" i="4" a="1"/>
  <c r="S6" i="4" a="1"/>
  <c r="K13" i="4" a="1"/>
  <c r="I19" i="2"/>
  <c r="AR59" i="3"/>
  <c r="AH13" i="4" a="1"/>
  <c r="DD9" i="4" a="1"/>
  <c r="BC8" i="4" a="1"/>
  <c r="DW5" i="4" a="1"/>
  <c r="BZ13" i="4" a="1"/>
  <c r="J12" i="4" a="1"/>
  <c r="BX6" i="4" a="1"/>
  <c r="CW11" i="4" a="1"/>
  <c r="AT16" i="4" a="1"/>
  <c r="CR11" i="4" a="1"/>
  <c r="J11" i="4" a="1"/>
  <c r="L12" i="4" a="1"/>
  <c r="E23" i="2"/>
  <c r="D6" i="3"/>
  <c r="CN8" i="4" a="1"/>
  <c r="DA8" i="4" a="1"/>
  <c r="CT15" i="4" a="1"/>
  <c r="DB7" i="4" a="1"/>
  <c r="N29" i="2"/>
  <c r="F5" i="2"/>
  <c r="DA11" i="4" a="1"/>
  <c r="R28" i="2"/>
  <c r="BY8" i="4" a="1"/>
  <c r="F25" i="2"/>
  <c r="E9" i="3"/>
  <c r="S35" i="2"/>
  <c r="S28" i="2"/>
  <c r="AF48" i="3"/>
  <c r="CZ12" i="4" a="1"/>
  <c r="Q5" i="2"/>
  <c r="H7" i="2"/>
  <c r="AD17" i="3"/>
  <c r="CO6" i="4" a="1"/>
  <c r="EF15" i="4" a="1"/>
  <c r="P36" i="2"/>
  <c r="F32" i="2"/>
  <c r="AR16" i="3"/>
  <c r="V28" i="2"/>
  <c r="K59" i="2"/>
  <c r="E22" i="2"/>
  <c r="AR18" i="3"/>
  <c r="DI14" i="4" a="1"/>
  <c r="BG12" i="4" a="1"/>
  <c r="O25" i="2"/>
  <c r="E28" i="2"/>
  <c r="D25" i="2"/>
  <c r="G14" i="3"/>
  <c r="AR35" i="3"/>
  <c r="CN11" i="4" a="1"/>
  <c r="Y8" i="4" a="1"/>
  <c r="G16" i="2"/>
  <c r="I9" i="2"/>
  <c r="L32" i="2"/>
  <c r="T24" i="2"/>
  <c r="I22" i="2"/>
  <c r="N21" i="2"/>
  <c r="R7" i="2"/>
  <c r="E45" i="2"/>
  <c r="AN45" i="3"/>
  <c r="N46" i="3"/>
  <c r="DO5" i="4" a="1"/>
  <c r="DT12" i="4" a="1"/>
  <c r="BZ5" i="4" a="1"/>
  <c r="CC8" i="4" a="1"/>
  <c r="DG5" i="4" a="1"/>
  <c r="D34" i="2"/>
  <c r="E27" i="2"/>
  <c r="CY15" i="4" a="1"/>
  <c r="BI6" i="4" a="1"/>
  <c r="DF16" i="4" a="1"/>
  <c r="BJ6" i="4" a="1"/>
  <c r="BI14" i="4" a="1"/>
  <c r="DR6" i="4" a="1"/>
  <c r="AU12" i="4" a="1"/>
  <c r="Z9" i="4" a="1"/>
  <c r="N14" i="2"/>
  <c r="H45" i="3"/>
  <c r="BZ15" i="4" a="1"/>
  <c r="EC11" i="4" a="1"/>
  <c r="EJ13" i="4" a="1"/>
  <c r="AZ12" i="4" a="1"/>
  <c r="F7" i="4" a="1"/>
  <c r="EK16" i="4" a="1"/>
  <c r="CQ12" i="4" a="1"/>
  <c r="EE8" i="4" a="1"/>
  <c r="Y14" i="4" a="1"/>
  <c r="S14" i="4" a="1"/>
  <c r="F89" i="2"/>
  <c r="V30" i="2"/>
  <c r="L45" i="3"/>
  <c r="BT9" i="4" a="1"/>
  <c r="DZ6" i="4" a="1"/>
  <c r="EI12" i="4" a="1"/>
  <c r="BQ15" i="4" a="1"/>
  <c r="O8" i="4" a="1"/>
  <c r="AP14" i="4" a="1"/>
  <c r="CY13" i="4" a="1"/>
  <c r="DC5" i="4" a="1"/>
  <c r="AZ16" i="4" a="1"/>
  <c r="O16" i="4" a="1"/>
  <c r="DE13" i="4" a="1"/>
  <c r="K17" i="2"/>
  <c r="C12" i="2"/>
  <c r="E14" i="4" a="1"/>
  <c r="CP14" i="4" a="1"/>
  <c r="BJ5" i="4" a="1"/>
  <c r="DT16" i="4" a="1"/>
  <c r="AR9" i="4" a="1"/>
  <c r="DG9" i="4" a="1"/>
  <c r="BZ6" i="4" a="1"/>
  <c r="CU14" i="4" a="1"/>
  <c r="DR9" i="4" a="1"/>
  <c r="ED15" i="4" a="1"/>
  <c r="DZ15" i="4" a="1"/>
  <c r="CY7" i="4" a="1"/>
  <c r="Z11" i="4" a="1"/>
  <c r="H49" i="2"/>
  <c r="AR86" i="3"/>
  <c r="AS6" i="4" a="1"/>
  <c r="BQ9" i="4" a="1"/>
  <c r="DC15" i="4" a="1"/>
  <c r="DX7" i="4" a="1"/>
  <c r="AP7" i="4" a="1"/>
  <c r="BM5" i="4" a="1"/>
  <c r="S12" i="4" a="1"/>
  <c r="BG6" i="4" a="1"/>
  <c r="EF9" i="4" a="1"/>
  <c r="CW16" i="4" a="1"/>
  <c r="AG5" i="4" a="1"/>
  <c r="AJ11" i="4" a="1"/>
  <c r="DD16" i="4" a="1"/>
  <c r="EK11" i="4" a="1"/>
  <c r="O22" i="2"/>
  <c r="E11" i="3"/>
  <c r="I14" i="4" a="1"/>
  <c r="EA13" i="4" a="1"/>
  <c r="U5" i="4" a="1"/>
  <c r="EF14" i="4" a="1"/>
  <c r="CA11" i="4" a="1"/>
  <c r="AB16" i="4" a="1"/>
  <c r="CU5" i="4" a="1"/>
  <c r="X11" i="4" a="1"/>
  <c r="AQ8" i="4" a="1"/>
  <c r="Z13" i="4" a="1"/>
  <c r="EH11" i="4" a="1"/>
  <c r="D19" i="2"/>
  <c r="M24" i="2"/>
  <c r="F7" i="3"/>
  <c r="DI8" i="4" a="1"/>
  <c r="AM6" i="4" a="1"/>
  <c r="I16" i="4" a="1"/>
  <c r="AN15" i="4" a="1"/>
  <c r="T9" i="4" a="1"/>
  <c r="V9" i="4" a="1"/>
  <c r="I9" i="4" a="1"/>
  <c r="S23" i="2"/>
  <c r="M35" i="2"/>
  <c r="AN8" i="4" a="1"/>
  <c r="F7" i="2"/>
  <c r="BS6" i="4" a="1"/>
  <c r="P69" i="2"/>
  <c r="AR42" i="3"/>
  <c r="T36" i="2"/>
  <c r="C35" i="2"/>
  <c r="AE45" i="3"/>
  <c r="DG15" i="4" a="1"/>
  <c r="G29" i="2"/>
  <c r="E15" i="2"/>
  <c r="AD14" i="3"/>
  <c r="BT13" i="4" a="1"/>
  <c r="AW5" i="4" a="1"/>
  <c r="G10" i="2"/>
  <c r="K15" i="2"/>
  <c r="CB7" i="4" a="1"/>
  <c r="D7" i="2"/>
  <c r="S8" i="2"/>
  <c r="L27" i="2"/>
  <c r="J45" i="3"/>
  <c r="AK13" i="4" a="1"/>
  <c r="D7" i="4" a="1"/>
  <c r="N33" i="2"/>
  <c r="D31" i="2"/>
  <c r="X12" i="2"/>
  <c r="AR15" i="3"/>
  <c r="AB12" i="4" a="1"/>
  <c r="DH12" i="4" a="1"/>
  <c r="BO12" i="4" a="1"/>
  <c r="M18" i="2"/>
  <c r="G33" i="2"/>
  <c r="S9" i="2"/>
  <c r="X20" i="2"/>
  <c r="N6" i="2"/>
  <c r="Q36" i="2"/>
  <c r="AR91" i="3"/>
  <c r="AA46" i="3"/>
  <c r="AR40" i="3"/>
  <c r="AR14" i="3"/>
  <c r="DO14" i="4" a="1"/>
  <c r="AD8" i="4" a="1"/>
  <c r="EA5" i="4" a="1"/>
  <c r="AM5" i="4" a="1"/>
  <c r="AI8" i="4" a="1"/>
  <c r="H22" i="2"/>
  <c r="M6" i="2"/>
  <c r="DK7" i="4" a="1"/>
  <c r="DP16" i="4" a="1"/>
  <c r="AU7" i="4" a="1"/>
  <c r="BS14" i="4" a="1"/>
  <c r="N14" i="4" a="1"/>
  <c r="CN9" i="4" a="1"/>
  <c r="V11" i="4" a="1"/>
  <c r="DK6" i="4" a="1"/>
  <c r="D10" i="2"/>
  <c r="E20" i="3"/>
  <c r="BC12" i="4" a="1"/>
  <c r="AP16" i="4" a="1"/>
  <c r="DB8" i="4" a="1"/>
  <c r="DK14" i="4" a="1"/>
  <c r="DF14" i="4" a="1"/>
  <c r="AC5" i="4" a="1"/>
  <c r="BQ16" i="4" a="1"/>
  <c r="CV15" i="4" a="1"/>
  <c r="L14" i="4" a="1"/>
  <c r="CP5" i="4" a="1"/>
  <c r="W13" i="2"/>
  <c r="AR67" i="3"/>
  <c r="CK15" i="4" a="1"/>
  <c r="X5" i="4" a="1"/>
  <c r="AP11" i="4" a="1"/>
  <c r="DH6" i="4" a="1"/>
  <c r="AG11" i="4" a="1"/>
  <c r="AJ7" i="4" a="1"/>
  <c r="BY11" i="4" a="1"/>
  <c r="BT8" i="4" a="1"/>
  <c r="DU9" i="4" a="1"/>
  <c r="AU8" i="4" a="1"/>
  <c r="Q7" i="4" a="1"/>
  <c r="G16" i="4" a="1"/>
  <c r="C22" i="2"/>
  <c r="G27" i="3"/>
  <c r="L9" i="4" a="1"/>
  <c r="AF8" i="4" a="1"/>
  <c r="BH7" i="4" a="1"/>
  <c r="AO14" i="4" a="1"/>
  <c r="EA9" i="4" a="1"/>
  <c r="CN12" i="4" a="1"/>
  <c r="BZ7" i="4" a="1"/>
  <c r="AY14" i="4" a="1"/>
  <c r="T13" i="4" a="1"/>
  <c r="BB7" i="4" a="1"/>
  <c r="AH16" i="4" a="1"/>
  <c r="BX11" i="4" a="1"/>
  <c r="AT7" i="4" a="1"/>
  <c r="D15" i="2"/>
  <c r="E25" i="3"/>
  <c r="W11" i="4" a="1"/>
  <c r="CM13" i="4" a="1"/>
  <c r="CK11" i="4" a="1"/>
  <c r="AB15" i="4" a="1"/>
  <c r="DX5" i="4" a="1"/>
  <c r="CF8" i="4" a="1"/>
  <c r="AY16" i="4" a="1"/>
  <c r="P12" i="4" a="1"/>
  <c r="BX14" i="4" a="1"/>
  <c r="AX7" i="4" a="1"/>
  <c r="P15" i="4" a="1"/>
  <c r="DZ5" i="4" a="1"/>
  <c r="DO7" i="4" a="1"/>
  <c r="BO6" i="4" a="1"/>
  <c r="U13" i="2"/>
  <c r="E10" i="3"/>
  <c r="DQ16" i="4" a="1"/>
  <c r="DK13" i="4" a="1"/>
  <c r="EE16" i="4" a="1"/>
  <c r="BX12" i="4" a="1"/>
  <c r="DV6" i="4" a="1"/>
  <c r="Y7" i="4" a="1"/>
  <c r="DU16" i="4" a="1"/>
  <c r="EJ6" i="4" a="1"/>
  <c r="DZ8" i="4" a="1"/>
  <c r="AE14" i="4" a="1"/>
  <c r="BA12" i="4" a="1"/>
  <c r="Q56" i="2"/>
  <c r="E20" i="2"/>
  <c r="AZ15" i="4" a="1"/>
  <c r="DE12" i="4" a="1"/>
  <c r="BX5" i="4" a="1"/>
  <c r="DM13" i="4" a="1"/>
  <c r="F9" i="4" a="1"/>
  <c r="EI5" i="4" a="1"/>
  <c r="DC16" i="4" a="1"/>
  <c r="CO16" i="4" a="1"/>
  <c r="BF5" i="4" a="1"/>
  <c r="EI8" i="4" a="1"/>
  <c r="AF5" i="4" a="1"/>
  <c r="CG13" i="4" a="1"/>
  <c r="P20" i="2"/>
  <c r="F18" i="2"/>
  <c r="DL14" i="4" a="1"/>
  <c r="H11" i="2"/>
  <c r="D9" i="3"/>
  <c r="DM15" i="4" a="1"/>
  <c r="AR12" i="4" a="1"/>
  <c r="BB14" i="4" a="1"/>
  <c r="EB6" i="4" a="1"/>
  <c r="BN9" i="4" a="1"/>
  <c r="AC9" i="4" a="1"/>
  <c r="CY9" i="4" a="1"/>
  <c r="CD7" i="4" a="1"/>
  <c r="U21" i="2"/>
  <c r="E18" i="2"/>
  <c r="D35" i="3"/>
  <c r="CV6" i="4" a="1"/>
  <c r="DE16" i="4" a="1"/>
  <c r="AB5" i="4" a="1"/>
  <c r="L16" i="4" a="1"/>
  <c r="R8" i="4" a="1"/>
  <c r="AF13" i="4" a="1"/>
  <c r="O9" i="4" a="1"/>
  <c r="EA11" i="4" a="1"/>
  <c r="BJ13" i="4" a="1"/>
  <c r="DW11" i="4" a="1"/>
  <c r="BP8" i="4" a="1"/>
  <c r="AF12" i="4" a="1"/>
  <c r="BB16" i="4" a="1"/>
  <c r="AL7" i="4" a="1"/>
  <c r="BR8" i="4" a="1"/>
  <c r="AN16" i="4" a="1"/>
  <c r="DS11" i="4" a="1"/>
  <c r="M5" i="4" a="1"/>
  <c r="BA15" i="4" a="1"/>
  <c r="EH6" i="4" a="1"/>
  <c r="DV9" i="4" a="1"/>
  <c r="AJ6" i="4" a="1"/>
  <c r="E17" i="3"/>
  <c r="DO16" i="4" a="1"/>
  <c r="CE8" i="4" a="1"/>
  <c r="DU15" i="4" a="1"/>
  <c r="DN13" i="4" a="1"/>
  <c r="K14" i="4" a="1"/>
  <c r="AB6" i="4" a="1"/>
  <c r="V13" i="4" a="1"/>
  <c r="DB11" i="4" a="1"/>
  <c r="AV13" i="4" a="1"/>
  <c r="EJ15" i="4" a="1"/>
  <c r="N13" i="4" a="1"/>
  <c r="EB15" i="4" a="1"/>
  <c r="DN5" i="4" a="1"/>
  <c r="BU15" i="4" a="1"/>
  <c r="DT9" i="4" a="1"/>
  <c r="CN13" i="4" a="1"/>
  <c r="DH16" i="4" a="1"/>
  <c r="CS9" i="4" a="1"/>
  <c r="AR63" i="3"/>
  <c r="BP16" i="4" a="1"/>
  <c r="AY13" i="4" a="1"/>
  <c r="DY12" i="4" a="1"/>
  <c r="DA16" i="4" a="1"/>
  <c r="AG16" i="4" a="1"/>
  <c r="CU11" i="4" a="1"/>
  <c r="X12" i="4" a="1"/>
  <c r="AQ11" i="4" a="1"/>
  <c r="EK5" i="4" a="1"/>
  <c r="BB9" i="4" a="1"/>
  <c r="CY11" i="4" a="1"/>
  <c r="EJ11" i="4" a="1"/>
  <c r="BU9" i="4" a="1"/>
  <c r="EA8" i="4" a="1"/>
  <c r="DX9" i="4" a="1"/>
  <c r="BH15" i="4" a="1"/>
  <c r="CE16" i="4" a="1"/>
  <c r="DD15" i="4" a="1"/>
  <c r="BA13" i="4" a="1"/>
  <c r="CH9" i="4" a="1"/>
  <c r="BO14" i="4" a="1"/>
  <c r="EB16" i="4" a="1"/>
  <c r="S5" i="4" a="1"/>
  <c r="AO16" i="4" a="1"/>
  <c r="EB9" i="4" a="1"/>
  <c r="AX8" i="4" a="1"/>
  <c r="BJ8" i="4" a="1"/>
  <c r="DK12" i="4" a="1"/>
  <c r="BU5" i="4" a="1"/>
  <c r="F87" i="3"/>
  <c r="F90" i="3"/>
  <c r="F72" i="3"/>
  <c r="F78" i="3"/>
  <c r="AD74" i="3"/>
  <c r="F71" i="3"/>
  <c r="F49" i="3"/>
  <c r="F89" i="3"/>
  <c r="AD56" i="3"/>
  <c r="AD77" i="3"/>
  <c r="F94" i="3"/>
  <c r="F59" i="3"/>
  <c r="E95" i="3"/>
  <c r="F58" i="3"/>
  <c r="E58" i="3"/>
  <c r="AD62" i="3"/>
  <c r="I5" i="2"/>
  <c r="D27" i="2"/>
  <c r="Q14" i="4" a="1"/>
  <c r="X31" i="2"/>
  <c r="BA9" i="4" a="1"/>
  <c r="F33" i="2"/>
  <c r="T45" i="3"/>
  <c r="V12" i="2"/>
  <c r="J28" i="2"/>
  <c r="D21" i="3"/>
  <c r="CQ13" i="4" a="1"/>
  <c r="J33" i="2"/>
  <c r="D13" i="2"/>
  <c r="D32" i="3"/>
  <c r="BH12" i="4" a="1"/>
  <c r="AG14" i="4" a="1"/>
  <c r="Q27" i="2"/>
  <c r="U31" i="2"/>
  <c r="BI13" i="4" a="1"/>
  <c r="W31" i="2"/>
  <c r="U5" i="2"/>
  <c r="J46" i="3"/>
  <c r="AD11" i="3"/>
  <c r="BP11" i="4" a="1"/>
  <c r="Q18" i="2"/>
  <c r="W30" i="2"/>
  <c r="T20" i="2"/>
  <c r="AR34" i="3"/>
  <c r="D27" i="3"/>
  <c r="CY6" i="4" a="1"/>
  <c r="DR5" i="4" a="1"/>
  <c r="X28" i="2"/>
  <c r="S25" i="2"/>
  <c r="G31" i="2"/>
  <c r="H6" i="2"/>
  <c r="O11" i="2"/>
  <c r="W15" i="2"/>
  <c r="AR49" i="3"/>
  <c r="N8" i="2"/>
  <c r="W45" i="3"/>
  <c r="AH46" i="3"/>
  <c r="E12" i="3"/>
  <c r="DM5" i="4" a="1"/>
  <c r="C15" i="4" a="1"/>
  <c r="U16" i="4" a="1"/>
  <c r="CW7" i="4" a="1"/>
  <c r="Y6" i="4" a="1"/>
  <c r="W32" i="2"/>
  <c r="D33" i="3"/>
  <c r="BU7" i="4" a="1"/>
  <c r="BD5" i="4" a="1"/>
  <c r="BV16" i="4" a="1"/>
  <c r="AN13" i="4" a="1"/>
  <c r="DF6" i="4" a="1"/>
  <c r="BO9" i="4" a="1"/>
  <c r="CO14" i="4" a="1"/>
  <c r="DS16" i="4" a="1"/>
  <c r="H27" i="2"/>
  <c r="AR32" i="3"/>
  <c r="EK15" i="4" a="1"/>
  <c r="DP12" i="4" a="1"/>
  <c r="DY14" i="4" a="1"/>
  <c r="G14" i="4" a="1"/>
  <c r="EH7" i="4" a="1"/>
  <c r="AH9" i="4" a="1"/>
  <c r="BL11" i="4" a="1"/>
  <c r="DX15" i="4" a="1"/>
  <c r="AW11" i="4" a="1"/>
  <c r="BO7" i="4" a="1"/>
  <c r="F28" i="2"/>
  <c r="P10" i="2"/>
  <c r="AX11" i="4" a="1"/>
  <c r="F16" i="4" a="1"/>
  <c r="CJ11" i="4" a="1"/>
  <c r="F15" i="4" a="1"/>
  <c r="CJ12" i="4" a="1"/>
  <c r="AY5" i="4" a="1"/>
  <c r="CY14" i="4" a="1"/>
  <c r="CL15" i="4" a="1"/>
  <c r="BZ16" i="4" a="1"/>
  <c r="AG8" i="4" a="1"/>
  <c r="E5" i="4" a="1"/>
  <c r="AM9" i="4" a="1"/>
  <c r="X63" i="2"/>
  <c r="I46" i="3"/>
  <c r="CN16" i="4" a="1"/>
  <c r="T8" i="4" a="1"/>
  <c r="BM13" i="4" a="1"/>
  <c r="U11" i="4" a="1"/>
  <c r="CV14" i="4" a="1"/>
  <c r="U8" i="4" a="1"/>
  <c r="H5" i="4" a="1"/>
  <c r="W7" i="4" a="1"/>
  <c r="AI6" i="4" a="1"/>
  <c r="CX9" i="4" a="1"/>
  <c r="EF12" i="4" a="1"/>
  <c r="K11" i="4" a="1"/>
  <c r="W14" i="4" a="1"/>
  <c r="G30" i="2"/>
  <c r="L46" i="3"/>
  <c r="DC9" i="4" a="1"/>
  <c r="V5" i="4" a="1"/>
  <c r="H6" i="4" a="1"/>
  <c r="DT6" i="4" a="1"/>
  <c r="AS8" i="4" a="1"/>
  <c r="AW12" i="4" a="1"/>
  <c r="CM9" i="4" a="1"/>
  <c r="EB11" i="4" a="1"/>
  <c r="CC7" i="4" a="1"/>
  <c r="CL7" i="4" a="1"/>
  <c r="BD13" i="4" a="1"/>
  <c r="EC6" i="4" a="1"/>
  <c r="DM7" i="4" a="1"/>
  <c r="AC7" i="4" a="1"/>
  <c r="D33" i="2"/>
  <c r="AD45" i="3"/>
  <c r="BY13" i="4" a="1"/>
  <c r="DU5" i="4" a="1"/>
  <c r="AZ6" i="4" a="1"/>
  <c r="BS13" i="4" a="1"/>
  <c r="BR6" i="4" a="1"/>
  <c r="DD6" i="4" a="1"/>
  <c r="DN8" i="4" a="1"/>
  <c r="BH9" i="4" a="1"/>
  <c r="BC7" i="4" a="1"/>
  <c r="AN5" i="4" a="1"/>
  <c r="AM16" i="4" a="1"/>
  <c r="U25" i="2"/>
  <c r="X29" i="2"/>
  <c r="AI9" i="4" a="1"/>
  <c r="AK7" i="4" a="1"/>
  <c r="CP12" i="4" a="1"/>
  <c r="AA9" i="4" a="1"/>
  <c r="CE13" i="4" a="1"/>
  <c r="DO8" i="4" a="1"/>
  <c r="BE9" i="4" a="1"/>
  <c r="DU6" i="4" a="1"/>
  <c r="AW9" i="4" a="1"/>
  <c r="CW6" i="4" a="1"/>
  <c r="DI11" i="4" a="1"/>
  <c r="I6" i="4" a="1"/>
  <c r="N17" i="2"/>
  <c r="S45" i="3"/>
  <c r="D6" i="4" a="1"/>
  <c r="C14" i="2"/>
  <c r="AO6" i="3"/>
  <c r="AC14" i="4" a="1"/>
  <c r="DR12" i="4" a="1"/>
  <c r="CK6" i="4" a="1"/>
  <c r="Y12" i="4" a="1"/>
  <c r="BJ7" i="4" a="1"/>
  <c r="H14" i="4" a="1"/>
  <c r="DJ8" i="4" a="1"/>
  <c r="BE13" i="4" a="1"/>
  <c r="C20" i="2"/>
  <c r="AR95" i="3"/>
  <c r="AL12" i="4" a="1"/>
  <c r="CK14" i="4" a="1"/>
  <c r="AI5" i="4" a="1"/>
  <c r="U14" i="4" a="1"/>
  <c r="BM9" i="4" a="1"/>
  <c r="DC13" i="4" a="1"/>
  <c r="EE15" i="4" a="1"/>
  <c r="DB6" i="4" a="1"/>
  <c r="BH8" i="4" a="1"/>
  <c r="CH11" i="4" a="1"/>
  <c r="DU14" i="4" a="1"/>
  <c r="AN11" i="4" a="1"/>
  <c r="F5" i="4" a="1"/>
  <c r="AW14" i="4" a="1"/>
  <c r="DC8" i="4" a="1"/>
  <c r="BR9" i="4" a="1"/>
  <c r="AT12" i="4" a="1"/>
  <c r="N8" i="4" a="1"/>
  <c r="O6" i="4" a="1"/>
  <c r="DS13" i="4" a="1"/>
  <c r="DH9" i="4" a="1"/>
  <c r="EE5" i="4" a="1"/>
  <c r="DW12" i="4" a="1"/>
  <c r="BO8" i="4" a="1"/>
  <c r="CY8" i="4" a="1"/>
  <c r="CH12" i="4" a="1"/>
  <c r="CL8" i="4" a="1"/>
  <c r="EH14" i="4" a="1"/>
  <c r="DF13" i="4" a="1"/>
  <c r="AU15" i="4" a="1"/>
  <c r="DI9" i="4" a="1"/>
  <c r="E7" i="4" a="1"/>
  <c r="BN14" i="4" a="1"/>
  <c r="DB15" i="4" a="1"/>
  <c r="BP5" i="4" a="1"/>
  <c r="M9" i="4" a="1"/>
  <c r="BR16" i="4" a="1"/>
  <c r="U34" i="2"/>
  <c r="M6" i="4" a="1"/>
  <c r="AS14" i="4" a="1"/>
  <c r="CC15" i="4" a="1"/>
  <c r="F31" i="2"/>
  <c r="G16" i="3"/>
  <c r="DN6" i="4" a="1"/>
  <c r="CH5" i="4" a="1"/>
  <c r="DS15" i="4" a="1"/>
  <c r="N16" i="4" a="1"/>
  <c r="CL11" i="4" a="1"/>
  <c r="BF6" i="4" a="1"/>
  <c r="CO5" i="4" a="1"/>
  <c r="N5" i="4" a="1"/>
  <c r="M14" i="4" a="1"/>
  <c r="DD5" i="4" a="1"/>
  <c r="BQ12" i="4" a="1"/>
  <c r="AL16" i="4" a="1"/>
  <c r="H8" i="4" a="1"/>
  <c r="CH14" i="4" a="1"/>
  <c r="BR14" i="4" a="1"/>
  <c r="DS9" i="4" a="1"/>
  <c r="DJ15" i="4" a="1"/>
  <c r="CO11" i="4" a="1"/>
  <c r="AO6" i="4" a="1"/>
  <c r="AX5" i="4" a="1"/>
  <c r="EG16" i="4" a="1"/>
  <c r="EE6" i="4" a="1"/>
  <c r="F14" i="4" a="1"/>
  <c r="CO8" i="4" a="1"/>
  <c r="EG15" i="4" a="1"/>
  <c r="BE12" i="4" a="1"/>
  <c r="L7" i="4" a="1"/>
  <c r="Q11" i="4" a="1"/>
  <c r="E70" i="3"/>
  <c r="AD84" i="3"/>
  <c r="AD85" i="3"/>
  <c r="E54" i="3"/>
  <c r="E67" i="3"/>
  <c r="AD73" i="3"/>
  <c r="E75" i="3"/>
  <c r="AD60" i="3"/>
  <c r="AD66" i="3"/>
  <c r="F95" i="3"/>
  <c r="F67" i="3"/>
  <c r="AD76" i="3"/>
  <c r="F81" i="3"/>
  <c r="Q26" i="2"/>
  <c r="AR70" i="3"/>
  <c r="DI16" i="4" a="1"/>
  <c r="AR64" i="3"/>
  <c r="CB9" i="4" a="1"/>
  <c r="H32" i="2"/>
  <c r="AR39" i="3"/>
  <c r="K29" i="2"/>
  <c r="L11" i="2"/>
  <c r="E24" i="3"/>
  <c r="CU6" i="4" a="1"/>
  <c r="S13" i="2"/>
  <c r="P18" i="2"/>
  <c r="D25" i="3"/>
  <c r="DD13" i="4" a="1"/>
  <c r="O32" i="2"/>
  <c r="M13" i="2"/>
  <c r="AD15" i="3"/>
  <c r="BK13" i="4" a="1"/>
  <c r="G32" i="2"/>
  <c r="J32" i="2"/>
  <c r="AA45" i="3"/>
  <c r="CI7" i="4" a="1"/>
  <c r="CJ9" i="4" a="1"/>
  <c r="O6" i="2"/>
  <c r="H23" i="2"/>
  <c r="M11" i="2"/>
  <c r="X46" i="3"/>
  <c r="AC45" i="3"/>
  <c r="BM8" i="4" a="1"/>
  <c r="AR11" i="4" a="1"/>
  <c r="C8" i="2"/>
  <c r="L12" i="2"/>
  <c r="K23" i="2"/>
  <c r="S20" i="2"/>
  <c r="X27" i="2"/>
  <c r="C18" i="2"/>
  <c r="J5" i="2"/>
  <c r="P21" i="2"/>
  <c r="G11" i="3"/>
  <c r="C46" i="3"/>
  <c r="F15" i="3"/>
  <c r="AK11" i="4" a="1"/>
  <c r="DP14" i="4" a="1"/>
  <c r="BK6" i="4" a="1"/>
  <c r="AL5" i="4" a="1"/>
  <c r="BS16" i="4" a="1"/>
  <c r="D35" i="2"/>
  <c r="E39" i="3"/>
  <c r="AM7" i="4" a="1"/>
  <c r="DR11" i="4" a="1"/>
  <c r="AK12" i="4" a="1"/>
  <c r="EA7" i="4" a="1"/>
  <c r="DD12" i="4" a="1"/>
  <c r="BS11" i="4" a="1"/>
  <c r="DW7" i="4" a="1"/>
  <c r="DT5" i="4" a="1"/>
  <c r="Q20" i="2"/>
  <c r="P45" i="3"/>
  <c r="ED14" i="4" a="1"/>
  <c r="AY6" i="4" a="1"/>
  <c r="AA11" i="4" a="1"/>
  <c r="DW14" i="4" a="1"/>
  <c r="CR6" i="4" a="1"/>
  <c r="I8" i="4" a="1"/>
  <c r="ED7" i="4" a="1"/>
  <c r="DL7" i="4" a="1"/>
  <c r="BT12" i="4" a="1"/>
  <c r="CK7" i="4" a="1"/>
  <c r="W20" i="2"/>
  <c r="F10" i="3"/>
  <c r="DR16" i="4" a="1"/>
  <c r="DP11" i="4" a="1"/>
  <c r="DQ15" i="4" a="1"/>
  <c r="DE8" i="4" a="1"/>
  <c r="EC8" i="4" a="1"/>
  <c r="DL16" i="4" a="1"/>
  <c r="AQ9" i="4" a="1"/>
  <c r="CW5" i="4" a="1"/>
  <c r="T5" i="4" a="1"/>
  <c r="CS11" i="4" a="1"/>
  <c r="AO8" i="4" a="1"/>
  <c r="EB14" i="4" a="1"/>
  <c r="L21" i="2"/>
  <c r="V46" i="3"/>
  <c r="AH8" i="4" a="1"/>
  <c r="CR5" i="4" a="1"/>
  <c r="BI9" i="4" a="1"/>
  <c r="EA16" i="4" a="1"/>
  <c r="BW6" i="4" a="1"/>
  <c r="AQ7" i="4" a="1"/>
  <c r="D16" i="4" a="1"/>
  <c r="M11" i="4" a="1"/>
  <c r="DM14" i="4" a="1"/>
  <c r="BH13" i="4" a="1"/>
  <c r="BP6" i="4" a="1"/>
  <c r="AL14" i="4" a="1"/>
  <c r="DF8" i="4" a="1"/>
  <c r="U8" i="2"/>
  <c r="E42" i="3"/>
  <c r="BA5" i="4" a="1"/>
  <c r="DQ14" i="4" a="1"/>
  <c r="DP7" i="4" a="1"/>
  <c r="AL13" i="4" a="1"/>
  <c r="AR16" i="4" a="1"/>
  <c r="BJ14" i="4" a="1"/>
  <c r="DW13" i="4" a="1"/>
  <c r="BA14" i="4" a="1"/>
  <c r="AD15" i="4" a="1"/>
  <c r="CC12" i="4" a="1"/>
  <c r="BQ14" i="4" a="1"/>
  <c r="W16" i="4" a="1"/>
  <c r="AS12" i="4" a="1"/>
  <c r="AI12" i="4" a="1"/>
  <c r="L6" i="2"/>
  <c r="AN46" i="3"/>
  <c r="X7" i="4" a="1"/>
  <c r="CH8" i="4" a="1"/>
  <c r="U12" i="4" a="1"/>
  <c r="AH12" i="4" a="1"/>
  <c r="CK13" i="4" a="1"/>
  <c r="CS6" i="4" a="1"/>
  <c r="H15" i="4" a="1"/>
  <c r="DD11" i="4" a="1"/>
  <c r="DY6" i="4" a="1"/>
  <c r="BU11" i="4" a="1"/>
  <c r="S16" i="4" a="1"/>
  <c r="W12" i="2"/>
  <c r="I26" i="2"/>
  <c r="DK5" i="4" a="1"/>
  <c r="BF12" i="4" a="1"/>
  <c r="CC13" i="4" a="1"/>
  <c r="AA16" i="4" a="1"/>
  <c r="CP9" i="4" a="1"/>
  <c r="CV13" i="4" a="1"/>
  <c r="DT13" i="4" a="1"/>
  <c r="AD6" i="4" a="1"/>
  <c r="CH16" i="4" a="1"/>
  <c r="ED8" i="4" a="1"/>
  <c r="H9" i="4" a="1"/>
  <c r="K5" i="4" a="1"/>
  <c r="T18" i="2"/>
  <c r="F14" i="3"/>
  <c r="G17" i="2"/>
  <c r="V20" i="2"/>
  <c r="G8" i="3"/>
  <c r="R11" i="4" a="1"/>
  <c r="EJ16" i="4" a="1"/>
  <c r="DK16" i="4" a="1"/>
  <c r="DN15" i="4" a="1"/>
  <c r="DX12" i="4" a="1"/>
  <c r="W15" i="4" a="1"/>
  <c r="EA14" i="4" a="1"/>
  <c r="J15" i="4" a="1"/>
  <c r="U35" i="2"/>
  <c r="I21" i="2"/>
  <c r="J9" i="4" a="1"/>
  <c r="CI13" i="4" a="1"/>
  <c r="BA7" i="4" a="1"/>
  <c r="CD6" i="4" a="1"/>
  <c r="BC16" i="4" a="1"/>
  <c r="DX11" i="4" a="1"/>
  <c r="DJ9" i="4" a="1"/>
  <c r="DK9" i="4" a="1"/>
  <c r="AG13" i="4" a="1"/>
  <c r="DQ12" i="4" a="1"/>
  <c r="G6" i="2"/>
  <c r="AT8" i="4" a="1"/>
  <c r="N11" i="2"/>
  <c r="Z7" i="4" a="1"/>
  <c r="AH7" i="4" a="1"/>
  <c r="AR6" i="4" a="1"/>
  <c r="DE5" i="4" a="1"/>
  <c r="DV14" i="4" a="1"/>
  <c r="AY12" i="4" a="1"/>
  <c r="EC12" i="4" a="1"/>
  <c r="DY7" i="4" a="1"/>
  <c r="J6" i="4" a="1"/>
  <c r="EI15" i="4" a="1"/>
  <c r="V14" i="4" a="1"/>
  <c r="DM16" i="4" a="1"/>
  <c r="CP6" i="4" a="1"/>
  <c r="Z12" i="4" a="1"/>
  <c r="BK14" i="4" a="1"/>
  <c r="P8" i="4" a="1"/>
  <c r="DR14" i="4" a="1"/>
  <c r="AB7" i="4" a="1"/>
  <c r="BC6" i="4" a="1"/>
  <c r="Q16" i="4" a="1"/>
  <c r="AS7" i="4" a="1"/>
  <c r="Z16" i="4" a="1"/>
  <c r="C29" i="2"/>
  <c r="AR58" i="3"/>
  <c r="CE5" i="4" a="1"/>
  <c r="D30" i="2"/>
  <c r="X33" i="2"/>
  <c r="AR56" i="3"/>
  <c r="AO45" i="3"/>
  <c r="E14" i="2"/>
  <c r="O24" i="2"/>
  <c r="M45" i="3"/>
  <c r="AG9" i="4" a="1"/>
  <c r="Q12" i="2"/>
  <c r="V17" i="2"/>
  <c r="E27" i="3"/>
  <c r="AY9" i="4" a="1"/>
  <c r="Q78" i="2"/>
  <c r="Q31" i="2"/>
  <c r="E32" i="3"/>
  <c r="BG8" i="4" a="1"/>
  <c r="N31" i="2"/>
  <c r="AR69" i="3"/>
  <c r="AR33" i="3"/>
  <c r="AN7" i="4" a="1"/>
  <c r="C8" i="4" a="1"/>
  <c r="Q46" i="2"/>
  <c r="V5" i="2"/>
  <c r="AS49" i="3"/>
  <c r="D13" i="3"/>
  <c r="Z46" i="3"/>
  <c r="AI16" i="4" a="1"/>
  <c r="J5" i="4" a="1"/>
  <c r="O8" i="2"/>
  <c r="I16" i="2"/>
  <c r="F35" i="2"/>
  <c r="Q8" i="2"/>
  <c r="K9" i="2"/>
  <c r="H10" i="2"/>
  <c r="U28" i="2"/>
  <c r="N20" i="2"/>
  <c r="D24" i="3"/>
  <c r="F6" i="3"/>
  <c r="G20" i="3"/>
  <c r="BC9" i="4" a="1"/>
  <c r="Q12" i="4" a="1"/>
  <c r="BS7" i="4" a="1"/>
  <c r="CU9" i="4" a="1"/>
  <c r="CN15" i="4" a="1"/>
  <c r="I30" i="2"/>
  <c r="D39" i="3"/>
  <c r="BN11" i="4" a="1"/>
  <c r="Q5" i="4" a="1"/>
  <c r="CL16" i="4" a="1"/>
  <c r="AJ13" i="4" a="1"/>
  <c r="CH13" i="4" a="1"/>
  <c r="CF15" i="4" a="1"/>
  <c r="CT6" i="4" a="1"/>
  <c r="T35" i="2"/>
  <c r="R36" i="2"/>
  <c r="E29" i="3"/>
  <c r="DU8" i="4" a="1"/>
  <c r="CC16" i="4" a="1"/>
  <c r="AD16" i="4" a="1"/>
  <c r="EC9" i="4" a="1"/>
  <c r="M16" i="4" a="1"/>
  <c r="DZ9" i="4" a="1"/>
  <c r="DF9" i="4" a="1"/>
  <c r="BL14" i="4" a="1"/>
  <c r="BN12" i="4" a="1"/>
  <c r="CB6" i="4" a="1"/>
  <c r="E26" i="2"/>
  <c r="G26" i="3"/>
  <c r="BW15" i="4" a="1"/>
  <c r="AK5" i="4" a="1"/>
  <c r="DG14" i="4" a="1"/>
  <c r="BV8" i="4" a="1"/>
  <c r="DC14" i="4" a="1"/>
  <c r="EK12" i="4" a="1"/>
  <c r="AS11" i="4" a="1"/>
  <c r="BD16" i="4" a="1"/>
  <c r="V7" i="4" a="1"/>
  <c r="AM12" i="4" a="1"/>
  <c r="AH11" i="4" a="1"/>
  <c r="CE15" i="4" a="1"/>
  <c r="G11" i="2"/>
  <c r="F34" i="3"/>
  <c r="DH8" i="4" a="1"/>
  <c r="D15" i="4" a="1"/>
  <c r="AV8" i="4" a="1"/>
  <c r="CB12" i="4" a="1"/>
  <c r="L11" i="4" a="1"/>
  <c r="AZ13" i="4" a="1"/>
  <c r="CJ14" i="4" a="1"/>
  <c r="CR12" i="4" a="1"/>
  <c r="AX12" i="4" a="1"/>
  <c r="S8" i="4" a="1"/>
  <c r="BD8" i="4" a="1"/>
  <c r="BD7" i="4" a="1"/>
  <c r="DP13" i="4" a="1"/>
  <c r="W7" i="2"/>
  <c r="O13" i="2"/>
  <c r="G17" i="3"/>
  <c r="S32" i="2"/>
  <c r="AQ6" i="3"/>
  <c r="V7" i="2"/>
  <c r="AR94" i="3"/>
  <c r="AZ14" i="4" a="1"/>
  <c r="X10" i="2"/>
  <c r="Q34" i="2"/>
  <c r="R16" i="4" a="1"/>
  <c r="EI6" i="4" a="1"/>
  <c r="Q9" i="2"/>
  <c r="C11" i="2"/>
  <c r="F12" i="4" a="1"/>
  <c r="CF6" i="4" a="1"/>
  <c r="E19" i="2"/>
  <c r="P5" i="2"/>
  <c r="G15" i="3"/>
  <c r="I14" i="2"/>
  <c r="K16" i="2"/>
  <c r="E5" i="2"/>
  <c r="E23" i="3"/>
  <c r="DL15" i="4" a="1"/>
  <c r="EK8" i="4" a="1"/>
  <c r="N36" i="2"/>
  <c r="R8" i="2"/>
  <c r="Q57" i="2"/>
  <c r="AC46" i="3"/>
  <c r="E30" i="3"/>
  <c r="DE11" i="4" a="1"/>
  <c r="W5" i="4" a="1"/>
  <c r="D16" i="2"/>
  <c r="Q30" i="2"/>
  <c r="J15" i="2"/>
  <c r="P28" i="2"/>
  <c r="N7" i="2"/>
  <c r="U26" i="2"/>
  <c r="D11" i="2"/>
  <c r="H5" i="2"/>
  <c r="G5" i="3"/>
  <c r="G18" i="3"/>
  <c r="AR23" i="3"/>
  <c r="CF7" i="4" a="1"/>
  <c r="EI14" i="4" a="1"/>
  <c r="AO11" i="4" a="1"/>
  <c r="BE7" i="4" a="1"/>
  <c r="CS12" i="4" a="1"/>
  <c r="U16" i="2"/>
  <c r="M46" i="3"/>
  <c r="CY16" i="4" a="1"/>
  <c r="DJ14" i="4" a="1"/>
  <c r="V6" i="4" a="1"/>
  <c r="AL8" i="4" a="1"/>
  <c r="AS13" i="4" a="1"/>
  <c r="CD12" i="4" a="1"/>
  <c r="DZ7" i="4" a="1"/>
  <c r="N9" i="2"/>
  <c r="C26" i="2"/>
  <c r="F26" i="3"/>
  <c r="AO5" i="4" a="1"/>
  <c r="CT12" i="4" a="1"/>
  <c r="CW9" i="4" a="1"/>
  <c r="BW7" i="4" a="1"/>
  <c r="AZ9" i="4" a="1"/>
  <c r="DA12" i="4" a="1"/>
  <c r="AK16" i="4" a="1"/>
  <c r="AA14" i="4" a="1"/>
  <c r="BM12" i="4" a="1"/>
  <c r="BQ13" i="4" a="1"/>
  <c r="L26" i="2"/>
  <c r="AR30" i="3"/>
  <c r="EG5" i="4" a="1"/>
  <c r="CF12" i="4" a="1"/>
  <c r="BL16" i="4" a="1"/>
  <c r="AS9" i="4" a="1"/>
  <c r="CE7" i="4" a="1"/>
  <c r="AQ16" i="4" a="1"/>
  <c r="AN12" i="4" a="1"/>
  <c r="P11" i="4" a="1"/>
  <c r="CU16" i="4" a="1"/>
  <c r="AF14" i="4" a="1"/>
  <c r="BQ6" i="4" a="1"/>
  <c r="X19" i="2"/>
  <c r="T11" i="2"/>
  <c r="E46" i="3"/>
  <c r="DZ16" i="4" a="1"/>
  <c r="BG11" i="4" a="1"/>
  <c r="DS5" i="4" a="1"/>
  <c r="BU14" i="4" a="1"/>
  <c r="CQ15" i="4" a="1"/>
  <c r="DB13" i="4" a="1"/>
  <c r="H12" i="4" a="1"/>
  <c r="AH6" i="4" a="1"/>
  <c r="DO13" i="4" a="1"/>
  <c r="AY15" i="4" a="1"/>
  <c r="G15" i="4" a="1"/>
  <c r="BO11" i="4" a="1"/>
  <c r="M22" i="2"/>
  <c r="AR71" i="3"/>
  <c r="AR28" i="3"/>
  <c r="V12" i="4" a="1"/>
  <c r="CE6" i="4" a="1"/>
  <c r="BE5" i="4" a="1"/>
  <c r="J14" i="4" a="1"/>
  <c r="Y11" i="4" a="1"/>
  <c r="N11" i="4" a="1"/>
  <c r="AA7" i="4" a="1"/>
  <c r="DV8" i="4" a="1"/>
  <c r="G13" i="4" a="1"/>
  <c r="BS5" i="4" a="1"/>
  <c r="BY6" i="4" a="1"/>
  <c r="AJ15" i="4" a="1"/>
  <c r="CE12" i="4" a="1"/>
  <c r="Q16" i="2"/>
  <c r="S14" i="2"/>
  <c r="G25" i="3"/>
  <c r="CV12" i="4" a="1"/>
  <c r="W8" i="4" a="1"/>
  <c r="BM16" i="4" a="1"/>
  <c r="AX13" i="4" a="1"/>
  <c r="I15" i="4" a="1"/>
  <c r="AV12" i="4" a="1"/>
  <c r="EH9" i="4" a="1"/>
  <c r="Y9" i="4" a="1"/>
  <c r="CA7" i="4" a="1"/>
  <c r="DD7" i="4" a="1"/>
  <c r="AF15" i="4" a="1"/>
  <c r="I24" i="2"/>
  <c r="W46" i="3"/>
  <c r="T7" i="4" a="1"/>
  <c r="EJ7" i="4" a="1"/>
  <c r="CJ13" i="4" a="1"/>
  <c r="CZ8" i="4" a="1"/>
  <c r="BG15" i="4" a="1"/>
  <c r="DH13" i="4" a="1"/>
  <c r="J13" i="4" a="1"/>
  <c r="CX16" i="4" a="1"/>
  <c r="DN7" i="4" a="1"/>
  <c r="Q15" i="4" a="1"/>
  <c r="DD14" i="4" a="1"/>
  <c r="EK13" i="4" a="1"/>
  <c r="M17" i="2"/>
  <c r="G28" i="3"/>
  <c r="U11" i="2"/>
  <c r="N22" i="2"/>
  <c r="BJ12" i="4" a="1"/>
  <c r="AX6" i="4" a="1"/>
  <c r="CP8" i="4" a="1"/>
  <c r="CG7" i="4" a="1"/>
  <c r="D12" i="4" a="1"/>
  <c r="BT5" i="4" a="1"/>
  <c r="BX13" i="4" a="1"/>
  <c r="P5" i="4" a="1"/>
  <c r="BZ12" i="4" a="1"/>
  <c r="S22" i="2"/>
  <c r="E26" i="3"/>
  <c r="CX14" i="4" a="1"/>
  <c r="BI7" i="4" a="1"/>
  <c r="I5" i="4" a="1"/>
  <c r="BV11" i="4" a="1"/>
  <c r="P6" i="4" a="1"/>
  <c r="K12" i="4" a="1"/>
  <c r="DO15" i="4" a="1"/>
  <c r="AP5" i="4" a="1"/>
  <c r="CB8" i="4" a="1"/>
  <c r="AU9" i="4" a="1"/>
  <c r="AR41" i="3"/>
  <c r="AU5" i="4" a="1"/>
  <c r="AQ46" i="3"/>
  <c r="CS5" i="4" a="1"/>
  <c r="EC13" i="4" a="1"/>
  <c r="EA12" i="4" a="1"/>
  <c r="DH11" i="4" a="1"/>
  <c r="N24" i="2"/>
  <c r="AT6" i="4" a="1"/>
  <c r="CW13" i="4" a="1"/>
  <c r="AR14" i="4" a="1"/>
  <c r="AE8" i="4" a="1"/>
  <c r="BH11" i="4" a="1"/>
  <c r="CA12" i="4" a="1"/>
  <c r="BP14" i="4" a="1"/>
  <c r="CL13" i="4" a="1"/>
  <c r="CV8" i="4" a="1"/>
  <c r="R5" i="2"/>
  <c r="AR8" i="4" a="1"/>
  <c r="AV14" i="4" a="1"/>
  <c r="BL15" i="4" a="1"/>
  <c r="AD14" i="4" a="1"/>
  <c r="T11" i="4" a="1"/>
  <c r="AW6" i="4" a="1"/>
  <c r="EF7" i="4" a="1"/>
  <c r="CZ11" i="4" a="1"/>
  <c r="DC6" i="4" a="1"/>
  <c r="DF5" i="4" a="1"/>
  <c r="DM11" i="4" a="1"/>
  <c r="DI15" i="4" a="1"/>
  <c r="AG6" i="4" a="1"/>
  <c r="AV16" i="4" a="1"/>
  <c r="G12" i="4" a="1"/>
  <c r="AV5" i="4" a="1"/>
  <c r="DR15" i="4" a="1"/>
  <c r="CW15" i="4" a="1"/>
  <c r="BL6" i="4" a="1"/>
  <c r="AW15" i="4" a="1"/>
  <c r="BP13" i="4" a="1"/>
  <c r="H11" i="4" a="1"/>
  <c r="C12" i="4" a="1"/>
  <c r="AU16" i="4" a="1"/>
  <c r="EB12" i="4" a="1"/>
  <c r="CO12" i="4" a="1"/>
  <c r="DW16" i="4" a="1"/>
  <c r="F30" i="2"/>
  <c r="D11" i="4" a="1"/>
  <c r="DT14" i="4" a="1"/>
  <c r="AU6" i="4" a="1"/>
  <c r="DW8" i="4" a="1"/>
  <c r="BY16" i="4" a="1"/>
  <c r="DA9" i="4" a="1"/>
  <c r="ED12" i="4" a="1"/>
  <c r="EJ12" i="4" a="1"/>
  <c r="AF11" i="4" a="1"/>
  <c r="AC13" i="4" a="1"/>
  <c r="CB11" i="4" a="1"/>
  <c r="D5" i="4" a="1"/>
  <c r="BA6" i="4" a="1"/>
  <c r="BR15" i="4" a="1"/>
  <c r="DG6" i="4" a="1"/>
  <c r="F73" i="3"/>
  <c r="E79" i="3"/>
  <c r="E90" i="3"/>
  <c r="G75" i="3"/>
  <c r="AD88" i="3"/>
  <c r="F91" i="3"/>
  <c r="G65" i="3"/>
  <c r="E60" i="3"/>
  <c r="F76" i="3"/>
  <c r="G55" i="3"/>
  <c r="E74" i="3"/>
  <c r="G71" i="3"/>
  <c r="E61" i="3"/>
  <c r="G87" i="3"/>
  <c r="E97" i="3"/>
  <c r="AD91" i="3"/>
  <c r="D22" i="3"/>
  <c r="CC5" i="4" a="1"/>
  <c r="G29" i="3"/>
  <c r="CX12" i="4" a="1"/>
  <c r="DL5" i="4" a="1"/>
  <c r="U15" i="4" a="1"/>
  <c r="BN5" i="4" a="1"/>
  <c r="S29" i="2"/>
  <c r="AR87" i="3"/>
  <c r="BY15" i="4" a="1"/>
  <c r="DG7" i="4" a="1"/>
  <c r="E13" i="4" a="1"/>
  <c r="Q7" i="2"/>
  <c r="CG8" i="4" a="1"/>
  <c r="BD12" i="4" a="1"/>
  <c r="DA13" i="4" a="1"/>
  <c r="CR15" i="4" a="1"/>
  <c r="P32" i="2"/>
  <c r="AS16" i="4" a="1"/>
  <c r="D12" i="3"/>
  <c r="O14" i="4" a="1"/>
  <c r="P25" i="2"/>
  <c r="DE6" i="4" a="1"/>
  <c r="DJ6" i="4" a="1"/>
  <c r="Y15" i="4" a="1"/>
  <c r="CT14" i="4" a="1"/>
  <c r="BA11" i="4" a="1"/>
  <c r="W12" i="4" a="1"/>
  <c r="DB9" i="4" a="1"/>
  <c r="N35" i="2"/>
  <c r="CV7" i="4" a="1"/>
  <c r="BT11" i="4" a="1"/>
  <c r="CZ6" i="4" a="1"/>
  <c r="Z14" i="4" a="1"/>
  <c r="T15" i="4" a="1"/>
  <c r="T14" i="4" a="1"/>
  <c r="DX6" i="4" a="1"/>
  <c r="DJ11" i="4" a="1"/>
  <c r="Q9" i="4" a="1"/>
  <c r="BY12" i="4" a="1"/>
  <c r="G11" i="4" a="1"/>
  <c r="CF5" i="4" a="1"/>
  <c r="E40" i="3"/>
  <c r="BU16" i="4" a="1"/>
  <c r="F57" i="3"/>
  <c r="AD83" i="3"/>
  <c r="AD78" i="3"/>
  <c r="G68" i="3"/>
  <c r="E82" i="3"/>
  <c r="G95" i="3"/>
  <c r="AD68" i="3"/>
  <c r="E92" i="3"/>
  <c r="CR7" i="4" a="1"/>
  <c r="ED11" i="4" a="1"/>
  <c r="BL7" i="4" a="1"/>
  <c r="G8" i="4" a="1"/>
  <c r="BE16" i="4" a="1"/>
  <c r="CS15" i="4" a="1"/>
  <c r="CA13" i="4" a="1"/>
  <c r="F68" i="3"/>
  <c r="E57" i="3"/>
  <c r="AD89" i="3"/>
  <c r="T5" i="2"/>
  <c r="X14" i="4" a="1"/>
  <c r="BW5" i="4" a="1"/>
  <c r="CX5" i="4" a="1"/>
  <c r="EB7" i="4" a="1"/>
  <c r="T12" i="4" a="1"/>
  <c r="AA5" i="4" a="1"/>
  <c r="EC16" i="4" a="1"/>
  <c r="G59" i="3"/>
  <c r="F62" i="3"/>
  <c r="AD11" i="4" a="1"/>
  <c r="BN13" i="4" a="1"/>
  <c r="CO9" i="4" a="1"/>
  <c r="CK9" i="4" a="1"/>
  <c r="CK5" i="4" a="1"/>
  <c r="CS13" i="4" a="1"/>
  <c r="AT11" i="4" a="1"/>
  <c r="R30" i="2"/>
  <c r="D16" i="3"/>
  <c r="AX16" i="4" a="1"/>
  <c r="CL6" i="4" a="1"/>
  <c r="N6" i="4" a="1"/>
  <c r="AJ46" i="3"/>
  <c r="BK15" i="4" a="1"/>
  <c r="BC13" i="4" a="1"/>
  <c r="BD14" i="4" a="1"/>
  <c r="CW12" i="4" a="1"/>
  <c r="BL12" i="4" a="1"/>
  <c r="CY5" i="4" a="1"/>
  <c r="DU7" i="4" a="1"/>
  <c r="CU7" i="4" a="1"/>
  <c r="BK12" i="4" a="1"/>
  <c r="CB16" i="4" a="1"/>
  <c r="AL6" i="4" a="1"/>
  <c r="Y13" i="4" a="1"/>
  <c r="EE11" i="4" a="1"/>
  <c r="AE5" i="4" a="1"/>
  <c r="BW12" i="4" a="1"/>
  <c r="BW14" i="4" a="1"/>
  <c r="T16" i="4" a="1"/>
  <c r="BN15" i="4" a="1"/>
  <c r="BK16" i="4" a="1"/>
  <c r="DI6" i="4" a="1"/>
  <c r="BM7" i="4" a="1"/>
  <c r="CG9" i="4" a="1"/>
  <c r="DR13" i="4" a="1"/>
  <c r="L6" i="4" a="1"/>
  <c r="CP16" i="4" a="1"/>
  <c r="DS14" i="4" a="1"/>
  <c r="DK11" i="4" a="1"/>
  <c r="C16" i="4" a="1"/>
  <c r="CA14" i="4" a="1"/>
  <c r="DL13" i="4" a="1"/>
  <c r="BC11" i="4" a="1"/>
  <c r="E72" i="3"/>
  <c r="AD69" i="3"/>
  <c r="E62" i="3"/>
  <c r="F88" i="3"/>
  <c r="E80" i="3"/>
  <c r="G58" i="3"/>
  <c r="G96" i="3"/>
  <c r="AD64" i="3"/>
  <c r="F74" i="3"/>
  <c r="F80" i="3"/>
  <c r="AD59" i="3"/>
  <c r="G77" i="3"/>
  <c r="E71" i="3"/>
  <c r="G60" i="3"/>
  <c r="F63" i="3"/>
  <c r="G7" i="4" a="1"/>
  <c r="AQ12" i="4" a="1"/>
  <c r="R5" i="4" a="1"/>
  <c r="U13" i="4" a="1"/>
  <c r="D5" i="2"/>
  <c r="AJ8" i="4" a="1"/>
  <c r="F55" i="3"/>
  <c r="F86" i="3"/>
  <c r="CM14" i="4" a="1"/>
  <c r="P15" i="2"/>
  <c r="CP7" i="4" a="1"/>
  <c r="AG46" i="3"/>
  <c r="CC14" i="4" a="1"/>
  <c r="CI8" i="4" a="1"/>
  <c r="DY13" i="4" a="1"/>
  <c r="F93" i="3"/>
  <c r="E96" i="3"/>
  <c r="G57" i="3"/>
  <c r="F8" i="4" a="1"/>
  <c r="EF16" i="4" a="1"/>
  <c r="EG6" i="4" a="1"/>
  <c r="DM9" i="4" a="1"/>
  <c r="DB12" i="4" a="1"/>
  <c r="U7" i="4" a="1"/>
  <c r="CL14" i="4" a="1"/>
  <c r="AK46" i="3"/>
  <c r="AR11" i="3"/>
  <c r="V16" i="4" a="1"/>
  <c r="AZ5" i="4" a="1"/>
  <c r="AW13" i="4" a="1"/>
  <c r="AD46" i="3"/>
  <c r="BM14" i="4" a="1"/>
  <c r="U6" i="4" a="1"/>
  <c r="S7" i="4" a="1"/>
  <c r="Q29" i="2"/>
  <c r="X8" i="4" a="1"/>
  <c r="AN6" i="4" a="1"/>
  <c r="DW15" i="4" a="1"/>
  <c r="L15" i="4" a="1"/>
  <c r="CJ8" i="4" a="1"/>
  <c r="DE7" i="4" a="1"/>
  <c r="V8" i="4" a="1"/>
  <c r="DU12" i="4" a="1"/>
  <c r="BB11" i="4" a="1"/>
  <c r="CU15" i="4" a="1"/>
  <c r="AN9" i="4" a="1"/>
  <c r="AO15" i="4" a="1"/>
  <c r="CA8" i="4" a="1"/>
  <c r="AT9" i="4" a="1"/>
  <c r="BK7" i="4" a="1"/>
  <c r="DA5" i="4" a="1"/>
  <c r="H13" i="4" a="1"/>
  <c r="EG9" i="4" a="1"/>
  <c r="DA6" i="4" a="1"/>
  <c r="DP8" i="4" a="1"/>
  <c r="CZ13" i="4" a="1"/>
  <c r="DN14" i="4" a="1"/>
  <c r="O13" i="4" a="1"/>
  <c r="CE11" i="4" a="1"/>
  <c r="BI12" i="4" a="1"/>
  <c r="BU13" i="4" a="1"/>
  <c r="W9" i="4" a="1"/>
  <c r="F96" i="3"/>
  <c r="F84" i="3"/>
  <c r="G80" i="3"/>
  <c r="F70" i="3"/>
  <c r="F79" i="3"/>
  <c r="AD67" i="3"/>
  <c r="G86" i="3"/>
  <c r="F83" i="3"/>
  <c r="E87" i="3"/>
  <c r="E66" i="3"/>
  <c r="E73" i="3"/>
  <c r="E88" i="3"/>
  <c r="G72" i="3"/>
  <c r="G89" i="3"/>
  <c r="E64" i="3"/>
  <c r="E59" i="3"/>
  <c r="BR11" i="4" a="1"/>
  <c r="R26" i="2"/>
  <c r="CK12" i="4" a="1"/>
  <c r="F54" i="3"/>
  <c r="R12" i="4" a="1"/>
  <c r="AS15" i="4" a="1"/>
  <c r="CI6" i="4" a="1"/>
  <c r="BB12" i="4" a="1"/>
  <c r="D42" i="3"/>
  <c r="G76" i="3"/>
  <c r="D9" i="4" a="1"/>
  <c r="EI7" i="4" a="1"/>
  <c r="EH13" i="4" a="1"/>
  <c r="R15" i="4" a="1"/>
  <c r="BP15" i="4" a="1"/>
  <c r="AW8" i="4" a="1"/>
  <c r="DI12" i="4" a="1"/>
  <c r="BB8" i="4" a="1"/>
  <c r="EJ14" i="4" a="1"/>
  <c r="CH6" i="4" a="1"/>
  <c r="AX14" i="4" a="1"/>
  <c r="C14" i="4" a="1"/>
  <c r="AO46" i="3"/>
  <c r="DO9" i="4" a="1"/>
  <c r="CF13" i="4" a="1"/>
  <c r="BD9" i="4" a="1"/>
  <c r="DF7" i="4" a="1"/>
  <c r="BV9" i="4" a="1"/>
  <c r="DB5" i="4" a="1"/>
  <c r="W6" i="4" a="1"/>
  <c r="BW9" i="4" a="1"/>
  <c r="AA13" i="4" a="1"/>
  <c r="EE7" i="4" a="1"/>
  <c r="K6" i="4" a="1"/>
  <c r="AW16" i="4" a="1"/>
  <c r="CD11" i="4" a="1"/>
  <c r="Q6" i="4" a="1"/>
  <c r="CT13" i="4" a="1"/>
  <c r="CG15" i="4" a="1"/>
  <c r="EI9" i="4" a="1"/>
  <c r="EE9" i="4" a="1"/>
  <c r="BA16" i="4" a="1"/>
  <c r="AH14" i="4" a="1"/>
  <c r="F14" i="2"/>
  <c r="AZ11" i="4" a="1"/>
  <c r="BO15" i="4" a="1"/>
  <c r="CI12" i="4" a="1"/>
  <c r="BX15" i="4" a="1"/>
  <c r="M15" i="4" a="1"/>
  <c r="M26" i="2"/>
  <c r="BZ14" i="4" a="1"/>
  <c r="AV7" i="4" a="1"/>
  <c r="BQ11" i="4" a="1"/>
  <c r="DE9" i="4" a="1"/>
  <c r="AD94" i="3"/>
  <c r="F47" i="3"/>
  <c r="AD58" i="3"/>
  <c r="AD87" i="3"/>
  <c r="AD61" i="3"/>
  <c r="F77" i="3"/>
  <c r="E89" i="3"/>
  <c r="AD70" i="3"/>
  <c r="G78" i="3"/>
  <c r="AD75" i="3"/>
  <c r="F64" i="3"/>
  <c r="G79" i="3"/>
  <c r="G56" i="3"/>
  <c r="AD81" i="3"/>
  <c r="CO15" i="4" a="1"/>
  <c r="S15" i="4" a="1"/>
  <c r="CI11" i="4" a="1"/>
  <c r="EK9" i="4" a="1"/>
  <c r="DY15" i="4" a="1"/>
  <c r="C11" i="4" a="1"/>
  <c r="AO13" i="4" a="1"/>
  <c r="EB13" i="4" a="1"/>
  <c r="DJ5" i="4" a="1"/>
  <c r="F50" i="3"/>
  <c r="F66" i="3"/>
  <c r="E91" i="3"/>
  <c r="AD96" i="3"/>
  <c r="DO11" i="4" a="1"/>
  <c r="S15" i="2"/>
  <c r="EK7" i="4" a="1"/>
  <c r="R9" i="4" a="1"/>
  <c r="AP6" i="4" a="1"/>
  <c r="BN8" i="4" a="1"/>
  <c r="AT5" i="4" a="1"/>
  <c r="E65" i="3"/>
  <c r="G61" i="3"/>
  <c r="AK15" i="4" a="1"/>
  <c r="CJ15" i="4" a="1"/>
  <c r="BI15" i="4" a="1"/>
  <c r="J7" i="2"/>
  <c r="C13" i="4" a="1"/>
  <c r="EG8" i="4" a="1"/>
  <c r="BG9" i="4" a="1"/>
  <c r="AM11" i="4" a="1"/>
  <c r="AB13" i="4" a="1"/>
  <c r="AJ9" i="4" a="1"/>
  <c r="AE11" i="4" a="1"/>
  <c r="BG16" i="4" a="1"/>
  <c r="DG8" i="4" a="1"/>
  <c r="AV15" i="4" a="1"/>
  <c r="DZ13" i="4" a="1"/>
  <c r="CX8" i="4" a="1"/>
  <c r="C7" i="4" a="1"/>
  <c r="AE15" i="4" a="1"/>
  <c r="BF15" i="4" a="1"/>
  <c r="E6" i="4" a="1"/>
  <c r="S13" i="4" a="1"/>
  <c r="DC11" i="4" a="1"/>
  <c r="BS9" i="4" a="1"/>
  <c r="CA5" i="4" a="1"/>
  <c r="BF8" i="4" a="1"/>
  <c r="AE9" i="4" a="1"/>
  <c r="DJ12" i="4" a="1"/>
  <c r="BM6" i="4" a="1"/>
  <c r="DT15" i="4" a="1"/>
  <c r="CT5" i="4" a="1"/>
  <c r="DJ13" i="4" a="1"/>
  <c r="EG7" i="4" a="1"/>
  <c r="M8" i="4" a="1"/>
  <c r="Y46" i="3"/>
  <c r="BW8" i="4" a="1"/>
  <c r="CY12" i="4" a="1"/>
  <c r="BC14" i="4" a="1"/>
  <c r="CX13" i="4" a="1"/>
  <c r="O5" i="4" a="1"/>
  <c r="G18" i="2"/>
  <c r="O12" i="4" a="1"/>
  <c r="DN16" i="4" a="1"/>
  <c r="CB14" i="4" a="1"/>
  <c r="DV13" i="4" a="1"/>
  <c r="F48" i="3"/>
  <c r="E94" i="3"/>
  <c r="E93" i="3"/>
  <c r="AD72" i="3"/>
  <c r="G74" i="3"/>
  <c r="E56" i="3"/>
  <c r="E69" i="3"/>
  <c r="G91" i="3"/>
  <c r="G94" i="3"/>
  <c r="DT8" i="4" a="1"/>
  <c r="K33" i="2"/>
  <c r="N15" i="4" a="1"/>
  <c r="CT9" i="4" a="1"/>
  <c r="R7" i="4" a="1"/>
  <c r="E8" i="4" a="1"/>
  <c r="DS7" i="4" a="1"/>
  <c r="CU8" i="4" a="1"/>
  <c r="AD93" i="3"/>
  <c r="AP13" i="4" a="1"/>
  <c r="BD11" i="4" a="1"/>
  <c r="AG15" i="4" a="1"/>
  <c r="CZ5" i="4" a="1"/>
  <c r="S9" i="4" a="1"/>
  <c r="BF16" i="4" a="1"/>
  <c r="K8" i="4" a="1"/>
  <c r="V10" i="2"/>
  <c r="CM7" i="4" a="1"/>
  <c r="G62" i="3"/>
  <c r="F69" i="3"/>
  <c r="E76" i="3"/>
  <c r="DI5" i="4" a="1"/>
  <c r="AR55" i="3"/>
  <c r="DM8" i="4" a="1"/>
  <c r="DB16" i="4" a="1"/>
  <c r="AB14" i="4" a="1"/>
  <c r="CU12" i="4" a="1"/>
  <c r="V13" i="2"/>
  <c r="G24" i="2"/>
  <c r="AH5" i="4" a="1"/>
  <c r="AX15" i="4" a="1"/>
  <c r="DR7" i="4" a="1"/>
  <c r="F36" i="2"/>
  <c r="BH14" i="4" a="1"/>
  <c r="AO9" i="4" a="1"/>
  <c r="CC6" i="4" a="1"/>
  <c r="CT16" i="4" a="1"/>
  <c r="CQ7" i="4" a="1"/>
  <c r="EF8" i="4" a="1"/>
  <c r="G5" i="4" a="1"/>
  <c r="AR7" i="4" a="1"/>
  <c r="R33" i="2"/>
  <c r="CK8" i="4" a="1"/>
  <c r="AJ14" i="4" a="1"/>
  <c r="ED13" i="4" a="1"/>
  <c r="AP8" i="4" a="1"/>
  <c r="DU13" i="4" a="1"/>
  <c r="DQ11" i="4" a="1"/>
  <c r="CG11" i="4" a="1"/>
  <c r="CD15" i="4" a="1"/>
  <c r="CO7" i="4" a="1"/>
  <c r="CP11" i="4" a="1"/>
  <c r="EI13" i="4" a="1"/>
  <c r="EK6" i="4" a="1"/>
  <c r="BP12" i="4" a="1"/>
  <c r="DW9" i="4" a="1"/>
  <c r="CA15" i="4" a="1"/>
  <c r="H16" i="4" a="1"/>
  <c r="AL11" i="4" a="1"/>
  <c r="CQ16" i="4" a="1"/>
  <c r="DJ16" i="4" a="1"/>
  <c r="DY9" i="4" a="1"/>
  <c r="G25" i="2"/>
  <c r="CL5" i="4" a="1"/>
  <c r="F85" i="3"/>
  <c r="F75" i="3"/>
  <c r="F56" i="3"/>
  <c r="F65" i="3"/>
  <c r="AD79" i="3"/>
  <c r="G67" i="3"/>
  <c r="E78" i="3"/>
  <c r="AD71" i="3"/>
  <c r="G69" i="3"/>
  <c r="G70" i="3"/>
  <c r="AD54" i="3"/>
  <c r="F82" i="3"/>
  <c r="G82" i="3"/>
  <c r="G83" i="3"/>
  <c r="E86" i="3"/>
  <c r="AD86" i="3"/>
  <c r="E81" i="3"/>
  <c r="AD97" i="3"/>
  <c r="AR36" i="3"/>
  <c r="O35" i="2"/>
  <c r="I7" i="4" a="1"/>
  <c r="O11" i="4" a="1"/>
  <c r="Q13" i="4" a="1"/>
  <c r="EJ8" i="4" a="1"/>
  <c r="BM11" i="4" a="1"/>
  <c r="F13" i="4" a="1"/>
  <c r="CZ14" i="4" a="1"/>
  <c r="AI15" i="4" a="1"/>
  <c r="AD63" i="3"/>
  <c r="DV7" i="4" a="1"/>
  <c r="DQ8" i="4" a="1"/>
  <c r="P14" i="2"/>
  <c r="EC14" i="4" a="1"/>
  <c r="BA8" i="4" a="1"/>
  <c r="F37" i="3"/>
  <c r="AN14" i="4" a="1"/>
  <c r="AD57" i="3"/>
  <c r="E84" i="3"/>
  <c r="F60" i="3"/>
  <c r="G64" i="3"/>
  <c r="G54" i="3"/>
  <c r="G92" i="3"/>
  <c r="G85" i="3"/>
  <c r="G66" i="3"/>
  <c r="G81" i="3"/>
  <c r="G84" i="3"/>
  <c r="G73" i="3"/>
  <c r="D69" i="3" l="1"/>
  <c r="D86" i="3"/>
  <c r="D66" i="3"/>
  <c r="D63" i="3"/>
  <c r="D76" i="3"/>
  <c r="D55" i="3"/>
  <c r="D96" i="3"/>
  <c r="D59" i="3"/>
  <c r="D87" i="3"/>
  <c r="D74" i="3"/>
  <c r="D60" i="3"/>
  <c r="D68" i="3"/>
  <c r="D88" i="3"/>
  <c r="D91" i="3"/>
  <c r="D82" i="3"/>
  <c r="D97" i="3"/>
  <c r="D75" i="3"/>
  <c r="D56" i="3"/>
  <c r="D58" i="3"/>
  <c r="D79" i="3"/>
  <c r="D78" i="3"/>
  <c r="D77" i="3"/>
  <c r="D65" i="3"/>
  <c r="D93" i="3"/>
  <c r="D81" i="3"/>
  <c r="D67" i="3"/>
  <c r="D83" i="3"/>
  <c r="D90" i="3"/>
  <c r="D57" i="3"/>
  <c r="D84" i="3"/>
  <c r="D70" i="3"/>
  <c r="D85" i="3"/>
  <c r="D62" i="3"/>
  <c r="D64" i="3"/>
  <c r="D94" i="3"/>
  <c r="D80" i="3"/>
  <c r="D61" i="3"/>
  <c r="D95" i="3"/>
  <c r="D89" i="3"/>
  <c r="D71" i="3"/>
  <c r="D72" i="3"/>
  <c r="D92" i="3"/>
  <c r="D54" i="3"/>
  <c r="D73" i="3"/>
  <c r="G88" i="3"/>
  <c r="G90" i="3"/>
  <c r="G97" i="3"/>
  <c r="G63" i="3"/>
  <c r="G93" i="3"/>
  <c r="AL153" i="1"/>
  <c r="AM153" i="1" s="1"/>
  <c r="BJ149" i="1"/>
  <c r="BK149" i="1" s="1"/>
  <c r="O51" i="1"/>
  <c r="BJ156" i="1"/>
  <c r="BK156" i="1" s="1"/>
  <c r="N82" i="1"/>
  <c r="AL176" i="1"/>
  <c r="BJ174" i="1"/>
  <c r="AL181" i="1"/>
  <c r="AM181" i="1" s="1"/>
  <c r="AL148" i="1"/>
  <c r="AM148" i="1" s="1"/>
  <c r="AL178" i="1"/>
  <c r="AM178" i="1" s="1"/>
  <c r="F67" i="1"/>
  <c r="JE9" i="4" s="1"/>
  <c r="IZ16" i="4" s="1"/>
  <c r="Q77" i="1"/>
  <c r="U55" i="1"/>
  <c r="AL163" i="1"/>
  <c r="J77" i="1"/>
  <c r="BJ166" i="1"/>
  <c r="BK166" i="1" s="1"/>
  <c r="F56" i="1"/>
  <c r="HZ9" i="4" s="1"/>
  <c r="I40" i="1"/>
  <c r="HT9" i="4" s="1"/>
  <c r="R54" i="1"/>
  <c r="BJ194" i="1"/>
  <c r="BK194" i="1" s="1"/>
  <c r="AL182" i="1"/>
  <c r="AM182" i="1" s="1"/>
  <c r="AL105" i="1"/>
  <c r="JI9" i="4" s="1"/>
  <c r="BJ175" i="1"/>
  <c r="AL180" i="1"/>
  <c r="AM180" i="1" s="1"/>
  <c r="BJ164" i="1"/>
  <c r="AL171" i="1"/>
  <c r="AM171" i="1" s="1"/>
  <c r="AM233" i="1" s="1"/>
  <c r="BJ183" i="1"/>
  <c r="BK183" i="1" s="1"/>
  <c r="BJ150" i="1"/>
  <c r="E51" i="1"/>
  <c r="JG9" i="4" s="1"/>
  <c r="IM9" i="4" s="1"/>
  <c r="AJ82" i="1"/>
  <c r="AL191" i="1"/>
  <c r="AL174" i="1"/>
  <c r="AL164" i="1"/>
  <c r="AL177" i="1"/>
  <c r="AM177" i="1" s="1"/>
  <c r="AL194" i="1"/>
  <c r="AM194" i="1" s="1"/>
  <c r="P78" i="1"/>
  <c r="BX46" i="1"/>
  <c r="JA9" i="4" s="1"/>
  <c r="O54" i="1"/>
  <c r="AL156" i="1"/>
  <c r="AM156" i="1" s="1"/>
  <c r="AL190" i="1"/>
  <c r="AL168" i="1"/>
  <c r="AM168" i="1" s="1"/>
  <c r="BJ180" i="1"/>
  <c r="AL158" i="1"/>
  <c r="AM158" i="1" s="1"/>
  <c r="BJ163" i="1"/>
  <c r="II16" i="4" s="1"/>
  <c r="AJ51" i="1"/>
  <c r="Q70" i="1"/>
  <c r="IS9" i="4" s="1"/>
  <c r="AL155" i="1"/>
  <c r="AM155" i="1" s="1"/>
  <c r="BJ184" i="1"/>
  <c r="AL162" i="1"/>
  <c r="IG16" i="4" s="1"/>
  <c r="BJ162" i="1"/>
  <c r="BJ173" i="1"/>
  <c r="BK173" i="1" s="1"/>
  <c r="BJ191" i="1"/>
  <c r="AL149" i="1"/>
  <c r="AM149" i="1" s="1"/>
  <c r="M82" i="1"/>
  <c r="O67" i="1"/>
  <c r="AJ45" i="1"/>
  <c r="IC16" i="4" s="1"/>
  <c r="O76" i="1"/>
  <c r="P40" i="1"/>
  <c r="BX183" i="1"/>
  <c r="BY183" i="1" s="1"/>
  <c r="R78" i="1"/>
  <c r="AM70" i="1"/>
  <c r="BJ185" i="1"/>
  <c r="BK185" i="1" s="1"/>
  <c r="AL185" i="1"/>
  <c r="AM185" i="1" s="1"/>
  <c r="BJ158" i="1"/>
  <c r="BK158" i="1" s="1"/>
  <c r="IW9" i="4" s="1"/>
  <c r="E70" i="1"/>
  <c r="IE15" i="4" s="1"/>
  <c r="ID16" i="4" s="1"/>
  <c r="AK78" i="1"/>
  <c r="T44" i="1"/>
  <c r="AM63" i="1"/>
  <c r="L52" i="1"/>
  <c r="IV16" i="4" s="1"/>
  <c r="JH9" i="4" s="1"/>
  <c r="AM67" i="1"/>
  <c r="R51" i="1"/>
  <c r="BX63" i="1"/>
  <c r="BX225" i="1" s="1"/>
  <c r="S44" i="1"/>
  <c r="W53" i="1"/>
  <c r="IU16" i="4" s="1"/>
  <c r="IU21" i="4" s="1"/>
  <c r="BO108" i="1" s="1"/>
  <c r="IC9" i="4" s="1"/>
  <c r="AL78" i="1"/>
  <c r="BX66" i="1"/>
  <c r="AM56" i="1"/>
  <c r="C44" i="1"/>
  <c r="M40" i="1"/>
  <c r="I54" i="1"/>
  <c r="P70" i="1"/>
  <c r="P186" i="1"/>
  <c r="AK66" i="1"/>
  <c r="H51" i="1"/>
  <c r="AM55" i="1"/>
  <c r="D53" i="1"/>
  <c r="B44" i="1"/>
  <c r="HT16" i="4" s="1"/>
  <c r="U40" i="1"/>
  <c r="U41" i="1" s="1"/>
  <c r="U129" i="1" s="1"/>
  <c r="R76" i="1"/>
  <c r="AM52" i="1"/>
  <c r="N55" i="1"/>
  <c r="V40" i="1"/>
  <c r="V41" i="1" s="1"/>
  <c r="V129" i="1" s="1"/>
  <c r="AL76" i="1"/>
  <c r="F44" i="1"/>
  <c r="HX16" i="4" s="1"/>
  <c r="IO16" i="4" s="1"/>
  <c r="AK70" i="1"/>
  <c r="S82" i="1"/>
  <c r="IR16" i="4" s="1"/>
  <c r="H70" i="1"/>
  <c r="IU9" i="4" s="1"/>
  <c r="AM40" i="1"/>
  <c r="AL39" i="1"/>
  <c r="AL262" i="1" s="1"/>
  <c r="E82" i="1"/>
  <c r="BY104" i="1"/>
  <c r="BX163" i="1"/>
  <c r="P191" i="1"/>
  <c r="IE9" i="4" s="1"/>
  <c r="U52" i="1"/>
  <c r="P46" i="1"/>
  <c r="HY9" i="4" s="1"/>
  <c r="D51" i="1"/>
  <c r="BX148" i="1"/>
  <c r="BY148" i="1" s="1"/>
  <c r="W77" i="1"/>
  <c r="C70" i="1"/>
  <c r="BX150" i="1"/>
  <c r="BY150" i="1" s="1"/>
  <c r="B78" i="1"/>
  <c r="JA16" i="4" s="1"/>
  <c r="M44" i="1"/>
  <c r="F39" i="1"/>
  <c r="F262" i="1" s="1"/>
  <c r="IZ9" i="4" s="1"/>
  <c r="T82" i="1"/>
  <c r="F52" i="1"/>
  <c r="AL54" i="1"/>
  <c r="S56" i="1"/>
  <c r="HW16" i="4" s="1"/>
  <c r="V46" i="1"/>
  <c r="K39" i="1"/>
  <c r="AK82" i="1"/>
  <c r="IC7" i="4" s="1"/>
  <c r="IY8" i="4" s="1"/>
  <c r="AL44" i="1"/>
  <c r="C82" i="1"/>
  <c r="AL55" i="1"/>
  <c r="AM46" i="1"/>
  <c r="B56" i="1"/>
  <c r="W63" i="1"/>
  <c r="J66" i="1"/>
  <c r="K46" i="1"/>
  <c r="L44" i="1"/>
  <c r="G66" i="1"/>
  <c r="N39" i="1"/>
  <c r="N262" i="1" s="1"/>
  <c r="I76" i="1"/>
  <c r="F76" i="1"/>
  <c r="BJ55" i="1"/>
  <c r="L55" i="1"/>
  <c r="N76" i="1"/>
  <c r="AJ67" i="1"/>
  <c r="O56" i="1"/>
  <c r="R55" i="1"/>
  <c r="K44" i="1"/>
  <c r="J78" i="1"/>
  <c r="G76" i="1"/>
  <c r="BX180" i="1"/>
  <c r="BY180" i="1" s="1"/>
  <c r="BX164" i="1"/>
  <c r="AL175" i="1"/>
  <c r="AL195" i="1"/>
  <c r="AM195" i="1" s="1"/>
  <c r="BJ182" i="1"/>
  <c r="BK182" i="1" s="1"/>
  <c r="BJ153" i="1"/>
  <c r="BK153" i="1" s="1"/>
  <c r="BJ178" i="1"/>
  <c r="BK178" i="1" s="1"/>
  <c r="BJ177" i="1"/>
  <c r="BK177" i="1" s="1"/>
  <c r="AM51" i="1"/>
  <c r="IR8" i="4" s="1"/>
  <c r="BX195" i="1"/>
  <c r="BY195" i="1" s="1"/>
  <c r="HX14" i="4" s="1"/>
  <c r="B51" i="1"/>
  <c r="M52" i="1"/>
  <c r="IG9" i="4" s="1"/>
  <c r="HW9" i="4" s="1"/>
  <c r="W78" i="1"/>
  <c r="T67" i="1"/>
  <c r="IA16" i="4" s="1"/>
  <c r="IH9" i="4" s="1"/>
  <c r="JB8" i="4" s="1"/>
  <c r="C77" i="1"/>
  <c r="F70" i="1"/>
  <c r="IV9" i="4" s="1"/>
  <c r="W163" i="1"/>
  <c r="IA9" i="4" s="1"/>
  <c r="IN16" i="4" s="1"/>
  <c r="HP16" i="4" s="1"/>
  <c r="G63" i="1"/>
  <c r="G225" i="1" s="1"/>
  <c r="JC16" i="4" s="1"/>
  <c r="JC21" i="4" s="1"/>
  <c r="BW108" i="1" s="1"/>
  <c r="V76" i="1"/>
  <c r="HU16" i="4" s="1"/>
  <c r="AK45" i="1"/>
  <c r="BX104" i="1"/>
  <c r="V54" i="1"/>
  <c r="N44" i="1"/>
  <c r="G39" i="1"/>
  <c r="G262" i="1" s="1"/>
  <c r="R67" i="1"/>
  <c r="BX76" i="1"/>
  <c r="V70" i="1"/>
  <c r="P56" i="1"/>
  <c r="BJ46" i="1"/>
  <c r="P63" i="1"/>
  <c r="P225" i="1" s="1"/>
  <c r="C55" i="1"/>
  <c r="I77" i="1"/>
  <c r="AJ53" i="1"/>
  <c r="U46" i="1"/>
  <c r="E77" i="1"/>
  <c r="C63" i="1"/>
  <c r="C225" i="1" s="1"/>
  <c r="BJ155" i="1"/>
  <c r="BK155" i="1" s="1"/>
  <c r="AL150" i="1"/>
  <c r="BJ171" i="1"/>
  <c r="BK171" i="1" s="1"/>
  <c r="BL233" i="1" s="1"/>
  <c r="BJ148" i="1"/>
  <c r="AL184" i="1"/>
  <c r="AL104" i="1"/>
  <c r="BJ168" i="1"/>
  <c r="BK168" i="1" s="1"/>
  <c r="AL173" i="1"/>
  <c r="AM173" i="1" s="1"/>
  <c r="AL166" i="1"/>
  <c r="AM166" i="1" s="1"/>
  <c r="AL157" i="1"/>
  <c r="AM157" i="1" s="1"/>
  <c r="AL183" i="1"/>
  <c r="AM183" i="1" s="1"/>
  <c r="JF9" i="4" s="1"/>
  <c r="JF16" i="4" s="1"/>
  <c r="IF9" i="4" s="1"/>
  <c r="HY16" i="4" s="1"/>
  <c r="IW16" i="4" s="1"/>
  <c r="IW21" i="4" s="1"/>
  <c r="BQ108" i="1" s="1"/>
  <c r="BX156" i="1"/>
  <c r="BY156" i="1" s="1"/>
  <c r="AK52" i="1"/>
  <c r="JD9" i="4" s="1"/>
  <c r="IF16" i="4" s="1"/>
  <c r="HS9" i="4" s="1"/>
  <c r="HR16" i="4" s="1"/>
  <c r="HR21" i="4" s="1"/>
  <c r="AL108" i="1" s="1"/>
  <c r="AJ77" i="1"/>
  <c r="D56" i="1"/>
  <c r="IP7" i="4" s="1"/>
  <c r="IJ9" i="4" s="1"/>
  <c r="G44" i="1"/>
  <c r="E56" i="1"/>
  <c r="IS16" i="4" s="1"/>
  <c r="HP9" i="4" s="1"/>
  <c r="P158" i="1"/>
  <c r="HY14" i="4" s="1"/>
  <c r="JG16" i="4" s="1"/>
  <c r="AK44" i="1"/>
  <c r="T55" i="1"/>
  <c r="IE16" i="4" s="1"/>
  <c r="AK67" i="1"/>
  <c r="C54" i="1"/>
  <c r="HR9" i="4" s="1"/>
  <c r="V55" i="1"/>
  <c r="IK16" i="4" s="1"/>
  <c r="AK40" i="1"/>
  <c r="JB16" i="4" s="1"/>
  <c r="JA7" i="4" s="1"/>
  <c r="L39" i="1"/>
  <c r="BX54" i="1"/>
  <c r="BX185" i="1"/>
  <c r="BY185" i="1" s="1"/>
  <c r="M39" i="1"/>
  <c r="F77" i="1"/>
  <c r="L56" i="1"/>
  <c r="BX55" i="1"/>
  <c r="W46" i="1"/>
  <c r="M77" i="1"/>
  <c r="HP7" i="4" s="1"/>
  <c r="K63" i="1"/>
  <c r="K225" i="1" s="1"/>
  <c r="C40" i="1"/>
  <c r="J54" i="1"/>
  <c r="BJ54" i="1"/>
  <c r="D54" i="1"/>
  <c r="F78" i="1"/>
  <c r="B82" i="1"/>
  <c r="BX82" i="1"/>
  <c r="E40" i="1"/>
  <c r="IB8" i="4" s="1"/>
  <c r="L82" i="1"/>
  <c r="R66" i="1"/>
  <c r="HQ9" i="4" s="1"/>
  <c r="HQ16" i="4" s="1"/>
  <c r="HQ21" i="4" s="1"/>
  <c r="AK108" i="1" s="1"/>
  <c r="C53" i="1"/>
  <c r="IC8" i="4" s="1"/>
  <c r="AK46" i="1"/>
  <c r="IX16" i="4" s="1"/>
  <c r="G194" i="1"/>
  <c r="JF15" i="4" s="1"/>
  <c r="B46" i="1"/>
  <c r="J52" i="1"/>
  <c r="HS16" i="4" s="1"/>
  <c r="U70" i="1"/>
  <c r="JI16" i="4" s="1"/>
  <c r="M51" i="1"/>
  <c r="II14" i="4" s="1"/>
  <c r="D63" i="1"/>
  <c r="D153" i="1"/>
  <c r="Q40" i="1"/>
  <c r="K76" i="1"/>
  <c r="BX77" i="1"/>
  <c r="AM54" i="1"/>
  <c r="C67" i="1"/>
  <c r="N67" i="1"/>
  <c r="N283" i="1" s="1"/>
  <c r="BX56" i="1"/>
  <c r="BX51" i="1"/>
  <c r="E76" i="1"/>
  <c r="JH15" i="4" s="1"/>
  <c r="BJ52" i="1"/>
  <c r="G40" i="1"/>
  <c r="R82" i="1"/>
  <c r="E67" i="1"/>
  <c r="M78" i="1"/>
  <c r="AJ39" i="1"/>
  <c r="D66" i="1"/>
  <c r="IX9" i="4" s="1"/>
  <c r="H53" i="1"/>
  <c r="IQ9" i="4" s="1"/>
  <c r="II9" i="4" s="1"/>
  <c r="IL16" i="4" s="1"/>
  <c r="IX8" i="4" s="1"/>
  <c r="D77" i="1"/>
  <c r="HT8" i="4" s="1"/>
  <c r="B70" i="1"/>
  <c r="O66" i="1"/>
  <c r="T54" i="1"/>
  <c r="AL63" i="1"/>
  <c r="AL225" i="1" s="1"/>
  <c r="AM44" i="1"/>
  <c r="BJ56" i="1"/>
  <c r="B66" i="1"/>
  <c r="I52" i="1"/>
  <c r="S51" i="1"/>
  <c r="O39" i="1"/>
  <c r="O262" i="1" s="1"/>
  <c r="I67" i="1"/>
  <c r="T46" i="1"/>
  <c r="IF7" i="4" s="1"/>
  <c r="U53" i="1"/>
  <c r="L76" i="1"/>
  <c r="Q78" i="1"/>
  <c r="Q53" i="1"/>
  <c r="U66" i="1"/>
  <c r="P53" i="1"/>
  <c r="BX194" i="1"/>
  <c r="BY194" i="1" s="1"/>
  <c r="BX173" i="1"/>
  <c r="BY173" i="1" s="1"/>
  <c r="BX40" i="1"/>
  <c r="G53" i="1"/>
  <c r="AK51" i="1"/>
  <c r="BJ176" i="1"/>
  <c r="BJ195" i="1"/>
  <c r="BJ181" i="1"/>
  <c r="BK181" i="1" s="1"/>
  <c r="BJ190" i="1"/>
  <c r="BJ157" i="1"/>
  <c r="BK157" i="1" s="1"/>
  <c r="AL186" i="1"/>
  <c r="AM186" i="1" s="1"/>
  <c r="BJ186" i="1"/>
  <c r="BK186" i="1" s="1"/>
  <c r="IC14" i="4" s="1"/>
  <c r="HV16" i="4" s="1"/>
  <c r="IO9" i="4" s="1"/>
  <c r="IU7" i="4" s="1"/>
  <c r="H40" i="1"/>
  <c r="ID14" i="4" s="1"/>
  <c r="HU9" i="4" s="1"/>
  <c r="AJ55" i="1"/>
  <c r="R39" i="1"/>
  <c r="R262" i="1" s="1"/>
  <c r="IJ8" i="4" s="1"/>
  <c r="IH7" i="4" s="1"/>
  <c r="IQ16" i="4" s="1"/>
  <c r="IQ21" i="4" s="1"/>
  <c r="BK108" i="1" s="1"/>
  <c r="E53" i="1"/>
  <c r="D55" i="1"/>
  <c r="S46" i="1"/>
  <c r="IS14" i="4" s="1"/>
  <c r="AL77" i="1"/>
  <c r="F53" i="1"/>
  <c r="IT16" i="4" s="1"/>
  <c r="C76" i="1"/>
  <c r="IR7" i="4" s="1"/>
  <c r="JC7" i="4" s="1"/>
  <c r="C56" i="1"/>
  <c r="IH16" i="4" s="1"/>
  <c r="IH21" i="4" s="1"/>
  <c r="BB108" i="1" s="1"/>
  <c r="E39" i="1"/>
  <c r="HZ16" i="4" s="1"/>
  <c r="HZ21" i="4" s="1"/>
  <c r="AT108" i="1" s="1"/>
  <c r="AL51" i="1"/>
  <c r="W40" i="1"/>
  <c r="W41" i="1" s="1"/>
  <c r="AL46" i="1"/>
  <c r="AJ78" i="1"/>
  <c r="I66" i="1"/>
  <c r="S39" i="1"/>
  <c r="S262" i="1" s="1"/>
  <c r="S70" i="1"/>
  <c r="HT14" i="4" s="1"/>
  <c r="O55" i="1"/>
  <c r="Q44" i="1"/>
  <c r="F63" i="1"/>
  <c r="F225" i="1" s="1"/>
  <c r="E190" i="1"/>
  <c r="N66" i="1"/>
  <c r="J55" i="1"/>
  <c r="IP16" i="4" s="1"/>
  <c r="BX177" i="1"/>
  <c r="BY177" i="1" s="1"/>
  <c r="Q39" i="1"/>
  <c r="Q46" i="1"/>
  <c r="AK53" i="1"/>
  <c r="P82" i="1"/>
  <c r="E44" i="1"/>
  <c r="O63" i="1"/>
  <c r="O225" i="1" s="1"/>
  <c r="AL66" i="1"/>
  <c r="AJ66" i="1"/>
  <c r="D44" i="1"/>
  <c r="W67" i="1"/>
  <c r="W283" i="1" s="1"/>
  <c r="V56" i="1"/>
  <c r="K82" i="1"/>
  <c r="F40" i="1"/>
  <c r="AM45" i="1"/>
  <c r="AJ44" i="1"/>
  <c r="BX174" i="1"/>
  <c r="BY174" i="1" s="1"/>
  <c r="BL105" i="1"/>
  <c r="O44" i="1"/>
  <c r="J82" i="1"/>
  <c r="P52" i="1"/>
  <c r="M66" i="1"/>
  <c r="D82" i="1"/>
  <c r="M67" i="1"/>
  <c r="I63" i="1"/>
  <c r="I225" i="1" s="1"/>
  <c r="AM53" i="1"/>
  <c r="AL67" i="1"/>
  <c r="AL283" i="1" s="1"/>
  <c r="P184" i="1"/>
  <c r="L40" i="1"/>
  <c r="Q55" i="1"/>
  <c r="N53" i="1"/>
  <c r="G82" i="1"/>
  <c r="H67" i="1"/>
  <c r="S53" i="1"/>
  <c r="M53" i="1"/>
  <c r="N54" i="1"/>
  <c r="P39" i="1"/>
  <c r="P262" i="1" s="1"/>
  <c r="IP9" i="4" s="1"/>
  <c r="C51" i="1"/>
  <c r="T77" i="1"/>
  <c r="D46" i="1"/>
  <c r="R53" i="1"/>
  <c r="V82" i="1"/>
  <c r="T70" i="1"/>
  <c r="T78" i="1"/>
  <c r="HV9" i="4" s="1"/>
  <c r="IN9" i="4" s="1"/>
  <c r="AJ46" i="1"/>
  <c r="O46" i="1"/>
  <c r="L54" i="1"/>
  <c r="S55" i="1"/>
  <c r="T40" i="1"/>
  <c r="E52" i="1"/>
  <c r="M56" i="1"/>
  <c r="AK54" i="1"/>
  <c r="U67" i="1"/>
  <c r="U283" i="1" s="1"/>
  <c r="W76" i="1"/>
  <c r="K54" i="1"/>
  <c r="T39" i="1"/>
  <c r="T262" i="1" s="1"/>
  <c r="HP8" i="4" s="1"/>
  <c r="BX171" i="1"/>
  <c r="BY171" i="1" s="1"/>
  <c r="BZ233" i="1" s="1"/>
  <c r="K70" i="1"/>
  <c r="H76" i="1"/>
  <c r="Q56" i="1"/>
  <c r="G78" i="1"/>
  <c r="IV14" i="4" s="1"/>
  <c r="AK39" i="1"/>
  <c r="BX178" i="1"/>
  <c r="BY178" i="1" s="1"/>
  <c r="L66" i="1"/>
  <c r="P66" i="1"/>
  <c r="V66" i="1"/>
  <c r="Q67" i="1"/>
  <c r="AL82" i="1"/>
  <c r="F55" i="1"/>
  <c r="BX168" i="1"/>
  <c r="BY168" i="1" s="1"/>
  <c r="P55" i="1"/>
  <c r="O53" i="1"/>
  <c r="N77" i="1"/>
  <c r="I55" i="1"/>
  <c r="G52" i="1"/>
  <c r="W52" i="1"/>
  <c r="N78" i="1"/>
  <c r="N63" i="1"/>
  <c r="N225" i="1" s="1"/>
  <c r="G46" i="1"/>
  <c r="JG7" i="4" s="1"/>
  <c r="BX44" i="1"/>
  <c r="BJ44" i="1"/>
  <c r="G77" i="1"/>
  <c r="J56" i="1"/>
  <c r="N40" i="1"/>
  <c r="BX70" i="1"/>
  <c r="AK77" i="1"/>
  <c r="BX45" i="1"/>
  <c r="K56" i="1"/>
  <c r="F66" i="1"/>
  <c r="BJ51" i="1"/>
  <c r="AL40" i="1"/>
  <c r="J63" i="1"/>
  <c r="J225" i="1" s="1"/>
  <c r="I44" i="1"/>
  <c r="Q51" i="1"/>
  <c r="R52" i="1"/>
  <c r="IR9" i="4" s="1"/>
  <c r="IV15" i="4" s="1"/>
  <c r="IX14" i="4" s="1"/>
  <c r="BX191" i="1"/>
  <c r="BX149" i="1"/>
  <c r="BY149" i="1" s="1"/>
  <c r="O77" i="1"/>
  <c r="G184" i="1"/>
  <c r="P77" i="1"/>
  <c r="H66" i="1"/>
  <c r="AL70" i="1"/>
  <c r="S52" i="1"/>
  <c r="V77" i="1"/>
  <c r="B52" i="1"/>
  <c r="AJ76" i="1"/>
  <c r="I70" i="1"/>
  <c r="I51" i="1"/>
  <c r="L78" i="1"/>
  <c r="W51" i="1"/>
  <c r="IY14" i="4" s="1"/>
  <c r="HX9" i="4" s="1"/>
  <c r="AJ52" i="1"/>
  <c r="BX182" i="1"/>
  <c r="BY182" i="1" s="1"/>
  <c r="K67" i="1"/>
  <c r="V63" i="1"/>
  <c r="V225" i="1" s="1"/>
  <c r="H78" i="1"/>
  <c r="L67" i="1"/>
  <c r="R77" i="1"/>
  <c r="U76" i="1"/>
  <c r="JE8" i="4" s="1"/>
  <c r="IB9" i="4" s="1"/>
  <c r="BX176" i="1"/>
  <c r="H39" i="1"/>
  <c r="H262" i="1" s="1"/>
  <c r="R56" i="1"/>
  <c r="M70" i="1"/>
  <c r="C39" i="1"/>
  <c r="V53" i="1"/>
  <c r="D40" i="1"/>
  <c r="F51" i="1"/>
  <c r="V52" i="1"/>
  <c r="J44" i="1"/>
  <c r="AK76" i="1"/>
  <c r="H44" i="1"/>
  <c r="G54" i="1"/>
  <c r="I53" i="1"/>
  <c r="N46" i="1"/>
  <c r="J76" i="1"/>
  <c r="AJ40" i="1"/>
  <c r="J51" i="1"/>
  <c r="W70" i="1"/>
  <c r="P51" i="1"/>
  <c r="R46" i="1"/>
  <c r="T63" i="1"/>
  <c r="T225" i="1" s="1"/>
  <c r="IY16" i="4" s="1"/>
  <c r="B40" i="1"/>
  <c r="R40" i="1"/>
  <c r="V78" i="1"/>
  <c r="C46" i="1"/>
  <c r="T56" i="1"/>
  <c r="T66" i="1"/>
  <c r="JE16" i="4" s="1"/>
  <c r="JE21" i="4" s="1"/>
  <c r="BY108" i="1" s="1"/>
  <c r="JB9" i="4" s="1"/>
  <c r="BX184" i="1"/>
  <c r="I46" i="1"/>
  <c r="N70" i="1"/>
  <c r="Q184" i="1"/>
  <c r="AJ54" i="1"/>
  <c r="E54" i="1"/>
  <c r="S76" i="1"/>
  <c r="W54" i="1"/>
  <c r="J46" i="1"/>
  <c r="R63" i="1"/>
  <c r="R225" i="1" s="1"/>
  <c r="JH16" i="4" s="1"/>
  <c r="R44" i="1"/>
  <c r="S67" i="1"/>
  <c r="K51" i="1"/>
  <c r="R70" i="1"/>
  <c r="HV15" i="4" s="1"/>
  <c r="AJ63" i="1"/>
  <c r="AJ225" i="1" s="1"/>
  <c r="T76" i="1"/>
  <c r="M55" i="1"/>
  <c r="P67" i="1"/>
  <c r="N56" i="1"/>
  <c r="H56" i="1"/>
  <c r="M46" i="1"/>
  <c r="H77" i="1"/>
  <c r="U51" i="1"/>
  <c r="V67" i="1"/>
  <c r="V283" i="1" s="1"/>
  <c r="N52" i="1"/>
  <c r="BX153" i="1"/>
  <c r="BY153" i="1" s="1"/>
  <c r="E78" i="1"/>
  <c r="F82" i="1"/>
  <c r="J40" i="1"/>
  <c r="C78" i="1"/>
  <c r="B39" i="1"/>
  <c r="ID15" i="4" s="1"/>
  <c r="IY15" i="4" s="1"/>
  <c r="IY20" i="4" s="1"/>
  <c r="BS110" i="1" s="1"/>
  <c r="BS139" i="1" s="1"/>
  <c r="IN8" i="4" s="1"/>
  <c r="BX175" i="1"/>
  <c r="J53" i="1"/>
  <c r="T51" i="1"/>
  <c r="U78" i="1"/>
  <c r="AK55" i="1"/>
  <c r="B54" i="1"/>
  <c r="BX162" i="1"/>
  <c r="L46" i="1"/>
  <c r="D78" i="1"/>
  <c r="W66" i="1"/>
  <c r="W148" i="1"/>
  <c r="AJ56" i="1"/>
  <c r="AK63" i="1"/>
  <c r="AK225" i="1" s="1"/>
  <c r="B55" i="1"/>
  <c r="J39" i="1"/>
  <c r="J262" i="1" s="1"/>
  <c r="Q54" i="1"/>
  <c r="E63" i="1"/>
  <c r="E225" i="1" s="1"/>
  <c r="I56" i="1"/>
  <c r="IS8" i="4" s="1"/>
  <c r="BX53" i="1"/>
  <c r="U63" i="1"/>
  <c r="U284" i="1" s="1"/>
  <c r="D39" i="1"/>
  <c r="E46" i="1"/>
  <c r="L63" i="1"/>
  <c r="Q82" i="1"/>
  <c r="AM39" i="1"/>
  <c r="H55" i="1"/>
  <c r="C66" i="1"/>
  <c r="B63" i="1"/>
  <c r="I78" i="1"/>
  <c r="O78" i="1"/>
  <c r="H46" i="1"/>
  <c r="BX190" i="1"/>
  <c r="D52" i="1"/>
  <c r="S78" i="1"/>
  <c r="S54" i="1"/>
  <c r="U82" i="1"/>
  <c r="T53" i="1"/>
  <c r="U56" i="1"/>
  <c r="Q66" i="1"/>
  <c r="O40" i="1"/>
  <c r="U44" i="1"/>
  <c r="H52" i="1"/>
  <c r="K53" i="1"/>
  <c r="W44" i="1"/>
  <c r="IM16" i="4" s="1"/>
  <c r="IM21" i="4" s="1"/>
  <c r="BG108" i="1" s="1"/>
  <c r="AK56" i="1"/>
  <c r="P76" i="1"/>
  <c r="O70" i="1"/>
  <c r="G55" i="1"/>
  <c r="BX67" i="1"/>
  <c r="BX105" i="1"/>
  <c r="S40" i="1"/>
  <c r="C52" i="1"/>
  <c r="C155" i="1"/>
  <c r="HR8" i="4" s="1"/>
  <c r="BX166" i="1"/>
  <c r="BY166" i="1" s="1"/>
  <c r="B76" i="1"/>
  <c r="H63" i="1"/>
  <c r="BJ39" i="1"/>
  <c r="BJ262" i="1" s="1"/>
  <c r="B77" i="1"/>
  <c r="W56" i="1"/>
  <c r="D70" i="1"/>
  <c r="L53" i="1"/>
  <c r="F54" i="1"/>
  <c r="IT9" i="4" s="1"/>
  <c r="M76" i="1"/>
  <c r="D67" i="1"/>
  <c r="B53" i="1"/>
  <c r="G70" i="1"/>
  <c r="D76" i="1"/>
  <c r="BX155" i="1"/>
  <c r="BY155" i="1" s="1"/>
  <c r="J70" i="1"/>
  <c r="O52" i="1"/>
  <c r="S77" i="1"/>
  <c r="JD16" i="4" s="1"/>
  <c r="AM66" i="1"/>
  <c r="AL45" i="1"/>
  <c r="M54" i="1"/>
  <c r="M63" i="1"/>
  <c r="M225" i="1" s="1"/>
  <c r="E55" i="1"/>
  <c r="IJ16" i="4" s="1"/>
  <c r="BJ45" i="1"/>
  <c r="AJ70" i="1"/>
  <c r="N51" i="1"/>
  <c r="L70" i="1"/>
  <c r="Q52" i="1"/>
  <c r="O82" i="1"/>
  <c r="K52" i="1"/>
  <c r="L51" i="1"/>
  <c r="U54" i="1"/>
  <c r="Q63" i="1"/>
  <c r="Q225" i="1" s="1"/>
  <c r="H82" i="1"/>
  <c r="K77" i="1"/>
  <c r="K66" i="1"/>
  <c r="E66" i="1"/>
  <c r="IZ15" i="4" s="1"/>
  <c r="G67" i="1"/>
  <c r="G51" i="1"/>
  <c r="V51" i="1"/>
  <c r="G56" i="1"/>
  <c r="V44" i="1"/>
  <c r="H54" i="1"/>
  <c r="BX39" i="1"/>
  <c r="BX157" i="1"/>
  <c r="BY157" i="1" s="1"/>
  <c r="B67" i="1"/>
  <c r="BX78" i="1"/>
  <c r="BX52" i="1"/>
  <c r="AL52" i="1"/>
  <c r="BX181" i="1"/>
  <c r="BY181" i="1" s="1"/>
  <c r="BX158" i="1"/>
  <c r="BY158" i="1" s="1"/>
  <c r="S63" i="1"/>
  <c r="I39" i="1"/>
  <c r="U77" i="1"/>
  <c r="AL56" i="1"/>
  <c r="F46" i="1"/>
  <c r="BX186" i="1"/>
  <c r="BY186" i="1" s="1"/>
  <c r="J150" i="1"/>
  <c r="Q76" i="1"/>
  <c r="W55" i="1"/>
  <c r="T52" i="1"/>
  <c r="AL53" i="1"/>
  <c r="W82" i="1"/>
  <c r="I82" i="1"/>
  <c r="L77" i="1"/>
  <c r="K40" i="1"/>
  <c r="K78" i="1"/>
  <c r="S66" i="1"/>
  <c r="P54" i="1"/>
  <c r="J67" i="1"/>
  <c r="P44" i="1"/>
  <c r="K55" i="1"/>
  <c r="BX284" i="1"/>
  <c r="HP14" i="4"/>
  <c r="JD7" i="4"/>
  <c r="IG15" i="4"/>
  <c r="HS7" i="4"/>
  <c r="IO15" i="4"/>
  <c r="IO7" i="4"/>
  <c r="JF8" i="4"/>
  <c r="IE14" i="4"/>
  <c r="HU7" i="4"/>
  <c r="IA7" i="4"/>
  <c r="IM15" i="4"/>
  <c r="IL7" i="4"/>
  <c r="E262" i="1"/>
  <c r="AL192" i="1"/>
  <c r="AM240" i="1" s="1"/>
  <c r="AL165" i="1"/>
  <c r="AM165" i="1" s="1"/>
  <c r="BK180" i="1"/>
  <c r="BK174" i="1"/>
  <c r="AM174" i="1"/>
  <c r="IC19" i="4"/>
  <c r="AW109" i="1" s="1"/>
  <c r="AW138" i="1" s="1"/>
  <c r="CM63" i="1"/>
  <c r="AB108" i="1"/>
  <c r="CQ108" i="1"/>
  <c r="AC171" i="1"/>
  <c r="CN96" i="1"/>
  <c r="CO94" i="1"/>
  <c r="AL214" i="1" l="1"/>
  <c r="AM214" i="1" s="1"/>
  <c r="HU21" i="4"/>
  <c r="AO108" i="1" s="1"/>
  <c r="AK41" i="1"/>
  <c r="N41" i="1"/>
  <c r="AL41" i="1"/>
  <c r="K283" i="1"/>
  <c r="L283" i="1"/>
  <c r="BX165" i="1"/>
  <c r="S41" i="1"/>
  <c r="O283" i="1"/>
  <c r="F284" i="1"/>
  <c r="P214" i="1"/>
  <c r="F283" i="1"/>
  <c r="K284" i="1"/>
  <c r="O284" i="1"/>
  <c r="M283" i="1"/>
  <c r="M284" i="1"/>
  <c r="P284" i="1"/>
  <c r="AJ177" i="1"/>
  <c r="AK177" i="1" s="1"/>
  <c r="AJ186" i="1"/>
  <c r="AK186" i="1" s="1"/>
  <c r="AJ191" i="1"/>
  <c r="AJ175" i="1"/>
  <c r="AJ166" i="1"/>
  <c r="AK166" i="1" s="1"/>
  <c r="AJ149" i="1"/>
  <c r="AK149" i="1" s="1"/>
  <c r="AJ157" i="1"/>
  <c r="AK157" i="1" s="1"/>
  <c r="AJ184" i="1"/>
  <c r="AJ195" i="1"/>
  <c r="AJ190" i="1"/>
  <c r="AJ192" i="1" s="1"/>
  <c r="AK240" i="1" s="1"/>
  <c r="AJ180" i="1"/>
  <c r="AK180" i="1" s="1"/>
  <c r="AJ155" i="1"/>
  <c r="AK155" i="1" s="1"/>
  <c r="AJ178" i="1"/>
  <c r="AK178" i="1" s="1"/>
  <c r="AJ164" i="1"/>
  <c r="AJ181" i="1"/>
  <c r="AK181" i="1" s="1"/>
  <c r="AJ171" i="1"/>
  <c r="AJ173" i="1"/>
  <c r="AJ174" i="1"/>
  <c r="AK174" i="1" s="1"/>
  <c r="AJ150" i="1"/>
  <c r="AJ176" i="1"/>
  <c r="AJ211" i="1" s="1"/>
  <c r="AK211" i="1" s="1"/>
  <c r="AJ185" i="1"/>
  <c r="AK185" i="1" s="1"/>
  <c r="AJ153" i="1"/>
  <c r="AK153" i="1" s="1"/>
  <c r="JC9" i="4" s="1"/>
  <c r="AJ194" i="1"/>
  <c r="AK194" i="1" s="1"/>
  <c r="AJ163" i="1"/>
  <c r="AJ162" i="1"/>
  <c r="AJ165" i="1" s="1"/>
  <c r="AK64" i="1" s="1"/>
  <c r="AJ168" i="1"/>
  <c r="AK168" i="1" s="1"/>
  <c r="AJ156" i="1"/>
  <c r="AK156" i="1" s="1"/>
  <c r="BX192" i="1"/>
  <c r="BY240" i="1" s="1"/>
  <c r="IT21" i="4"/>
  <c r="BN108" i="1" s="1"/>
  <c r="IC15" i="4" s="1"/>
  <c r="IC20" i="4" s="1"/>
  <c r="AW110" i="1" s="1"/>
  <c r="AW139" i="1" s="1"/>
  <c r="AL47" i="1"/>
  <c r="L57" i="1"/>
  <c r="U57" i="1"/>
  <c r="H57" i="1"/>
  <c r="IF8" i="4" s="1"/>
  <c r="B283" i="1"/>
  <c r="BX57" i="1"/>
  <c r="J283" i="1"/>
  <c r="F41" i="1"/>
  <c r="R284" i="1"/>
  <c r="M57" i="1"/>
  <c r="J284" i="1"/>
  <c r="C284" i="1"/>
  <c r="B284" i="1"/>
  <c r="R41" i="1"/>
  <c r="R129" i="1" s="1"/>
  <c r="BX210" i="1"/>
  <c r="BY210" i="1" s="1"/>
  <c r="V57" i="1"/>
  <c r="V58" i="1" s="1"/>
  <c r="B262" i="1"/>
  <c r="V284" i="1"/>
  <c r="S283" i="1"/>
  <c r="G41" i="1"/>
  <c r="G129" i="1" s="1"/>
  <c r="R283" i="1"/>
  <c r="AJ64" i="1"/>
  <c r="J57" i="1"/>
  <c r="E41" i="1"/>
  <c r="E47" i="1" s="1"/>
  <c r="BX151" i="1"/>
  <c r="BX123" i="1" s="1"/>
  <c r="J41" i="1"/>
  <c r="J47" i="1" s="1"/>
  <c r="J48" i="1" s="1"/>
  <c r="AM283" i="1"/>
  <c r="BJ210" i="1"/>
  <c r="BK210" i="1" s="1"/>
  <c r="T41" i="1"/>
  <c r="U42" i="1" s="1"/>
  <c r="AL284" i="1"/>
  <c r="BX159" i="1"/>
  <c r="N284" i="1"/>
  <c r="BX211" i="1"/>
  <c r="BY211" i="1" s="1"/>
  <c r="T283" i="1"/>
  <c r="BJ192" i="1"/>
  <c r="BK240" i="1" s="1"/>
  <c r="BJ165" i="1"/>
  <c r="BK159" i="1"/>
  <c r="BK148" i="1"/>
  <c r="BJ151" i="1"/>
  <c r="AM159" i="1"/>
  <c r="AM169" i="1"/>
  <c r="BJ159" i="1"/>
  <c r="AL187" i="1"/>
  <c r="AL216" i="1" s="1"/>
  <c r="AL215" i="1" s="1"/>
  <c r="AL159" i="1"/>
  <c r="BJ179" i="1"/>
  <c r="N129" i="1"/>
  <c r="N47" i="1"/>
  <c r="BK233" i="1"/>
  <c r="AK47" i="1"/>
  <c r="BY233" i="1"/>
  <c r="AJ148" i="1"/>
  <c r="AJ158" i="1"/>
  <c r="AK158" i="1" s="1"/>
  <c r="AJ183" i="1"/>
  <c r="AK183" i="1" s="1"/>
  <c r="AJ182" i="1"/>
  <c r="AK182" i="1" s="1"/>
  <c r="IX21" i="4"/>
  <c r="BR108" i="1" s="1"/>
  <c r="IK9" i="4" s="1"/>
  <c r="IK21" i="4" s="1"/>
  <c r="BE108" i="1" s="1"/>
  <c r="JA14" i="4" s="1"/>
  <c r="JF20" i="4"/>
  <c r="BZ110" i="1" s="1"/>
  <c r="IY9" i="4" s="1"/>
  <c r="IY21" i="4" s="1"/>
  <c r="BS108" i="1" s="1"/>
  <c r="IM7" i="4" s="1"/>
  <c r="HS21" i="4"/>
  <c r="AM108" i="1" s="1"/>
  <c r="IL9" i="4" s="1"/>
  <c r="AM57" i="1"/>
  <c r="IP21" i="4"/>
  <c r="BJ108" i="1" s="1"/>
  <c r="HZ15" i="4" s="1"/>
  <c r="H283" i="1"/>
  <c r="IN21" i="4"/>
  <c r="BH108" i="1" s="1"/>
  <c r="I57" i="1"/>
  <c r="JB21" i="4"/>
  <c r="BV108" i="1" s="1"/>
  <c r="ID9" i="4" s="1"/>
  <c r="P283" i="1"/>
  <c r="O41" i="1"/>
  <c r="IA8" i="4" s="1"/>
  <c r="U47" i="1"/>
  <c r="U48" i="1" s="1"/>
  <c r="C57" i="1"/>
  <c r="B57" i="1"/>
  <c r="BY159" i="1"/>
  <c r="JD21" i="4"/>
  <c r="BX108" i="1" s="1"/>
  <c r="AJ159" i="1"/>
  <c r="AL43" i="1"/>
  <c r="HQ15" i="4"/>
  <c r="HV8" i="4"/>
  <c r="HV20" i="4" s="1"/>
  <c r="AP110" i="1" s="1"/>
  <c r="AP139" i="1" s="1"/>
  <c r="U219" i="1"/>
  <c r="AL210" i="1"/>
  <c r="AM210" i="1" s="1"/>
  <c r="T129" i="1"/>
  <c r="T284" i="1"/>
  <c r="P57" i="1"/>
  <c r="AK57" i="1"/>
  <c r="AK58" i="1" s="1"/>
  <c r="S57" i="1"/>
  <c r="HY7" i="4"/>
  <c r="HY19" i="4" s="1"/>
  <c r="AS109" i="1" s="1"/>
  <c r="AS138" i="1" s="1"/>
  <c r="D57" i="1"/>
  <c r="HP19" i="4"/>
  <c r="AJ109" i="1" s="1"/>
  <c r="IK8" i="4"/>
  <c r="AJ57" i="1"/>
  <c r="HU14" i="4"/>
  <c r="HU19" i="4" s="1"/>
  <c r="AO109" i="1" s="1"/>
  <c r="AO138" i="1" s="1"/>
  <c r="AJ68" i="1"/>
  <c r="JF14" i="4"/>
  <c r="HW7" i="4"/>
  <c r="JI8" i="4"/>
  <c r="IZ14" i="4"/>
  <c r="R57" i="1"/>
  <c r="JH21" i="4"/>
  <c r="CB108" i="1" s="1"/>
  <c r="CB125" i="1" s="1"/>
  <c r="IW8" i="4"/>
  <c r="HY8" i="4"/>
  <c r="IJ15" i="4"/>
  <c r="IJ20" i="4" s="1"/>
  <c r="BD110" i="1" s="1"/>
  <c r="BD139" i="1" s="1"/>
  <c r="HW15" i="4"/>
  <c r="IU15" i="4"/>
  <c r="HQ7" i="4"/>
  <c r="IE8" i="4"/>
  <c r="IE20" i="4" s="1"/>
  <c r="AY110" i="1" s="1"/>
  <c r="AY139" i="1" s="1"/>
  <c r="HS15" i="4"/>
  <c r="IA15" i="4"/>
  <c r="IA20" i="4" s="1"/>
  <c r="AU110" i="1" s="1"/>
  <c r="AU139" i="1" s="1"/>
  <c r="IH8" i="4"/>
  <c r="HS8" i="4"/>
  <c r="JA8" i="4"/>
  <c r="E57" i="1"/>
  <c r="IZ7" i="4"/>
  <c r="B41" i="1"/>
  <c r="IA14" i="4"/>
  <c r="IA19" i="4" s="1"/>
  <c r="AU109" i="1" s="1"/>
  <c r="AU138" i="1" s="1"/>
  <c r="JI15" i="4"/>
  <c r="JI20" i="4" s="1"/>
  <c r="CC110" i="1" s="1"/>
  <c r="W57" i="1"/>
  <c r="W58" i="1" s="1"/>
  <c r="JH20" i="4"/>
  <c r="CB110" i="1" s="1"/>
  <c r="CB127" i="1" s="1"/>
  <c r="ID19" i="4"/>
  <c r="AX109" i="1" s="1"/>
  <c r="AX138" i="1" s="1"/>
  <c r="G283" i="1"/>
  <c r="HR7" i="4"/>
  <c r="IJ21" i="4"/>
  <c r="BD108" i="1" s="1"/>
  <c r="JH14" i="4"/>
  <c r="AL179" i="1"/>
  <c r="V42" i="1"/>
  <c r="AK262" i="1"/>
  <c r="HX15" i="4"/>
  <c r="IQ14" i="4"/>
  <c r="IS15" i="4"/>
  <c r="IS20" i="4" s="1"/>
  <c r="BM110" i="1" s="1"/>
  <c r="BM139" i="1" s="1"/>
  <c r="IN7" i="4"/>
  <c r="HV21" i="4"/>
  <c r="AP108" i="1" s="1"/>
  <c r="IQ7" i="4"/>
  <c r="IG8" i="4"/>
  <c r="IG20" i="4" s="1"/>
  <c r="BA110" i="1" s="1"/>
  <c r="BA139" i="1" s="1"/>
  <c r="C283" i="1"/>
  <c r="IT14" i="4"/>
  <c r="IE21" i="4"/>
  <c r="AY108" i="1" s="1"/>
  <c r="JD15" i="4"/>
  <c r="HQ14" i="4"/>
  <c r="HP21" i="4"/>
  <c r="AJ108" i="1" s="1"/>
  <c r="JA15" i="4"/>
  <c r="II7" i="4"/>
  <c r="II19" i="4" s="1"/>
  <c r="BC109" i="1" s="1"/>
  <c r="BC138" i="1" s="1"/>
  <c r="IL15" i="4"/>
  <c r="IG21" i="4"/>
  <c r="BA108" i="1" s="1"/>
  <c r="IM14" i="4"/>
  <c r="IM19" i="4" s="1"/>
  <c r="BG109" i="1" s="1"/>
  <c r="BG138" i="1" s="1"/>
  <c r="IT7" i="4"/>
  <c r="IN15" i="4"/>
  <c r="IN20" i="4" s="1"/>
  <c r="BH110" i="1" s="1"/>
  <c r="BH139" i="1" s="1"/>
  <c r="JC15" i="4"/>
  <c r="BX179" i="1"/>
  <c r="BX213" i="1" s="1"/>
  <c r="S225" i="1"/>
  <c r="S284" i="1"/>
  <c r="D283" i="1"/>
  <c r="Q214" i="1"/>
  <c r="Q57" i="1"/>
  <c r="IW7" i="4"/>
  <c r="M262" i="1"/>
  <c r="M41" i="1"/>
  <c r="L262" i="1"/>
  <c r="L41" i="1"/>
  <c r="IN14" i="4"/>
  <c r="IN19" i="4" s="1"/>
  <c r="BH109" i="1" s="1"/>
  <c r="BH138" i="1" s="1"/>
  <c r="HP15" i="4"/>
  <c r="HP20" i="4" s="1"/>
  <c r="AJ110" i="1" s="1"/>
  <c r="W284" i="1"/>
  <c r="W225" i="1"/>
  <c r="JE7" i="4"/>
  <c r="JC14" i="4"/>
  <c r="JC19" i="4" s="1"/>
  <c r="BW109" i="1" s="1"/>
  <c r="BW138" i="1" s="1"/>
  <c r="HR15" i="4"/>
  <c r="HR20" i="4" s="1"/>
  <c r="AL110" i="1" s="1"/>
  <c r="HZ7" i="4"/>
  <c r="HX7" i="4"/>
  <c r="HX19" i="4" s="1"/>
  <c r="AR109" i="1" s="1"/>
  <c r="AR138" i="1" s="1"/>
  <c r="IR14" i="4"/>
  <c r="IR19" i="4" s="1"/>
  <c r="BL109" i="1" s="1"/>
  <c r="N57" i="1"/>
  <c r="IR15" i="4"/>
  <c r="IR20" i="4" s="1"/>
  <c r="BL110" i="1" s="1"/>
  <c r="BL127" i="1" s="1"/>
  <c r="HY15" i="4"/>
  <c r="HY20" i="4" s="1"/>
  <c r="AS110" i="1" s="1"/>
  <c r="AS139" i="1" s="1"/>
  <c r="O57" i="1"/>
  <c r="BJ187" i="1"/>
  <c r="BJ216" i="1" s="1"/>
  <c r="W219" i="1"/>
  <c r="CA129" i="1"/>
  <c r="CA130" i="1" s="1"/>
  <c r="BX262" i="1"/>
  <c r="BX41" i="1"/>
  <c r="H225" i="1"/>
  <c r="H284" i="1"/>
  <c r="BX283" i="1"/>
  <c r="X219" i="1"/>
  <c r="W47" i="1"/>
  <c r="W129" i="1"/>
  <c r="W42" i="1"/>
  <c r="X42" i="1"/>
  <c r="IP14" i="4"/>
  <c r="IP19" i="4" s="1"/>
  <c r="BJ109" i="1" s="1"/>
  <c r="BJ138" i="1" s="1"/>
  <c r="II8" i="4"/>
  <c r="AJ262" i="1"/>
  <c r="AJ41" i="1"/>
  <c r="AM129" i="1"/>
  <c r="AM130" i="1" s="1"/>
  <c r="IB15" i="4"/>
  <c r="IB20" i="4" s="1"/>
  <c r="AV110" i="1" s="1"/>
  <c r="AV139" i="1" s="1"/>
  <c r="IF21" i="4"/>
  <c r="AZ108" i="1" s="1"/>
  <c r="IA21" i="4"/>
  <c r="AU108" i="1" s="1"/>
  <c r="IZ8" i="4"/>
  <c r="IZ20" i="4" s="1"/>
  <c r="BT110" i="1" s="1"/>
  <c r="BT139" i="1" s="1"/>
  <c r="JG8" i="4"/>
  <c r="HZ8" i="4"/>
  <c r="HV14" i="4"/>
  <c r="IJ14" i="4"/>
  <c r="AM225" i="1"/>
  <c r="AM284" i="1"/>
  <c r="IC21" i="4"/>
  <c r="AW108" i="1" s="1"/>
  <c r="II21" i="4"/>
  <c r="BC108" i="1" s="1"/>
  <c r="IY7" i="4"/>
  <c r="IY19" i="4" s="1"/>
  <c r="BS109" i="1" s="1"/>
  <c r="BS138" i="1" s="1"/>
  <c r="AJ210" i="1"/>
  <c r="II15" i="4"/>
  <c r="IH15" i="4"/>
  <c r="HZ14" i="4"/>
  <c r="JG14" i="4"/>
  <c r="JG19" i="4" s="1"/>
  <c r="CA109" i="1" s="1"/>
  <c r="IP15" i="4"/>
  <c r="JC8" i="4"/>
  <c r="AL151" i="1"/>
  <c r="BJ214" i="1"/>
  <c r="BK214" i="1" s="1"/>
  <c r="BJ211" i="1"/>
  <c r="BK211" i="1" s="1"/>
  <c r="I284" i="1"/>
  <c r="L284" i="1"/>
  <c r="L225" i="1"/>
  <c r="K57" i="1"/>
  <c r="F57" i="1"/>
  <c r="Q283" i="1"/>
  <c r="AL57" i="1"/>
  <c r="AL58" i="1" s="1"/>
  <c r="HW8" i="4"/>
  <c r="JI21" i="4"/>
  <c r="CC108" i="1" s="1"/>
  <c r="JG21" i="4"/>
  <c r="CA108" i="1" s="1"/>
  <c r="JG15" i="4"/>
  <c r="JG20" i="4" s="1"/>
  <c r="CA110" i="1" s="1"/>
  <c r="BY151" i="1"/>
  <c r="IK14" i="4"/>
  <c r="ID21" i="4"/>
  <c r="AX108" i="1" s="1"/>
  <c r="JD14" i="4"/>
  <c r="JD19" i="4" s="1"/>
  <c r="BX109" i="1" s="1"/>
  <c r="BX126" i="1" s="1"/>
  <c r="AJ214" i="1"/>
  <c r="JI14" i="4"/>
  <c r="IG14" i="4"/>
  <c r="IZ21" i="4"/>
  <c r="BT108" i="1" s="1"/>
  <c r="AL211" i="1"/>
  <c r="AM211" i="1" s="1"/>
  <c r="I262" i="1"/>
  <c r="I41" i="1"/>
  <c r="J42" i="1" s="1"/>
  <c r="T57" i="1"/>
  <c r="HX8" i="4"/>
  <c r="BX187" i="1"/>
  <c r="BX216" i="1" s="1"/>
  <c r="U225" i="1"/>
  <c r="AM262" i="1"/>
  <c r="AM41" i="1"/>
  <c r="BX214" i="1"/>
  <c r="BY214" i="1" s="1"/>
  <c r="IE7" i="4"/>
  <c r="IE19" i="4" s="1"/>
  <c r="AY109" i="1" s="1"/>
  <c r="AY138" i="1" s="1"/>
  <c r="IH14" i="4"/>
  <c r="IH19" i="4" s="1"/>
  <c r="BB109" i="1" s="1"/>
  <c r="BB138" i="1" s="1"/>
  <c r="IL21" i="4"/>
  <c r="BF108" i="1" s="1"/>
  <c r="D225" i="1"/>
  <c r="D284" i="1"/>
  <c r="IL8" i="4"/>
  <c r="IW14" i="4"/>
  <c r="IL14" i="4"/>
  <c r="IL19" i="4" s="1"/>
  <c r="BF109" i="1" s="1"/>
  <c r="BF138" i="1" s="1"/>
  <c r="IB7" i="4"/>
  <c r="IR21" i="4"/>
  <c r="BL108" i="1" s="1"/>
  <c r="BL125" i="1" s="1"/>
  <c r="IO21" i="4"/>
  <c r="BI108" i="1" s="1"/>
  <c r="HU8" i="4"/>
  <c r="IV21" i="4"/>
  <c r="BP108" i="1" s="1"/>
  <c r="JH7" i="4"/>
  <c r="P41" i="1"/>
  <c r="IO14" i="4"/>
  <c r="IO19" i="4" s="1"/>
  <c r="BI109" i="1" s="1"/>
  <c r="BI138" i="1" s="1"/>
  <c r="JE15" i="4"/>
  <c r="JE20" i="4" s="1"/>
  <c r="BY110" i="1" s="1"/>
  <c r="BY139" i="1" s="1"/>
  <c r="JI7" i="4"/>
  <c r="HT21" i="4"/>
  <c r="AN108" i="1" s="1"/>
  <c r="IB14" i="4"/>
  <c r="Q262" i="1"/>
  <c r="Q41" i="1"/>
  <c r="Q284" i="1"/>
  <c r="HT7" i="4"/>
  <c r="HT19" i="4" s="1"/>
  <c r="AN109" i="1" s="1"/>
  <c r="AN138" i="1" s="1"/>
  <c r="D262" i="1"/>
  <c r="D41" i="1"/>
  <c r="G214" i="1"/>
  <c r="H41" i="1"/>
  <c r="I283" i="1"/>
  <c r="IW15" i="4"/>
  <c r="IW20" i="4" s="1"/>
  <c r="BQ110" i="1" s="1"/>
  <c r="BQ139" i="1" s="1"/>
  <c r="IU14" i="4"/>
  <c r="IU19" i="4" s="1"/>
  <c r="BO109" i="1" s="1"/>
  <c r="BO138" i="1" s="1"/>
  <c r="IF15" i="4"/>
  <c r="IF20" i="4" s="1"/>
  <c r="AZ110" i="1" s="1"/>
  <c r="AZ139" i="1" s="1"/>
  <c r="JF21" i="4"/>
  <c r="BZ108" i="1" s="1"/>
  <c r="BZ125" i="1" s="1"/>
  <c r="IK7" i="4"/>
  <c r="JB15" i="4"/>
  <c r="JB20" i="4" s="1"/>
  <c r="BV110" i="1" s="1"/>
  <c r="BV139" i="1" s="1"/>
  <c r="HY21" i="4"/>
  <c r="AS108" i="1" s="1"/>
  <c r="HX21" i="4"/>
  <c r="AR108" i="1" s="1"/>
  <c r="HV7" i="4"/>
  <c r="ID8" i="4"/>
  <c r="ID20" i="4" s="1"/>
  <c r="AX110" i="1" s="1"/>
  <c r="AX139" i="1" s="1"/>
  <c r="IF14" i="4"/>
  <c r="IF19" i="4" s="1"/>
  <c r="AZ109" i="1" s="1"/>
  <c r="AZ138" i="1" s="1"/>
  <c r="JF7" i="4"/>
  <c r="JF19" i="4" s="1"/>
  <c r="BZ109" i="1" s="1"/>
  <c r="JB7" i="4"/>
  <c r="IV8" i="4"/>
  <c r="IV20" i="4" s="1"/>
  <c r="BP110" i="1" s="1"/>
  <c r="BP139" i="1" s="1"/>
  <c r="IQ8" i="4"/>
  <c r="IJ7" i="4"/>
  <c r="IK15" i="4"/>
  <c r="IK20" i="4" s="1"/>
  <c r="BE110" i="1" s="1"/>
  <c r="BE139" i="1" s="1"/>
  <c r="JD8" i="4"/>
  <c r="IS7" i="4"/>
  <c r="IS19" i="4" s="1"/>
  <c r="BM109" i="1" s="1"/>
  <c r="BM138" i="1" s="1"/>
  <c r="JH8" i="4"/>
  <c r="V219" i="1"/>
  <c r="V47" i="1"/>
  <c r="G284" i="1"/>
  <c r="C262" i="1"/>
  <c r="C41" i="1"/>
  <c r="G57" i="1"/>
  <c r="IM8" i="4"/>
  <c r="IM20" i="4" s="1"/>
  <c r="BG110" i="1" s="1"/>
  <c r="BG139" i="1" s="1"/>
  <c r="IU8" i="4"/>
  <c r="IT15" i="4"/>
  <c r="IX7" i="4"/>
  <c r="IX19" i="4" s="1"/>
  <c r="BR109" i="1" s="1"/>
  <c r="BR138" i="1" s="1"/>
  <c r="ID7" i="4"/>
  <c r="IP8" i="4"/>
  <c r="IX15" i="4"/>
  <c r="IX20" i="4" s="1"/>
  <c r="BR110" i="1" s="1"/>
  <c r="BR139" i="1" s="1"/>
  <c r="HS14" i="4"/>
  <c r="HS19" i="4" s="1"/>
  <c r="AM109" i="1" s="1"/>
  <c r="JB14" i="4"/>
  <c r="JE14" i="4"/>
  <c r="K262" i="1"/>
  <c r="K41" i="1"/>
  <c r="HW21" i="4"/>
  <c r="AQ108" i="1" s="1"/>
  <c r="IG7" i="4"/>
  <c r="HW14" i="4"/>
  <c r="HR14" i="4"/>
  <c r="HT15" i="4"/>
  <c r="HT20" i="4" s="1"/>
  <c r="AN110" i="1" s="1"/>
  <c r="AN139" i="1" s="1"/>
  <c r="IT8" i="4"/>
  <c r="IV7" i="4"/>
  <c r="IV19" i="4" s="1"/>
  <c r="BP109" i="1" s="1"/>
  <c r="BP138" i="1" s="1"/>
  <c r="HQ8" i="4"/>
  <c r="IS21" i="4"/>
  <c r="BM108" i="1" s="1"/>
  <c r="JA21" i="4"/>
  <c r="BU108" i="1" s="1"/>
  <c r="IO8" i="4"/>
  <c r="IO20" i="4" s="1"/>
  <c r="BI110" i="1" s="1"/>
  <c r="BI139" i="1" s="1"/>
  <c r="IQ15" i="4"/>
  <c r="HU15" i="4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AM64" i="1"/>
  <c r="AL169" i="1"/>
  <c r="CM225" i="1"/>
  <c r="CM163" i="1"/>
  <c r="CM165" i="1" s="1"/>
  <c r="CM169" i="1" s="1"/>
  <c r="CM234" i="1" s="1"/>
  <c r="CM232" i="1" s="1"/>
  <c r="CR108" i="1"/>
  <c r="AC233" i="1"/>
  <c r="AB180" i="1"/>
  <c r="AB148" i="1"/>
  <c r="CO96" i="1"/>
  <c r="CP94" i="1"/>
  <c r="AB94" i="1" s="1"/>
  <c r="AK159" i="1" l="1"/>
  <c r="BX199" i="1"/>
  <c r="BX140" i="1" s="1"/>
  <c r="G47" i="1"/>
  <c r="AM58" i="1"/>
  <c r="R219" i="1"/>
  <c r="E219" i="1"/>
  <c r="V59" i="1"/>
  <c r="BX169" i="1"/>
  <c r="S129" i="1"/>
  <c r="AK165" i="1"/>
  <c r="AJ169" i="1"/>
  <c r="B58" i="1"/>
  <c r="BZ280" i="1"/>
  <c r="BZ282" i="1" s="1"/>
  <c r="BZ237" i="1"/>
  <c r="BY165" i="1"/>
  <c r="BY64" i="1"/>
  <c r="S42" i="1"/>
  <c r="S47" i="1"/>
  <c r="S48" i="1" s="1"/>
  <c r="O219" i="1"/>
  <c r="AL48" i="1"/>
  <c r="F129" i="1"/>
  <c r="BY237" i="1"/>
  <c r="CB116" i="1"/>
  <c r="CB133" i="1"/>
  <c r="G42" i="1"/>
  <c r="G219" i="1"/>
  <c r="AJ187" i="1"/>
  <c r="K219" i="1"/>
  <c r="S219" i="1"/>
  <c r="R47" i="1"/>
  <c r="BX279" i="1"/>
  <c r="E129" i="1"/>
  <c r="F219" i="1"/>
  <c r="BX160" i="1"/>
  <c r="BK165" i="1"/>
  <c r="BJ169" i="1"/>
  <c r="BJ277" i="1" s="1"/>
  <c r="BL237" i="1"/>
  <c r="BL280" i="1"/>
  <c r="BJ123" i="1"/>
  <c r="BJ279" i="1"/>
  <c r="AM237" i="1"/>
  <c r="AL199" i="1"/>
  <c r="BJ160" i="1"/>
  <c r="BJ199" i="1"/>
  <c r="BJ140" i="1" s="1"/>
  <c r="BK237" i="1"/>
  <c r="BJ213" i="1"/>
  <c r="N48" i="1"/>
  <c r="BZ139" i="1"/>
  <c r="BZ142" i="1" s="1"/>
  <c r="BZ127" i="1"/>
  <c r="AL50" i="1"/>
  <c r="AK48" i="1"/>
  <c r="E48" i="1"/>
  <c r="AI227" i="1"/>
  <c r="AI229" i="1" s="1"/>
  <c r="AK195" i="1"/>
  <c r="AJ233" i="1"/>
  <c r="AK171" i="1"/>
  <c r="AL233" i="1" s="1"/>
  <c r="AJ179" i="1"/>
  <c r="AK173" i="1"/>
  <c r="F42" i="1"/>
  <c r="F47" i="1"/>
  <c r="AJ151" i="1"/>
  <c r="AK148" i="1"/>
  <c r="O129" i="1"/>
  <c r="T219" i="1"/>
  <c r="T42" i="1"/>
  <c r="T47" i="1"/>
  <c r="T48" i="1" s="1"/>
  <c r="O42" i="1"/>
  <c r="J129" i="1"/>
  <c r="BY238" i="1"/>
  <c r="BK280" i="1"/>
  <c r="V49" i="1"/>
  <c r="AM280" i="1"/>
  <c r="CA256" i="1"/>
  <c r="AB96" i="1"/>
  <c r="AA94" i="1"/>
  <c r="JA19" i="4"/>
  <c r="BU109" i="1" s="1"/>
  <c r="BU138" i="1" s="1"/>
  <c r="IB16" i="4"/>
  <c r="IB21" i="4" s="1"/>
  <c r="AV108" i="1" s="1"/>
  <c r="IZ19" i="4"/>
  <c r="BT109" i="1" s="1"/>
  <c r="BT138" i="1" s="1"/>
  <c r="O47" i="1"/>
  <c r="HQ19" i="4"/>
  <c r="AK109" i="1" s="1"/>
  <c r="JA20" i="4"/>
  <c r="BU110" i="1" s="1"/>
  <c r="BU139" i="1" s="1"/>
  <c r="BX125" i="1"/>
  <c r="B47" i="1"/>
  <c r="AM133" i="1"/>
  <c r="HZ20" i="4"/>
  <c r="AT110" i="1" s="1"/>
  <c r="AT139" i="1" s="1"/>
  <c r="IH20" i="4"/>
  <c r="BB110" i="1" s="1"/>
  <c r="BB139" i="1" s="1"/>
  <c r="HZ19" i="4"/>
  <c r="AT109" i="1" s="1"/>
  <c r="AT138" i="1" s="1"/>
  <c r="HW20" i="4"/>
  <c r="AQ110" i="1" s="1"/>
  <c r="AQ139" i="1" s="1"/>
  <c r="BX215" i="1"/>
  <c r="C58" i="1"/>
  <c r="IU20" i="4"/>
  <c r="BO110" i="1" s="1"/>
  <c r="BO139" i="1" s="1"/>
  <c r="JB19" i="4"/>
  <c r="BV109" i="1" s="1"/>
  <c r="BV138" i="1" s="1"/>
  <c r="JE19" i="4"/>
  <c r="BY109" i="1" s="1"/>
  <c r="BY138" i="1" s="1"/>
  <c r="HW19" i="4"/>
  <c r="AQ109" i="1" s="1"/>
  <c r="AQ138" i="1" s="1"/>
  <c r="HR19" i="4"/>
  <c r="AL109" i="1" s="1"/>
  <c r="AL138" i="1" s="1"/>
  <c r="HQ20" i="4"/>
  <c r="AK110" i="1" s="1"/>
  <c r="IQ20" i="4"/>
  <c r="BK110" i="1" s="1"/>
  <c r="BK139" i="1" s="1"/>
  <c r="HU20" i="4"/>
  <c r="AO110" i="1" s="1"/>
  <c r="AO139" i="1" s="1"/>
  <c r="P42" i="1"/>
  <c r="AJ58" i="1"/>
  <c r="E58" i="1"/>
  <c r="BX212" i="1"/>
  <c r="J219" i="1"/>
  <c r="E42" i="1"/>
  <c r="BX217" i="1"/>
  <c r="CB220" i="1" s="1"/>
  <c r="BX188" i="1"/>
  <c r="BY280" i="1"/>
  <c r="AK237" i="1"/>
  <c r="AJ199" i="1"/>
  <c r="AK68" i="1" s="1"/>
  <c r="AJ237" i="1"/>
  <c r="AL123" i="1"/>
  <c r="AL127" i="1" s="1"/>
  <c r="AL279" i="1"/>
  <c r="AL237" i="1"/>
  <c r="AL280" i="1"/>
  <c r="AL160" i="1"/>
  <c r="AL213" i="1"/>
  <c r="AL188" i="1"/>
  <c r="AL139" i="1"/>
  <c r="AM134" i="1"/>
  <c r="AM138" i="1"/>
  <c r="BL138" i="1"/>
  <c r="BL141" i="1" s="1"/>
  <c r="BL126" i="1"/>
  <c r="CA127" i="1"/>
  <c r="CA139" i="1"/>
  <c r="CA135" i="1"/>
  <c r="CC127" i="1"/>
  <c r="CC135" i="1"/>
  <c r="CC139" i="1"/>
  <c r="CC118" i="1"/>
  <c r="CA134" i="1"/>
  <c r="CA138" i="1"/>
  <c r="CA126" i="1"/>
  <c r="AK59" i="1"/>
  <c r="E59" i="1"/>
  <c r="E60" i="1" s="1"/>
  <c r="BJ188" i="1"/>
  <c r="K42" i="1"/>
  <c r="II20" i="4"/>
  <c r="BC110" i="1" s="1"/>
  <c r="BC139" i="1" s="1"/>
  <c r="HS20" i="4"/>
  <c r="AM110" i="1" s="1"/>
  <c r="BZ126" i="1"/>
  <c r="BZ120" i="1"/>
  <c r="BZ138" i="1"/>
  <c r="BZ141" i="1" s="1"/>
  <c r="P47" i="1"/>
  <c r="P219" i="1"/>
  <c r="P129" i="1"/>
  <c r="IW19" i="4"/>
  <c r="BQ109" i="1" s="1"/>
  <c r="BQ138" i="1" s="1"/>
  <c r="BY43" i="1"/>
  <c r="CB42" i="1"/>
  <c r="BX47" i="1"/>
  <c r="CC219" i="1"/>
  <c r="AL59" i="1"/>
  <c r="CB118" i="1"/>
  <c r="BX138" i="1"/>
  <c r="I42" i="1"/>
  <c r="I47" i="1"/>
  <c r="I219" i="1"/>
  <c r="I129" i="1"/>
  <c r="IJ19" i="4"/>
  <c r="BD109" i="1" s="1"/>
  <c r="BD138" i="1" s="1"/>
  <c r="X49" i="1"/>
  <c r="W48" i="1"/>
  <c r="W59" i="1"/>
  <c r="JC20" i="4"/>
  <c r="BW110" i="1" s="1"/>
  <c r="BW139" i="1" s="1"/>
  <c r="BL139" i="1"/>
  <c r="BL142" i="1" s="1"/>
  <c r="BX120" i="1"/>
  <c r="R42" i="1"/>
  <c r="H47" i="1"/>
  <c r="H219" i="1"/>
  <c r="H129" i="1"/>
  <c r="H42" i="1"/>
  <c r="IB19" i="4"/>
  <c r="AV109" i="1" s="1"/>
  <c r="AV138" i="1" s="1"/>
  <c r="IK19" i="4"/>
  <c r="BE109" i="1" s="1"/>
  <c r="BE138" i="1" s="1"/>
  <c r="HV19" i="4"/>
  <c r="AP109" i="1" s="1"/>
  <c r="AP138" i="1" s="1"/>
  <c r="AK43" i="1"/>
  <c r="AM256" i="1"/>
  <c r="AJ47" i="1"/>
  <c r="JH19" i="4"/>
  <c r="CB109" i="1" s="1"/>
  <c r="Q219" i="1"/>
  <c r="Q47" i="1"/>
  <c r="Q129" i="1"/>
  <c r="Q42" i="1"/>
  <c r="AM47" i="1"/>
  <c r="AM43" i="1"/>
  <c r="CB135" i="1"/>
  <c r="CB139" i="1"/>
  <c r="CB142" i="1" s="1"/>
  <c r="CB145" i="1" s="1"/>
  <c r="K129" i="1"/>
  <c r="K47" i="1"/>
  <c r="V48" i="1"/>
  <c r="W49" i="1"/>
  <c r="BZ238" i="1"/>
  <c r="BY123" i="1"/>
  <c r="JD20" i="4"/>
  <c r="BX110" i="1" s="1"/>
  <c r="BX58" i="1"/>
  <c r="C42" i="1"/>
  <c r="C47" i="1"/>
  <c r="C219" i="1"/>
  <c r="BJ215" i="1"/>
  <c r="IT20" i="4"/>
  <c r="BN110" i="1" s="1"/>
  <c r="BN139" i="1" s="1"/>
  <c r="D219" i="1"/>
  <c r="D42" i="1"/>
  <c r="D47" i="1"/>
  <c r="L47" i="1"/>
  <c r="L219" i="1"/>
  <c r="L42" i="1"/>
  <c r="L129" i="1"/>
  <c r="IQ19" i="4"/>
  <c r="BK109" i="1" s="1"/>
  <c r="BK138" i="1" s="1"/>
  <c r="IG19" i="4"/>
  <c r="BA109" i="1" s="1"/>
  <c r="BA138" i="1" s="1"/>
  <c r="CA125" i="1"/>
  <c r="CA133" i="1"/>
  <c r="IT19" i="4"/>
  <c r="BN109" i="1" s="1"/>
  <c r="BN138" i="1" s="1"/>
  <c r="HX20" i="4"/>
  <c r="AR110" i="1" s="1"/>
  <c r="AR139" i="1" s="1"/>
  <c r="D58" i="1"/>
  <c r="BY160" i="1"/>
  <c r="JI19" i="4"/>
  <c r="CC109" i="1" s="1"/>
  <c r="CC116" i="1"/>
  <c r="CC133" i="1"/>
  <c r="CC125" i="1"/>
  <c r="IP20" i="4"/>
  <c r="BJ110" i="1" s="1"/>
  <c r="BJ139" i="1" s="1"/>
  <c r="M219" i="1"/>
  <c r="M42" i="1"/>
  <c r="M129" i="1"/>
  <c r="N219" i="1"/>
  <c r="N42" i="1"/>
  <c r="M47" i="1"/>
  <c r="IL20" i="4"/>
  <c r="BF110" i="1" s="1"/>
  <c r="BF139" i="1" s="1"/>
  <c r="AM234" i="1"/>
  <c r="AM232" i="1" s="1"/>
  <c r="AL277" i="1"/>
  <c r="CN63" i="1"/>
  <c r="CS108" i="1"/>
  <c r="AB194" i="1"/>
  <c r="CP96" i="1"/>
  <c r="CQ94" i="1"/>
  <c r="AC148" i="1"/>
  <c r="AC180" i="1"/>
  <c r="CB256" i="1"/>
  <c r="BQ1" i="1"/>
  <c r="BR1" i="1" s="1"/>
  <c r="BS1" i="1" s="1"/>
  <c r="BT1" i="1" s="1"/>
  <c r="BX277" i="1" l="1"/>
  <c r="G48" i="1"/>
  <c r="BX196" i="1"/>
  <c r="AJ216" i="1"/>
  <c r="S49" i="1"/>
  <c r="R48" i="1"/>
  <c r="BY68" i="1"/>
  <c r="T49" i="1"/>
  <c r="V65" i="1"/>
  <c r="V69" i="1" s="1"/>
  <c r="V60" i="1"/>
  <c r="V143" i="1"/>
  <c r="V263" i="1"/>
  <c r="V264" i="1" s="1"/>
  <c r="BY169" i="1"/>
  <c r="BZ64" i="1"/>
  <c r="BZ236" i="1"/>
  <c r="B48" i="1"/>
  <c r="B59" i="1"/>
  <c r="AK169" i="1"/>
  <c r="AL64" i="1"/>
  <c r="AL125" i="1"/>
  <c r="AJ234" i="1"/>
  <c r="AL212" i="1"/>
  <c r="AL217" i="1"/>
  <c r="BY236" i="1"/>
  <c r="AJ160" i="1"/>
  <c r="AJ228" i="1"/>
  <c r="AJ188" i="1"/>
  <c r="AJ196" i="1" s="1"/>
  <c r="AJ197" i="1" s="1"/>
  <c r="BJ142" i="1"/>
  <c r="AL196" i="1"/>
  <c r="AL197" i="1" s="1"/>
  <c r="BL64" i="1"/>
  <c r="BK169" i="1"/>
  <c r="BL234" i="1" s="1"/>
  <c r="BL232" i="1" s="1"/>
  <c r="BJ125" i="1"/>
  <c r="BJ126" i="1"/>
  <c r="BJ141" i="1"/>
  <c r="AL140" i="1"/>
  <c r="AL142" i="1" s="1"/>
  <c r="AM68" i="1"/>
  <c r="BJ217" i="1"/>
  <c r="BJ212" i="1"/>
  <c r="AK263" i="1"/>
  <c r="AK264" i="1" s="1"/>
  <c r="AL62" i="1"/>
  <c r="AK60" i="1"/>
  <c r="AK65" i="1"/>
  <c r="AK69" i="1" s="1"/>
  <c r="AJ213" i="1"/>
  <c r="AJ227" i="1"/>
  <c r="F49" i="1"/>
  <c r="G49" i="1"/>
  <c r="F48" i="1"/>
  <c r="Z94" i="1"/>
  <c r="AA96" i="1"/>
  <c r="AK233" i="1"/>
  <c r="U49" i="1"/>
  <c r="O49" i="1"/>
  <c r="O48" i="1"/>
  <c r="BY120" i="1"/>
  <c r="AL126" i="1"/>
  <c r="AL281" i="1"/>
  <c r="AL282" i="1" s="1"/>
  <c r="BX141" i="1"/>
  <c r="AM139" i="1"/>
  <c r="AM135" i="1"/>
  <c r="M48" i="1"/>
  <c r="N49" i="1"/>
  <c r="BX139" i="1"/>
  <c r="BX142" i="1" s="1"/>
  <c r="BX127" i="1"/>
  <c r="X281" i="1"/>
  <c r="W65" i="1"/>
  <c r="W69" i="1" s="1"/>
  <c r="W61" i="1"/>
  <c r="W60" i="1"/>
  <c r="W143" i="1"/>
  <c r="W281" i="1"/>
  <c r="W263" i="1"/>
  <c r="W264" i="1" s="1"/>
  <c r="X61" i="1"/>
  <c r="CC138" i="1"/>
  <c r="CC126" i="1"/>
  <c r="CC134" i="1"/>
  <c r="CC117" i="1"/>
  <c r="CF121" i="1" s="1"/>
  <c r="AJ48" i="1"/>
  <c r="AJ59" i="1"/>
  <c r="AK50" i="1"/>
  <c r="BJ127" i="1"/>
  <c r="BY126" i="1"/>
  <c r="BY125" i="1"/>
  <c r="BY127" i="1"/>
  <c r="H48" i="1"/>
  <c r="H49" i="1"/>
  <c r="I49" i="1"/>
  <c r="AM50" i="1"/>
  <c r="AM59" i="1"/>
  <c r="AM48" i="1"/>
  <c r="AL60" i="1"/>
  <c r="AL263" i="1"/>
  <c r="AL264" i="1" s="1"/>
  <c r="AL65" i="1"/>
  <c r="AL69" i="1" s="1"/>
  <c r="P48" i="1"/>
  <c r="P49" i="1"/>
  <c r="Q49" i="1"/>
  <c r="C49" i="1"/>
  <c r="C59" i="1"/>
  <c r="D49" i="1"/>
  <c r="C48" i="1"/>
  <c r="CB117" i="1"/>
  <c r="CE121" i="1" s="1"/>
  <c r="CB134" i="1"/>
  <c r="CB138" i="1"/>
  <c r="CB141" i="1" s="1"/>
  <c r="CB144" i="1" s="1"/>
  <c r="CB126" i="1"/>
  <c r="L48" i="1"/>
  <c r="M49" i="1"/>
  <c r="J49" i="1"/>
  <c r="I48" i="1"/>
  <c r="BX59" i="1"/>
  <c r="BX48" i="1"/>
  <c r="CB49" i="1"/>
  <c r="BY50" i="1"/>
  <c r="E49" i="1"/>
  <c r="D48" i="1"/>
  <c r="D59" i="1"/>
  <c r="K49" i="1"/>
  <c r="K48" i="1"/>
  <c r="L49" i="1"/>
  <c r="Q48" i="1"/>
  <c r="R49" i="1"/>
  <c r="AK72" i="1"/>
  <c r="AK71" i="1"/>
  <c r="CN163" i="1"/>
  <c r="CN165" i="1" s="1"/>
  <c r="CO63" i="1" s="1"/>
  <c r="CT108" i="1"/>
  <c r="AB168" i="1"/>
  <c r="AD180" i="1"/>
  <c r="AE180" i="1"/>
  <c r="AD148" i="1"/>
  <c r="AE148" i="1"/>
  <c r="CQ96" i="1"/>
  <c r="CR94" i="1"/>
  <c r="AC194" i="1"/>
  <c r="BU1" i="1"/>
  <c r="Q58" i="1"/>
  <c r="P58" i="1"/>
  <c r="O58" i="1"/>
  <c r="I58" i="1"/>
  <c r="H58" i="1"/>
  <c r="G58" i="1"/>
  <c r="U58" i="1"/>
  <c r="T58" i="1"/>
  <c r="S58" i="1"/>
  <c r="R58" i="1"/>
  <c r="N58" i="1"/>
  <c r="M58" i="1"/>
  <c r="L58" i="1"/>
  <c r="K58" i="1"/>
  <c r="J58" i="1"/>
  <c r="F58" i="1"/>
  <c r="V71" i="1" l="1"/>
  <c r="V72" i="1"/>
  <c r="V18" i="1"/>
  <c r="V17" i="1" s="1"/>
  <c r="AJ232" i="1"/>
  <c r="BX197" i="1"/>
  <c r="B60" i="1"/>
  <c r="B143" i="1"/>
  <c r="C61" i="1"/>
  <c r="AK234" i="1"/>
  <c r="BZ234" i="1"/>
  <c r="BZ232" i="1" s="1"/>
  <c r="BY234" i="1"/>
  <c r="BY232" i="1" s="1"/>
  <c r="AL234" i="1"/>
  <c r="AL232" i="1" s="1"/>
  <c r="AJ229" i="1"/>
  <c r="AL141" i="1"/>
  <c r="Z96" i="1"/>
  <c r="Y94" i="1"/>
  <c r="AA97" i="1"/>
  <c r="AA123" i="1"/>
  <c r="AA130" i="1"/>
  <c r="AA138" i="1"/>
  <c r="AA141" i="1" s="1"/>
  <c r="AA144" i="1" s="1"/>
  <c r="AA139" i="1"/>
  <c r="AA142" i="1" s="1"/>
  <c r="AA145" i="1" s="1"/>
  <c r="AK232" i="1"/>
  <c r="BX263" i="1"/>
  <c r="BX264" i="1" s="1"/>
  <c r="BY281" i="1"/>
  <c r="BY282" i="1" s="1"/>
  <c r="BX60" i="1"/>
  <c r="BX65" i="1"/>
  <c r="CA143" i="1"/>
  <c r="BY62" i="1"/>
  <c r="CB61" i="1"/>
  <c r="AL72" i="1"/>
  <c r="AL71" i="1"/>
  <c r="AJ60" i="1"/>
  <c r="AJ65" i="1"/>
  <c r="AJ69" i="1" s="1"/>
  <c r="AJ263" i="1"/>
  <c r="AJ264" i="1" s="1"/>
  <c r="AM143" i="1"/>
  <c r="AK62" i="1"/>
  <c r="AM257" i="1"/>
  <c r="D60" i="1"/>
  <c r="D65" i="1"/>
  <c r="D69" i="1" s="1"/>
  <c r="D263" i="1"/>
  <c r="D264" i="1" s="1"/>
  <c r="D143" i="1"/>
  <c r="D281" i="1"/>
  <c r="E61" i="1"/>
  <c r="C281" i="1"/>
  <c r="C60" i="1"/>
  <c r="D61" i="1"/>
  <c r="W18" i="1"/>
  <c r="W17" i="1" s="1"/>
  <c r="W72" i="1"/>
  <c r="W71" i="1"/>
  <c r="AM60" i="1"/>
  <c r="AM65" i="1"/>
  <c r="AM69" i="1" s="1"/>
  <c r="AM281" i="1"/>
  <c r="AM282" i="1" s="1"/>
  <c r="AM263" i="1"/>
  <c r="AM264" i="1" s="1"/>
  <c r="AM62" i="1"/>
  <c r="AK265" i="1"/>
  <c r="AK79" i="1"/>
  <c r="AK150" i="1" s="1"/>
  <c r="AK151" i="1" s="1"/>
  <c r="AK160" i="1" s="1"/>
  <c r="AK73" i="1"/>
  <c r="CO225" i="1"/>
  <c r="CO163" i="1"/>
  <c r="CN169" i="1"/>
  <c r="CN225" i="1"/>
  <c r="AC108" i="1"/>
  <c r="CU108" i="1"/>
  <c r="AD194" i="1"/>
  <c r="AE194" i="1"/>
  <c r="AD171" i="1"/>
  <c r="CR96" i="1"/>
  <c r="CS94" i="1"/>
  <c r="AC168" i="1"/>
  <c r="BV1" i="1"/>
  <c r="BW1" i="1" s="1"/>
  <c r="BX1" i="1" s="1"/>
  <c r="B263" i="1"/>
  <c r="B264" i="1" s="1"/>
  <c r="BL263" i="1"/>
  <c r="BL264" i="1" s="1"/>
  <c r="G59" i="1"/>
  <c r="O59" i="1"/>
  <c r="H59" i="1"/>
  <c r="P59" i="1"/>
  <c r="I59" i="1"/>
  <c r="Q59" i="1"/>
  <c r="J59" i="1"/>
  <c r="R59" i="1"/>
  <c r="K59" i="1"/>
  <c r="S59" i="1"/>
  <c r="L59" i="1"/>
  <c r="T59" i="1"/>
  <c r="M59" i="1"/>
  <c r="U59" i="1"/>
  <c r="F59" i="1"/>
  <c r="F281" i="1" s="1"/>
  <c r="N59" i="1"/>
  <c r="V79" i="1" l="1"/>
  <c r="V73" i="1"/>
  <c r="V276" i="1" s="1"/>
  <c r="Z97" i="1"/>
  <c r="Z138" i="1"/>
  <c r="Z141" i="1" s="1"/>
  <c r="Z144" i="1" s="1"/>
  <c r="Z123" i="1"/>
  <c r="Z130" i="1"/>
  <c r="Z139" i="1"/>
  <c r="Z142" i="1" s="1"/>
  <c r="Z145" i="1" s="1"/>
  <c r="Y96" i="1"/>
  <c r="X94" i="1"/>
  <c r="AA100" i="1"/>
  <c r="AA99" i="1"/>
  <c r="AA125" i="1"/>
  <c r="AA126" i="1"/>
  <c r="AA127" i="1"/>
  <c r="AA133" i="1"/>
  <c r="AA134" i="1"/>
  <c r="AA135" i="1"/>
  <c r="AL73" i="1"/>
  <c r="AL276" i="1" s="1"/>
  <c r="AL265" i="1"/>
  <c r="AL79" i="1"/>
  <c r="AM71" i="1"/>
  <c r="AM72" i="1"/>
  <c r="CA86" i="1"/>
  <c r="BX69" i="1"/>
  <c r="AJ72" i="1"/>
  <c r="AJ71" i="1"/>
  <c r="X74" i="1"/>
  <c r="W73" i="1"/>
  <c r="W276" i="1" s="1"/>
  <c r="W265" i="1"/>
  <c r="W79" i="1"/>
  <c r="W83" i="1" s="1"/>
  <c r="W74" i="1"/>
  <c r="AL75" i="1"/>
  <c r="D72" i="1"/>
  <c r="D71" i="1"/>
  <c r="T281" i="1"/>
  <c r="P281" i="1"/>
  <c r="AK224" i="1"/>
  <c r="AK226" i="1" s="1"/>
  <c r="AK97" i="1"/>
  <c r="AK83" i="1"/>
  <c r="M281" i="1"/>
  <c r="R281" i="1"/>
  <c r="I281" i="1"/>
  <c r="K281" i="1"/>
  <c r="G281" i="1"/>
  <c r="H281" i="1"/>
  <c r="L281" i="1"/>
  <c r="S281" i="1"/>
  <c r="O281" i="1"/>
  <c r="J281" i="1"/>
  <c r="N281" i="1"/>
  <c r="U281" i="1"/>
  <c r="V281" i="1"/>
  <c r="Q281" i="1"/>
  <c r="R143" i="1"/>
  <c r="S61" i="1"/>
  <c r="T143" i="1"/>
  <c r="U61" i="1"/>
  <c r="U143" i="1"/>
  <c r="V61" i="1"/>
  <c r="P143" i="1"/>
  <c r="Q61" i="1"/>
  <c r="Q143" i="1"/>
  <c r="R61" i="1"/>
  <c r="I143" i="1"/>
  <c r="J61" i="1"/>
  <c r="S143" i="1"/>
  <c r="T61" i="1"/>
  <c r="H143" i="1"/>
  <c r="I61" i="1"/>
  <c r="E143" i="1"/>
  <c r="F61" i="1"/>
  <c r="L143" i="1"/>
  <c r="M61" i="1"/>
  <c r="O143" i="1"/>
  <c r="P61" i="1"/>
  <c r="N143" i="1"/>
  <c r="O61" i="1"/>
  <c r="K143" i="1"/>
  <c r="L61" i="1"/>
  <c r="F143" i="1"/>
  <c r="G61" i="1"/>
  <c r="G143" i="1"/>
  <c r="H61" i="1"/>
  <c r="M143" i="1"/>
  <c r="N61" i="1"/>
  <c r="J143" i="1"/>
  <c r="K61" i="1"/>
  <c r="CN234" i="1"/>
  <c r="CN232" i="1" s="1"/>
  <c r="CO165" i="1"/>
  <c r="CV108" i="1"/>
  <c r="AD233" i="1"/>
  <c r="AB173" i="1"/>
  <c r="AE168" i="1"/>
  <c r="AD168" i="1"/>
  <c r="CT94" i="1"/>
  <c r="AC94" i="1" s="1"/>
  <c r="AC96" i="1" s="1"/>
  <c r="CS96" i="1"/>
  <c r="C143" i="1"/>
  <c r="BY1" i="1"/>
  <c r="L60" i="1"/>
  <c r="N60" i="1"/>
  <c r="F60" i="1"/>
  <c r="O60" i="1"/>
  <c r="U65" i="1"/>
  <c r="U69" i="1" s="1"/>
  <c r="U18" i="1" s="1"/>
  <c r="U17" i="1" s="1"/>
  <c r="U60" i="1"/>
  <c r="G60" i="1"/>
  <c r="S60" i="1"/>
  <c r="M60" i="1"/>
  <c r="R60" i="1"/>
  <c r="J60" i="1"/>
  <c r="I60" i="1"/>
  <c r="P60" i="1"/>
  <c r="H60" i="1"/>
  <c r="K60" i="1"/>
  <c r="T60" i="1"/>
  <c r="Q60" i="1"/>
  <c r="T263" i="1"/>
  <c r="T264" i="1" s="1"/>
  <c r="Q263" i="1"/>
  <c r="Q264" i="1" s="1"/>
  <c r="K263" i="1"/>
  <c r="K264" i="1" s="1"/>
  <c r="O263" i="1"/>
  <c r="O264" i="1" s="1"/>
  <c r="U263" i="1"/>
  <c r="U264" i="1" s="1"/>
  <c r="L263" i="1"/>
  <c r="L264" i="1" s="1"/>
  <c r="C263" i="1"/>
  <c r="C264" i="1" s="1"/>
  <c r="I263" i="1"/>
  <c r="I264" i="1" s="1"/>
  <c r="G263" i="1"/>
  <c r="G264" i="1" s="1"/>
  <c r="R263" i="1"/>
  <c r="R264" i="1" s="1"/>
  <c r="P263" i="1"/>
  <c r="P264" i="1" s="1"/>
  <c r="F263" i="1"/>
  <c r="F264" i="1" s="1"/>
  <c r="M263" i="1"/>
  <c r="M264" i="1" s="1"/>
  <c r="N263" i="1"/>
  <c r="N264" i="1" s="1"/>
  <c r="E263" i="1"/>
  <c r="E264" i="1" s="1"/>
  <c r="S263" i="1"/>
  <c r="S264" i="1" s="1"/>
  <c r="J263" i="1"/>
  <c r="J264" i="1" s="1"/>
  <c r="H263" i="1"/>
  <c r="H264" i="1" s="1"/>
  <c r="B65" i="1"/>
  <c r="L65" i="1"/>
  <c r="Q65" i="1"/>
  <c r="T65" i="1"/>
  <c r="N65" i="1"/>
  <c r="S65" i="1"/>
  <c r="F65" i="1"/>
  <c r="K65" i="1"/>
  <c r="H65" i="1"/>
  <c r="I65" i="1"/>
  <c r="P65" i="1"/>
  <c r="C65" i="1"/>
  <c r="O65" i="1"/>
  <c r="R65" i="1"/>
  <c r="M65" i="1"/>
  <c r="G65" i="1"/>
  <c r="E65" i="1"/>
  <c r="J65" i="1"/>
  <c r="Z100" i="1" l="1"/>
  <c r="Z99" i="1"/>
  <c r="Z126" i="1"/>
  <c r="Z125" i="1"/>
  <c r="Z127" i="1"/>
  <c r="Z134" i="1"/>
  <c r="Z133" i="1"/>
  <c r="Z135" i="1"/>
  <c r="Y97" i="1"/>
  <c r="Y130" i="1"/>
  <c r="Y123" i="1"/>
  <c r="Y138" i="1"/>
  <c r="Y141" i="1" s="1"/>
  <c r="Y144" i="1" s="1"/>
  <c r="Y139" i="1"/>
  <c r="Y142" i="1" s="1"/>
  <c r="Y145" i="1" s="1"/>
  <c r="X96" i="1"/>
  <c r="W94" i="1"/>
  <c r="V94" i="1" s="1"/>
  <c r="U94" i="1" s="1"/>
  <c r="T94" i="1" s="1"/>
  <c r="S94" i="1" s="1"/>
  <c r="R94" i="1" s="1"/>
  <c r="Q94" i="1" s="1"/>
  <c r="P94" i="1" s="1"/>
  <c r="O94" i="1" s="1"/>
  <c r="N94" i="1" s="1"/>
  <c r="M94" i="1" s="1"/>
  <c r="L94" i="1" s="1"/>
  <c r="K94" i="1" s="1"/>
  <c r="J94" i="1" s="1"/>
  <c r="I94" i="1" s="1"/>
  <c r="H94" i="1" s="1"/>
  <c r="G94" i="1" s="1"/>
  <c r="F94" i="1" s="1"/>
  <c r="E94" i="1" s="1"/>
  <c r="AA117" i="1"/>
  <c r="AA116" i="1"/>
  <c r="AA118" i="1"/>
  <c r="BX18" i="1"/>
  <c r="BX17" i="1" s="1"/>
  <c r="BX72" i="1"/>
  <c r="BX71" i="1"/>
  <c r="AM73" i="1"/>
  <c r="AM276" i="1" s="1"/>
  <c r="AM265" i="1"/>
  <c r="AL224" i="1"/>
  <c r="AL226" i="1" s="1"/>
  <c r="AL97" i="1"/>
  <c r="AL83" i="1"/>
  <c r="AM75" i="1"/>
  <c r="D73" i="1"/>
  <c r="D265" i="1"/>
  <c r="D79" i="1"/>
  <c r="AJ79" i="1"/>
  <c r="AJ265" i="1"/>
  <c r="AJ73" i="1"/>
  <c r="AM258" i="1"/>
  <c r="AK75" i="1"/>
  <c r="AK238" i="1"/>
  <c r="AK236" i="1" s="1"/>
  <c r="AL238" i="1"/>
  <c r="AL236" i="1" s="1"/>
  <c r="BK195" i="1"/>
  <c r="BM195" i="1"/>
  <c r="CO169" i="1"/>
  <c r="CP63" i="1"/>
  <c r="CW108" i="1"/>
  <c r="AE171" i="1"/>
  <c r="AE233" i="1" s="1"/>
  <c r="CT96" i="1"/>
  <c r="CU94" i="1"/>
  <c r="BZ1" i="1"/>
  <c r="U72" i="1"/>
  <c r="V74" i="1" s="1"/>
  <c r="U71" i="1"/>
  <c r="P69" i="1"/>
  <c r="P72" i="1" s="1"/>
  <c r="R69" i="1"/>
  <c r="E69" i="1"/>
  <c r="S69" i="1"/>
  <c r="G69" i="1"/>
  <c r="G72" i="1" s="1"/>
  <c r="K69" i="1"/>
  <c r="K72" i="1" s="1"/>
  <c r="B69" i="1"/>
  <c r="O69" i="1"/>
  <c r="O72" i="1" s="1"/>
  <c r="H69" i="1"/>
  <c r="H72" i="1" s="1"/>
  <c r="N69" i="1"/>
  <c r="N72" i="1" s="1"/>
  <c r="L69" i="1"/>
  <c r="L71" i="1" s="1"/>
  <c r="C69" i="1"/>
  <c r="M69" i="1"/>
  <c r="M71" i="1" s="1"/>
  <c r="T69" i="1"/>
  <c r="F69" i="1"/>
  <c r="F71" i="1" s="1"/>
  <c r="J69" i="1"/>
  <c r="J71" i="1" s="1"/>
  <c r="I69" i="1"/>
  <c r="I71" i="1" s="1"/>
  <c r="Q69" i="1"/>
  <c r="V265" i="1"/>
  <c r="Z118" i="1" l="1"/>
  <c r="Z116" i="1"/>
  <c r="Z117" i="1"/>
  <c r="AA101" i="1"/>
  <c r="Y99" i="1"/>
  <c r="Y100" i="1"/>
  <c r="Y134" i="1"/>
  <c r="Y133" i="1"/>
  <c r="Y135" i="1"/>
  <c r="Y127" i="1"/>
  <c r="Y126" i="1"/>
  <c r="Y125" i="1"/>
  <c r="X97" i="1"/>
  <c r="X138" i="1"/>
  <c r="X141" i="1" s="1"/>
  <c r="X144" i="1" s="1"/>
  <c r="X139" i="1"/>
  <c r="X142" i="1" s="1"/>
  <c r="X145" i="1" s="1"/>
  <c r="X123" i="1"/>
  <c r="X130" i="1"/>
  <c r="AJ224" i="1"/>
  <c r="AJ226" i="1" s="1"/>
  <c r="AJ230" i="1" s="1"/>
  <c r="AJ244" i="1" s="1"/>
  <c r="AJ238" i="1"/>
  <c r="AJ236" i="1" s="1"/>
  <c r="AJ241" i="1" s="1"/>
  <c r="AJ242" i="1" s="1"/>
  <c r="AJ83" i="1"/>
  <c r="AJ97" i="1"/>
  <c r="D83" i="1"/>
  <c r="D224" i="1"/>
  <c r="D226" i="1" s="1"/>
  <c r="BX265" i="1"/>
  <c r="BX73" i="1"/>
  <c r="BX276" i="1" s="1"/>
  <c r="BX79" i="1"/>
  <c r="BY75" i="1"/>
  <c r="CB74" i="1"/>
  <c r="S71" i="1"/>
  <c r="S18" i="1"/>
  <c r="S17" i="1" s="1"/>
  <c r="R72" i="1"/>
  <c r="R265" i="1" s="1"/>
  <c r="R18" i="1"/>
  <c r="R17" i="1" s="1"/>
  <c r="T72" i="1"/>
  <c r="U74" i="1" s="1"/>
  <c r="T18" i="1"/>
  <c r="T17" i="1" s="1"/>
  <c r="Q72" i="1"/>
  <c r="Q74" i="1" s="1"/>
  <c r="Q18" i="1"/>
  <c r="Q17" i="1" s="1"/>
  <c r="O74" i="1"/>
  <c r="AB63" i="1"/>
  <c r="B72" i="1"/>
  <c r="B71" i="1"/>
  <c r="C72" i="1"/>
  <c r="C71" i="1"/>
  <c r="E72" i="1"/>
  <c r="E79" i="1" s="1"/>
  <c r="E71" i="1"/>
  <c r="P74" i="1"/>
  <c r="H74" i="1"/>
  <c r="BJ196" i="1"/>
  <c r="BJ197" i="1" s="1"/>
  <c r="BL196" i="1"/>
  <c r="BL197" i="1" s="1"/>
  <c r="CP225" i="1"/>
  <c r="CP163" i="1"/>
  <c r="CO234" i="1"/>
  <c r="CO232" i="1" s="1"/>
  <c r="CX108" i="1"/>
  <c r="CV94" i="1"/>
  <c r="CU96" i="1"/>
  <c r="CA1" i="1"/>
  <c r="CB1" i="1" s="1"/>
  <c r="O71" i="1"/>
  <c r="BL265" i="1"/>
  <c r="S72" i="1"/>
  <c r="U73" i="1"/>
  <c r="U276" i="1" s="1"/>
  <c r="P73" i="1"/>
  <c r="P276" i="1" s="1"/>
  <c r="L72" i="1"/>
  <c r="P71" i="1"/>
  <c r="H73" i="1"/>
  <c r="H276" i="1" s="1"/>
  <c r="G73" i="1"/>
  <c r="G276" i="1" s="1"/>
  <c r="U79" i="1"/>
  <c r="N73" i="1"/>
  <c r="N276" i="1" s="1"/>
  <c r="K73" i="1"/>
  <c r="K276" i="1" s="1"/>
  <c r="O79" i="1"/>
  <c r="O73" i="1"/>
  <c r="O276" i="1" s="1"/>
  <c r="R71" i="1"/>
  <c r="K71" i="1"/>
  <c r="N71" i="1"/>
  <c r="G71" i="1"/>
  <c r="H71" i="1"/>
  <c r="J72" i="1"/>
  <c r="K74" i="1" s="1"/>
  <c r="M72" i="1"/>
  <c r="N74" i="1" s="1"/>
  <c r="T71" i="1"/>
  <c r="F72" i="1"/>
  <c r="G74" i="1" s="1"/>
  <c r="I72" i="1"/>
  <c r="I74" i="1" s="1"/>
  <c r="O265" i="1"/>
  <c r="Q71" i="1"/>
  <c r="P265" i="1"/>
  <c r="P79" i="1"/>
  <c r="K265" i="1"/>
  <c r="K79" i="1"/>
  <c r="H265" i="1"/>
  <c r="H79" i="1"/>
  <c r="N79" i="1"/>
  <c r="G79" i="1"/>
  <c r="G265" i="1"/>
  <c r="N265" i="1"/>
  <c r="U265" i="1"/>
  <c r="V83" i="1"/>
  <c r="V224" i="1"/>
  <c r="V226" i="1" s="1"/>
  <c r="Y118" i="1" l="1"/>
  <c r="Y117" i="1"/>
  <c r="Y116" i="1"/>
  <c r="X99" i="1"/>
  <c r="X100" i="1"/>
  <c r="X127" i="1"/>
  <c r="X125" i="1"/>
  <c r="X126" i="1"/>
  <c r="X133" i="1"/>
  <c r="X134" i="1"/>
  <c r="X135" i="1"/>
  <c r="Z101" i="1"/>
  <c r="R73" i="1"/>
  <c r="R276" i="1" s="1"/>
  <c r="R79" i="1"/>
  <c r="T265" i="1"/>
  <c r="CA85" i="1"/>
  <c r="BX97" i="1"/>
  <c r="CA100" i="1" s="1"/>
  <c r="BX224" i="1"/>
  <c r="BX226" i="1" s="1"/>
  <c r="BX83" i="1"/>
  <c r="Q265" i="1"/>
  <c r="T73" i="1"/>
  <c r="T276" i="1" s="1"/>
  <c r="Q73" i="1"/>
  <c r="Q276" i="1" s="1"/>
  <c r="R74" i="1"/>
  <c r="T79" i="1"/>
  <c r="T83" i="1" s="1"/>
  <c r="Q79" i="1"/>
  <c r="Q224" i="1" s="1"/>
  <c r="Q226" i="1" s="1"/>
  <c r="E265" i="1"/>
  <c r="AB225" i="1"/>
  <c r="E73" i="1"/>
  <c r="E276" i="1" s="1"/>
  <c r="E74" i="1"/>
  <c r="D74" i="1"/>
  <c r="C73" i="1"/>
  <c r="B73" i="1"/>
  <c r="C74" i="1"/>
  <c r="F74" i="1"/>
  <c r="M74" i="1"/>
  <c r="S73" i="1"/>
  <c r="S276" i="1" s="1"/>
  <c r="T74" i="1"/>
  <c r="L74" i="1"/>
  <c r="J74" i="1"/>
  <c r="S74" i="1"/>
  <c r="I96" i="1"/>
  <c r="I130" i="1" s="1"/>
  <c r="Q96" i="1"/>
  <c r="Q130" i="1" s="1"/>
  <c r="U96" i="1"/>
  <c r="U130" i="1" s="1"/>
  <c r="F96" i="1"/>
  <c r="F130" i="1" s="1"/>
  <c r="R96" i="1"/>
  <c r="R130" i="1" s="1"/>
  <c r="J96" i="1"/>
  <c r="N96" i="1"/>
  <c r="N97" i="1" s="1"/>
  <c r="N100" i="1" s="1"/>
  <c r="T96" i="1"/>
  <c r="E96" i="1"/>
  <c r="E130" i="1" s="1"/>
  <c r="H96" i="1"/>
  <c r="H130" i="1" s="1"/>
  <c r="S96" i="1"/>
  <c r="V96" i="1"/>
  <c r="V130" i="1" s="1"/>
  <c r="P96" i="1"/>
  <c r="G96" i="1"/>
  <c r="G97" i="1" s="1"/>
  <c r="G100" i="1" s="1"/>
  <c r="L96" i="1"/>
  <c r="K96" i="1"/>
  <c r="AB163" i="1"/>
  <c r="AB165" i="1" s="1"/>
  <c r="AB64" i="1" s="1"/>
  <c r="CP165" i="1"/>
  <c r="AD108" i="1"/>
  <c r="CY108" i="1"/>
  <c r="CV96" i="1"/>
  <c r="CW94" i="1"/>
  <c r="CC1" i="1"/>
  <c r="K83" i="1"/>
  <c r="G83" i="1"/>
  <c r="E83" i="1"/>
  <c r="S79" i="1"/>
  <c r="S265" i="1"/>
  <c r="L265" i="1"/>
  <c r="L79" i="1"/>
  <c r="O224" i="1"/>
  <c r="O226" i="1" s="1"/>
  <c r="O83" i="1"/>
  <c r="B265" i="1"/>
  <c r="B79" i="1"/>
  <c r="M79" i="1"/>
  <c r="M73" i="1"/>
  <c r="M276" i="1" s="1"/>
  <c r="C265" i="1"/>
  <c r="I79" i="1"/>
  <c r="I73" i="1"/>
  <c r="I276" i="1" s="1"/>
  <c r="J79" i="1"/>
  <c r="J73" i="1"/>
  <c r="J276" i="1" s="1"/>
  <c r="F79" i="1"/>
  <c r="F73" i="1"/>
  <c r="F276" i="1" s="1"/>
  <c r="L73" i="1"/>
  <c r="L276" i="1" s="1"/>
  <c r="J265" i="1"/>
  <c r="E224" i="1"/>
  <c r="E226" i="1" s="1"/>
  <c r="M265" i="1"/>
  <c r="I265" i="1"/>
  <c r="H83" i="1"/>
  <c r="H224" i="1"/>
  <c r="H226" i="1" s="1"/>
  <c r="F265" i="1"/>
  <c r="C79" i="1"/>
  <c r="N224" i="1"/>
  <c r="N226" i="1" s="1"/>
  <c r="N83" i="1"/>
  <c r="G224" i="1"/>
  <c r="G226" i="1" s="1"/>
  <c r="P83" i="1"/>
  <c r="K224" i="1"/>
  <c r="K226" i="1" s="1"/>
  <c r="P224" i="1"/>
  <c r="P226" i="1" s="1"/>
  <c r="U83" i="1"/>
  <c r="U224" i="1"/>
  <c r="U226" i="1" s="1"/>
  <c r="R224" i="1" l="1"/>
  <c r="R226" i="1" s="1"/>
  <c r="X117" i="1"/>
  <c r="X116" i="1"/>
  <c r="X118" i="1"/>
  <c r="Y101" i="1"/>
  <c r="R83" i="1"/>
  <c r="CE101" i="1"/>
  <c r="CA118" i="1"/>
  <c r="CA117" i="1"/>
  <c r="CD121" i="1" s="1"/>
  <c r="CA116" i="1"/>
  <c r="BW120" i="1"/>
  <c r="Q83" i="1"/>
  <c r="T224" i="1"/>
  <c r="T226" i="1" s="1"/>
  <c r="R97" i="1"/>
  <c r="R100" i="1" s="1"/>
  <c r="K130" i="1"/>
  <c r="L130" i="1"/>
  <c r="T130" i="1"/>
  <c r="P130" i="1"/>
  <c r="G130" i="1"/>
  <c r="S130" i="1"/>
  <c r="J130" i="1"/>
  <c r="N130" i="1"/>
  <c r="H97" i="1"/>
  <c r="U97" i="1"/>
  <c r="U100" i="1" s="1"/>
  <c r="V97" i="1"/>
  <c r="E97" i="1"/>
  <c r="Q97" i="1"/>
  <c r="T97" i="1"/>
  <c r="T100" i="1" s="1"/>
  <c r="M96" i="1"/>
  <c r="M97" i="1" s="1"/>
  <c r="M100" i="1" s="1"/>
  <c r="O96" i="1"/>
  <c r="O130" i="1" s="1"/>
  <c r="W96" i="1"/>
  <c r="W130" i="1" s="1"/>
  <c r="K97" i="1"/>
  <c r="P97" i="1"/>
  <c r="P100" i="1" s="1"/>
  <c r="CP169" i="1"/>
  <c r="CP234" i="1" s="1"/>
  <c r="CP232" i="1" s="1"/>
  <c r="CQ63" i="1"/>
  <c r="CZ108" i="1"/>
  <c r="AC173" i="1"/>
  <c r="CX94" i="1"/>
  <c r="AD94" i="1" s="1"/>
  <c r="AD96" i="1" s="1"/>
  <c r="CW96" i="1"/>
  <c r="CD1" i="1"/>
  <c r="CE1" i="1" s="1"/>
  <c r="CF1" i="1" s="1"/>
  <c r="CG1" i="1" s="1"/>
  <c r="CH1" i="1" s="1"/>
  <c r="CI1" i="1" s="1"/>
  <c r="CJ1" i="1" s="1"/>
  <c r="CK1" i="1" s="1"/>
  <c r="L224" i="1"/>
  <c r="L226" i="1" s="1"/>
  <c r="J224" i="1"/>
  <c r="J226" i="1" s="1"/>
  <c r="J97" i="1"/>
  <c r="J100" i="1" s="1"/>
  <c r="M224" i="1"/>
  <c r="M226" i="1" s="1"/>
  <c r="B83" i="1"/>
  <c r="F83" i="1"/>
  <c r="F97" i="1"/>
  <c r="F100" i="1" s="1"/>
  <c r="I83" i="1"/>
  <c r="I97" i="1"/>
  <c r="C83" i="1"/>
  <c r="L83" i="1"/>
  <c r="L97" i="1"/>
  <c r="S97" i="1"/>
  <c r="S83" i="1"/>
  <c r="J83" i="1"/>
  <c r="S224" i="1"/>
  <c r="S226" i="1" s="1"/>
  <c r="M83" i="1"/>
  <c r="I224" i="1"/>
  <c r="I226" i="1" s="1"/>
  <c r="F224" i="1"/>
  <c r="F226" i="1" s="1"/>
  <c r="C224" i="1"/>
  <c r="C226" i="1" s="1"/>
  <c r="K56" i="2"/>
  <c r="S91" i="2"/>
  <c r="T113" i="2"/>
  <c r="H48" i="2"/>
  <c r="L92" i="2"/>
  <c r="P97" i="2"/>
  <c r="L43" i="2"/>
  <c r="I96" i="2"/>
  <c r="H50" i="2"/>
  <c r="O46" i="2"/>
  <c r="F44" i="2"/>
  <c r="C54" i="2"/>
  <c r="E74" i="2"/>
  <c r="V59" i="2"/>
  <c r="J45" i="2"/>
  <c r="M111" i="2"/>
  <c r="AB79" i="3"/>
  <c r="U21" i="3"/>
  <c r="W50" i="2"/>
  <c r="F73" i="2"/>
  <c r="M96" i="2"/>
  <c r="O89" i="2"/>
  <c r="D92" i="2"/>
  <c r="W84" i="2"/>
  <c r="P106" i="2"/>
  <c r="L71" i="2"/>
  <c r="E66" i="2"/>
  <c r="N73" i="2"/>
  <c r="H96" i="2"/>
  <c r="P89" i="2"/>
  <c r="M74" i="2"/>
  <c r="G85" i="2"/>
  <c r="R99" i="2"/>
  <c r="D42" i="2"/>
  <c r="AP95" i="3"/>
  <c r="I57" i="2"/>
  <c r="S82" i="2"/>
  <c r="I48" i="2"/>
  <c r="D48" i="2"/>
  <c r="E49" i="2"/>
  <c r="V78" i="2"/>
  <c r="W72" i="2"/>
  <c r="S55" i="2"/>
  <c r="J54" i="2"/>
  <c r="X71" i="2"/>
  <c r="R46" i="2"/>
  <c r="I41" i="2"/>
  <c r="P79" i="2"/>
  <c r="J52" i="2"/>
  <c r="R57" i="2"/>
  <c r="D97" i="2"/>
  <c r="D84" i="2"/>
  <c r="U73" i="2"/>
  <c r="N111" i="2"/>
  <c r="V66" i="2"/>
  <c r="I111" i="2"/>
  <c r="K107" i="2"/>
  <c r="T55" i="2"/>
  <c r="V96" i="2"/>
  <c r="D83" i="2"/>
  <c r="W71" i="2"/>
  <c r="W47" i="2"/>
  <c r="K60" i="2"/>
  <c r="T107" i="2"/>
  <c r="W55" i="2"/>
  <c r="D46" i="2"/>
  <c r="K81" i="2"/>
  <c r="C77" i="2"/>
  <c r="G80" i="2"/>
  <c r="F66" i="2"/>
  <c r="K64" i="2"/>
  <c r="AB80" i="3"/>
  <c r="O22" i="3"/>
  <c r="M34" i="3"/>
  <c r="AO20" i="3"/>
  <c r="AI9" i="3"/>
  <c r="O18" i="3"/>
  <c r="AO11" i="3"/>
  <c r="AL42" i="3"/>
  <c r="AL8" i="3"/>
  <c r="V60" i="2"/>
  <c r="E53" i="2"/>
  <c r="K93" i="2"/>
  <c r="C85" i="2"/>
  <c r="V43" i="2"/>
  <c r="W77" i="2"/>
  <c r="Q95" i="2"/>
  <c r="M69" i="2"/>
  <c r="C45" i="2"/>
  <c r="E108" i="2"/>
  <c r="F54" i="2"/>
  <c r="D82" i="2"/>
  <c r="V53" i="2"/>
  <c r="K41" i="2"/>
  <c r="N98" i="2"/>
  <c r="AP56" i="3"/>
  <c r="Z30" i="3"/>
  <c r="AO15" i="3"/>
  <c r="W18" i="3"/>
  <c r="AM14" i="3"/>
  <c r="AC13" i="3"/>
  <c r="I25" i="3"/>
  <c r="AH10" i="3"/>
  <c r="G39" i="3"/>
  <c r="AO30" i="3"/>
  <c r="O48" i="2"/>
  <c r="R44" i="2"/>
  <c r="W63" i="2"/>
  <c r="S104" i="2"/>
  <c r="R79" i="2"/>
  <c r="F87" i="2"/>
  <c r="E58" i="2"/>
  <c r="U47" i="2"/>
  <c r="S49" i="2"/>
  <c r="D87" i="2"/>
  <c r="T83" i="2"/>
  <c r="N113" i="2"/>
  <c r="M51" i="2"/>
  <c r="D68" i="2"/>
  <c r="O50" i="2"/>
  <c r="AB58" i="3"/>
  <c r="U44" i="2"/>
  <c r="P66" i="2"/>
  <c r="J46" i="2"/>
  <c r="V72" i="2"/>
  <c r="L48" i="2"/>
  <c r="T66" i="2"/>
  <c r="R87" i="2"/>
  <c r="O90" i="2"/>
  <c r="R112" i="2"/>
  <c r="N108" i="2"/>
  <c r="J111" i="2"/>
  <c r="L99" i="2"/>
  <c r="P60" i="2"/>
  <c r="W104" i="2"/>
  <c r="X81" i="2"/>
  <c r="I98" i="2"/>
  <c r="U72" i="2"/>
  <c r="E86" i="2"/>
  <c r="I104" i="2"/>
  <c r="O78" i="2"/>
  <c r="J82" i="2"/>
  <c r="N72" i="2"/>
  <c r="N90" i="2"/>
  <c r="U63" i="2"/>
  <c r="R113" i="2"/>
  <c r="O60" i="2"/>
  <c r="D60" i="2"/>
  <c r="I81" i="2"/>
  <c r="H88" i="2"/>
  <c r="S66" i="2"/>
  <c r="P84" i="2"/>
  <c r="C81" i="2"/>
  <c r="P46" i="2"/>
  <c r="I80" i="2"/>
  <c r="L84" i="2"/>
  <c r="X73" i="2"/>
  <c r="K76" i="2"/>
  <c r="G96" i="2"/>
  <c r="F71" i="2"/>
  <c r="H70" i="2"/>
  <c r="F72" i="2"/>
  <c r="S84" i="2"/>
  <c r="T40" i="2"/>
  <c r="N43" i="2"/>
  <c r="E113" i="2"/>
  <c r="M59" i="2"/>
  <c r="C37" i="3"/>
  <c r="Z15" i="3"/>
  <c r="AN12" i="3"/>
  <c r="Q26" i="3"/>
  <c r="AC7" i="3"/>
  <c r="K15" i="3"/>
  <c r="AJ13" i="3"/>
  <c r="AM23" i="3"/>
  <c r="R51" i="2"/>
  <c r="G105" i="2"/>
  <c r="F45" i="2"/>
  <c r="AB59" i="3"/>
  <c r="AL20" i="3"/>
  <c r="N40" i="3"/>
  <c r="M23" i="3"/>
  <c r="AH11" i="3"/>
  <c r="Q5" i="3"/>
  <c r="M62" i="2"/>
  <c r="I47" i="2"/>
  <c r="J85" i="2"/>
  <c r="K83" i="2"/>
  <c r="X62" i="2"/>
  <c r="C62" i="2"/>
  <c r="D43" i="2"/>
  <c r="V83" i="2"/>
  <c r="P32" i="3"/>
  <c r="G41" i="3"/>
  <c r="AP30" i="3"/>
  <c r="O42" i="3"/>
  <c r="AA21" i="3"/>
  <c r="R42" i="3"/>
  <c r="AI27" i="3"/>
  <c r="Z40" i="3"/>
  <c r="AA16" i="3"/>
  <c r="AG33" i="3"/>
  <c r="N11" i="3"/>
  <c r="S20" i="3"/>
  <c r="T13" i="3"/>
  <c r="X6" i="3"/>
  <c r="H84" i="2"/>
  <c r="U109" i="2"/>
  <c r="X87" i="2"/>
  <c r="S95" i="2"/>
  <c r="AP69" i="3"/>
  <c r="AK12" i="3"/>
  <c r="AI21" i="3"/>
  <c r="H19" i="3"/>
  <c r="AE42" i="3"/>
  <c r="H25" i="3"/>
  <c r="AG36" i="3"/>
  <c r="AO9" i="3"/>
  <c r="L17" i="3"/>
  <c r="AK40" i="3"/>
  <c r="AJ42" i="3"/>
  <c r="G34" i="3"/>
  <c r="T6" i="3"/>
  <c r="F99" i="2"/>
  <c r="U83" i="2"/>
  <c r="U59" i="2"/>
  <c r="J95" i="2"/>
  <c r="AP82" i="3"/>
  <c r="V8" i="3"/>
  <c r="T33" i="3"/>
  <c r="AC36" i="3"/>
  <c r="AQ32" i="3"/>
  <c r="U22" i="3"/>
  <c r="AP17" i="3"/>
  <c r="AD40" i="3"/>
  <c r="AP20" i="3"/>
  <c r="O36" i="3"/>
  <c r="C10" i="3"/>
  <c r="V10" i="3"/>
  <c r="AK16" i="3"/>
  <c r="H22" i="3"/>
  <c r="V20" i="3"/>
  <c r="W40" i="2"/>
  <c r="F91" i="2"/>
  <c r="W64" i="2"/>
  <c r="S98" i="2"/>
  <c r="V16" i="3"/>
  <c r="X7" i="3"/>
  <c r="I39" i="3"/>
  <c r="R40" i="3"/>
  <c r="AO34" i="3"/>
  <c r="AM20" i="3"/>
  <c r="AO38" i="3"/>
  <c r="AH28" i="3"/>
  <c r="I12" i="3"/>
  <c r="K12" i="3"/>
  <c r="AO19" i="3"/>
  <c r="Y41" i="3"/>
  <c r="D110" i="2"/>
  <c r="G41" i="2"/>
  <c r="T98" i="2"/>
  <c r="N96" i="2"/>
  <c r="C48" i="2"/>
  <c r="X64" i="2"/>
  <c r="H105" i="2"/>
  <c r="O42" i="2"/>
  <c r="V86" i="2"/>
  <c r="N80" i="2"/>
  <c r="K66" i="2"/>
  <c r="C86" i="2"/>
  <c r="E72" i="2"/>
  <c r="U93" i="2"/>
  <c r="F85" i="2"/>
  <c r="H45" i="2"/>
  <c r="O62" i="2"/>
  <c r="AB75" i="3"/>
  <c r="O23" i="3"/>
  <c r="T59" i="2"/>
  <c r="J66" i="2"/>
  <c r="F110" i="2"/>
  <c r="F63" i="2"/>
  <c r="L70" i="2"/>
  <c r="O43" i="2"/>
  <c r="T54" i="2"/>
  <c r="P80" i="2"/>
  <c r="P40" i="2"/>
  <c r="M98" i="2"/>
  <c r="I46" i="2"/>
  <c r="D77" i="2"/>
  <c r="O111" i="2"/>
  <c r="E73" i="2"/>
  <c r="L46" i="2"/>
  <c r="C91" i="2"/>
  <c r="AB67" i="3"/>
  <c r="O69" i="2"/>
  <c r="N68" i="2"/>
  <c r="W65" i="2"/>
  <c r="G113" i="2"/>
  <c r="F83" i="2"/>
  <c r="L59" i="2"/>
  <c r="R108" i="2"/>
  <c r="L89" i="2"/>
  <c r="V42" i="2"/>
  <c r="T92" i="2"/>
  <c r="S57" i="2"/>
  <c r="L88" i="2"/>
  <c r="S60" i="2"/>
  <c r="I92" i="2"/>
  <c r="P72" i="2"/>
  <c r="M44" i="2"/>
  <c r="C43" i="2"/>
  <c r="S48" i="2"/>
  <c r="T47" i="2"/>
  <c r="K68" i="2"/>
  <c r="M106" i="2"/>
  <c r="H91" i="2"/>
  <c r="C94" i="2"/>
  <c r="O76" i="2"/>
  <c r="D98" i="2"/>
  <c r="M54" i="2"/>
  <c r="C98" i="2"/>
  <c r="V113" i="2"/>
  <c r="W109" i="2"/>
  <c r="H72" i="2"/>
  <c r="M112" i="2"/>
  <c r="F107" i="2"/>
  <c r="M75" i="2"/>
  <c r="M63" i="2"/>
  <c r="P74" i="2"/>
  <c r="H59" i="2"/>
  <c r="AB93" i="3"/>
  <c r="AC18" i="3"/>
  <c r="C7" i="3"/>
  <c r="Q35" i="3"/>
  <c r="X15" i="3"/>
  <c r="AH7" i="3"/>
  <c r="L23" i="3"/>
  <c r="AJ11" i="3"/>
  <c r="AK13" i="3"/>
  <c r="E75" i="2"/>
  <c r="T44" i="2"/>
  <c r="S51" i="2"/>
  <c r="Q109" i="2"/>
  <c r="Q67" i="2"/>
  <c r="F52" i="2"/>
  <c r="D105" i="2"/>
  <c r="G112" i="2"/>
  <c r="E55" i="2"/>
  <c r="S45" i="2"/>
  <c r="E105" i="2"/>
  <c r="O64" i="2"/>
  <c r="H80" i="2"/>
  <c r="R68" i="2"/>
  <c r="G51" i="2"/>
  <c r="AP86" i="3"/>
  <c r="AL33" i="3"/>
  <c r="Z8" i="3"/>
  <c r="AP13" i="3"/>
  <c r="K35" i="3"/>
  <c r="G32" i="3"/>
  <c r="M31" i="3"/>
  <c r="O19" i="3"/>
  <c r="K18" i="3"/>
  <c r="P24" i="3"/>
  <c r="N51" i="2"/>
  <c r="T64" i="2"/>
  <c r="D70" i="2"/>
  <c r="T67" i="2"/>
  <c r="T99" i="2"/>
  <c r="G48" i="2"/>
  <c r="R91" i="2"/>
  <c r="E92" i="2"/>
  <c r="H111" i="2"/>
  <c r="S71" i="2"/>
  <c r="E50" i="2"/>
  <c r="I45" i="2"/>
  <c r="K78" i="2"/>
  <c r="R104" i="2"/>
  <c r="J67" i="2"/>
  <c r="E82" i="2"/>
  <c r="P76" i="2"/>
  <c r="N45" i="2"/>
  <c r="T97" i="2"/>
  <c r="M92" i="2"/>
  <c r="S43" i="2"/>
  <c r="P70" i="2"/>
  <c r="T94" i="2"/>
  <c r="W42" i="2"/>
  <c r="I86" i="2"/>
  <c r="L79" i="2"/>
  <c r="E93" i="2"/>
  <c r="T56" i="2"/>
  <c r="Q86" i="2"/>
  <c r="G86" i="2"/>
  <c r="P45" i="2"/>
  <c r="H60" i="2"/>
  <c r="W108" i="2"/>
  <c r="O74" i="2"/>
  <c r="T43" i="2"/>
  <c r="C96" i="2"/>
  <c r="Q76" i="2"/>
  <c r="C69" i="2"/>
  <c r="E85" i="2"/>
  <c r="E71" i="2"/>
  <c r="R83" i="2"/>
  <c r="X76" i="2"/>
  <c r="L64" i="2"/>
  <c r="W45" i="2"/>
  <c r="T74" i="2"/>
  <c r="K63" i="2"/>
  <c r="U104" i="2"/>
  <c r="N64" i="2"/>
  <c r="P68" i="2"/>
  <c r="W48" i="2"/>
  <c r="E46" i="2"/>
  <c r="N88" i="2"/>
  <c r="J50" i="2"/>
  <c r="J65" i="2"/>
  <c r="C72" i="2"/>
  <c r="Q68" i="2"/>
  <c r="E67" i="2"/>
  <c r="L62" i="2"/>
  <c r="K95" i="2"/>
  <c r="F61" i="2"/>
  <c r="Q50" i="2"/>
  <c r="V95" i="2"/>
  <c r="C23" i="3"/>
  <c r="AA9" i="3"/>
  <c r="AM41" i="3"/>
  <c r="AI10" i="3"/>
  <c r="S30" i="3"/>
  <c r="AL15" i="3"/>
  <c r="M5" i="3"/>
  <c r="O84" i="2"/>
  <c r="M89" i="2"/>
  <c r="X107" i="2"/>
  <c r="J60" i="2"/>
  <c r="AP55" i="3"/>
  <c r="R25" i="3"/>
  <c r="K29" i="3"/>
  <c r="Y25" i="3"/>
  <c r="Y19" i="3"/>
  <c r="AP15" i="3"/>
  <c r="D85" i="2"/>
  <c r="U50" i="2"/>
  <c r="V82" i="2"/>
  <c r="G70" i="2"/>
  <c r="N105" i="2"/>
  <c r="U61" i="2"/>
  <c r="D40" i="2"/>
  <c r="M47" i="2"/>
  <c r="M35" i="3"/>
  <c r="AA34" i="3"/>
  <c r="V41" i="3"/>
  <c r="O8" i="3"/>
  <c r="AE18" i="3"/>
  <c r="AA32" i="3"/>
  <c r="AE41" i="3"/>
  <c r="AL13" i="3"/>
  <c r="AE37" i="3"/>
  <c r="P7" i="3"/>
  <c r="AC10" i="3"/>
  <c r="O13" i="3"/>
  <c r="AQ11" i="3"/>
  <c r="J19" i="3"/>
  <c r="Q74" i="2"/>
  <c r="L56" i="2"/>
  <c r="C40" i="2"/>
  <c r="F82" i="2"/>
  <c r="I22" i="3"/>
  <c r="W37" i="3"/>
  <c r="I26" i="3"/>
  <c r="M22" i="3"/>
  <c r="I41" i="3"/>
  <c r="AP31" i="3"/>
  <c r="AE20" i="3"/>
  <c r="M8" i="3"/>
  <c r="Z21" i="3"/>
  <c r="M42" i="3"/>
  <c r="D48" i="3"/>
  <c r="AE40" i="3"/>
  <c r="Q39" i="3"/>
  <c r="L112" i="2"/>
  <c r="Q94" i="2"/>
  <c r="H42" i="2"/>
  <c r="N55" i="2"/>
  <c r="AB86" i="3"/>
  <c r="P5" i="3"/>
  <c r="Q33" i="3"/>
  <c r="G35" i="3"/>
  <c r="J62" i="2"/>
  <c r="L63" i="2"/>
  <c r="L87" i="2"/>
  <c r="N93" i="2"/>
  <c r="I52" i="2"/>
  <c r="O71" i="2"/>
  <c r="C76" i="2"/>
  <c r="I84" i="2"/>
  <c r="O72" i="2"/>
  <c r="E111" i="2"/>
  <c r="U95" i="2"/>
  <c r="O93" i="2"/>
  <c r="E40" i="2"/>
  <c r="U86" i="2"/>
  <c r="G79" i="2"/>
  <c r="F67" i="2"/>
  <c r="AB82" i="3"/>
  <c r="W28" i="3"/>
  <c r="G111" i="2"/>
  <c r="R41" i="2"/>
  <c r="V64" i="2"/>
  <c r="O94" i="2"/>
  <c r="R92" i="2"/>
  <c r="M61" i="2"/>
  <c r="P75" i="2"/>
  <c r="N89" i="2"/>
  <c r="I50" i="2"/>
  <c r="S50" i="2"/>
  <c r="X58" i="2"/>
  <c r="E44" i="2"/>
  <c r="O97" i="2"/>
  <c r="D106" i="2"/>
  <c r="C79" i="2"/>
  <c r="E42" i="2"/>
  <c r="H83" i="2"/>
  <c r="P96" i="2"/>
  <c r="M55" i="2"/>
  <c r="M80" i="2"/>
  <c r="F96" i="2"/>
  <c r="I109" i="2"/>
  <c r="N48" i="2"/>
  <c r="W81" i="2"/>
  <c r="R75" i="2"/>
  <c r="F55" i="2"/>
  <c r="D93" i="2"/>
  <c r="Q108" i="2"/>
  <c r="P109" i="2"/>
  <c r="O40" i="2"/>
  <c r="O57" i="2"/>
  <c r="D81" i="2"/>
  <c r="X47" i="2"/>
  <c r="M60" i="2"/>
  <c r="G93" i="2"/>
  <c r="O51" i="2"/>
  <c r="N86" i="2"/>
  <c r="I89" i="2"/>
  <c r="U79" i="2"/>
  <c r="D111" i="2"/>
  <c r="X49" i="2"/>
  <c r="P67" i="2"/>
  <c r="K80" i="2"/>
  <c r="X46" i="2"/>
  <c r="N76" i="2"/>
  <c r="K109" i="2"/>
  <c r="V76" i="2"/>
  <c r="C82" i="2"/>
  <c r="M83" i="2"/>
  <c r="D59" i="2"/>
  <c r="T112" i="2"/>
  <c r="U70" i="2"/>
  <c r="D107" i="2"/>
  <c r="AP65" i="3"/>
  <c r="AK5" i="3"/>
  <c r="AH13" i="3"/>
  <c r="AI30" i="3"/>
  <c r="AP40" i="3"/>
  <c r="Y38" i="3"/>
  <c r="N36" i="3"/>
  <c r="L18" i="3"/>
  <c r="K113" i="2"/>
  <c r="G72" i="2"/>
  <c r="G46" i="2"/>
  <c r="Q40" i="2"/>
  <c r="H82" i="2"/>
  <c r="D57" i="2"/>
  <c r="Q77" i="2"/>
  <c r="K99" i="2"/>
  <c r="V90" i="2"/>
  <c r="L58" i="2"/>
  <c r="J74" i="2"/>
  <c r="L104" i="2"/>
  <c r="X61" i="2"/>
  <c r="T93" i="2"/>
  <c r="T49" i="2"/>
  <c r="N61" i="2"/>
  <c r="AB90" i="3"/>
  <c r="O39" i="3"/>
  <c r="O28" i="3"/>
  <c r="AE14" i="3"/>
  <c r="AC42" i="3"/>
  <c r="N20" i="3"/>
  <c r="C42" i="3"/>
  <c r="AO10" i="3"/>
  <c r="O27" i="3"/>
  <c r="H107" i="2"/>
  <c r="J109" i="2"/>
  <c r="T77" i="2"/>
  <c r="R78" i="2"/>
  <c r="M105" i="2"/>
  <c r="G81" i="2"/>
  <c r="O83" i="2"/>
  <c r="E41" i="2"/>
  <c r="K42" i="2"/>
  <c r="U94" i="2"/>
  <c r="V99" i="2"/>
  <c r="R76" i="2"/>
  <c r="X48" i="2"/>
  <c r="Q98" i="2"/>
  <c r="E112" i="2"/>
  <c r="U65" i="2"/>
  <c r="O113" i="2"/>
  <c r="U99" i="2"/>
  <c r="C41" i="2"/>
  <c r="I85" i="2"/>
  <c r="K108" i="2"/>
  <c r="U53" i="2"/>
  <c r="S79" i="2"/>
  <c r="F49" i="2"/>
  <c r="X96" i="2"/>
  <c r="S97" i="2"/>
  <c r="O110" i="2"/>
  <c r="M43" i="2"/>
  <c r="T71" i="2"/>
  <c r="K46" i="2"/>
  <c r="T58" i="2"/>
  <c r="P50" i="2"/>
  <c r="J61" i="2"/>
  <c r="W93" i="2"/>
  <c r="P63" i="2"/>
  <c r="C58" i="2"/>
  <c r="I113" i="2"/>
  <c r="U81" i="2"/>
  <c r="T80" i="2"/>
  <c r="R74" i="2"/>
  <c r="F51" i="2"/>
  <c r="J73" i="2"/>
  <c r="U89" i="2"/>
  <c r="U106" i="2"/>
  <c r="D67" i="2"/>
  <c r="X78" i="2"/>
  <c r="E77" i="2"/>
  <c r="L86" i="2"/>
  <c r="I78" i="2"/>
  <c r="I106" i="2"/>
  <c r="U57" i="2"/>
  <c r="M93" i="2"/>
  <c r="T84" i="2"/>
  <c r="V74" i="2"/>
  <c r="I83" i="2"/>
  <c r="C71" i="2"/>
  <c r="H95" i="2"/>
  <c r="F109" i="2"/>
  <c r="F68" i="2"/>
  <c r="D79" i="2"/>
  <c r="V47" i="2"/>
  <c r="D75" i="2"/>
  <c r="AB57" i="3"/>
  <c r="AP25" i="3"/>
  <c r="AI11" i="3"/>
  <c r="W12" i="3"/>
  <c r="AM5" i="3"/>
  <c r="AG21" i="3"/>
  <c r="E50" i="3"/>
  <c r="AI36" i="3"/>
  <c r="K49" i="2"/>
  <c r="M94" i="2"/>
  <c r="Q61" i="2"/>
  <c r="K77" i="2"/>
  <c r="AP58" i="3"/>
  <c r="AH21" i="3"/>
  <c r="X24" i="3"/>
  <c r="L5" i="3"/>
  <c r="T41" i="3"/>
  <c r="AJ36" i="3"/>
  <c r="M82" i="2"/>
  <c r="O45" i="2"/>
  <c r="K65" i="2"/>
  <c r="Q51" i="2"/>
  <c r="I61" i="2"/>
  <c r="E107" i="2"/>
  <c r="E97" i="2"/>
  <c r="AP68" i="3"/>
  <c r="AJ17" i="3"/>
  <c r="E47" i="3"/>
  <c r="AP23" i="3"/>
  <c r="AK24" i="3"/>
  <c r="C30" i="3"/>
  <c r="Z37" i="3"/>
  <c r="X21" i="3"/>
  <c r="S26" i="3"/>
  <c r="T20" i="3"/>
  <c r="J39" i="3"/>
  <c r="AB40" i="3"/>
  <c r="H12" i="3"/>
  <c r="AA37" i="3"/>
  <c r="S37" i="3"/>
  <c r="W83" i="2"/>
  <c r="D71" i="2"/>
  <c r="I51" i="2"/>
  <c r="L97" i="2"/>
  <c r="AJ38" i="3"/>
  <c r="AB41" i="3"/>
  <c r="L8" i="3"/>
  <c r="I13" i="3"/>
  <c r="V25" i="3"/>
  <c r="I21" i="3"/>
  <c r="S21" i="3"/>
  <c r="U25" i="3"/>
  <c r="AQ26" i="3"/>
  <c r="X37" i="3"/>
  <c r="N17" i="3"/>
  <c r="P113" i="2"/>
  <c r="C70" i="2"/>
  <c r="E76" i="2"/>
  <c r="M50" i="2"/>
  <c r="S70" i="2"/>
  <c r="E65" i="2"/>
  <c r="R88" i="2"/>
  <c r="C64" i="2"/>
  <c r="J99" i="2"/>
  <c r="I97" i="2"/>
  <c r="P44" i="2"/>
  <c r="O112" i="2"/>
  <c r="S52" i="2"/>
  <c r="L106" i="2"/>
  <c r="U107" i="2"/>
  <c r="H55" i="2"/>
  <c r="AP50" i="3"/>
  <c r="O29" i="3"/>
  <c r="G75" i="2"/>
  <c r="N85" i="2"/>
  <c r="K97" i="2"/>
  <c r="I65" i="2"/>
  <c r="S61" i="2"/>
  <c r="X60" i="2"/>
  <c r="N41" i="2"/>
  <c r="M77" i="2"/>
  <c r="M52" i="2"/>
  <c r="H98" i="2"/>
  <c r="H92" i="2"/>
  <c r="T60" i="2"/>
  <c r="Q111" i="2"/>
  <c r="J88" i="2"/>
  <c r="K106" i="2"/>
  <c r="AB89" i="3"/>
  <c r="U52" i="2"/>
  <c r="G108" i="2"/>
  <c r="L107" i="2"/>
  <c r="V87" i="2"/>
  <c r="X57" i="2"/>
  <c r="X40" i="2"/>
  <c r="N59" i="2"/>
  <c r="D44" i="2"/>
  <c r="Q48" i="2"/>
  <c r="L54" i="2"/>
  <c r="V85" i="2"/>
  <c r="R53" i="2"/>
  <c r="N65" i="2"/>
  <c r="G44" i="2"/>
  <c r="E43" i="2"/>
  <c r="S46" i="2"/>
  <c r="U45" i="2"/>
  <c r="T79" i="2"/>
  <c r="L53" i="2"/>
  <c r="C105" i="2"/>
  <c r="P53" i="2"/>
  <c r="O56" i="2"/>
  <c r="G40" i="2"/>
  <c r="S40" i="2"/>
  <c r="G58" i="2"/>
  <c r="E61" i="2"/>
  <c r="E70" i="2"/>
  <c r="G61" i="2"/>
  <c r="D52" i="2"/>
  <c r="V111" i="2"/>
  <c r="D74" i="2"/>
  <c r="N53" i="2"/>
  <c r="M58" i="2"/>
  <c r="P86" i="2"/>
  <c r="J96" i="2"/>
  <c r="Q44" i="2"/>
  <c r="L105" i="2"/>
  <c r="AP81" i="3"/>
  <c r="AM32" i="3"/>
  <c r="C38" i="3"/>
  <c r="AQ8" i="3"/>
  <c r="AK27" i="3"/>
  <c r="AJ15" i="3"/>
  <c r="P35" i="3"/>
  <c r="AP33" i="3"/>
  <c r="Q43" i="2"/>
  <c r="N60" i="2"/>
  <c r="X94" i="2"/>
  <c r="F80" i="2"/>
  <c r="L52" i="2"/>
  <c r="Q49" i="2"/>
  <c r="R61" i="2"/>
  <c r="R85" i="2"/>
  <c r="L74" i="2"/>
  <c r="X95" i="2"/>
  <c r="O59" i="2"/>
  <c r="K96" i="2"/>
  <c r="K69" i="2"/>
  <c r="V108" i="2"/>
  <c r="D94" i="2"/>
  <c r="M108" i="2"/>
  <c r="AP57" i="3"/>
  <c r="N26" i="3"/>
  <c r="AI41" i="3"/>
  <c r="I8" i="3"/>
  <c r="AM39" i="3"/>
  <c r="AI38" i="3"/>
  <c r="Y31" i="3"/>
  <c r="E48" i="3"/>
  <c r="AE38" i="3"/>
  <c r="E109" i="2"/>
  <c r="L85" i="2"/>
  <c r="H64" i="2"/>
  <c r="S77" i="2"/>
  <c r="V40" i="2"/>
  <c r="R110" i="2"/>
  <c r="G84" i="2"/>
  <c r="W95" i="2"/>
  <c r="V105" i="2"/>
  <c r="O96" i="2"/>
  <c r="C106" i="2"/>
  <c r="J44" i="2"/>
  <c r="R71" i="2"/>
  <c r="V77" i="2"/>
  <c r="T105" i="2"/>
  <c r="I73" i="2"/>
  <c r="U66" i="2"/>
  <c r="U80" i="2"/>
  <c r="D90" i="2"/>
  <c r="Q63" i="2"/>
  <c r="M46" i="2"/>
  <c r="U92" i="2"/>
  <c r="O106" i="2"/>
  <c r="C47" i="2"/>
  <c r="R98" i="2"/>
  <c r="D96" i="2"/>
  <c r="K48" i="2"/>
  <c r="X105" i="2"/>
  <c r="O104" i="2"/>
  <c r="I110" i="2"/>
  <c r="G64" i="2"/>
  <c r="V67" i="2"/>
  <c r="S106" i="2"/>
  <c r="S109" i="2"/>
  <c r="X70" i="2"/>
  <c r="T95" i="2"/>
  <c r="T65" i="2"/>
  <c r="F111" i="2"/>
  <c r="X99" i="2"/>
  <c r="W107" i="2"/>
  <c r="W61" i="2"/>
  <c r="S72" i="2"/>
  <c r="R72" i="2"/>
  <c r="Q42" i="2"/>
  <c r="C78" i="2"/>
  <c r="D41" i="2"/>
  <c r="O109" i="2"/>
  <c r="Q53" i="2"/>
  <c r="K50" i="2"/>
  <c r="T69" i="2"/>
  <c r="T45" i="2"/>
  <c r="R109" i="2"/>
  <c r="V107" i="2"/>
  <c r="R95" i="2"/>
  <c r="W73" i="2"/>
  <c r="K82" i="2"/>
  <c r="M99" i="2"/>
  <c r="U78" i="2"/>
  <c r="M85" i="2"/>
  <c r="R64" i="2"/>
  <c r="L80" i="2"/>
  <c r="R65" i="2"/>
  <c r="AB92" i="3"/>
  <c r="AL41" i="3"/>
  <c r="AE21" i="3"/>
  <c r="Z35" i="3"/>
  <c r="Q23" i="3"/>
  <c r="AQ19" i="3"/>
  <c r="J21" i="3"/>
  <c r="P23" i="3"/>
  <c r="E64" i="2"/>
  <c r="H79" i="2"/>
  <c r="C90" i="2"/>
  <c r="K58" i="2"/>
  <c r="AP76" i="3"/>
  <c r="AN31" i="3"/>
  <c r="Y13" i="3"/>
  <c r="S34" i="3"/>
  <c r="AP14" i="3"/>
  <c r="Y30" i="3"/>
  <c r="X108" i="2"/>
  <c r="Q105" i="2"/>
  <c r="R43" i="2"/>
  <c r="E95" i="2"/>
  <c r="R105" i="2"/>
  <c r="H62" i="2"/>
  <c r="G42" i="2"/>
  <c r="AB78" i="3"/>
  <c r="AP10" i="3"/>
  <c r="S33" i="3"/>
  <c r="H27" i="3"/>
  <c r="H36" i="3"/>
  <c r="AC33" i="3"/>
  <c r="AH29" i="3"/>
  <c r="L27" i="3"/>
  <c r="V30" i="3"/>
  <c r="N13" i="3"/>
  <c r="H30" i="3"/>
  <c r="AP35" i="3"/>
  <c r="K9" i="3"/>
  <c r="Q10" i="3"/>
  <c r="L35" i="3"/>
  <c r="L44" i="2"/>
  <c r="J87" i="2"/>
  <c r="H57" i="2"/>
  <c r="AB61" i="3"/>
  <c r="R18" i="3"/>
  <c r="I9" i="3"/>
  <c r="W15" i="3"/>
  <c r="H21" i="3"/>
  <c r="M7" i="3"/>
  <c r="I35" i="3"/>
  <c r="R37" i="3"/>
  <c r="U9" i="3"/>
  <c r="P37" i="3"/>
  <c r="N31" i="3"/>
  <c r="U32" i="3"/>
  <c r="R7" i="3"/>
  <c r="N22" i="3"/>
  <c r="L50" i="2"/>
  <c r="K84" i="2"/>
  <c r="H106" i="2"/>
  <c r="K111" i="2"/>
  <c r="K13" i="3"/>
  <c r="H28" i="3"/>
  <c r="AE34" i="3"/>
  <c r="AE11" i="3"/>
  <c r="AC8" i="3"/>
  <c r="AM24" i="3"/>
  <c r="Z26" i="3"/>
  <c r="Y20" i="3"/>
  <c r="AQ27" i="3"/>
  <c r="Q37" i="3"/>
  <c r="AP27" i="3"/>
  <c r="W39" i="3"/>
  <c r="AI26" i="3"/>
  <c r="K27" i="3"/>
  <c r="L81" i="2"/>
  <c r="V54" i="2"/>
  <c r="R96" i="2"/>
  <c r="C61" i="2"/>
  <c r="AB94" i="3"/>
  <c r="AQ29" i="3"/>
  <c r="M11" i="3"/>
  <c r="AH36" i="3"/>
  <c r="AO24" i="3"/>
  <c r="AJ5" i="3"/>
  <c r="X13" i="3"/>
  <c r="AD21" i="3"/>
  <c r="Z38" i="3"/>
  <c r="AL28" i="3"/>
  <c r="T18" i="3"/>
  <c r="AJ27" i="3"/>
  <c r="D109" i="2"/>
  <c r="L45" i="2"/>
  <c r="K40" i="2"/>
  <c r="I93" i="2"/>
  <c r="P95" i="2"/>
  <c r="I74" i="2"/>
  <c r="Q65" i="2"/>
  <c r="F65" i="2"/>
  <c r="V61" i="2"/>
  <c r="L91" i="2"/>
  <c r="F92" i="2"/>
  <c r="I72" i="2"/>
  <c r="G95" i="2"/>
  <c r="V69" i="2"/>
  <c r="X55" i="2"/>
  <c r="N42" i="2"/>
  <c r="T91" i="2"/>
  <c r="N71" i="2"/>
  <c r="I44" i="2"/>
  <c r="L83" i="2"/>
  <c r="AP64" i="3"/>
  <c r="AL27" i="3"/>
  <c r="K91" i="2"/>
  <c r="W91" i="2"/>
  <c r="O75" i="2"/>
  <c r="W43" i="2"/>
  <c r="F94" i="2"/>
  <c r="I62" i="2"/>
  <c r="O85" i="2"/>
  <c r="H94" i="2"/>
  <c r="C109" i="2"/>
  <c r="Q41" i="2"/>
  <c r="N83" i="2"/>
  <c r="S75" i="2"/>
  <c r="W76" i="2"/>
  <c r="X80" i="2"/>
  <c r="X54" i="2"/>
  <c r="C48" i="3"/>
  <c r="Q113" i="2"/>
  <c r="I64" i="2"/>
  <c r="H75" i="2"/>
  <c r="V88" i="2"/>
  <c r="I60" i="2"/>
  <c r="T72" i="2"/>
  <c r="V51" i="2"/>
  <c r="E94" i="2"/>
  <c r="W85" i="2"/>
  <c r="G43" i="2"/>
  <c r="X106" i="2"/>
  <c r="H113" i="2"/>
  <c r="D65" i="2"/>
  <c r="D88" i="2"/>
  <c r="S73" i="2"/>
  <c r="R66" i="2"/>
  <c r="G57" i="2"/>
  <c r="C99" i="2"/>
  <c r="Q90" i="2"/>
  <c r="R70" i="2"/>
  <c r="D95" i="2"/>
  <c r="K75" i="2"/>
  <c r="U42" i="2"/>
  <c r="J112" i="2"/>
  <c r="O49" i="2"/>
  <c r="P71" i="2"/>
  <c r="L72" i="2"/>
  <c r="R58" i="2"/>
  <c r="X82" i="2"/>
  <c r="K70" i="2"/>
  <c r="I99" i="2"/>
  <c r="E68" i="2"/>
  <c r="G63" i="2"/>
  <c r="N49" i="2"/>
  <c r="I105" i="2"/>
  <c r="T70" i="2"/>
  <c r="E96" i="2"/>
  <c r="AP85" i="3"/>
  <c r="J41" i="3"/>
  <c r="AO7" i="3"/>
  <c r="H11" i="3"/>
  <c r="O35" i="3"/>
  <c r="T28" i="3"/>
  <c r="AQ12" i="3"/>
  <c r="W9" i="3"/>
  <c r="U49" i="2"/>
  <c r="M66" i="2"/>
  <c r="E63" i="2"/>
  <c r="S96" i="2"/>
  <c r="N78" i="2"/>
  <c r="L55" i="2"/>
  <c r="S112" i="2"/>
  <c r="W56" i="2"/>
  <c r="S68" i="2"/>
  <c r="K53" i="2"/>
  <c r="T106" i="2"/>
  <c r="U112" i="2"/>
  <c r="H47" i="2"/>
  <c r="R94" i="2"/>
  <c r="G78" i="2"/>
  <c r="X85" i="2"/>
  <c r="AP62" i="3"/>
  <c r="J16" i="3"/>
  <c r="O37" i="3"/>
  <c r="AL37" i="3"/>
  <c r="Z28" i="3"/>
  <c r="AJ14" i="3"/>
  <c r="AN17" i="3"/>
  <c r="Q22" i="3"/>
  <c r="AK10" i="3"/>
  <c r="J92" i="2"/>
  <c r="R90" i="2"/>
  <c r="X75" i="2"/>
  <c r="G73" i="2"/>
  <c r="M76" i="2"/>
  <c r="K45" i="2"/>
  <c r="W62" i="2"/>
  <c r="P98" i="2"/>
  <c r="X110" i="2"/>
  <c r="S107" i="2"/>
  <c r="E98" i="2"/>
  <c r="E91" i="2"/>
  <c r="F56" i="2"/>
  <c r="T109" i="2"/>
  <c r="M67" i="2"/>
  <c r="T63" i="2"/>
  <c r="V55" i="2"/>
  <c r="G71" i="2"/>
  <c r="F108" i="2"/>
  <c r="J93" i="2"/>
  <c r="O82" i="2"/>
  <c r="I77" i="2"/>
  <c r="F106" i="2"/>
  <c r="R63" i="2"/>
  <c r="Q82" i="2"/>
  <c r="S88" i="2"/>
  <c r="E83" i="2"/>
  <c r="M95" i="2"/>
  <c r="G87" i="2"/>
  <c r="O67" i="2"/>
  <c r="E48" i="2"/>
  <c r="M71" i="2"/>
  <c r="K54" i="2"/>
  <c r="E62" i="2"/>
  <c r="W98" i="2"/>
  <c r="N112" i="2"/>
  <c r="C53" i="2"/>
  <c r="W87" i="2"/>
  <c r="U62" i="2"/>
  <c r="J63" i="2"/>
  <c r="O86" i="2"/>
  <c r="J40" i="2"/>
  <c r="H69" i="2"/>
  <c r="J48" i="2"/>
  <c r="H63" i="2"/>
  <c r="N67" i="2"/>
  <c r="M40" i="2"/>
  <c r="D80" i="2"/>
  <c r="M104" i="2"/>
  <c r="N50" i="2"/>
  <c r="S69" i="2"/>
  <c r="E84" i="2"/>
  <c r="F105" i="2"/>
  <c r="X50" i="2"/>
  <c r="S86" i="2"/>
  <c r="R55" i="2"/>
  <c r="O105" i="2"/>
  <c r="X113" i="2"/>
  <c r="L93" i="2"/>
  <c r="K72" i="2"/>
  <c r="C93" i="2"/>
  <c r="C51" i="2"/>
  <c r="AP91" i="3"/>
  <c r="X31" i="3"/>
  <c r="AL30" i="3"/>
  <c r="AA36" i="3"/>
  <c r="W24" i="3"/>
  <c r="AH40" i="3"/>
  <c r="AM30" i="3"/>
  <c r="AA13" i="3"/>
  <c r="P107" i="2"/>
  <c r="J89" i="2"/>
  <c r="G54" i="2"/>
  <c r="G60" i="2"/>
  <c r="AP49" i="3"/>
  <c r="AK21" i="3"/>
  <c r="X14" i="3"/>
  <c r="AN37" i="3"/>
  <c r="AL10" i="3"/>
  <c r="AO25" i="3"/>
  <c r="R81" i="2"/>
  <c r="Q64" i="2"/>
  <c r="X53" i="2"/>
  <c r="F70" i="2"/>
  <c r="Q93" i="2"/>
  <c r="V93" i="2"/>
  <c r="T62" i="2"/>
  <c r="AP71" i="3"/>
  <c r="AD50" i="3"/>
  <c r="AA8" i="3"/>
  <c r="AA17" i="3"/>
  <c r="S9" i="3"/>
  <c r="N32" i="3"/>
  <c r="I42" i="3"/>
  <c r="AE28" i="3"/>
  <c r="AL40" i="3"/>
  <c r="AC21" i="3"/>
  <c r="I11" i="3"/>
  <c r="AM18" i="3"/>
  <c r="K41" i="3"/>
  <c r="K5" i="3"/>
  <c r="E90" i="2"/>
  <c r="I56" i="2"/>
  <c r="J97" i="2"/>
  <c r="J90" i="2"/>
  <c r="AB55" i="3"/>
  <c r="Q34" i="3"/>
  <c r="N14" i="3"/>
  <c r="AB22" i="3"/>
  <c r="AK30" i="3"/>
  <c r="O6" i="3"/>
  <c r="Y24" i="3"/>
  <c r="C39" i="3"/>
  <c r="U14" i="3"/>
  <c r="AI37" i="3"/>
  <c r="AL32" i="3"/>
  <c r="L34" i="3"/>
  <c r="AG13" i="3"/>
  <c r="AK28" i="3"/>
  <c r="E79" i="2"/>
  <c r="U77" i="2"/>
  <c r="S56" i="2"/>
  <c r="U51" i="2"/>
  <c r="Z19" i="3"/>
  <c r="Q27" i="3"/>
  <c r="AC22" i="3"/>
  <c r="M9" i="3"/>
  <c r="AC6" i="3"/>
  <c r="G48" i="3"/>
  <c r="Y36" i="3"/>
  <c r="AE17" i="3"/>
  <c r="X9" i="3"/>
  <c r="C4" i="3"/>
  <c r="AD34" i="3"/>
  <c r="M14" i="3"/>
  <c r="V19" i="3"/>
  <c r="AC11" i="3"/>
  <c r="G47" i="2"/>
  <c r="F90" i="2"/>
  <c r="M90" i="2"/>
  <c r="U85" i="2"/>
  <c r="AP87" i="3"/>
  <c r="R36" i="3"/>
  <c r="S35" i="3"/>
  <c r="AN32" i="3"/>
  <c r="W7" i="3"/>
  <c r="R14" i="3"/>
  <c r="X26" i="3"/>
  <c r="X77" i="2"/>
  <c r="F47" i="2"/>
  <c r="F78" i="2"/>
  <c r="D69" i="2"/>
  <c r="U41" i="2"/>
  <c r="Q52" i="2"/>
  <c r="P78" i="2"/>
  <c r="J108" i="2"/>
  <c r="R82" i="2"/>
  <c r="C107" i="2"/>
  <c r="O92" i="2"/>
  <c r="U46" i="2"/>
  <c r="H108" i="2"/>
  <c r="P110" i="2"/>
  <c r="R97" i="2"/>
  <c r="AB60" i="3"/>
  <c r="H34" i="3"/>
  <c r="V57" i="2"/>
  <c r="S87" i="2"/>
  <c r="R52" i="2"/>
  <c r="Q84" i="2"/>
  <c r="Q104" i="2"/>
  <c r="Q71" i="2"/>
  <c r="F74" i="2"/>
  <c r="I90" i="2"/>
  <c r="V48" i="2"/>
  <c r="K110" i="2"/>
  <c r="V84" i="2"/>
  <c r="J64" i="2"/>
  <c r="J86" i="2"/>
  <c r="T61" i="2"/>
  <c r="S42" i="2"/>
  <c r="C95" i="2"/>
  <c r="AP88" i="3"/>
  <c r="H43" i="2"/>
  <c r="T73" i="2"/>
  <c r="I68" i="2"/>
  <c r="U97" i="2"/>
  <c r="C73" i="2"/>
  <c r="E47" i="2"/>
  <c r="V58" i="2"/>
  <c r="D49" i="2"/>
  <c r="M49" i="2"/>
  <c r="C92" i="2"/>
  <c r="O73" i="2"/>
  <c r="O107" i="2"/>
  <c r="M97" i="2"/>
  <c r="G97" i="2"/>
  <c r="U71" i="2"/>
  <c r="V92" i="2"/>
  <c r="S105" i="2"/>
  <c r="F86" i="2"/>
  <c r="J84" i="2"/>
  <c r="D55" i="2"/>
  <c r="F64" i="2"/>
  <c r="Q83" i="2"/>
  <c r="J107" i="2"/>
  <c r="G106" i="2"/>
  <c r="K61" i="2"/>
  <c r="N107" i="2"/>
  <c r="H53" i="2"/>
  <c r="W99" i="2"/>
  <c r="R77" i="2"/>
  <c r="K98" i="2"/>
  <c r="M41" i="2"/>
  <c r="V63" i="2"/>
  <c r="K92" i="2"/>
  <c r="C83" i="2"/>
  <c r="U110" i="2"/>
  <c r="J98" i="2"/>
  <c r="R60" i="2"/>
  <c r="AP77" i="3"/>
  <c r="Y40" i="3"/>
  <c r="Z34" i="3"/>
  <c r="X36" i="3"/>
  <c r="L6" i="3"/>
  <c r="P6" i="3"/>
  <c r="T26" i="3"/>
  <c r="AA41" i="3"/>
  <c r="H40" i="2"/>
  <c r="P73" i="2"/>
  <c r="D66" i="2"/>
  <c r="K79" i="2"/>
  <c r="W90" i="2"/>
  <c r="S89" i="2"/>
  <c r="U56" i="2"/>
  <c r="V110" i="2"/>
  <c r="J91" i="2"/>
  <c r="T81" i="2"/>
  <c r="T87" i="2"/>
  <c r="S41" i="2"/>
  <c r="H61" i="2"/>
  <c r="G74" i="2"/>
  <c r="W79" i="2"/>
  <c r="X84" i="2"/>
  <c r="AP80" i="3"/>
  <c r="T25" i="3"/>
  <c r="P41" i="3"/>
  <c r="AM8" i="3"/>
  <c r="N10" i="3"/>
  <c r="AN34" i="3"/>
  <c r="P21" i="3"/>
  <c r="AG18" i="3"/>
  <c r="AE29" i="3"/>
  <c r="V106" i="2"/>
  <c r="P91" i="2"/>
  <c r="U105" i="2"/>
  <c r="J78" i="2"/>
  <c r="R106" i="2"/>
  <c r="J55" i="2"/>
  <c r="P111" i="2"/>
  <c r="H46" i="2"/>
  <c r="V89" i="2"/>
  <c r="J76" i="2"/>
  <c r="T82" i="2"/>
  <c r="N106" i="2"/>
  <c r="H67" i="2"/>
  <c r="J51" i="2"/>
  <c r="G76" i="2"/>
  <c r="L40" i="2"/>
  <c r="S80" i="2"/>
  <c r="Q85" i="2"/>
  <c r="V49" i="2"/>
  <c r="C46" i="2"/>
  <c r="R48" i="2"/>
  <c r="S53" i="2"/>
  <c r="L41" i="2"/>
  <c r="K105" i="2"/>
  <c r="W54" i="2"/>
  <c r="H56" i="2"/>
  <c r="J42" i="2"/>
  <c r="M84" i="2"/>
  <c r="E80" i="2"/>
  <c r="I69" i="2"/>
  <c r="P77" i="2"/>
  <c r="T108" i="2"/>
  <c r="J43" i="2"/>
  <c r="S94" i="2"/>
  <c r="D62" i="2"/>
  <c r="D63" i="2"/>
  <c r="N81" i="2"/>
  <c r="I66" i="2"/>
  <c r="L77" i="2"/>
  <c r="U111" i="2"/>
  <c r="C60" i="2"/>
  <c r="H71" i="2"/>
  <c r="O55" i="2"/>
  <c r="P93" i="2"/>
  <c r="U43" i="2"/>
  <c r="G55" i="2"/>
  <c r="G65" i="2"/>
  <c r="X59" i="2"/>
  <c r="R86" i="2"/>
  <c r="L65" i="2"/>
  <c r="P88" i="2"/>
  <c r="U74" i="2"/>
  <c r="M110" i="2"/>
  <c r="O54" i="2"/>
  <c r="Q66" i="2"/>
  <c r="J47" i="2"/>
  <c r="I107" i="2"/>
  <c r="D76" i="2"/>
  <c r="V65" i="2"/>
  <c r="S93" i="2"/>
  <c r="G56" i="2"/>
  <c r="N70" i="2"/>
  <c r="AB56" i="3"/>
  <c r="P10" i="3"/>
  <c r="L33" i="3"/>
  <c r="P8" i="3"/>
  <c r="J27" i="3"/>
  <c r="AP11" i="3"/>
  <c r="M30" i="3"/>
  <c r="AB27" i="3"/>
  <c r="G89" i="2"/>
  <c r="W67" i="2"/>
  <c r="J49" i="2"/>
  <c r="T110" i="2"/>
  <c r="R29" i="3"/>
  <c r="W33" i="3"/>
  <c r="AH15" i="3"/>
  <c r="AH37" i="3"/>
  <c r="AL16" i="3"/>
  <c r="C9" i="3"/>
  <c r="M86" i="2"/>
  <c r="Q112" i="2"/>
  <c r="H58" i="2"/>
  <c r="M53" i="2"/>
  <c r="D91" i="2"/>
  <c r="K71" i="2"/>
  <c r="N44" i="2"/>
  <c r="AP92" i="3"/>
  <c r="U30" i="3"/>
  <c r="P30" i="3"/>
  <c r="AD38" i="3"/>
  <c r="I15" i="3"/>
  <c r="O11" i="3"/>
  <c r="U6" i="3"/>
  <c r="T21" i="3"/>
  <c r="AN28" i="3"/>
  <c r="AN16" i="3"/>
  <c r="J24" i="3"/>
  <c r="AK23" i="3"/>
  <c r="AP38" i="3"/>
  <c r="AJ29" i="3"/>
  <c r="X65" i="2"/>
  <c r="N66" i="2"/>
  <c r="E88" i="2"/>
  <c r="P48" i="2"/>
  <c r="AP78" i="3"/>
  <c r="AN22" i="3"/>
  <c r="AM22" i="3"/>
  <c r="AG15" i="3"/>
  <c r="AN23" i="3"/>
  <c r="AL39" i="3"/>
  <c r="AC16" i="3"/>
  <c r="P17" i="3"/>
  <c r="P15" i="3"/>
  <c r="AG20" i="3"/>
  <c r="H26" i="3"/>
  <c r="T40" i="3"/>
  <c r="H39" i="3"/>
  <c r="AH6" i="3"/>
  <c r="C74" i="2"/>
  <c r="I43" i="2"/>
  <c r="D56" i="2"/>
  <c r="AB81" i="3"/>
  <c r="AM16" i="3"/>
  <c r="AD28" i="3"/>
  <c r="R15" i="3"/>
  <c r="O16" i="3"/>
  <c r="AJ20" i="3"/>
  <c r="W11" i="3"/>
  <c r="N28" i="3"/>
  <c r="R23" i="3"/>
  <c r="AB14" i="3"/>
  <c r="Y10" i="3"/>
  <c r="V17" i="3"/>
  <c r="J22" i="3"/>
  <c r="AJ6" i="3"/>
  <c r="V98" i="2"/>
  <c r="R69" i="2"/>
  <c r="P94" i="2"/>
  <c r="F104" i="2"/>
  <c r="P59" i="2"/>
  <c r="J59" i="2"/>
  <c r="U58" i="2"/>
  <c r="X44" i="2"/>
  <c r="W94" i="2"/>
  <c r="G91" i="2"/>
  <c r="W51" i="2"/>
  <c r="V112" i="2"/>
  <c r="E59" i="2"/>
  <c r="C44" i="2"/>
  <c r="L42" i="2"/>
  <c r="R50" i="2"/>
  <c r="AP48" i="3"/>
  <c r="AI12" i="3"/>
  <c r="Q45" i="2"/>
  <c r="I94" i="2"/>
  <c r="N56" i="2"/>
  <c r="I71" i="2"/>
  <c r="W97" i="2"/>
  <c r="U48" i="2"/>
  <c r="P54" i="2"/>
  <c r="L47" i="2"/>
  <c r="J106" i="2"/>
  <c r="I59" i="2"/>
  <c r="M73" i="2"/>
  <c r="M107" i="2"/>
  <c r="Q80" i="2"/>
  <c r="C80" i="2"/>
  <c r="L61" i="2"/>
  <c r="X68" i="2"/>
  <c r="AB63" i="3"/>
  <c r="P105" i="2"/>
  <c r="M65" i="2"/>
  <c r="M87" i="2"/>
  <c r="T51" i="2"/>
  <c r="Q97" i="2"/>
  <c r="P112" i="2"/>
  <c r="T85" i="2"/>
  <c r="T104" i="2"/>
  <c r="T111" i="2"/>
  <c r="U54" i="2"/>
  <c r="D89" i="2"/>
  <c r="L90" i="2"/>
  <c r="I91" i="2"/>
  <c r="T53" i="2"/>
  <c r="H86" i="2"/>
  <c r="P81" i="2"/>
  <c r="W49" i="2"/>
  <c r="C57" i="2"/>
  <c r="N74" i="2"/>
  <c r="G59" i="2"/>
  <c r="W82" i="2"/>
  <c r="P85" i="2"/>
  <c r="D61" i="2"/>
  <c r="P65" i="2"/>
  <c r="L82" i="2"/>
  <c r="S99" i="2"/>
  <c r="S78" i="2"/>
  <c r="O58" i="2"/>
  <c r="L111" i="2"/>
  <c r="F48" i="2"/>
  <c r="N62" i="2"/>
  <c r="O99" i="2"/>
  <c r="U69" i="2"/>
  <c r="P58" i="2"/>
  <c r="N54" i="2"/>
  <c r="H93" i="2"/>
  <c r="AB88" i="3"/>
  <c r="S7" i="3"/>
  <c r="AK37" i="3"/>
  <c r="W21" i="3"/>
  <c r="P13" i="3"/>
  <c r="C19" i="3"/>
  <c r="O9" i="3"/>
  <c r="P16" i="3"/>
  <c r="AH41" i="3"/>
  <c r="P51" i="2"/>
  <c r="C88" i="2"/>
  <c r="G77" i="2"/>
  <c r="J53" i="2"/>
  <c r="Q96" i="2"/>
  <c r="E60" i="2"/>
  <c r="Q70" i="2"/>
  <c r="H87" i="2"/>
  <c r="Q81" i="2"/>
  <c r="V50" i="2"/>
  <c r="N95" i="2"/>
  <c r="W78" i="2"/>
  <c r="S110" i="2"/>
  <c r="X86" i="2"/>
  <c r="U108" i="2"/>
  <c r="C63" i="2"/>
  <c r="AB85" i="3"/>
  <c r="O21" i="3"/>
  <c r="S32" i="3"/>
  <c r="R32" i="3"/>
  <c r="AB18" i="3"/>
  <c r="U12" i="3"/>
  <c r="I29" i="3"/>
  <c r="I34" i="3"/>
  <c r="Q41" i="3"/>
  <c r="H104" i="2"/>
  <c r="E110" i="2"/>
  <c r="J56" i="2"/>
  <c r="W57" i="2"/>
  <c r="Q87" i="2"/>
  <c r="J75" i="2"/>
  <c r="X79" i="2"/>
  <c r="X72" i="2"/>
  <c r="C55" i="2"/>
  <c r="P108" i="2"/>
  <c r="J105" i="2"/>
  <c r="M79" i="2"/>
  <c r="H68" i="2"/>
  <c r="S90" i="2"/>
  <c r="G62" i="2"/>
  <c r="AB65" i="3"/>
  <c r="T76" i="2"/>
  <c r="N97" i="2"/>
  <c r="J71" i="2"/>
  <c r="G92" i="2"/>
  <c r="Q91" i="2"/>
  <c r="F42" i="2"/>
  <c r="P41" i="2"/>
  <c r="L94" i="2"/>
  <c r="W111" i="2"/>
  <c r="J68" i="2"/>
  <c r="V56" i="2"/>
  <c r="I87" i="2"/>
  <c r="V46" i="2"/>
  <c r="G94" i="2"/>
  <c r="L67" i="2"/>
  <c r="P55" i="2"/>
  <c r="U91" i="2"/>
  <c r="T78" i="2"/>
  <c r="D53" i="2"/>
  <c r="F46" i="2"/>
  <c r="U96" i="2"/>
  <c r="W68" i="2"/>
  <c r="W105" i="2"/>
  <c r="J79" i="2"/>
  <c r="W80" i="2"/>
  <c r="G88" i="2"/>
  <c r="C52" i="2"/>
  <c r="K112" i="2"/>
  <c r="G67" i="2"/>
  <c r="H97" i="2"/>
  <c r="O77" i="2"/>
  <c r="F50" i="2"/>
  <c r="M91" i="2"/>
  <c r="K62" i="2"/>
  <c r="I108" i="2"/>
  <c r="T88" i="2"/>
  <c r="O41" i="2"/>
  <c r="H112" i="2"/>
  <c r="J80" i="2"/>
  <c r="P87" i="2"/>
  <c r="H41" i="2"/>
  <c r="E99" i="2"/>
  <c r="C49" i="2"/>
  <c r="R80" i="2"/>
  <c r="T96" i="2"/>
  <c r="N92" i="2"/>
  <c r="C21" i="3"/>
  <c r="AH16" i="3"/>
  <c r="W19" i="3"/>
  <c r="G40" i="3"/>
  <c r="AP28" i="3"/>
  <c r="AC9" i="3"/>
  <c r="Q40" i="3"/>
  <c r="G49" i="3"/>
  <c r="M78" i="2"/>
  <c r="F43" i="2"/>
  <c r="T52" i="2"/>
  <c r="C87" i="2"/>
  <c r="AQ13" i="3"/>
  <c r="J12" i="3"/>
  <c r="AM21" i="3"/>
  <c r="P20" i="3"/>
  <c r="AB12" i="3"/>
  <c r="Q62" i="2"/>
  <c r="P99" i="2"/>
  <c r="W58" i="2"/>
  <c r="M64" i="2"/>
  <c r="U68" i="2"/>
  <c r="H89" i="2"/>
  <c r="R73" i="2"/>
  <c r="E78" i="2"/>
  <c r="AP60" i="3"/>
  <c r="V24" i="3"/>
  <c r="AM11" i="3"/>
  <c r="X16" i="3"/>
  <c r="Q38" i="3"/>
  <c r="AE33" i="3"/>
  <c r="T12" i="3"/>
  <c r="AL12" i="3"/>
  <c r="AI35" i="3"/>
  <c r="AH27" i="3"/>
  <c r="T42" i="3"/>
  <c r="AM27" i="3"/>
  <c r="AQ28" i="3"/>
  <c r="AD41" i="3"/>
  <c r="T42" i="2"/>
  <c r="W89" i="2"/>
  <c r="S113" i="2"/>
  <c r="W52" i="2"/>
  <c r="C49" i="3"/>
  <c r="I28" i="3"/>
  <c r="K36" i="3"/>
  <c r="AH14" i="3"/>
  <c r="L30" i="3"/>
  <c r="X5" i="3"/>
  <c r="S24" i="3"/>
  <c r="K10" i="3"/>
  <c r="Q30" i="3"/>
  <c r="AN42" i="3"/>
  <c r="W25" i="3"/>
  <c r="AI17" i="3"/>
  <c r="J26" i="3"/>
  <c r="F40" i="2"/>
  <c r="W66" i="2"/>
  <c r="J69" i="2"/>
  <c r="S58" i="2"/>
  <c r="C47" i="3"/>
  <c r="S16" i="3"/>
  <c r="V31" i="3"/>
  <c r="M39" i="3"/>
  <c r="Y28" i="3"/>
  <c r="C27" i="3"/>
  <c r="D50" i="3"/>
  <c r="R9" i="3"/>
  <c r="Q14" i="3"/>
  <c r="AM10" i="3"/>
  <c r="AP29" i="3"/>
  <c r="AM36" i="3"/>
  <c r="V37" i="3"/>
  <c r="AO40" i="3"/>
  <c r="M40" i="3"/>
  <c r="W75" i="2"/>
  <c r="L49" i="2"/>
  <c r="Q72" i="2"/>
  <c r="O47" i="2"/>
  <c r="AI6" i="3"/>
  <c r="K38" i="3"/>
  <c r="H6" i="3"/>
  <c r="L31" i="3"/>
  <c r="AK9" i="3"/>
  <c r="C40" i="3"/>
  <c r="AJ32" i="3"/>
  <c r="N9" i="3"/>
  <c r="R13" i="3"/>
  <c r="U88" i="2"/>
  <c r="AP93" i="3"/>
  <c r="S81" i="2"/>
  <c r="X74" i="2"/>
  <c r="I70" i="2"/>
  <c r="C84" i="2"/>
  <c r="P104" i="2"/>
  <c r="E69" i="2"/>
  <c r="AP73" i="3"/>
  <c r="H51" i="2"/>
  <c r="I53" i="2"/>
  <c r="AP89" i="3"/>
  <c r="V13" i="3"/>
  <c r="E81" i="2"/>
  <c r="X45" i="2"/>
  <c r="P62" i="2"/>
  <c r="G98" i="2"/>
  <c r="Q88" i="2"/>
  <c r="D78" i="2"/>
  <c r="J57" i="2"/>
  <c r="X12" i="3"/>
  <c r="T41" i="2"/>
  <c r="Z31" i="3"/>
  <c r="AB97" i="3"/>
  <c r="AO18" i="3"/>
  <c r="V81" i="2"/>
  <c r="AO23" i="3"/>
  <c r="Y21" i="3"/>
  <c r="W96" i="2"/>
  <c r="P22" i="3"/>
  <c r="L39" i="3"/>
  <c r="Z41" i="3"/>
  <c r="X41" i="3"/>
  <c r="AO5" i="3"/>
  <c r="S76" i="2"/>
  <c r="C56" i="2"/>
  <c r="S36" i="3"/>
  <c r="C32" i="3"/>
  <c r="AG30" i="3"/>
  <c r="M12" i="3"/>
  <c r="X17" i="3"/>
  <c r="N23" i="3"/>
  <c r="L21" i="3"/>
  <c r="P47" i="2"/>
  <c r="Q107" i="2"/>
  <c r="N63" i="2"/>
  <c r="AP94" i="3"/>
  <c r="AJ22" i="3"/>
  <c r="E104" i="2"/>
  <c r="L60" i="2"/>
  <c r="P49" i="2"/>
  <c r="V73" i="2"/>
  <c r="U90" i="2"/>
  <c r="O52" i="2"/>
  <c r="U40" i="2"/>
  <c r="I49" i="2"/>
  <c r="E89" i="2"/>
  <c r="N99" i="2"/>
  <c r="K73" i="2"/>
  <c r="AP83" i="3"/>
  <c r="AO39" i="3"/>
  <c r="AM25" i="3"/>
  <c r="AH22" i="3"/>
  <c r="AA6" i="3"/>
  <c r="W16" i="3"/>
  <c r="AQ41" i="3"/>
  <c r="AK39" i="3"/>
  <c r="AL29" i="3"/>
  <c r="AN21" i="3"/>
  <c r="J28" i="3"/>
  <c r="Z14" i="3"/>
  <c r="D73" i="2"/>
  <c r="T32" i="3"/>
  <c r="J17" i="3"/>
  <c r="AB25" i="3"/>
  <c r="I27" i="3"/>
  <c r="AD22" i="3"/>
  <c r="V23" i="3"/>
  <c r="V32" i="3"/>
  <c r="W13" i="3"/>
  <c r="H20" i="3"/>
  <c r="T35" i="3"/>
  <c r="I7" i="3"/>
  <c r="AQ24" i="3"/>
  <c r="R34" i="3"/>
  <c r="AC40" i="3"/>
  <c r="K26" i="3"/>
  <c r="AE9" i="3"/>
  <c r="C17" i="3"/>
  <c r="AB8" i="3"/>
  <c r="P29" i="3"/>
  <c r="H35" i="3"/>
  <c r="AP90" i="3"/>
  <c r="I19" i="3"/>
  <c r="F97" i="2"/>
  <c r="AG37" i="3"/>
  <c r="AQ23" i="3"/>
  <c r="I6" i="3"/>
  <c r="O68" i="2"/>
  <c r="M29" i="3"/>
  <c r="AL22" i="3"/>
  <c r="T24" i="3"/>
  <c r="AA31" i="3"/>
  <c r="T14" i="3"/>
  <c r="AL36" i="3"/>
  <c r="AM28" i="3"/>
  <c r="T15" i="3"/>
  <c r="AQ17" i="3"/>
  <c r="N46" i="2"/>
  <c r="U11" i="3"/>
  <c r="H42" i="3"/>
  <c r="J23" i="3"/>
  <c r="S5" i="3"/>
  <c r="AH30" i="3"/>
  <c r="L10" i="3"/>
  <c r="W20" i="3"/>
  <c r="Z10" i="3"/>
  <c r="C25" i="3"/>
  <c r="AQ33" i="3"/>
  <c r="AO28" i="3"/>
  <c r="Y5" i="3"/>
  <c r="AB17" i="3"/>
  <c r="P33" i="3"/>
  <c r="AE8" i="3"/>
  <c r="AO16" i="3"/>
  <c r="C31" i="3"/>
  <c r="AE16" i="3"/>
  <c r="I5" i="3"/>
  <c r="W41" i="3"/>
  <c r="W23" i="3"/>
  <c r="M27" i="3"/>
  <c r="H77" i="2"/>
  <c r="S54" i="2"/>
  <c r="X28" i="3"/>
  <c r="AL23" i="3"/>
  <c r="K33" i="3"/>
  <c r="AG17" i="3"/>
  <c r="L13" i="3"/>
  <c r="AB42" i="3"/>
  <c r="V40" i="3"/>
  <c r="AP96" i="3"/>
  <c r="N42" i="3"/>
  <c r="AG35" i="3"/>
  <c r="M56" i="2"/>
  <c r="M33" i="3"/>
  <c r="AI13" i="3"/>
  <c r="AL9" i="3"/>
  <c r="C36" i="3"/>
  <c r="AB23" i="3"/>
  <c r="O98" i="2"/>
  <c r="Y14" i="3"/>
  <c r="D72" i="2"/>
  <c r="AD23" i="3"/>
  <c r="AE27" i="3"/>
  <c r="D51" i="2"/>
  <c r="R49" i="2"/>
  <c r="AN8" i="3"/>
  <c r="F76" i="2"/>
  <c r="C108" i="2"/>
  <c r="K47" i="2"/>
  <c r="Q99" i="2"/>
  <c r="L75" i="2"/>
  <c r="G68" i="2"/>
  <c r="AC20" i="3"/>
  <c r="S67" i="2"/>
  <c r="L57" i="2"/>
  <c r="R24" i="3"/>
  <c r="R67" i="2"/>
  <c r="U67" i="2"/>
  <c r="P83" i="2"/>
  <c r="D86" i="2"/>
  <c r="X83" i="2"/>
  <c r="R111" i="2"/>
  <c r="S74" i="2"/>
  <c r="S108" i="2"/>
  <c r="O5" i="3"/>
  <c r="C110" i="2"/>
  <c r="S92" i="2"/>
  <c r="L25" i="3"/>
  <c r="AM35" i="3"/>
  <c r="P56" i="2"/>
  <c r="Y23" i="3"/>
  <c r="E106" i="2"/>
  <c r="AB48" i="3"/>
  <c r="J18" i="3"/>
  <c r="AP18" i="3"/>
  <c r="Z42" i="3"/>
  <c r="AJ9" i="3"/>
  <c r="T31" i="3"/>
  <c r="O80" i="2"/>
  <c r="AB68" i="3"/>
  <c r="I36" i="3"/>
  <c r="AB11" i="3"/>
  <c r="H18" i="3"/>
  <c r="Z7" i="3"/>
  <c r="Y29" i="3"/>
  <c r="O40" i="3"/>
  <c r="K8" i="3"/>
  <c r="V62" i="2"/>
  <c r="N91" i="2"/>
  <c r="H109" i="2"/>
  <c r="AB70" i="3"/>
  <c r="AD24" i="3"/>
  <c r="W59" i="2"/>
  <c r="F112" i="2"/>
  <c r="R45" i="2"/>
  <c r="K88" i="2"/>
  <c r="J70" i="2"/>
  <c r="V68" i="2"/>
  <c r="N77" i="2"/>
  <c r="F113" i="2"/>
  <c r="U87" i="2"/>
  <c r="K89" i="2"/>
  <c r="R59" i="2"/>
  <c r="AB71" i="3"/>
  <c r="N15" i="3"/>
  <c r="N34" i="3"/>
  <c r="AN20" i="3"/>
  <c r="AN7" i="3"/>
  <c r="AH35" i="3"/>
  <c r="AL34" i="3"/>
  <c r="AC31" i="3"/>
  <c r="L42" i="3"/>
  <c r="V22" i="3"/>
  <c r="N16" i="3"/>
  <c r="AG9" i="3"/>
  <c r="Q47" i="2"/>
  <c r="V12" i="3"/>
  <c r="O24" i="3"/>
  <c r="I24" i="3"/>
  <c r="AQ25" i="3"/>
  <c r="AN36" i="3"/>
  <c r="AB6" i="3"/>
  <c r="Z32" i="3"/>
  <c r="V35" i="3"/>
  <c r="M17" i="3"/>
  <c r="AM12" i="3"/>
  <c r="I40" i="3"/>
  <c r="L9" i="3"/>
  <c r="U5" i="3"/>
  <c r="U42" i="3"/>
  <c r="W8" i="3"/>
  <c r="AN9" i="3"/>
  <c r="AG10" i="3"/>
  <c r="AA28" i="3"/>
  <c r="O10" i="3"/>
  <c r="AA5" i="3"/>
  <c r="X88" i="2"/>
  <c r="AH17" i="3"/>
  <c r="AP79" i="3"/>
  <c r="AL31" i="3"/>
  <c r="AG32" i="3"/>
  <c r="P11" i="3"/>
  <c r="L73" i="2"/>
  <c r="Z25" i="3"/>
  <c r="AM13" i="3"/>
  <c r="I23" i="3"/>
  <c r="P27" i="3"/>
  <c r="W31" i="3"/>
  <c r="I33" i="3"/>
  <c r="P28" i="3"/>
  <c r="AN26" i="3"/>
  <c r="AH8" i="3"/>
  <c r="V79" i="2"/>
  <c r="N5" i="3"/>
  <c r="AC23" i="3"/>
  <c r="AD47" i="3"/>
  <c r="Q13" i="3"/>
  <c r="R19" i="3"/>
  <c r="M41" i="3"/>
  <c r="Q32" i="3"/>
  <c r="AE24" i="3"/>
  <c r="T30" i="3"/>
  <c r="AP22" i="3"/>
  <c r="X40" i="3"/>
  <c r="J33" i="3"/>
  <c r="AH18" i="3"/>
  <c r="K16" i="3"/>
  <c r="S38" i="3"/>
  <c r="AA14" i="3"/>
  <c r="U29" i="3"/>
  <c r="AE26" i="3"/>
  <c r="U20" i="3"/>
  <c r="AE30" i="3"/>
  <c r="AQ31" i="3"/>
  <c r="U27" i="3"/>
  <c r="AB83" i="3"/>
  <c r="S42" i="3"/>
  <c r="AP70" i="3"/>
  <c r="U41" i="3"/>
  <c r="K19" i="3"/>
  <c r="Q28" i="3"/>
  <c r="AJ39" i="3"/>
  <c r="M19" i="3"/>
  <c r="AA39" i="3"/>
  <c r="AK14" i="3"/>
  <c r="AI22" i="3"/>
  <c r="X20" i="3"/>
  <c r="AI39" i="3"/>
  <c r="P92" i="2"/>
  <c r="X35" i="3"/>
  <c r="S27" i="3"/>
  <c r="R33" i="3"/>
  <c r="W38" i="3"/>
  <c r="AC38" i="3"/>
  <c r="AO36" i="3"/>
  <c r="R38" i="3"/>
  <c r="K24" i="3"/>
  <c r="K39" i="3"/>
  <c r="H37" i="3"/>
  <c r="J10" i="3"/>
  <c r="J14" i="3"/>
  <c r="AB69" i="3"/>
  <c r="AK34" i="3"/>
  <c r="AD27" i="3"/>
  <c r="T5" i="3"/>
  <c r="V26" i="3"/>
  <c r="Y34" i="3"/>
  <c r="AQ40" i="3"/>
  <c r="G50" i="2"/>
  <c r="C41" i="3"/>
  <c r="AP8" i="3"/>
  <c r="U15" i="3"/>
  <c r="AO17" i="3"/>
  <c r="Q25" i="3"/>
  <c r="S18" i="3"/>
  <c r="AK22" i="3"/>
  <c r="K20" i="3"/>
  <c r="AJ23" i="3"/>
  <c r="J6" i="3"/>
  <c r="F53" i="2"/>
  <c r="X67" i="2"/>
  <c r="N87" i="2"/>
  <c r="Q92" i="2"/>
  <c r="AP61" i="3"/>
  <c r="J110" i="2"/>
  <c r="N82" i="2"/>
  <c r="I67" i="2"/>
  <c r="Q75" i="2"/>
  <c r="O17" i="3"/>
  <c r="K86" i="2"/>
  <c r="U60" i="2"/>
  <c r="L11" i="3"/>
  <c r="S44" i="2"/>
  <c r="W69" i="2"/>
  <c r="G109" i="2"/>
  <c r="X42" i="2"/>
  <c r="K94" i="2"/>
  <c r="L98" i="2"/>
  <c r="V75" i="2"/>
  <c r="U55" i="2"/>
  <c r="AM26" i="3"/>
  <c r="G83" i="2"/>
  <c r="P61" i="2"/>
  <c r="AP36" i="3"/>
  <c r="Z39" i="3"/>
  <c r="AB62" i="3"/>
  <c r="AO12" i="3"/>
  <c r="X93" i="2"/>
  <c r="AB84" i="3"/>
  <c r="AM9" i="3"/>
  <c r="P40" i="3"/>
  <c r="Y12" i="3"/>
  <c r="U17" i="3"/>
  <c r="D99" i="2"/>
  <c r="C68" i="2"/>
  <c r="AB77" i="3"/>
  <c r="Q16" i="3"/>
  <c r="V34" i="3"/>
  <c r="AB13" i="3"/>
  <c r="AH25" i="3"/>
  <c r="AM31" i="3"/>
  <c r="S15" i="3"/>
  <c r="AQ7" i="3"/>
  <c r="D54" i="2"/>
  <c r="K55" i="2"/>
  <c r="O61" i="2"/>
  <c r="AB74" i="3"/>
  <c r="S12" i="3"/>
  <c r="L69" i="2"/>
  <c r="M81" i="2"/>
  <c r="X97" i="2"/>
  <c r="N40" i="2"/>
  <c r="L96" i="2"/>
  <c r="V44" i="2"/>
  <c r="AB73" i="3"/>
  <c r="Q89" i="2"/>
  <c r="E51" i="2"/>
  <c r="I55" i="2"/>
  <c r="R40" i="2"/>
  <c r="AP54" i="3"/>
  <c r="AB19" i="3"/>
  <c r="W40" i="3"/>
  <c r="J25" i="3"/>
  <c r="AG26" i="3"/>
  <c r="C8" i="3"/>
  <c r="AE6" i="3"/>
  <c r="U26" i="3"/>
  <c r="AD36" i="3"/>
  <c r="T9" i="3"/>
  <c r="AM19" i="3"/>
  <c r="AM15" i="3"/>
  <c r="AP66" i="3"/>
  <c r="AB38" i="3"/>
  <c r="AG8" i="3"/>
  <c r="J9" i="3"/>
  <c r="K14" i="3"/>
  <c r="AL35" i="3"/>
  <c r="N38" i="3"/>
  <c r="U18" i="3"/>
  <c r="AD29" i="3"/>
  <c r="W22" i="3"/>
  <c r="AN25" i="3"/>
  <c r="I14" i="3"/>
  <c r="T19" i="3"/>
  <c r="AK32" i="3"/>
  <c r="W30" i="3"/>
  <c r="C26" i="3"/>
  <c r="H13" i="3"/>
  <c r="Z24" i="3"/>
  <c r="L24" i="3"/>
  <c r="I20" i="3"/>
  <c r="AB35" i="3"/>
  <c r="P57" i="2"/>
  <c r="AQ18" i="3"/>
  <c r="H17" i="3"/>
  <c r="AB37" i="3"/>
  <c r="H32" i="3"/>
  <c r="AC26" i="3"/>
  <c r="I88" i="2"/>
  <c r="P25" i="3"/>
  <c r="U75" i="2"/>
  <c r="K40" i="3"/>
  <c r="AE19" i="3"/>
  <c r="AD48" i="3"/>
  <c r="Y8" i="3"/>
  <c r="AN18" i="3"/>
  <c r="U8" i="3"/>
  <c r="Z33" i="3"/>
  <c r="AB87" i="3"/>
  <c r="AM40" i="3"/>
  <c r="AB33" i="3"/>
  <c r="AB36" i="3"/>
  <c r="Q42" i="3"/>
  <c r="M16" i="3"/>
  <c r="U40" i="3"/>
  <c r="R62" i="2"/>
  <c r="O38" i="3"/>
  <c r="S17" i="3"/>
  <c r="AK20" i="3"/>
  <c r="AB7" i="3"/>
  <c r="AG41" i="3"/>
  <c r="AK25" i="3"/>
  <c r="AC15" i="3"/>
  <c r="M6" i="3"/>
  <c r="AN40" i="3"/>
  <c r="L12" i="3"/>
  <c r="AB32" i="3"/>
  <c r="U16" i="3"/>
  <c r="AE23" i="3"/>
  <c r="S8" i="3"/>
  <c r="Y27" i="3"/>
  <c r="AB49" i="3"/>
  <c r="U31" i="3"/>
  <c r="Y18" i="3"/>
  <c r="R39" i="3"/>
  <c r="AJ37" i="3"/>
  <c r="AI8" i="3"/>
  <c r="J30" i="3"/>
  <c r="AN5" i="3"/>
  <c r="AG14" i="3"/>
  <c r="AO42" i="3"/>
  <c r="L15" i="3"/>
  <c r="H23" i="3"/>
  <c r="AP41" i="3"/>
  <c r="W32" i="3"/>
  <c r="L28" i="3"/>
  <c r="AB10" i="3"/>
  <c r="AC12" i="3"/>
  <c r="C24" i="3"/>
  <c r="Z16" i="3"/>
  <c r="Y15" i="3"/>
  <c r="C89" i="2"/>
  <c r="AN30" i="3"/>
  <c r="T36" i="3"/>
  <c r="J72" i="2"/>
  <c r="V41" i="2"/>
  <c r="H66" i="2"/>
  <c r="N94" i="2"/>
  <c r="U98" i="2"/>
  <c r="I63" i="2"/>
  <c r="T46" i="2"/>
  <c r="G45" i="2"/>
  <c r="X52" i="2"/>
  <c r="X10" i="3"/>
  <c r="S85" i="2"/>
  <c r="T89" i="2"/>
  <c r="AE39" i="3"/>
  <c r="G107" i="2"/>
  <c r="D112" i="2"/>
  <c r="H110" i="2"/>
  <c r="W41" i="2"/>
  <c r="M57" i="2"/>
  <c r="M72" i="2"/>
  <c r="M48" i="2"/>
  <c r="F95" i="2"/>
  <c r="AN6" i="3"/>
  <c r="L19" i="3"/>
  <c r="O91" i="2"/>
  <c r="J42" i="3"/>
  <c r="K28" i="3"/>
  <c r="Y17" i="3"/>
  <c r="Z18" i="3"/>
  <c r="H85" i="2"/>
  <c r="AH31" i="3"/>
  <c r="R20" i="3"/>
  <c r="AA11" i="3"/>
  <c r="AP24" i="3"/>
  <c r="X23" i="3"/>
  <c r="D45" i="2"/>
  <c r="N79" i="2"/>
  <c r="AP72" i="3"/>
  <c r="AD20" i="3"/>
  <c r="AB30" i="3"/>
  <c r="AC14" i="3"/>
  <c r="AQ15" i="3"/>
  <c r="AN11" i="3"/>
  <c r="AJ40" i="3"/>
  <c r="U84" i="2"/>
  <c r="K51" i="2"/>
  <c r="S59" i="2"/>
  <c r="O108" i="2"/>
  <c r="AG39" i="3"/>
  <c r="I95" i="2"/>
  <c r="T68" i="2"/>
  <c r="I42" i="2"/>
  <c r="G66" i="2"/>
  <c r="V71" i="2"/>
  <c r="X56" i="2"/>
  <c r="S111" i="2"/>
  <c r="AB47" i="3"/>
  <c r="K74" i="2"/>
  <c r="G52" i="2"/>
  <c r="S83" i="2"/>
  <c r="I79" i="2"/>
  <c r="AB91" i="3"/>
  <c r="H5" i="3"/>
  <c r="AJ24" i="3"/>
  <c r="M20" i="3"/>
  <c r="Q19" i="3"/>
  <c r="AI28" i="3"/>
  <c r="N29" i="3"/>
  <c r="Y33" i="3"/>
  <c r="J5" i="3"/>
  <c r="Y35" i="3"/>
  <c r="AJ19" i="3"/>
  <c r="T27" i="3"/>
  <c r="AB76" i="3"/>
  <c r="AC27" i="3"/>
  <c r="AB29" i="3"/>
  <c r="AD26" i="3"/>
  <c r="X8" i="3"/>
  <c r="R16" i="3"/>
  <c r="V5" i="3"/>
  <c r="AI7" i="3"/>
  <c r="AE15" i="3"/>
  <c r="AI16" i="3"/>
  <c r="N35" i="3"/>
  <c r="W27" i="3"/>
  <c r="U35" i="3"/>
  <c r="C13" i="3"/>
  <c r="V36" i="3"/>
  <c r="X42" i="3"/>
  <c r="M15" i="3"/>
  <c r="R26" i="3"/>
  <c r="AH20" i="3"/>
  <c r="V42" i="3"/>
  <c r="C16" i="3"/>
  <c r="U64" i="2"/>
  <c r="W29" i="3"/>
  <c r="I38" i="3"/>
  <c r="O41" i="3"/>
  <c r="AN24" i="3"/>
  <c r="G38" i="3"/>
  <c r="L109" i="2"/>
  <c r="AI15" i="3"/>
  <c r="G104" i="2"/>
  <c r="AA12" i="3"/>
  <c r="R17" i="3"/>
  <c r="K6" i="3"/>
  <c r="AI25" i="3"/>
  <c r="AC35" i="3"/>
  <c r="O33" i="3"/>
  <c r="R28" i="3"/>
  <c r="N24" i="3"/>
  <c r="M32" i="3"/>
  <c r="N30" i="3"/>
  <c r="AL6" i="3"/>
  <c r="AC30" i="3"/>
  <c r="AB9" i="3"/>
  <c r="N25" i="3"/>
  <c r="D64" i="2"/>
  <c r="G37" i="3"/>
  <c r="M26" i="3"/>
  <c r="AA23" i="3"/>
  <c r="AM34" i="3"/>
  <c r="AL24" i="3"/>
  <c r="S28" i="3"/>
  <c r="O15" i="3"/>
  <c r="O30" i="3"/>
  <c r="AD25" i="3"/>
  <c r="K11" i="3"/>
  <c r="AQ16" i="3"/>
  <c r="H33" i="3"/>
  <c r="K17" i="3"/>
  <c r="K34" i="3"/>
  <c r="X18" i="3"/>
  <c r="AH23" i="3"/>
  <c r="AK29" i="3"/>
  <c r="H41" i="3"/>
  <c r="C12" i="3"/>
  <c r="AB26" i="3"/>
  <c r="AP39" i="3"/>
  <c r="K30" i="3"/>
  <c r="AQ34" i="3"/>
  <c r="AQ20" i="3"/>
  <c r="AI29" i="3"/>
  <c r="AQ10" i="3"/>
  <c r="AO13" i="3"/>
  <c r="T39" i="3"/>
  <c r="AP67" i="3"/>
  <c r="Z12" i="3"/>
  <c r="AC17" i="3"/>
  <c r="AD33" i="3"/>
  <c r="AA20" i="3"/>
  <c r="N33" i="3"/>
  <c r="N18" i="3"/>
  <c r="AB31" i="3"/>
  <c r="M37" i="3"/>
  <c r="AB16" i="3"/>
  <c r="AG19" i="3"/>
  <c r="AK6" i="3"/>
  <c r="W36" i="3"/>
  <c r="J83" i="2"/>
  <c r="J113" i="2"/>
  <c r="AK41" i="3"/>
  <c r="W88" i="2"/>
  <c r="D50" i="2"/>
  <c r="AQ36" i="3"/>
  <c r="AO31" i="3"/>
  <c r="AL25" i="3"/>
  <c r="T48" i="2"/>
  <c r="AJ16" i="3"/>
  <c r="AG40" i="3"/>
  <c r="AP97" i="3"/>
  <c r="F41" i="2"/>
  <c r="X51" i="2"/>
  <c r="AB64" i="3"/>
  <c r="Y22" i="3"/>
  <c r="U33" i="3"/>
  <c r="L40" i="3"/>
  <c r="AH34" i="3"/>
  <c r="AE12" i="3"/>
  <c r="Z13" i="3"/>
  <c r="AQ39" i="3"/>
  <c r="W26" i="3"/>
  <c r="AP47" i="3"/>
  <c r="AO37" i="3"/>
  <c r="Z23" i="3"/>
  <c r="Q18" i="3"/>
  <c r="N19" i="3"/>
  <c r="AE36" i="3"/>
  <c r="AG11" i="3"/>
  <c r="H78" i="2"/>
  <c r="M70" i="2"/>
  <c r="Q110" i="2"/>
  <c r="I112" i="2"/>
  <c r="F84" i="2"/>
  <c r="M88" i="2"/>
  <c r="F60" i="2"/>
  <c r="W113" i="2"/>
  <c r="X91" i="2"/>
  <c r="AA40" i="3"/>
  <c r="H65" i="2"/>
  <c r="K57" i="2"/>
  <c r="AA42" i="3"/>
  <c r="U82" i="2"/>
  <c r="N69" i="2"/>
  <c r="C67" i="2"/>
  <c r="F79" i="2"/>
  <c r="T50" i="2"/>
  <c r="C104" i="2"/>
  <c r="L95" i="2"/>
  <c r="R84" i="2"/>
  <c r="AI19" i="3"/>
  <c r="X27" i="3"/>
  <c r="K90" i="2"/>
  <c r="J8" i="3"/>
  <c r="AA26" i="3"/>
  <c r="X34" i="3"/>
  <c r="Y42" i="3"/>
  <c r="X89" i="2"/>
  <c r="AI24" i="3"/>
  <c r="AI31" i="3"/>
  <c r="I10" i="3"/>
  <c r="Q20" i="3"/>
  <c r="N41" i="3"/>
  <c r="W60" i="2"/>
  <c r="X43" i="2"/>
  <c r="AB95" i="3"/>
  <c r="Z11" i="3"/>
  <c r="P18" i="3"/>
  <c r="AI42" i="3"/>
  <c r="P31" i="3"/>
  <c r="AA22" i="3"/>
  <c r="G47" i="3"/>
  <c r="N58" i="2"/>
  <c r="W106" i="2"/>
  <c r="M68" i="2"/>
  <c r="F93" i="2"/>
  <c r="L32" i="3"/>
  <c r="P64" i="2"/>
  <c r="X69" i="2"/>
  <c r="W53" i="2"/>
  <c r="E52" i="2"/>
  <c r="K67" i="2"/>
  <c r="E56" i="2"/>
  <c r="E87" i="2"/>
  <c r="AP63" i="3"/>
  <c r="I82" i="2"/>
  <c r="P82" i="2"/>
  <c r="W110" i="2"/>
  <c r="S64" i="2"/>
  <c r="AM33" i="3"/>
  <c r="AB20" i="3"/>
  <c r="AP37" i="3"/>
  <c r="AD32" i="3"/>
  <c r="AC19" i="3"/>
  <c r="AG6" i="3"/>
  <c r="AN29" i="3"/>
  <c r="AD30" i="3"/>
  <c r="AL26" i="3"/>
  <c r="AE35" i="3"/>
  <c r="AK26" i="3"/>
  <c r="O34" i="3"/>
  <c r="AK31" i="3"/>
  <c r="AC37" i="3"/>
  <c r="L38" i="3"/>
  <c r="AM7" i="3"/>
  <c r="T29" i="3"/>
  <c r="S14" i="3"/>
  <c r="O12" i="3"/>
  <c r="X11" i="3"/>
  <c r="H73" i="2"/>
  <c r="L37" i="3"/>
  <c r="AK11" i="3"/>
  <c r="AC5" i="3"/>
  <c r="AG31" i="3"/>
  <c r="AG12" i="3"/>
  <c r="AN13" i="3"/>
  <c r="AA35" i="3"/>
  <c r="AK17" i="3"/>
  <c r="S23" i="3"/>
  <c r="AP32" i="3"/>
  <c r="P14" i="3"/>
  <c r="AA38" i="3"/>
  <c r="AP59" i="3"/>
  <c r="AG28" i="3"/>
  <c r="AE31" i="3"/>
  <c r="R30" i="3"/>
  <c r="L36" i="3"/>
  <c r="Z20" i="3"/>
  <c r="AB96" i="3"/>
  <c r="AH24" i="3"/>
  <c r="T57" i="2"/>
  <c r="Q31" i="3"/>
  <c r="C34" i="3"/>
  <c r="H10" i="3"/>
  <c r="T7" i="3"/>
  <c r="AK8" i="3"/>
  <c r="X19" i="3"/>
  <c r="V27" i="3"/>
  <c r="S31" i="3"/>
  <c r="H40" i="3"/>
  <c r="P19" i="3"/>
  <c r="AH26" i="3"/>
  <c r="AN39" i="3"/>
  <c r="AC41" i="3"/>
  <c r="AD19" i="3"/>
  <c r="D113" i="2"/>
  <c r="AJ41" i="3"/>
  <c r="C15" i="3"/>
  <c r="AH32" i="3"/>
  <c r="AB28" i="3"/>
  <c r="N12" i="3"/>
  <c r="Z27" i="3"/>
  <c r="Q29" i="3"/>
  <c r="W35" i="3"/>
  <c r="P42" i="3"/>
  <c r="K31" i="3"/>
  <c r="S10" i="3"/>
  <c r="AP21" i="3"/>
  <c r="D49" i="3"/>
  <c r="H8" i="3"/>
  <c r="AJ7" i="3"/>
  <c r="E49" i="3"/>
  <c r="AL17" i="3"/>
  <c r="Z6" i="3"/>
  <c r="M13" i="3"/>
  <c r="V7" i="3"/>
  <c r="H16" i="3"/>
  <c r="AA29" i="3"/>
  <c r="K32" i="3"/>
  <c r="AI33" i="3"/>
  <c r="AE13" i="3"/>
  <c r="H29" i="3"/>
  <c r="AJ8" i="3"/>
  <c r="AH5" i="3"/>
  <c r="P39" i="3"/>
  <c r="C22" i="3"/>
  <c r="AI32" i="3"/>
  <c r="S39" i="3"/>
  <c r="M28" i="3"/>
  <c r="AM6" i="3"/>
  <c r="Q11" i="3"/>
  <c r="AD49" i="3"/>
  <c r="AM37" i="3"/>
  <c r="AG29" i="3"/>
  <c r="AG5" i="3"/>
  <c r="U7" i="3"/>
  <c r="AO41" i="3"/>
  <c r="O70" i="2"/>
  <c r="C75" i="2"/>
  <c r="J41" i="2"/>
  <c r="N104" i="2"/>
  <c r="I58" i="2"/>
  <c r="V38" i="3"/>
  <c r="X90" i="2"/>
  <c r="X104" i="2"/>
  <c r="F81" i="2"/>
  <c r="D58" i="2"/>
  <c r="I18" i="3"/>
  <c r="AP26" i="3"/>
  <c r="P12" i="3"/>
  <c r="AH42" i="3"/>
  <c r="AH9" i="3"/>
  <c r="I75" i="2"/>
  <c r="Y16" i="3"/>
  <c r="M10" i="3"/>
  <c r="V70" i="2"/>
  <c r="X109" i="2"/>
  <c r="W44" i="2"/>
  <c r="N47" i="2"/>
  <c r="H24" i="3"/>
  <c r="V33" i="3"/>
  <c r="V28" i="3"/>
  <c r="AH19" i="3"/>
  <c r="R8" i="3"/>
  <c r="R47" i="2"/>
  <c r="K21" i="3"/>
  <c r="O31" i="3"/>
  <c r="AC29" i="3"/>
  <c r="G33" i="3"/>
  <c r="Z9" i="3"/>
  <c r="M21" i="3"/>
  <c r="H14" i="3"/>
  <c r="AM17" i="3"/>
  <c r="S19" i="3"/>
  <c r="AD39" i="3"/>
  <c r="J104" i="2"/>
  <c r="F98" i="2"/>
  <c r="U76" i="2"/>
  <c r="H52" i="2"/>
  <c r="C50" i="2"/>
  <c r="G90" i="2"/>
  <c r="R93" i="2"/>
  <c r="L113" i="2"/>
  <c r="P52" i="2"/>
  <c r="L14" i="3"/>
  <c r="K44" i="2"/>
  <c r="O88" i="2"/>
  <c r="T22" i="3"/>
  <c r="O81" i="2"/>
  <c r="F58" i="2"/>
  <c r="P42" i="2"/>
  <c r="J77" i="2"/>
  <c r="L51" i="2"/>
  <c r="F77" i="2"/>
  <c r="N84" i="2"/>
  <c r="V109" i="2"/>
  <c r="X29" i="3"/>
  <c r="U24" i="3"/>
  <c r="L108" i="2"/>
  <c r="AN14" i="3"/>
  <c r="J11" i="3"/>
  <c r="AP34" i="3"/>
  <c r="AA15" i="3"/>
  <c r="O65" i="2"/>
  <c r="U19" i="3"/>
  <c r="L22" i="3"/>
  <c r="R21" i="3"/>
  <c r="AL14" i="3"/>
  <c r="AO27" i="3"/>
  <c r="O87" i="2"/>
  <c r="N110" i="2"/>
  <c r="G36" i="3"/>
  <c r="Y39" i="3"/>
  <c r="AC25" i="3"/>
  <c r="AL38" i="3"/>
  <c r="Q15" i="3"/>
  <c r="V21" i="3"/>
  <c r="I17" i="3"/>
  <c r="K104" i="2"/>
  <c r="E54" i="2"/>
  <c r="W86" i="2"/>
  <c r="AP84" i="3"/>
  <c r="AJ31" i="3"/>
  <c r="D108" i="2"/>
  <c r="R89" i="2"/>
  <c r="M109" i="2"/>
  <c r="G99" i="2"/>
  <c r="V94" i="2"/>
  <c r="D104" i="2"/>
  <c r="Q73" i="2"/>
  <c r="AB54" i="3"/>
  <c r="V80" i="2"/>
  <c r="P43" i="2"/>
  <c r="T86" i="2"/>
  <c r="M42" i="2"/>
  <c r="J36" i="3"/>
  <c r="AA25" i="3"/>
  <c r="T34" i="3"/>
  <c r="M25" i="3"/>
  <c r="AI34" i="3"/>
  <c r="AJ34" i="3"/>
  <c r="AL21" i="3"/>
  <c r="J20" i="3"/>
  <c r="C20" i="3"/>
  <c r="AQ5" i="3"/>
  <c r="U38" i="3"/>
  <c r="Z17" i="3"/>
  <c r="P34" i="3"/>
  <c r="AN27" i="3"/>
  <c r="Y37" i="3"/>
  <c r="AA7" i="3"/>
  <c r="AJ10" i="3"/>
  <c r="K25" i="3"/>
  <c r="J34" i="3"/>
  <c r="V39" i="3"/>
  <c r="Q60" i="2"/>
  <c r="AE25" i="3"/>
  <c r="AO32" i="3"/>
  <c r="M38" i="3"/>
  <c r="U34" i="3"/>
  <c r="P26" i="3"/>
  <c r="AK18" i="3"/>
  <c r="C28" i="3"/>
  <c r="AJ30" i="3"/>
  <c r="O26" i="3"/>
  <c r="V15" i="3"/>
  <c r="AH39" i="3"/>
  <c r="L76" i="2"/>
  <c r="W5" i="3"/>
  <c r="O95" i="2"/>
  <c r="I37" i="3"/>
  <c r="N21" i="3"/>
  <c r="H7" i="3"/>
  <c r="Q21" i="3"/>
  <c r="AP12" i="3"/>
  <c r="AE7" i="3"/>
  <c r="F69" i="2"/>
  <c r="W34" i="3"/>
  <c r="U28" i="3"/>
  <c r="U23" i="3"/>
  <c r="S6" i="3"/>
  <c r="T38" i="3"/>
  <c r="Q17" i="3"/>
  <c r="AQ21" i="3"/>
  <c r="AD35" i="3"/>
  <c r="K23" i="3"/>
  <c r="R10" i="3"/>
  <c r="AJ26" i="3"/>
  <c r="H31" i="3"/>
  <c r="P9" i="3"/>
  <c r="C14" i="3"/>
  <c r="U113" i="2"/>
  <c r="AO21" i="3"/>
  <c r="T16" i="3"/>
  <c r="AJ12" i="3"/>
  <c r="N6" i="3"/>
  <c r="AG24" i="3"/>
  <c r="AO8" i="3"/>
  <c r="R6" i="3"/>
  <c r="N8" i="3"/>
  <c r="V6" i="3"/>
  <c r="Y9" i="3"/>
  <c r="R12" i="3"/>
  <c r="U13" i="3"/>
  <c r="I31" i="3"/>
  <c r="AC34" i="3"/>
  <c r="AA27" i="3"/>
  <c r="AJ25" i="3"/>
  <c r="AB15" i="3"/>
  <c r="AE32" i="3"/>
  <c r="L20" i="3"/>
  <c r="AO29" i="3"/>
  <c r="AK35" i="3"/>
  <c r="Z5" i="3"/>
  <c r="AN41" i="3"/>
  <c r="S13" i="3"/>
  <c r="AE22" i="3"/>
  <c r="J31" i="3"/>
  <c r="AE5" i="3"/>
  <c r="AM38" i="3"/>
  <c r="AG42" i="3"/>
  <c r="V18" i="3"/>
  <c r="AQ22" i="3"/>
  <c r="U39" i="3"/>
  <c r="R31" i="3"/>
  <c r="I32" i="3"/>
  <c r="M18" i="3"/>
  <c r="AL11" i="3"/>
  <c r="O25" i="3"/>
  <c r="C35" i="3"/>
  <c r="AQ35" i="3"/>
  <c r="M24" i="3"/>
  <c r="V52" i="2"/>
  <c r="I54" i="2"/>
  <c r="F62" i="2"/>
  <c r="M113" i="2"/>
  <c r="S65" i="2"/>
  <c r="S63" i="2"/>
  <c r="I40" i="2"/>
  <c r="H15" i="3"/>
  <c r="K52" i="2"/>
  <c r="C97" i="2"/>
  <c r="AH38" i="3"/>
  <c r="X30" i="3"/>
  <c r="U36" i="3"/>
  <c r="R56" i="2"/>
  <c r="N52" i="2"/>
  <c r="F57" i="2"/>
  <c r="S47" i="2"/>
  <c r="V91" i="2"/>
  <c r="G42" i="3"/>
  <c r="O32" i="3"/>
  <c r="J81" i="2"/>
  <c r="AK42" i="3"/>
  <c r="R107" i="2"/>
  <c r="AJ28" i="3"/>
  <c r="AL18" i="3"/>
  <c r="AP74" i="3"/>
  <c r="AK33" i="3"/>
  <c r="L41" i="3"/>
  <c r="Z36" i="3"/>
  <c r="S29" i="3"/>
  <c r="H38" i="3"/>
  <c r="L7" i="3"/>
  <c r="V14" i="3"/>
  <c r="H81" i="2"/>
  <c r="H76" i="2"/>
  <c r="R42" i="2"/>
  <c r="K85" i="2"/>
  <c r="L68" i="2"/>
  <c r="H74" i="2"/>
  <c r="L66" i="2"/>
  <c r="Q106" i="2"/>
  <c r="F88" i="2"/>
  <c r="W10" i="3"/>
  <c r="L110" i="2"/>
  <c r="L78" i="2"/>
  <c r="Q9" i="3"/>
  <c r="G82" i="2"/>
  <c r="O66" i="2"/>
  <c r="J94" i="2"/>
  <c r="X112" i="2"/>
  <c r="H44" i="2"/>
  <c r="P90" i="2"/>
  <c r="I76" i="2"/>
  <c r="AB66" i="3"/>
  <c r="M45" i="2"/>
  <c r="J38" i="3"/>
  <c r="V45" i="2"/>
  <c r="I30" i="3"/>
  <c r="G110" i="2"/>
  <c r="L26" i="3"/>
  <c r="P36" i="3"/>
  <c r="H90" i="2"/>
  <c r="M36" i="3"/>
  <c r="AQ14" i="3"/>
  <c r="R41" i="3"/>
  <c r="C18" i="3"/>
  <c r="N27" i="3"/>
  <c r="E57" i="2"/>
  <c r="G69" i="2"/>
  <c r="AD37" i="3"/>
  <c r="AN35" i="3"/>
  <c r="AB24" i="3"/>
  <c r="AQ30" i="3"/>
  <c r="Q12" i="3"/>
  <c r="AI40" i="3"/>
  <c r="AN15" i="3"/>
  <c r="C42" i="2"/>
  <c r="O53" i="2"/>
  <c r="C66" i="2"/>
  <c r="AB50" i="3"/>
  <c r="AE10" i="3"/>
  <c r="T90" i="2"/>
  <c r="O63" i="2"/>
  <c r="G49" i="2"/>
  <c r="X98" i="2"/>
  <c r="Q79" i="2"/>
  <c r="X111" i="2"/>
  <c r="N57" i="2"/>
  <c r="T23" i="3"/>
  <c r="W92" i="2"/>
  <c r="J58" i="2"/>
  <c r="V97" i="2"/>
  <c r="AP75" i="3"/>
  <c r="AO33" i="3"/>
  <c r="AP19" i="3"/>
  <c r="Y11" i="3"/>
  <c r="V29" i="3"/>
  <c r="J15" i="3"/>
  <c r="AN19" i="3"/>
  <c r="J29" i="3"/>
  <c r="AN38" i="3"/>
  <c r="T37" i="3"/>
  <c r="AA18" i="3"/>
  <c r="R5" i="3"/>
  <c r="G53" i="2"/>
  <c r="R35" i="3"/>
  <c r="AB21" i="3"/>
  <c r="AA33" i="3"/>
  <c r="AP42" i="3"/>
  <c r="K7" i="3"/>
  <c r="AA19" i="3"/>
  <c r="S41" i="3"/>
  <c r="R22" i="3"/>
  <c r="AB72" i="3"/>
  <c r="AB34" i="3"/>
  <c r="AG38" i="3"/>
  <c r="C6" i="3"/>
  <c r="U10" i="3"/>
  <c r="N37" i="3"/>
  <c r="AA24" i="3"/>
  <c r="Q36" i="3"/>
  <c r="AP16" i="3"/>
  <c r="Y26" i="3"/>
  <c r="T10" i="3"/>
  <c r="AK15" i="3"/>
  <c r="W112" i="2"/>
  <c r="AH33" i="3"/>
  <c r="F59" i="2"/>
  <c r="L29" i="3"/>
  <c r="AQ9" i="3"/>
  <c r="AL7" i="3"/>
  <c r="AI14" i="3"/>
  <c r="AC39" i="3"/>
  <c r="AI5" i="3"/>
  <c r="T8" i="3"/>
  <c r="AG27" i="3"/>
  <c r="O7" i="3"/>
  <c r="AI18" i="3"/>
  <c r="W17" i="3"/>
  <c r="S25" i="3"/>
  <c r="AO22" i="3"/>
  <c r="V104" i="2"/>
  <c r="J37" i="3"/>
  <c r="AP9" i="3"/>
  <c r="J32" i="3"/>
  <c r="AJ35" i="3"/>
  <c r="D47" i="3"/>
  <c r="AH12" i="3"/>
  <c r="C29" i="3"/>
  <c r="AN33" i="3"/>
  <c r="V9" i="3"/>
  <c r="AK36" i="3"/>
  <c r="J13" i="3"/>
  <c r="Q24" i="3"/>
  <c r="Q8" i="3"/>
  <c r="AC24" i="3"/>
  <c r="K42" i="3"/>
  <c r="AG34" i="3"/>
  <c r="R27" i="3"/>
  <c r="AL5" i="3"/>
  <c r="AG25" i="3"/>
  <c r="J7" i="3"/>
  <c r="AC28" i="3"/>
  <c r="L16" i="3"/>
  <c r="N75" i="2"/>
  <c r="N39" i="3"/>
  <c r="N109" i="2"/>
  <c r="I16" i="3"/>
  <c r="O20" i="3"/>
  <c r="AA10" i="3"/>
  <c r="AN10" i="3"/>
  <c r="S22" i="3"/>
  <c r="J35" i="3"/>
  <c r="AQ37" i="3"/>
  <c r="AI23" i="3"/>
  <c r="AG16" i="3"/>
  <c r="AI20" i="3"/>
  <c r="T75" i="2"/>
  <c r="AQ38" i="3"/>
  <c r="H9" i="3"/>
  <c r="Y7" i="3"/>
  <c r="Z22" i="3"/>
  <c r="AD42" i="3"/>
  <c r="K37" i="3"/>
  <c r="Q7" i="3"/>
  <c r="AG23" i="3"/>
  <c r="AO35" i="3"/>
  <c r="AG7" i="3"/>
  <c r="AL19" i="3"/>
  <c r="AG22" i="3"/>
  <c r="AJ33" i="3"/>
  <c r="C33" i="3"/>
  <c r="Y32" i="3"/>
  <c r="J40" i="3"/>
  <c r="W14" i="3"/>
  <c r="X32" i="3"/>
  <c r="T11" i="3"/>
  <c r="W42" i="3"/>
  <c r="O79" i="2"/>
  <c r="W6" i="3"/>
  <c r="X22" i="3"/>
  <c r="X39" i="3"/>
  <c r="K22" i="3"/>
  <c r="X25" i="3"/>
  <c r="O14" i="3"/>
  <c r="X38" i="3"/>
  <c r="P38" i="3"/>
  <c r="AM42" i="3"/>
  <c r="G50" i="3"/>
  <c r="N7" i="3"/>
  <c r="AK19" i="3"/>
  <c r="AJ18" i="3"/>
  <c r="AD31" i="3"/>
  <c r="AC32" i="3"/>
  <c r="O44" i="2"/>
  <c r="S11" i="3"/>
  <c r="Z29" i="3"/>
  <c r="AJ21" i="3"/>
  <c r="X33" i="3"/>
  <c r="U37" i="3"/>
  <c r="AA30" i="3"/>
  <c r="AM29" i="3"/>
  <c r="T17" i="3"/>
  <c r="Q6" i="3"/>
  <c r="Y6" i="3"/>
  <c r="V11" i="3"/>
  <c r="R11" i="3"/>
  <c r="S40" i="3"/>
  <c r="AQ42" i="3"/>
  <c r="C11" i="3"/>
  <c r="AK38" i="3"/>
  <c r="AO14" i="3"/>
  <c r="AK7" i="3"/>
  <c r="AO26" i="3"/>
  <c r="BH176" i="1" l="1"/>
  <c r="B163" i="1"/>
  <c r="B157" i="1"/>
  <c r="B185" i="1" s="1"/>
  <c r="U202" i="1"/>
  <c r="D149" i="1"/>
  <c r="K195" i="1"/>
  <c r="M155" i="1"/>
  <c r="T105" i="1"/>
  <c r="M176" i="1"/>
  <c r="M211" i="1" s="1"/>
  <c r="U177" i="1"/>
  <c r="E203" i="1"/>
  <c r="W153" i="1"/>
  <c r="K191" i="1"/>
  <c r="T181" i="1"/>
  <c r="L155" i="1"/>
  <c r="F195" i="1"/>
  <c r="L149" i="1"/>
  <c r="C149" i="1"/>
  <c r="E168" i="1"/>
  <c r="N110" i="1"/>
  <c r="N135" i="1" s="1"/>
  <c r="N155" i="1"/>
  <c r="S163" i="1"/>
  <c r="W201" i="1"/>
  <c r="U195" i="1"/>
  <c r="W167" i="1"/>
  <c r="T164" i="1"/>
  <c r="S98" i="1"/>
  <c r="R164" i="1"/>
  <c r="H174" i="1"/>
  <c r="L110" i="1"/>
  <c r="C109" i="1"/>
  <c r="V104" i="1"/>
  <c r="M186" i="1"/>
  <c r="B110" i="1"/>
  <c r="B158" i="1"/>
  <c r="D176" i="1"/>
  <c r="D211" i="1" s="1"/>
  <c r="O153" i="1"/>
  <c r="R202" i="1"/>
  <c r="B202" i="1"/>
  <c r="Q180" i="1"/>
  <c r="D191" i="1"/>
  <c r="P155" i="1"/>
  <c r="J163" i="1"/>
  <c r="I168" i="1"/>
  <c r="F181" i="1"/>
  <c r="J164" i="1"/>
  <c r="H177" i="1"/>
  <c r="W184" i="1"/>
  <c r="G175" i="1"/>
  <c r="G210" i="1" s="1"/>
  <c r="R184" i="1"/>
  <c r="R214" i="1" s="1"/>
  <c r="K168" i="1"/>
  <c r="N180" i="1"/>
  <c r="G203" i="1"/>
  <c r="J108" i="1"/>
  <c r="V182" i="1"/>
  <c r="U153" i="1"/>
  <c r="W104" i="1"/>
  <c r="T110" i="1"/>
  <c r="T118" i="1" s="1"/>
  <c r="P181" i="1"/>
  <c r="B177" i="1"/>
  <c r="G176" i="1"/>
  <c r="G211" i="1" s="1"/>
  <c r="O176" i="1"/>
  <c r="O211" i="1" s="1"/>
  <c r="P174" i="1"/>
  <c r="C105" i="1"/>
  <c r="T109" i="1"/>
  <c r="T134" i="1" s="1"/>
  <c r="M163" i="1"/>
  <c r="T201" i="1"/>
  <c r="I202" i="1"/>
  <c r="D156" i="1"/>
  <c r="F175" i="1"/>
  <c r="F210" i="1" s="1"/>
  <c r="V177" i="1"/>
  <c r="O158" i="1"/>
  <c r="F177" i="1"/>
  <c r="J176" i="1"/>
  <c r="J211" i="1" s="1"/>
  <c r="B181" i="1"/>
  <c r="M168" i="1"/>
  <c r="F164" i="1"/>
  <c r="L168" i="1"/>
  <c r="F191" i="1"/>
  <c r="G153" i="1"/>
  <c r="D157" i="1"/>
  <c r="D185" i="1" s="1"/>
  <c r="S186" i="1"/>
  <c r="C148" i="1"/>
  <c r="I153" i="1"/>
  <c r="O156" i="1"/>
  <c r="J195" i="1"/>
  <c r="W191" i="1"/>
  <c r="F166" i="1"/>
  <c r="F162" i="1" s="1"/>
  <c r="D104" i="1"/>
  <c r="S194" i="1"/>
  <c r="R149" i="1"/>
  <c r="K149" i="1"/>
  <c r="J174" i="1"/>
  <c r="Q167" i="1"/>
  <c r="H203" i="1"/>
  <c r="W178" i="1"/>
  <c r="H190" i="1"/>
  <c r="C167" i="1"/>
  <c r="J148" i="1"/>
  <c r="M184" i="1"/>
  <c r="M214" i="1" s="1"/>
  <c r="F149" i="1"/>
  <c r="L164" i="1"/>
  <c r="O98" i="1"/>
  <c r="E153" i="1"/>
  <c r="C190" i="1"/>
  <c r="F168" i="1"/>
  <c r="W166" i="1"/>
  <c r="W162" i="1" s="1"/>
  <c r="O182" i="1"/>
  <c r="O186" i="1"/>
  <c r="C108" i="1"/>
  <c r="M171" i="1"/>
  <c r="L158" i="1"/>
  <c r="M98" i="1"/>
  <c r="M99" i="1" s="1"/>
  <c r="E176" i="1"/>
  <c r="E211" i="1" s="1"/>
  <c r="T98" i="1"/>
  <c r="T99" i="1" s="1"/>
  <c r="C158" i="1"/>
  <c r="G186" i="1"/>
  <c r="D174" i="1"/>
  <c r="K108" i="1"/>
  <c r="K133" i="1" s="1"/>
  <c r="S182" i="1"/>
  <c r="T150" i="1"/>
  <c r="N168" i="1"/>
  <c r="I181" i="1"/>
  <c r="P180" i="1"/>
  <c r="F201" i="1"/>
  <c r="T166" i="1"/>
  <c r="T162" i="1" s="1"/>
  <c r="Q109" i="1"/>
  <c r="Q120" i="1" s="1"/>
  <c r="U167" i="1"/>
  <c r="Q153" i="1"/>
  <c r="G163" i="1"/>
  <c r="H98" i="1"/>
  <c r="H99" i="1" s="1"/>
  <c r="V166" i="1"/>
  <c r="V162" i="1" s="1"/>
  <c r="V164" i="1"/>
  <c r="B178" i="1"/>
  <c r="E201" i="1"/>
  <c r="R158" i="1"/>
  <c r="H181" i="1"/>
  <c r="B191" i="1"/>
  <c r="U176" i="1"/>
  <c r="U211" i="1" s="1"/>
  <c r="U110" i="1"/>
  <c r="U118" i="1" s="1"/>
  <c r="S104" i="1"/>
  <c r="B98" i="1"/>
  <c r="J201" i="1"/>
  <c r="D105" i="1"/>
  <c r="S166" i="1"/>
  <c r="S162" i="1" s="1"/>
  <c r="C168" i="1"/>
  <c r="P166" i="1"/>
  <c r="P162" i="1" s="1"/>
  <c r="S203" i="1"/>
  <c r="L163" i="1"/>
  <c r="N182" i="1"/>
  <c r="O194" i="1"/>
  <c r="L167" i="1"/>
  <c r="P173" i="1"/>
  <c r="G108" i="1"/>
  <c r="V153" i="1"/>
  <c r="J191" i="1"/>
  <c r="G178" i="1"/>
  <c r="F178" i="1"/>
  <c r="C150" i="1"/>
  <c r="V175" i="1"/>
  <c r="V210" i="1" s="1"/>
  <c r="I194" i="1"/>
  <c r="L181" i="1"/>
  <c r="V98" i="1"/>
  <c r="V99" i="1" s="1"/>
  <c r="C174" i="1"/>
  <c r="G110" i="1"/>
  <c r="F194" i="1"/>
  <c r="J104" i="1"/>
  <c r="I176" i="1"/>
  <c r="I211" i="1" s="1"/>
  <c r="G167" i="1"/>
  <c r="R98" i="1"/>
  <c r="R99" i="1" s="1"/>
  <c r="W150" i="1"/>
  <c r="W157" i="1"/>
  <c r="W185" i="1" s="1"/>
  <c r="Q174" i="1"/>
  <c r="Q150" i="1"/>
  <c r="B94" i="1"/>
  <c r="D178" i="1"/>
  <c r="J186" i="1"/>
  <c r="B195" i="1"/>
  <c r="F184" i="1"/>
  <c r="F214" i="1" s="1"/>
  <c r="R182" i="1"/>
  <c r="R195" i="1"/>
  <c r="N177" i="1"/>
  <c r="R155" i="1"/>
  <c r="O203" i="1"/>
  <c r="F157" i="1"/>
  <c r="F185" i="1" s="1"/>
  <c r="G168" i="1"/>
  <c r="M194" i="1"/>
  <c r="M177" i="1"/>
  <c r="G149" i="1"/>
  <c r="R105" i="1"/>
  <c r="I156" i="1"/>
  <c r="E158" i="1"/>
  <c r="G155" i="1"/>
  <c r="O166" i="1"/>
  <c r="O162" i="1" s="1"/>
  <c r="P178" i="1"/>
  <c r="T203" i="1"/>
  <c r="F158" i="1"/>
  <c r="P149" i="1"/>
  <c r="S171" i="1"/>
  <c r="Q171" i="1"/>
  <c r="B190" i="1"/>
  <c r="B192" i="1" s="1"/>
  <c r="C240" i="1" s="1"/>
  <c r="C94" i="1"/>
  <c r="T108" i="1"/>
  <c r="S158" i="1"/>
  <c r="W156" i="1"/>
  <c r="L190" i="1"/>
  <c r="I166" i="1"/>
  <c r="I162" i="1" s="1"/>
  <c r="J171" i="1"/>
  <c r="K164" i="1"/>
  <c r="H153" i="1"/>
  <c r="N164" i="1"/>
  <c r="B176" i="1"/>
  <c r="B211" i="1" s="1"/>
  <c r="R190" i="1"/>
  <c r="B203" i="1"/>
  <c r="H157" i="1"/>
  <c r="H185" i="1" s="1"/>
  <c r="M105" i="1"/>
  <c r="E164" i="1"/>
  <c r="M190" i="1"/>
  <c r="D158" i="1"/>
  <c r="P109" i="1"/>
  <c r="B182" i="1"/>
  <c r="E177" i="1"/>
  <c r="L177" i="1"/>
  <c r="V191" i="1"/>
  <c r="W182" i="1"/>
  <c r="C202" i="1"/>
  <c r="M149" i="1"/>
  <c r="U203" i="1"/>
  <c r="L173" i="1"/>
  <c r="I201" i="1"/>
  <c r="C176" i="1"/>
  <c r="C211" i="1" s="1"/>
  <c r="N104" i="1"/>
  <c r="W109" i="1"/>
  <c r="K178" i="1"/>
  <c r="L202" i="1"/>
  <c r="M108" i="1"/>
  <c r="M116" i="1" s="1"/>
  <c r="R148" i="1"/>
  <c r="F163" i="1"/>
  <c r="M166" i="1"/>
  <c r="M162" i="1" s="1"/>
  <c r="C164" i="1"/>
  <c r="N203" i="1"/>
  <c r="W158" i="1"/>
  <c r="H149" i="1"/>
  <c r="T104" i="1"/>
  <c r="J167" i="1"/>
  <c r="B167" i="1"/>
  <c r="L109" i="1"/>
  <c r="D173" i="1"/>
  <c r="Q173" i="1"/>
  <c r="L150" i="1"/>
  <c r="L195" i="1"/>
  <c r="G182" i="1"/>
  <c r="B184" i="1"/>
  <c r="B214" i="1" s="1"/>
  <c r="U155" i="1"/>
  <c r="D203" i="1"/>
  <c r="Q175" i="1"/>
  <c r="Q210" i="1" s="1"/>
  <c r="E109" i="1"/>
  <c r="I164" i="1"/>
  <c r="U104" i="1"/>
  <c r="W175" i="1"/>
  <c r="D180" i="1"/>
  <c r="D95" i="1"/>
  <c r="I105" i="1"/>
  <c r="N178" i="1"/>
  <c r="M195" i="1"/>
  <c r="U148" i="1"/>
  <c r="H150" i="1"/>
  <c r="I157" i="1"/>
  <c r="I185" i="1" s="1"/>
  <c r="D109" i="1"/>
  <c r="U158" i="1"/>
  <c r="S195" i="1"/>
  <c r="E184" i="1"/>
  <c r="E214" i="1" s="1"/>
  <c r="E150" i="1"/>
  <c r="V148" i="1"/>
  <c r="M202" i="1"/>
  <c r="P190" i="1"/>
  <c r="P192" i="1" s="1"/>
  <c r="Q240" i="1" s="1"/>
  <c r="E104" i="1"/>
  <c r="F180" i="1"/>
  <c r="I149" i="1"/>
  <c r="C104" i="1"/>
  <c r="U163" i="1"/>
  <c r="B95" i="1"/>
  <c r="T176" i="1"/>
  <c r="T211" i="1" s="1"/>
  <c r="C171" i="1"/>
  <c r="G171" i="1"/>
  <c r="D195" i="1"/>
  <c r="S157" i="1"/>
  <c r="S185" i="1" s="1"/>
  <c r="D167" i="1"/>
  <c r="N181" i="1"/>
  <c r="P104" i="1"/>
  <c r="T202" i="1"/>
  <c r="S148" i="1"/>
  <c r="M150" i="1"/>
  <c r="O150" i="1"/>
  <c r="J156" i="1"/>
  <c r="S108" i="1"/>
  <c r="S133" i="1" s="1"/>
  <c r="S155" i="1"/>
  <c r="K174" i="1"/>
  <c r="L174" i="1"/>
  <c r="B166" i="1"/>
  <c r="D184" i="1"/>
  <c r="D214" i="1" s="1"/>
  <c r="R173" i="1"/>
  <c r="N98" i="1"/>
  <c r="N99" i="1" s="1"/>
  <c r="B108" i="1"/>
  <c r="K194" i="1"/>
  <c r="H104" i="1"/>
  <c r="K158" i="1"/>
  <c r="B162" i="1"/>
  <c r="I174" i="1"/>
  <c r="K177" i="1"/>
  <c r="L104" i="1"/>
  <c r="P164" i="1"/>
  <c r="V181" i="1"/>
  <c r="V168" i="1"/>
  <c r="Q178" i="1"/>
  <c r="Q195" i="1"/>
  <c r="M110" i="1"/>
  <c r="R171" i="1"/>
  <c r="R153" i="1"/>
  <c r="Q203" i="1"/>
  <c r="Q155" i="1"/>
  <c r="P148" i="1"/>
  <c r="W168" i="1"/>
  <c r="P177" i="1"/>
  <c r="N163" i="1"/>
  <c r="V108" i="1"/>
  <c r="V133" i="1" s="1"/>
  <c r="Q105" i="1"/>
  <c r="I167" i="1"/>
  <c r="C157" i="1"/>
  <c r="C185" i="1" s="1"/>
  <c r="D110" i="1"/>
  <c r="R175" i="1"/>
  <c r="R210" i="1" s="1"/>
  <c r="B109" i="1"/>
  <c r="V178" i="1"/>
  <c r="W149" i="1"/>
  <c r="O110" i="1"/>
  <c r="U180" i="1"/>
  <c r="F167" i="1"/>
  <c r="R180" i="1"/>
  <c r="F182" i="1"/>
  <c r="G158" i="1"/>
  <c r="K186" i="1"/>
  <c r="L148" i="1"/>
  <c r="W181" i="1"/>
  <c r="M182" i="1"/>
  <c r="J181" i="1"/>
  <c r="I175" i="1"/>
  <c r="I210" i="1" s="1"/>
  <c r="F203" i="1"/>
  <c r="D186" i="1"/>
  <c r="M174" i="1"/>
  <c r="K110" i="1"/>
  <c r="N166" i="1"/>
  <c r="N162" i="1" s="1"/>
  <c r="R109" i="1"/>
  <c r="R156" i="1"/>
  <c r="N153" i="1"/>
  <c r="G177" i="1"/>
  <c r="R203" i="1"/>
  <c r="D181" i="1"/>
  <c r="W202" i="1"/>
  <c r="U175" i="1"/>
  <c r="T174" i="1"/>
  <c r="K175" i="1"/>
  <c r="K210" i="1" s="1"/>
  <c r="C184" i="1"/>
  <c r="C214" i="1" s="1"/>
  <c r="E181" i="1"/>
  <c r="H166" i="1"/>
  <c r="H162" i="1" s="1"/>
  <c r="G173" i="1"/>
  <c r="B186" i="1"/>
  <c r="J98" i="1"/>
  <c r="J99" i="1" s="1"/>
  <c r="T195" i="1"/>
  <c r="F98" i="1"/>
  <c r="F99" i="1" s="1"/>
  <c r="D171" i="1"/>
  <c r="Q104" i="1"/>
  <c r="T180" i="1"/>
  <c r="Q194" i="1"/>
  <c r="J173" i="1"/>
  <c r="T157" i="1"/>
  <c r="T185" i="1" s="1"/>
  <c r="T163" i="1"/>
  <c r="R194" i="1"/>
  <c r="B153" i="1"/>
  <c r="E156" i="1"/>
  <c r="E166" i="1"/>
  <c r="E162" i="1" s="1"/>
  <c r="G174" i="1"/>
  <c r="L182" i="1"/>
  <c r="J168" i="1"/>
  <c r="I177" i="1"/>
  <c r="C166" i="1"/>
  <c r="U184" i="1"/>
  <c r="U214" i="1" s="1"/>
  <c r="H180" i="1"/>
  <c r="F202" i="1"/>
  <c r="P203" i="1"/>
  <c r="V184" i="1"/>
  <c r="V214" i="1" s="1"/>
  <c r="T168" i="1"/>
  <c r="S177" i="1"/>
  <c r="H163" i="1"/>
  <c r="H155" i="1"/>
  <c r="Q164" i="1"/>
  <c r="L194" i="1"/>
  <c r="N173" i="1"/>
  <c r="U171" i="1"/>
  <c r="I163" i="1"/>
  <c r="W98" i="1"/>
  <c r="R167" i="1"/>
  <c r="B150" i="1"/>
  <c r="V201" i="1"/>
  <c r="I108" i="1"/>
  <c r="I133" i="1" s="1"/>
  <c r="M178" i="1"/>
  <c r="E167" i="1"/>
  <c r="S167" i="1"/>
  <c r="K153" i="1"/>
  <c r="V109" i="1"/>
  <c r="P156" i="1"/>
  <c r="G180" i="1"/>
  <c r="S156" i="1"/>
  <c r="G201" i="1"/>
  <c r="V149" i="1"/>
  <c r="J149" i="1"/>
  <c r="V194" i="1"/>
  <c r="Q190" i="1"/>
  <c r="U156" i="1"/>
  <c r="H158" i="1"/>
  <c r="D201" i="1"/>
  <c r="F104" i="1"/>
  <c r="S109" i="1"/>
  <c r="S134" i="1" s="1"/>
  <c r="Q181" i="1"/>
  <c r="T155" i="1"/>
  <c r="L176" i="1"/>
  <c r="L211" i="1" s="1"/>
  <c r="I110" i="1"/>
  <c r="C177" i="1"/>
  <c r="W173" i="1"/>
  <c r="G157" i="1"/>
  <c r="G185" i="1" s="1"/>
  <c r="P108" i="1"/>
  <c r="F186" i="1"/>
  <c r="H173" i="1"/>
  <c r="C175" i="1"/>
  <c r="C210" i="1" s="1"/>
  <c r="S190" i="1"/>
  <c r="K98" i="1"/>
  <c r="K99" i="1" s="1"/>
  <c r="Q176" i="1"/>
  <c r="Q211" i="1" s="1"/>
  <c r="T153" i="1"/>
  <c r="I98" i="1"/>
  <c r="I99" i="1" s="1"/>
  <c r="O178" i="1"/>
  <c r="B164" i="1"/>
  <c r="W105" i="1"/>
  <c r="O155" i="1"/>
  <c r="K176" i="1"/>
  <c r="K211" i="1" s="1"/>
  <c r="Q163" i="1"/>
  <c r="U98" i="1"/>
  <c r="U99" i="1" s="1"/>
  <c r="W155" i="1"/>
  <c r="C194" i="1"/>
  <c r="K171" i="1"/>
  <c r="T191" i="1"/>
  <c r="N157" i="1"/>
  <c r="N185" i="1" s="1"/>
  <c r="B155" i="1"/>
  <c r="V158" i="1"/>
  <c r="C182" i="1"/>
  <c r="K155" i="1"/>
  <c r="U166" i="1"/>
  <c r="U162" i="1" s="1"/>
  <c r="E194" i="1"/>
  <c r="V202" i="1"/>
  <c r="Q201" i="1"/>
  <c r="M175" i="1"/>
  <c r="M210" i="1" s="1"/>
  <c r="E175" i="1"/>
  <c r="E210" i="1" s="1"/>
  <c r="D168" i="1"/>
  <c r="L191" i="1"/>
  <c r="S178" i="1"/>
  <c r="D148" i="1"/>
  <c r="U105" i="1"/>
  <c r="E173" i="1"/>
  <c r="J202" i="1"/>
  <c r="Q157" i="1"/>
  <c r="Q185" i="1" s="1"/>
  <c r="C95" i="1"/>
  <c r="Q110" i="1"/>
  <c r="N201" i="1"/>
  <c r="G148" i="1"/>
  <c r="J157" i="1"/>
  <c r="J185" i="1" s="1"/>
  <c r="M173" i="1"/>
  <c r="O148" i="1"/>
  <c r="P202" i="1"/>
  <c r="V173" i="1"/>
  <c r="M148" i="1"/>
  <c r="O191" i="1"/>
  <c r="R110" i="1"/>
  <c r="B149" i="1"/>
  <c r="V167" i="1"/>
  <c r="W177" i="1"/>
  <c r="S201" i="1"/>
  <c r="O190" i="1"/>
  <c r="H109" i="1"/>
  <c r="D177" i="1"/>
  <c r="R163" i="1"/>
  <c r="K148" i="1"/>
  <c r="L105" i="1"/>
  <c r="J155" i="1"/>
  <c r="S184" i="1"/>
  <c r="S214" i="1" s="1"/>
  <c r="V195" i="1"/>
  <c r="E108" i="1"/>
  <c r="E133" i="1" s="1"/>
  <c r="T158" i="1"/>
  <c r="O108" i="1"/>
  <c r="O133" i="1" s="1"/>
  <c r="B175" i="1"/>
  <c r="B210" i="1" s="1"/>
  <c r="L166" i="1"/>
  <c r="L162" i="1" s="1"/>
  <c r="L153" i="1"/>
  <c r="V157" i="1"/>
  <c r="V185" i="1" s="1"/>
  <c r="N108" i="1"/>
  <c r="N116" i="1" s="1"/>
  <c r="R104" i="1"/>
  <c r="O173" i="1"/>
  <c r="U181" i="1"/>
  <c r="O184" i="1"/>
  <c r="O214" i="1" s="1"/>
  <c r="N149" i="1"/>
  <c r="G202" i="1"/>
  <c r="U178" i="1"/>
  <c r="R177" i="1"/>
  <c r="Q186" i="1"/>
  <c r="K150" i="1"/>
  <c r="P167" i="1"/>
  <c r="C173" i="1"/>
  <c r="U174" i="1"/>
  <c r="N195" i="1"/>
  <c r="P176" i="1"/>
  <c r="P211" i="1" s="1"/>
  <c r="G166" i="1"/>
  <c r="G162" i="1" s="1"/>
  <c r="M156" i="1"/>
  <c r="D94" i="1"/>
  <c r="C98" i="1"/>
  <c r="P175" i="1"/>
  <c r="P210" i="1" s="1"/>
  <c r="F156" i="1"/>
  <c r="E182" i="1"/>
  <c r="V155" i="1"/>
  <c r="U182" i="1"/>
  <c r="O157" i="1"/>
  <c r="O185" i="1" s="1"/>
  <c r="V190" i="1"/>
  <c r="K180" i="1"/>
  <c r="E149" i="1"/>
  <c r="E157" i="1"/>
  <c r="E185" i="1" s="1"/>
  <c r="V176" i="1"/>
  <c r="V211" i="1" s="1"/>
  <c r="R191" i="1"/>
  <c r="T171" i="1"/>
  <c r="U191" i="1"/>
  <c r="P182" i="1"/>
  <c r="I186" i="1"/>
  <c r="I190" i="1"/>
  <c r="K105" i="1"/>
  <c r="R174" i="1"/>
  <c r="O104" i="1"/>
  <c r="I155" i="1"/>
  <c r="K181" i="1"/>
  <c r="D150" i="1"/>
  <c r="N150" i="1"/>
  <c r="B194" i="1"/>
  <c r="H176" i="1"/>
  <c r="H211" i="1" s="1"/>
  <c r="K173" i="1"/>
  <c r="N186" i="1"/>
  <c r="D155" i="1"/>
  <c r="N171" i="1"/>
  <c r="J153" i="1"/>
  <c r="S173" i="1"/>
  <c r="T156" i="1"/>
  <c r="B171" i="1"/>
  <c r="Q158" i="1"/>
  <c r="Q98" i="1"/>
  <c r="P194" i="1"/>
  <c r="J178" i="1"/>
  <c r="I182" i="1"/>
  <c r="Q149" i="1"/>
  <c r="B173" i="1"/>
  <c r="W203" i="1"/>
  <c r="H105" i="1"/>
  <c r="R150" i="1"/>
  <c r="C186" i="1"/>
  <c r="L184" i="1"/>
  <c r="L214" i="1" s="1"/>
  <c r="P171" i="1"/>
  <c r="E171" i="1"/>
  <c r="T167" i="1"/>
  <c r="K156" i="1"/>
  <c r="P168" i="1"/>
  <c r="V171" i="1"/>
  <c r="E195" i="1"/>
  <c r="I178" i="1"/>
  <c r="W110" i="1"/>
  <c r="W139" i="1" s="1"/>
  <c r="O109" i="1"/>
  <c r="O134" i="1" s="1"/>
  <c r="N191" i="1"/>
  <c r="Q177" i="1"/>
  <c r="U150" i="1"/>
  <c r="D194" i="1"/>
  <c r="T148" i="1"/>
  <c r="H175" i="1"/>
  <c r="E202" i="1"/>
  <c r="O149" i="1"/>
  <c r="P157" i="1"/>
  <c r="P185" i="1" s="1"/>
  <c r="V105" i="1"/>
  <c r="E186" i="1"/>
  <c r="S180" i="1"/>
  <c r="Q156" i="1"/>
  <c r="M109" i="1"/>
  <c r="K167" i="1"/>
  <c r="R166" i="1"/>
  <c r="R162" i="1" s="1"/>
  <c r="E148" i="1"/>
  <c r="C163" i="1"/>
  <c r="Q108" i="1"/>
  <c r="Q133" i="1" s="1"/>
  <c r="O171" i="1"/>
  <c r="B174" i="1"/>
  <c r="H182" i="1"/>
  <c r="V174" i="1"/>
  <c r="C153" i="1"/>
  <c r="K104" i="1"/>
  <c r="M104" i="1"/>
  <c r="L175" i="1"/>
  <c r="L210" i="1" s="1"/>
  <c r="M191" i="1"/>
  <c r="W164" i="1"/>
  <c r="H195" i="1"/>
  <c r="S149" i="1"/>
  <c r="S202" i="1"/>
  <c r="J110" i="1"/>
  <c r="J135" i="1" s="1"/>
  <c r="K182" i="1"/>
  <c r="O168" i="1"/>
  <c r="O177" i="1"/>
  <c r="W186" i="1"/>
  <c r="I195" i="1"/>
  <c r="D164" i="1"/>
  <c r="S150" i="1"/>
  <c r="U173" i="1"/>
  <c r="S168" i="1"/>
  <c r="C195" i="1"/>
  <c r="F105" i="1"/>
  <c r="V150" i="1"/>
  <c r="G191" i="1"/>
  <c r="G104" i="1"/>
  <c r="T190" i="1"/>
  <c r="B201" i="1"/>
  <c r="C156" i="1"/>
  <c r="C180" i="1"/>
  <c r="C110" i="1"/>
  <c r="B168" i="1"/>
  <c r="V186" i="1"/>
  <c r="F153" i="1"/>
  <c r="S181" i="1"/>
  <c r="N184" i="1"/>
  <c r="N214" i="1" s="1"/>
  <c r="F155" i="1"/>
  <c r="H178" i="1"/>
  <c r="L186" i="1"/>
  <c r="R201" i="1"/>
  <c r="H184" i="1"/>
  <c r="H214" i="1" s="1"/>
  <c r="E163" i="1"/>
  <c r="L180" i="1"/>
  <c r="W180" i="1"/>
  <c r="C162" i="1"/>
  <c r="I203" i="1"/>
  <c r="I191" i="1"/>
  <c r="J177" i="1"/>
  <c r="N194" i="1"/>
  <c r="M203" i="1"/>
  <c r="Q202" i="1"/>
  <c r="J182" i="1"/>
  <c r="U190" i="1"/>
  <c r="P163" i="1"/>
  <c r="F174" i="1"/>
  <c r="H171" i="1"/>
  <c r="B156" i="1"/>
  <c r="H201" i="1"/>
  <c r="R176" i="1"/>
  <c r="R211" i="1" s="1"/>
  <c r="E178" i="1"/>
  <c r="W194" i="1"/>
  <c r="H148" i="1"/>
  <c r="U157" i="1"/>
  <c r="U185" i="1" s="1"/>
  <c r="T175" i="1"/>
  <c r="T210" i="1" s="1"/>
  <c r="G156" i="1"/>
  <c r="I180" i="1"/>
  <c r="C201" i="1"/>
  <c r="M180" i="1"/>
  <c r="O163" i="1"/>
  <c r="Q191" i="1"/>
  <c r="N175" i="1"/>
  <c r="L178" i="1"/>
  <c r="J175" i="1"/>
  <c r="J210" i="1" s="1"/>
  <c r="J194" i="1"/>
  <c r="R181" i="1"/>
  <c r="I148" i="1"/>
  <c r="N190" i="1"/>
  <c r="N192" i="1" s="1"/>
  <c r="O240" i="1" s="1"/>
  <c r="I173" i="1"/>
  <c r="N148" i="1"/>
  <c r="K203" i="1"/>
  <c r="H108" i="1"/>
  <c r="H133" i="1" s="1"/>
  <c r="D166" i="1"/>
  <c r="I171" i="1"/>
  <c r="V163" i="1"/>
  <c r="J203" i="1"/>
  <c r="N109" i="1"/>
  <c r="H156" i="1"/>
  <c r="E191" i="1"/>
  <c r="E192" i="1" s="1"/>
  <c r="F240" i="1" s="1"/>
  <c r="E105" i="1"/>
  <c r="O167" i="1"/>
  <c r="S191" i="1"/>
  <c r="G98" i="1"/>
  <c r="G99" i="1" s="1"/>
  <c r="I158" i="1"/>
  <c r="F176" i="1"/>
  <c r="F211" i="1" s="1"/>
  <c r="H168" i="1"/>
  <c r="G105" i="1"/>
  <c r="L157" i="1"/>
  <c r="L185" i="1" s="1"/>
  <c r="U164" i="1"/>
  <c r="L98" i="1"/>
  <c r="L99" i="1" s="1"/>
  <c r="N167" i="1"/>
  <c r="U194" i="1"/>
  <c r="F109" i="1"/>
  <c r="J166" i="1"/>
  <c r="J162" i="1" s="1"/>
  <c r="F108" i="1"/>
  <c r="B180" i="1"/>
  <c r="E98" i="1"/>
  <c r="E99" i="1" s="1"/>
  <c r="D175" i="1"/>
  <c r="D210" i="1" s="1"/>
  <c r="D182" i="1"/>
  <c r="E110" i="1"/>
  <c r="I104" i="1"/>
  <c r="P110" i="1"/>
  <c r="H167" i="1"/>
  <c r="K157" i="1"/>
  <c r="K185" i="1" s="1"/>
  <c r="U109" i="1"/>
  <c r="O164" i="1"/>
  <c r="D162" i="1"/>
  <c r="W190" i="1"/>
  <c r="D163" i="1"/>
  <c r="R186" i="1"/>
  <c r="G190" i="1"/>
  <c r="M158" i="1"/>
  <c r="Q166" i="1"/>
  <c r="Q162" i="1" s="1"/>
  <c r="B148" i="1"/>
  <c r="G164" i="1"/>
  <c r="K109" i="1"/>
  <c r="P98" i="1"/>
  <c r="P99" i="1" s="1"/>
  <c r="S105" i="1"/>
  <c r="V203" i="1"/>
  <c r="M153" i="1"/>
  <c r="S176" i="1"/>
  <c r="S211" i="1" s="1"/>
  <c r="Q182" i="1"/>
  <c r="W174" i="1"/>
  <c r="J180" i="1"/>
  <c r="V110" i="1"/>
  <c r="S164" i="1"/>
  <c r="M167" i="1"/>
  <c r="H191" i="1"/>
  <c r="T173" i="1"/>
  <c r="N174" i="1"/>
  <c r="M201" i="1"/>
  <c r="E155" i="1"/>
  <c r="K202" i="1"/>
  <c r="M164" i="1"/>
  <c r="D98" i="1"/>
  <c r="K190" i="1"/>
  <c r="W108" i="1"/>
  <c r="W133" i="1" s="1"/>
  <c r="Q148" i="1"/>
  <c r="W195" i="1"/>
  <c r="P201" i="1"/>
  <c r="R168" i="1"/>
  <c r="I109" i="1"/>
  <c r="U201" i="1"/>
  <c r="E180" i="1"/>
  <c r="I150" i="1"/>
  <c r="F171" i="1"/>
  <c r="O174" i="1"/>
  <c r="T149" i="1"/>
  <c r="C203" i="1"/>
  <c r="S174" i="1"/>
  <c r="E174" i="1"/>
  <c r="K163" i="1"/>
  <c r="L201" i="1"/>
  <c r="C191" i="1"/>
  <c r="J184" i="1"/>
  <c r="J214" i="1" s="1"/>
  <c r="T178" i="1"/>
  <c r="H164" i="1"/>
  <c r="L203" i="1"/>
  <c r="H194" i="1"/>
  <c r="R108" i="1"/>
  <c r="K201" i="1"/>
  <c r="T177" i="1"/>
  <c r="W171" i="1"/>
  <c r="F110" i="1"/>
  <c r="N202" i="1"/>
  <c r="C178" i="1"/>
  <c r="O175" i="1"/>
  <c r="O210" i="1" s="1"/>
  <c r="F173" i="1"/>
  <c r="T184" i="1"/>
  <c r="T214" i="1" s="1"/>
  <c r="R157" i="1"/>
  <c r="R185" i="1" s="1"/>
  <c r="M181" i="1"/>
  <c r="D190" i="1"/>
  <c r="J109" i="1"/>
  <c r="C181" i="1"/>
  <c r="H110" i="1"/>
  <c r="H202" i="1"/>
  <c r="K166" i="1"/>
  <c r="K162" i="1" s="1"/>
  <c r="S175" i="1"/>
  <c r="S210" i="1" s="1"/>
  <c r="N156" i="1"/>
  <c r="O201" i="1"/>
  <c r="H186" i="1"/>
  <c r="F190" i="1"/>
  <c r="W176" i="1"/>
  <c r="L156" i="1"/>
  <c r="O195" i="1"/>
  <c r="O181" i="1"/>
  <c r="F150" i="1"/>
  <c r="O202" i="1"/>
  <c r="R178" i="1"/>
  <c r="Q168" i="1"/>
  <c r="G181" i="1"/>
  <c r="P195" i="1"/>
  <c r="K184" i="1"/>
  <c r="K214" i="1" s="1"/>
  <c r="O105" i="1"/>
  <c r="D108" i="1"/>
  <c r="N176" i="1"/>
  <c r="N211" i="1" s="1"/>
  <c r="S110" i="1"/>
  <c r="U108" i="1"/>
  <c r="J190" i="1"/>
  <c r="G150" i="1"/>
  <c r="V180" i="1"/>
  <c r="S153" i="1"/>
  <c r="L171" i="1"/>
  <c r="T194" i="1"/>
  <c r="N158" i="1"/>
  <c r="U149" i="1"/>
  <c r="P105" i="1"/>
  <c r="P153" i="1"/>
  <c r="F148" i="1"/>
  <c r="T186" i="1"/>
  <c r="D202" i="1"/>
  <c r="U168" i="1"/>
  <c r="N105" i="1"/>
  <c r="P150" i="1"/>
  <c r="I184" i="1"/>
  <c r="I214" i="1" s="1"/>
  <c r="T182" i="1"/>
  <c r="M157" i="1"/>
  <c r="J158" i="1"/>
  <c r="V156" i="1"/>
  <c r="O180" i="1"/>
  <c r="G109" i="1"/>
  <c r="J105" i="1"/>
  <c r="L108" i="1"/>
  <c r="L133" i="1" s="1"/>
  <c r="G195" i="1"/>
  <c r="U186" i="1"/>
  <c r="AQ40" i="1"/>
  <c r="BV53" i="1"/>
  <c r="BW40" i="1"/>
  <c r="BE53" i="1"/>
  <c r="BA40" i="1"/>
  <c r="BN40" i="1"/>
  <c r="BD40" i="1"/>
  <c r="AS53" i="1"/>
  <c r="AR53" i="1"/>
  <c r="BP53" i="1"/>
  <c r="AW40" i="1"/>
  <c r="BC40" i="1"/>
  <c r="BB53" i="1"/>
  <c r="AW53" i="1"/>
  <c r="BG40" i="1"/>
  <c r="BM40" i="1"/>
  <c r="BI53" i="1"/>
  <c r="BT53" i="1"/>
  <c r="AZ40" i="1"/>
  <c r="AI40" i="1"/>
  <c r="BF53" i="1"/>
  <c r="AO40" i="1"/>
  <c r="BV40" i="1"/>
  <c r="BF40" i="1"/>
  <c r="AX53" i="1"/>
  <c r="BH77" i="1"/>
  <c r="AP40" i="1"/>
  <c r="BE40" i="1"/>
  <c r="BO40" i="1"/>
  <c r="AZ53" i="1"/>
  <c r="BJ53" i="1"/>
  <c r="BJ57" i="1" s="1"/>
  <c r="AU78" i="1"/>
  <c r="BD53" i="1"/>
  <c r="AY53" i="1"/>
  <c r="BR53" i="1"/>
  <c r="BK40" i="1"/>
  <c r="BQ40" i="1"/>
  <c r="AP53" i="1"/>
  <c r="BS40" i="1"/>
  <c r="AO53" i="1"/>
  <c r="BW53" i="1"/>
  <c r="AQ53" i="1"/>
  <c r="AV53" i="1"/>
  <c r="BM53" i="1"/>
  <c r="BP40" i="1"/>
  <c r="BG53" i="1"/>
  <c r="BH53" i="1"/>
  <c r="AT53" i="1"/>
  <c r="AN53" i="1"/>
  <c r="BS53" i="1"/>
  <c r="BU53" i="1"/>
  <c r="BO53" i="1"/>
  <c r="BJ40" i="1"/>
  <c r="BJ41" i="1" s="1"/>
  <c r="BJ47" i="1" s="1"/>
  <c r="BC53" i="1"/>
  <c r="BK53" i="1"/>
  <c r="BQ53" i="1"/>
  <c r="AU53" i="1"/>
  <c r="BN53" i="1"/>
  <c r="BA53" i="1"/>
  <c r="AI53" i="1"/>
  <c r="AN40" i="1"/>
  <c r="BH40" i="1"/>
  <c r="AW78" i="1"/>
  <c r="AV40" i="1"/>
  <c r="AR40" i="1"/>
  <c r="BR40" i="1"/>
  <c r="AT40" i="1"/>
  <c r="BT40" i="1"/>
  <c r="BI40" i="1"/>
  <c r="BU40" i="1"/>
  <c r="AX40" i="1"/>
  <c r="AS40" i="1"/>
  <c r="AU40" i="1"/>
  <c r="BB40" i="1"/>
  <c r="AV78" i="1"/>
  <c r="AY40" i="1"/>
  <c r="BH174" i="1"/>
  <c r="BI174" i="1" s="1"/>
  <c r="BV168" i="1"/>
  <c r="BW168" i="1" s="1"/>
  <c r="BV174" i="1"/>
  <c r="BW174" i="1" s="1"/>
  <c r="BH168" i="1"/>
  <c r="BI168" i="1" s="1"/>
  <c r="Q99" i="1"/>
  <c r="T117" i="1"/>
  <c r="S99" i="1"/>
  <c r="AV63" i="1"/>
  <c r="BA52" i="1"/>
  <c r="BF54" i="1"/>
  <c r="AY67" i="1"/>
  <c r="BU82" i="1"/>
  <c r="AQ52" i="1"/>
  <c r="BE44" i="1"/>
  <c r="AP78" i="1"/>
  <c r="AQ67" i="1"/>
  <c r="AU54" i="1"/>
  <c r="BG78" i="1"/>
  <c r="AW56" i="1"/>
  <c r="AY55" i="1"/>
  <c r="AW52" i="1"/>
  <c r="BJ70" i="1"/>
  <c r="AR76" i="1"/>
  <c r="BV77" i="1"/>
  <c r="AQ54" i="1"/>
  <c r="BM70" i="1"/>
  <c r="BK78" i="1"/>
  <c r="BK45" i="1"/>
  <c r="BF51" i="1"/>
  <c r="AW82" i="1"/>
  <c r="BJ104" i="1"/>
  <c r="BG70" i="1"/>
  <c r="BH194" i="1"/>
  <c r="BI194" i="1" s="1"/>
  <c r="BU39" i="1"/>
  <c r="BU262" i="1" s="1"/>
  <c r="BQ51" i="1"/>
  <c r="AQ46" i="1"/>
  <c r="BS56" i="1"/>
  <c r="AX46" i="1"/>
  <c r="BS63" i="1"/>
  <c r="BH171" i="1"/>
  <c r="BI171" i="1" s="1"/>
  <c r="BJ233" i="1" s="1"/>
  <c r="BC54" i="1"/>
  <c r="BB52" i="1"/>
  <c r="AI46" i="1"/>
  <c r="BM67" i="1"/>
  <c r="BG77" i="1"/>
  <c r="AS82" i="1"/>
  <c r="BB66" i="1"/>
  <c r="BB82" i="1"/>
  <c r="AR77" i="1"/>
  <c r="AU45" i="1"/>
  <c r="BD39" i="1"/>
  <c r="AP46" i="1"/>
  <c r="BB78" i="1"/>
  <c r="BV156" i="1"/>
  <c r="BW156" i="1" s="1"/>
  <c r="BM54" i="1"/>
  <c r="BK77" i="1"/>
  <c r="BK51" i="1"/>
  <c r="AT66" i="1"/>
  <c r="BW67" i="1"/>
  <c r="BI55" i="1"/>
  <c r="BJ76" i="1"/>
  <c r="AS63" i="1"/>
  <c r="AT67" i="1"/>
  <c r="BQ56" i="1"/>
  <c r="AT52" i="1"/>
  <c r="BT46" i="1"/>
  <c r="BH190" i="1"/>
  <c r="BI44" i="1"/>
  <c r="BE45" i="1"/>
  <c r="AY54" i="1"/>
  <c r="BH195" i="1"/>
  <c r="BI195" i="1" s="1"/>
  <c r="BH104" i="1"/>
  <c r="AP77" i="1"/>
  <c r="BH173" i="1"/>
  <c r="AY63" i="1"/>
  <c r="AR45" i="1"/>
  <c r="BP70" i="1"/>
  <c r="BE77" i="1"/>
  <c r="AQ76" i="1"/>
  <c r="BB55" i="1"/>
  <c r="BW44" i="1"/>
  <c r="BC52" i="1"/>
  <c r="BD82" i="1"/>
  <c r="BO70" i="1"/>
  <c r="AI70" i="1"/>
  <c r="BI46" i="1"/>
  <c r="BQ39" i="1"/>
  <c r="BF82" i="1"/>
  <c r="AV54" i="1"/>
  <c r="AT46" i="1"/>
  <c r="BT82" i="1"/>
  <c r="AQ51" i="1"/>
  <c r="BS77" i="1"/>
  <c r="BB63" i="1"/>
  <c r="BH177" i="1"/>
  <c r="BI177" i="1" s="1"/>
  <c r="BV150" i="1"/>
  <c r="BT55" i="1"/>
  <c r="BQ78" i="1"/>
  <c r="BV149" i="1"/>
  <c r="BW149" i="1" s="1"/>
  <c r="BN39" i="1"/>
  <c r="BR66" i="1"/>
  <c r="BU77" i="1"/>
  <c r="AX76" i="1"/>
  <c r="AN45" i="1"/>
  <c r="AT45" i="1"/>
  <c r="BK55" i="1"/>
  <c r="BJ66" i="1"/>
  <c r="AP54" i="1"/>
  <c r="AX45" i="1"/>
  <c r="BR54" i="1"/>
  <c r="BM77" i="1"/>
  <c r="BP82" i="1"/>
  <c r="BA70" i="1"/>
  <c r="BM46" i="1"/>
  <c r="BQ67" i="1"/>
  <c r="AZ82" i="1"/>
  <c r="BE70" i="1"/>
  <c r="AI78" i="1"/>
  <c r="BU78" i="1"/>
  <c r="BB77" i="1"/>
  <c r="BF56" i="1"/>
  <c r="BD56" i="1"/>
  <c r="BM51" i="1"/>
  <c r="BT51" i="1"/>
  <c r="BQ63" i="1"/>
  <c r="AS54" i="1"/>
  <c r="AJ104" i="1"/>
  <c r="BP77" i="1"/>
  <c r="AW44" i="1"/>
  <c r="AV45" i="1"/>
  <c r="BI45" i="1"/>
  <c r="AS56" i="1"/>
  <c r="BI76" i="1"/>
  <c r="BP44" i="1"/>
  <c r="AZ56" i="1"/>
  <c r="AY70" i="1"/>
  <c r="BH51" i="1"/>
  <c r="BA56" i="1"/>
  <c r="BF52" i="1"/>
  <c r="BC67" i="1"/>
  <c r="BW52" i="1"/>
  <c r="BR63" i="1"/>
  <c r="AX51" i="1"/>
  <c r="BS44" i="1"/>
  <c r="BQ55" i="1"/>
  <c r="BE55" i="1"/>
  <c r="BP39" i="1"/>
  <c r="BP262" i="1" s="1"/>
  <c r="AO52" i="1"/>
  <c r="BV182" i="1"/>
  <c r="BW182" i="1" s="1"/>
  <c r="BA44" i="1"/>
  <c r="BV82" i="1"/>
  <c r="AY44" i="1"/>
  <c r="BI77" i="1"/>
  <c r="BH178" i="1"/>
  <c r="BI178" i="1" s="1"/>
  <c r="BN56" i="1"/>
  <c r="AS51" i="1"/>
  <c r="AW46" i="1"/>
  <c r="AU76" i="1"/>
  <c r="AI44" i="1"/>
  <c r="AT39" i="1"/>
  <c r="BT78" i="1"/>
  <c r="BE82" i="1"/>
  <c r="BR56" i="1"/>
  <c r="BA51" i="1"/>
  <c r="AI51" i="1"/>
  <c r="BD52" i="1"/>
  <c r="AN70" i="1"/>
  <c r="BW77" i="1"/>
  <c r="AY39" i="1"/>
  <c r="BW46" i="1"/>
  <c r="AM76" i="1"/>
  <c r="AT51" i="1"/>
  <c r="BE54" i="1"/>
  <c r="AR44" i="1"/>
  <c r="BM45" i="1"/>
  <c r="BC66" i="1"/>
  <c r="BG63" i="1"/>
  <c r="AZ70" i="1"/>
  <c r="BH55" i="1"/>
  <c r="BJ82" i="1"/>
  <c r="BS82" i="1"/>
  <c r="BR77" i="1"/>
  <c r="BE78" i="1"/>
  <c r="AY56" i="1"/>
  <c r="BV181" i="1"/>
  <c r="BW181" i="1" s="1"/>
  <c r="BV70" i="1"/>
  <c r="BQ82" i="1"/>
  <c r="AI77" i="1"/>
  <c r="AN78" i="1"/>
  <c r="AQ78" i="1"/>
  <c r="BW51" i="1"/>
  <c r="AO46" i="1"/>
  <c r="AW45" i="1"/>
  <c r="BR46" i="1"/>
  <c r="BH52" i="1"/>
  <c r="BH54" i="1"/>
  <c r="AI56" i="1"/>
  <c r="BO78" i="1"/>
  <c r="BO52" i="1"/>
  <c r="AP63" i="1"/>
  <c r="AQ63" i="1"/>
  <c r="BT56" i="1"/>
  <c r="AY78" i="1"/>
  <c r="BV185" i="1"/>
  <c r="BW185" i="1" s="1"/>
  <c r="AZ55" i="1"/>
  <c r="BK66" i="1"/>
  <c r="BH105" i="1"/>
  <c r="BH63" i="1"/>
  <c r="AT56" i="1"/>
  <c r="BV163" i="1"/>
  <c r="BR82" i="1"/>
  <c r="BP78" i="1"/>
  <c r="AN66" i="1"/>
  <c r="BS55" i="1"/>
  <c r="AX82" i="1"/>
  <c r="AZ44" i="1"/>
  <c r="BB54" i="1"/>
  <c r="AW67" i="1"/>
  <c r="BD46" i="1"/>
  <c r="BN63" i="1"/>
  <c r="BM39" i="1"/>
  <c r="AO45" i="1"/>
  <c r="BK52" i="1"/>
  <c r="BN45" i="1"/>
  <c r="BH39" i="1"/>
  <c r="BH262" i="1" s="1"/>
  <c r="BA67" i="1"/>
  <c r="BH148" i="1"/>
  <c r="BA82" i="1"/>
  <c r="BH82" i="1"/>
  <c r="AP66" i="1"/>
  <c r="BI52" i="1"/>
  <c r="BS66" i="1"/>
  <c r="BN44" i="1"/>
  <c r="AY66" i="1"/>
  <c r="AV51" i="1"/>
  <c r="BW78" i="1"/>
  <c r="BO56" i="1"/>
  <c r="BO54" i="1"/>
  <c r="BB44" i="1"/>
  <c r="BI78" i="1"/>
  <c r="AN67" i="1"/>
  <c r="AU44" i="1"/>
  <c r="BT70" i="1"/>
  <c r="BQ76" i="1"/>
  <c r="BG55" i="1"/>
  <c r="BU67" i="1"/>
  <c r="BV153" i="1"/>
  <c r="BW153" i="1" s="1"/>
  <c r="BQ66" i="1"/>
  <c r="BO63" i="1"/>
  <c r="BG56" i="1"/>
  <c r="BV190" i="1"/>
  <c r="AM104" i="1"/>
  <c r="BO82" i="1"/>
  <c r="AO70" i="1"/>
  <c r="BV56" i="1"/>
  <c r="BH149" i="1"/>
  <c r="BI149" i="1" s="1"/>
  <c r="BS39" i="1"/>
  <c r="BS262" i="1" s="1"/>
  <c r="BH67" i="1"/>
  <c r="AZ45" i="1"/>
  <c r="BV178" i="1"/>
  <c r="BW178" i="1" s="1"/>
  <c r="BG54" i="1"/>
  <c r="AQ56" i="1"/>
  <c r="AP39" i="1"/>
  <c r="AP262" i="1" s="1"/>
  <c r="AO44" i="1"/>
  <c r="BD66" i="1"/>
  <c r="BD70" i="1"/>
  <c r="BW76" i="1"/>
  <c r="BR45" i="1"/>
  <c r="AT70" i="1"/>
  <c r="BT54" i="1"/>
  <c r="BU52" i="1"/>
  <c r="AN77" i="1"/>
  <c r="AZ39" i="1"/>
  <c r="AN55" i="1"/>
  <c r="BV46" i="1"/>
  <c r="AQ45" i="1"/>
  <c r="BP63" i="1"/>
  <c r="BI54" i="1"/>
  <c r="BA76" i="1"/>
  <c r="AZ78" i="1"/>
  <c r="BV180" i="1"/>
  <c r="BW180" i="1" s="1"/>
  <c r="BW63" i="1"/>
  <c r="AV46" i="1"/>
  <c r="AO56" i="1"/>
  <c r="BO66" i="1"/>
  <c r="BM66" i="1"/>
  <c r="AP44" i="1"/>
  <c r="AS45" i="1"/>
  <c r="BG46" i="1"/>
  <c r="BV194" i="1"/>
  <c r="BW194" i="1" s="1"/>
  <c r="BV104" i="1"/>
  <c r="AQ44" i="1"/>
  <c r="AX54" i="1"/>
  <c r="BV173" i="1"/>
  <c r="BW173" i="1" s="1"/>
  <c r="BK39" i="1"/>
  <c r="AR78" i="1"/>
  <c r="AU46" i="1"/>
  <c r="BT44" i="1"/>
  <c r="AI39" i="1"/>
  <c r="BU70" i="1"/>
  <c r="BC77" i="1"/>
  <c r="BA78" i="1"/>
  <c r="BD78" i="1"/>
  <c r="BW45" i="1"/>
  <c r="BV52" i="1"/>
  <c r="BG51" i="1"/>
  <c r="AO76" i="1"/>
  <c r="BN77" i="1"/>
  <c r="AW63" i="1"/>
  <c r="BC44" i="1"/>
  <c r="AM105" i="1"/>
  <c r="BS76" i="1"/>
  <c r="BU51" i="1"/>
  <c r="BU66" i="1"/>
  <c r="BN78" i="1"/>
  <c r="BH182" i="1"/>
  <c r="BI182" i="1" s="1"/>
  <c r="BR78" i="1"/>
  <c r="BA39" i="1"/>
  <c r="BA262" i="1" s="1"/>
  <c r="AZ51" i="1"/>
  <c r="BO67" i="1"/>
  <c r="AI54" i="1"/>
  <c r="BE66" i="1"/>
  <c r="AW39" i="1"/>
  <c r="BP45" i="1"/>
  <c r="BR76" i="1"/>
  <c r="AR55" i="1"/>
  <c r="BF66" i="1"/>
  <c r="BV195" i="1"/>
  <c r="BW195" i="1" s="1"/>
  <c r="BT52" i="1"/>
  <c r="AR52" i="1"/>
  <c r="BO77" i="1"/>
  <c r="BA66" i="1"/>
  <c r="AZ46" i="1"/>
  <c r="AV77" i="1"/>
  <c r="BQ54" i="1"/>
  <c r="AX63" i="1"/>
  <c r="AO39" i="1"/>
  <c r="BV55" i="1"/>
  <c r="AJ105" i="1"/>
  <c r="BC51" i="1"/>
  <c r="BI51" i="1"/>
  <c r="BA63" i="1"/>
  <c r="BS52" i="1"/>
  <c r="AO82" i="1"/>
  <c r="BB39" i="1"/>
  <c r="AV52" i="1"/>
  <c r="BW66" i="1"/>
  <c r="BK63" i="1"/>
  <c r="AO54" i="1"/>
  <c r="AW55" i="1"/>
  <c r="BE51" i="1"/>
  <c r="BR67" i="1"/>
  <c r="BS70" i="1"/>
  <c r="AV66" i="1"/>
  <c r="BU56" i="1"/>
  <c r="BH150" i="1"/>
  <c r="BR39" i="1"/>
  <c r="BR262" i="1" s="1"/>
  <c r="BH185" i="1"/>
  <c r="BI185" i="1" s="1"/>
  <c r="BM56" i="1"/>
  <c r="BN76" i="1"/>
  <c r="AU39" i="1"/>
  <c r="BC82" i="1"/>
  <c r="AX78" i="1"/>
  <c r="BI63" i="1"/>
  <c r="BM76" i="1"/>
  <c r="BW54" i="1"/>
  <c r="AP55" i="1"/>
  <c r="BA77" i="1"/>
  <c r="BN70" i="1"/>
  <c r="AR63" i="1"/>
  <c r="BI66" i="1"/>
  <c r="BU45" i="1"/>
  <c r="AK105" i="1"/>
  <c r="BT63" i="1"/>
  <c r="AI82" i="1"/>
  <c r="BJ78" i="1"/>
  <c r="AX44" i="1"/>
  <c r="AR66" i="1"/>
  <c r="BI67" i="1"/>
  <c r="AP70" i="1"/>
  <c r="AZ54" i="1"/>
  <c r="BQ77" i="1"/>
  <c r="AN44" i="1"/>
  <c r="AR82" i="1"/>
  <c r="BV148" i="1"/>
  <c r="AV82" i="1"/>
  <c r="AN56" i="1"/>
  <c r="AQ82" i="1"/>
  <c r="BK70" i="1"/>
  <c r="BH45" i="1"/>
  <c r="AV70" i="1"/>
  <c r="BC46" i="1"/>
  <c r="AO77" i="1"/>
  <c r="AT63" i="1"/>
  <c r="BH158" i="1"/>
  <c r="BI158" i="1" s="1"/>
  <c r="AW54" i="1"/>
  <c r="BD67" i="1"/>
  <c r="BH180" i="1"/>
  <c r="AV55" i="1"/>
  <c r="AI55" i="1"/>
  <c r="AT82" i="1"/>
  <c r="AN82" i="1"/>
  <c r="BR52" i="1"/>
  <c r="AR56" i="1"/>
  <c r="BR55" i="1"/>
  <c r="BH183" i="1"/>
  <c r="BI183" i="1" s="1"/>
  <c r="BP56" i="1"/>
  <c r="BF70" i="1"/>
  <c r="BU46" i="1"/>
  <c r="BR70" i="1"/>
  <c r="BH70" i="1"/>
  <c r="AI76" i="1"/>
  <c r="AU67" i="1"/>
  <c r="BH186" i="1"/>
  <c r="BI186" i="1" s="1"/>
  <c r="AR51" i="1"/>
  <c r="BV164" i="1"/>
  <c r="BQ44" i="1"/>
  <c r="BU76" i="1"/>
  <c r="BG44" i="1"/>
  <c r="BH78" i="1"/>
  <c r="BI39" i="1"/>
  <c r="BI262" i="1" s="1"/>
  <c r="BW82" i="1"/>
  <c r="AS39" i="1"/>
  <c r="AS262" i="1" s="1"/>
  <c r="BH163" i="1"/>
  <c r="BB67" i="1"/>
  <c r="BW55" i="1"/>
  <c r="BK56" i="1"/>
  <c r="BA54" i="1"/>
  <c r="BG66" i="1"/>
  <c r="BU44" i="1"/>
  <c r="AN51" i="1"/>
  <c r="BP46" i="1"/>
  <c r="BJ67" i="1"/>
  <c r="BJ283" i="1" s="1"/>
  <c r="BO76" i="1"/>
  <c r="BU63" i="1"/>
  <c r="BH157" i="1"/>
  <c r="BI157" i="1" s="1"/>
  <c r="AO67" i="1"/>
  <c r="AQ39" i="1"/>
  <c r="AQ262" i="1" s="1"/>
  <c r="AQ55" i="1"/>
  <c r="BV177" i="1"/>
  <c r="BW177" i="1" s="1"/>
  <c r="BP76" i="1"/>
  <c r="BV184" i="1"/>
  <c r="BC39" i="1"/>
  <c r="BC262" i="1" s="1"/>
  <c r="BB46" i="1"/>
  <c r="BV183" i="1"/>
  <c r="BW183" i="1" s="1"/>
  <c r="BH184" i="1"/>
  <c r="BR51" i="1"/>
  <c r="BN67" i="1"/>
  <c r="BA45" i="1"/>
  <c r="AP52" i="1"/>
  <c r="AR54" i="1"/>
  <c r="BS46" i="1"/>
  <c r="AX66" i="1"/>
  <c r="BV63" i="1"/>
  <c r="BD63" i="1"/>
  <c r="BF78" i="1"/>
  <c r="BD54" i="1"/>
  <c r="BD51" i="1"/>
  <c r="BD45" i="1"/>
  <c r="AS78" i="1"/>
  <c r="BV171" i="1"/>
  <c r="BW171" i="1" s="1"/>
  <c r="BX233" i="1" s="1"/>
  <c r="BS78" i="1"/>
  <c r="AO66" i="1"/>
  <c r="AV56" i="1"/>
  <c r="BF63" i="1"/>
  <c r="BA46" i="1"/>
  <c r="BK82" i="1"/>
  <c r="BV176" i="1"/>
  <c r="BK54" i="1"/>
  <c r="BS45" i="1"/>
  <c r="AW77" i="1"/>
  <c r="AV39" i="1"/>
  <c r="AV262" i="1" s="1"/>
  <c r="AO63" i="1"/>
  <c r="AO225" i="1" s="1"/>
  <c r="AX52" i="1"/>
  <c r="AR67" i="1"/>
  <c r="BR44" i="1"/>
  <c r="AI45" i="1"/>
  <c r="BU55" i="1"/>
  <c r="BV191" i="1"/>
  <c r="BT77" i="1"/>
  <c r="BT39" i="1"/>
  <c r="AM77" i="1"/>
  <c r="AV67" i="1"/>
  <c r="BN54" i="1"/>
  <c r="AP82" i="1"/>
  <c r="AV44" i="1"/>
  <c r="BH44" i="1"/>
  <c r="BQ70" i="1"/>
  <c r="AY76" i="1"/>
  <c r="AR70" i="1"/>
  <c r="BM44" i="1"/>
  <c r="BW56" i="1"/>
  <c r="AV76" i="1"/>
  <c r="BT76" i="1"/>
  <c r="AP67" i="1"/>
  <c r="AZ63" i="1"/>
  <c r="BH153" i="1"/>
  <c r="BI153" i="1" s="1"/>
  <c r="BK67" i="1"/>
  <c r="BH164" i="1"/>
  <c r="AY77" i="1"/>
  <c r="BQ46" i="1"/>
  <c r="BE52" i="1"/>
  <c r="BV54" i="1"/>
  <c r="BD76" i="1"/>
  <c r="BM82" i="1"/>
  <c r="BM78" i="1"/>
  <c r="BV76" i="1"/>
  <c r="BH155" i="1"/>
  <c r="BV157" i="1"/>
  <c r="BW157" i="1" s="1"/>
  <c r="BH162" i="1"/>
  <c r="BI82" i="1"/>
  <c r="AT55" i="1"/>
  <c r="BD55" i="1"/>
  <c r="BF39" i="1"/>
  <c r="AX39" i="1"/>
  <c r="AT76" i="1"/>
  <c r="BV166" i="1"/>
  <c r="BW166" i="1" s="1"/>
  <c r="BP54" i="1"/>
  <c r="BC56" i="1"/>
  <c r="AK104" i="1"/>
  <c r="BP55" i="1"/>
  <c r="BF44" i="1"/>
  <c r="BM52" i="1"/>
  <c r="AO51" i="1"/>
  <c r="BV78" i="1"/>
  <c r="BK44" i="1"/>
  <c r="AO55" i="1"/>
  <c r="AZ77" i="1"/>
  <c r="BW70" i="1"/>
  <c r="AY52" i="1"/>
  <c r="AS46" i="1"/>
  <c r="AY51" i="1"/>
  <c r="AU70" i="1"/>
  <c r="AQ77" i="1"/>
  <c r="BJ105" i="1"/>
  <c r="BV155" i="1"/>
  <c r="BW155" i="1" s="1"/>
  <c r="BM55" i="1"/>
  <c r="AQ70" i="1"/>
  <c r="AX67" i="1"/>
  <c r="BG52" i="1"/>
  <c r="BF45" i="1"/>
  <c r="AU52" i="1"/>
  <c r="BE67" i="1"/>
  <c r="AZ67" i="1"/>
  <c r="BF77" i="1"/>
  <c r="BS67" i="1"/>
  <c r="BV158" i="1"/>
  <c r="BW158" i="1" s="1"/>
  <c r="BG45" i="1"/>
  <c r="BF67" i="1"/>
  <c r="BC78" i="1"/>
  <c r="BE63" i="1"/>
  <c r="BE56" i="1"/>
  <c r="BE39" i="1"/>
  <c r="BE262" i="1" s="1"/>
  <c r="BT66" i="1"/>
  <c r="BN52" i="1"/>
  <c r="BC63" i="1"/>
  <c r="BI70" i="1"/>
  <c r="AW51" i="1"/>
  <c r="BH175" i="1"/>
  <c r="AP76" i="1"/>
  <c r="AS44" i="1"/>
  <c r="BS54" i="1"/>
  <c r="AT54" i="1"/>
  <c r="AW66" i="1"/>
  <c r="BG39" i="1"/>
  <c r="BP51" i="1"/>
  <c r="AR46" i="1"/>
  <c r="AW76" i="1"/>
  <c r="BF76" i="1"/>
  <c r="BV44" i="1"/>
  <c r="AI52" i="1"/>
  <c r="AT77" i="1"/>
  <c r="BH66" i="1"/>
  <c r="BV175" i="1"/>
  <c r="AP51" i="1"/>
  <c r="AS66" i="1"/>
  <c r="BO46" i="1"/>
  <c r="BP66" i="1"/>
  <c r="BC45" i="1"/>
  <c r="BB76" i="1"/>
  <c r="BE46" i="1"/>
  <c r="BV67" i="1"/>
  <c r="AP56" i="1"/>
  <c r="AX77" i="1"/>
  <c r="AU66" i="1"/>
  <c r="AZ52" i="1"/>
  <c r="BD44" i="1"/>
  <c r="AS52" i="1"/>
  <c r="BN46" i="1"/>
  <c r="BM63" i="1"/>
  <c r="BJ63" i="1"/>
  <c r="AM78" i="1"/>
  <c r="BQ52" i="1"/>
  <c r="AU56" i="1"/>
  <c r="AX55" i="1"/>
  <c r="BS51" i="1"/>
  <c r="BB70" i="1"/>
  <c r="BC55" i="1"/>
  <c r="AT78" i="1"/>
  <c r="AW70" i="1"/>
  <c r="BV66" i="1"/>
  <c r="BH76" i="1"/>
  <c r="AN54" i="1"/>
  <c r="AX56" i="1"/>
  <c r="AP45" i="1"/>
  <c r="BP52" i="1"/>
  <c r="AQ66" i="1"/>
  <c r="BV105" i="1"/>
  <c r="AM82" i="1"/>
  <c r="BH46" i="1"/>
  <c r="AU51" i="1"/>
  <c r="BA55" i="1"/>
  <c r="BV186" i="1"/>
  <c r="BW186" i="1" s="1"/>
  <c r="BE76" i="1"/>
  <c r="AS70" i="1"/>
  <c r="AI66" i="1"/>
  <c r="BV162" i="1"/>
  <c r="AY82" i="1"/>
  <c r="BN66" i="1"/>
  <c r="BO44" i="1"/>
  <c r="BG76" i="1"/>
  <c r="BI56" i="1"/>
  <c r="AY46" i="1"/>
  <c r="BU54" i="1"/>
  <c r="BF55" i="1"/>
  <c r="BB51" i="1"/>
  <c r="BV51" i="1"/>
  <c r="BG67" i="1"/>
  <c r="BT67" i="1"/>
  <c r="AN46" i="1"/>
  <c r="BO45" i="1"/>
  <c r="BT45" i="1"/>
  <c r="AZ76" i="1"/>
  <c r="AS77" i="1"/>
  <c r="BH56" i="1"/>
  <c r="BO51" i="1"/>
  <c r="BH166" i="1"/>
  <c r="BI166" i="1" s="1"/>
  <c r="BC76" i="1"/>
  <c r="BH191" i="1"/>
  <c r="BO55" i="1"/>
  <c r="AN63" i="1"/>
  <c r="AN39" i="1"/>
  <c r="BK76" i="1"/>
  <c r="BV45" i="1"/>
  <c r="AS67" i="1"/>
  <c r="AO78" i="1"/>
  <c r="AI104" i="1"/>
  <c r="BB56" i="1"/>
  <c r="BN51" i="1"/>
  <c r="AN52" i="1"/>
  <c r="AU55" i="1"/>
  <c r="BH156" i="1"/>
  <c r="BI156" i="1" s="1"/>
  <c r="AU63" i="1"/>
  <c r="AI67" i="1"/>
  <c r="BW39" i="1"/>
  <c r="BO39" i="1"/>
  <c r="BG82" i="1"/>
  <c r="BC70" i="1"/>
  <c r="AR39" i="1"/>
  <c r="AR262" i="1" s="1"/>
  <c r="BN55" i="1"/>
  <c r="BP67" i="1"/>
  <c r="BK46" i="1"/>
  <c r="AS55" i="1"/>
  <c r="AY45" i="1"/>
  <c r="AU82" i="1"/>
  <c r="BB45" i="1"/>
  <c r="AX70" i="1"/>
  <c r="BD77" i="1"/>
  <c r="BQ45" i="1"/>
  <c r="BH181" i="1"/>
  <c r="BI181" i="1" s="1"/>
  <c r="BF46" i="1"/>
  <c r="BJ77" i="1"/>
  <c r="AN76" i="1"/>
  <c r="BN82" i="1"/>
  <c r="AI63" i="1"/>
  <c r="AI225" i="1" s="1"/>
  <c r="BV39" i="1"/>
  <c r="BV262" i="1" s="1"/>
  <c r="AZ66" i="1"/>
  <c r="AT44" i="1"/>
  <c r="AS76" i="1"/>
  <c r="AU77" i="1"/>
  <c r="K100" i="1"/>
  <c r="Q100" i="1"/>
  <c r="U101" i="1"/>
  <c r="M130" i="1"/>
  <c r="H100" i="1"/>
  <c r="E100" i="1"/>
  <c r="V100" i="1"/>
  <c r="O97" i="1"/>
  <c r="W97" i="1"/>
  <c r="CQ225" i="1"/>
  <c r="CQ163" i="1"/>
  <c r="DA108" i="1"/>
  <c r="CX96" i="1"/>
  <c r="CY94" i="1"/>
  <c r="AB155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N101" i="1"/>
  <c r="G101" i="1"/>
  <c r="S100" i="1"/>
  <c r="I100" i="1"/>
  <c r="J101" i="1" s="1"/>
  <c r="L100" i="1"/>
  <c r="U192" i="1" l="1"/>
  <c r="L151" i="1"/>
  <c r="L123" i="1" s="1"/>
  <c r="E151" i="1"/>
  <c r="I192" i="1"/>
  <c r="J240" i="1" s="1"/>
  <c r="N133" i="1"/>
  <c r="L101" i="1"/>
  <c r="R165" i="1"/>
  <c r="R64" i="1" s="1"/>
  <c r="N118" i="1"/>
  <c r="C151" i="1"/>
  <c r="N139" i="1"/>
  <c r="BE225" i="1"/>
  <c r="BD225" i="1"/>
  <c r="BS225" i="1"/>
  <c r="F165" i="1"/>
  <c r="F64" i="1" s="1"/>
  <c r="AU225" i="1"/>
  <c r="AW225" i="1"/>
  <c r="BQ225" i="1"/>
  <c r="BV225" i="1"/>
  <c r="BC225" i="1"/>
  <c r="AY225" i="1"/>
  <c r="AT225" i="1"/>
  <c r="AR225" i="1"/>
  <c r="BW225" i="1"/>
  <c r="BF225" i="1"/>
  <c r="BO225" i="1"/>
  <c r="BG225" i="1"/>
  <c r="AX225" i="1"/>
  <c r="BH225" i="1"/>
  <c r="AV225" i="1"/>
  <c r="D151" i="1"/>
  <c r="D85" i="1" s="1"/>
  <c r="Q233" i="1"/>
  <c r="O192" i="1"/>
  <c r="P240" i="1" s="1"/>
  <c r="N151" i="1"/>
  <c r="N123" i="1" s="1"/>
  <c r="N126" i="1" s="1"/>
  <c r="P233" i="1"/>
  <c r="O151" i="1"/>
  <c r="O85" i="1" s="1"/>
  <c r="W135" i="1"/>
  <c r="D159" i="1"/>
  <c r="M151" i="1"/>
  <c r="C233" i="1"/>
  <c r="C159" i="1"/>
  <c r="I179" i="1"/>
  <c r="I213" i="1" s="1"/>
  <c r="I212" i="1" s="1"/>
  <c r="S192" i="1"/>
  <c r="T240" i="1" s="1"/>
  <c r="G116" i="1"/>
  <c r="G133" i="1"/>
  <c r="G135" i="1"/>
  <c r="G118" i="1"/>
  <c r="G139" i="1"/>
  <c r="U210" i="1"/>
  <c r="U179" i="1"/>
  <c r="U213" i="1" s="1"/>
  <c r="H138" i="1"/>
  <c r="H134" i="1"/>
  <c r="F159" i="1"/>
  <c r="S233" i="1"/>
  <c r="N165" i="1"/>
  <c r="L165" i="1"/>
  <c r="V192" i="1"/>
  <c r="W240" i="1" s="1"/>
  <c r="V233" i="1"/>
  <c r="M192" i="1"/>
  <c r="S204" i="1"/>
  <c r="T192" i="1"/>
  <c r="B204" i="1"/>
  <c r="C165" i="1"/>
  <c r="Q204" i="1"/>
  <c r="H151" i="1"/>
  <c r="H85" i="1" s="1"/>
  <c r="R159" i="1"/>
  <c r="R68" i="1" s="1"/>
  <c r="V159" i="1"/>
  <c r="S179" i="1"/>
  <c r="T151" i="1"/>
  <c r="H204" i="1"/>
  <c r="C204" i="1"/>
  <c r="I151" i="1"/>
  <c r="J133" i="1"/>
  <c r="J116" i="1"/>
  <c r="J165" i="1"/>
  <c r="S138" i="1"/>
  <c r="S120" i="1"/>
  <c r="P116" i="1"/>
  <c r="P133" i="1"/>
  <c r="M179" i="1"/>
  <c r="M213" i="1" s="1"/>
  <c r="M212" i="1" s="1"/>
  <c r="U165" i="1"/>
  <c r="B187" i="1"/>
  <c r="B216" i="1" s="1"/>
  <c r="B215" i="1" s="1"/>
  <c r="K116" i="1"/>
  <c r="S165" i="1"/>
  <c r="B165" i="1"/>
  <c r="K233" i="1"/>
  <c r="H192" i="1"/>
  <c r="C96" i="1"/>
  <c r="S159" i="1"/>
  <c r="S187" i="1"/>
  <c r="C179" i="1"/>
  <c r="K192" i="1"/>
  <c r="D192" i="1"/>
  <c r="F192" i="1"/>
  <c r="M233" i="1"/>
  <c r="F151" i="1"/>
  <c r="L139" i="1"/>
  <c r="L135" i="1"/>
  <c r="T165" i="1"/>
  <c r="T64" i="1" s="1"/>
  <c r="B151" i="1"/>
  <c r="C238" i="1" s="1"/>
  <c r="G165" i="1"/>
  <c r="T159" i="1"/>
  <c r="M204" i="1"/>
  <c r="O159" i="1"/>
  <c r="L233" i="1"/>
  <c r="B159" i="1"/>
  <c r="N204" i="1"/>
  <c r="D96" i="1"/>
  <c r="D138" i="1" s="1"/>
  <c r="K179" i="1"/>
  <c r="K159" i="1"/>
  <c r="F179" i="1"/>
  <c r="J192" i="1"/>
  <c r="K240" i="1" s="1"/>
  <c r="G151" i="1"/>
  <c r="H238" i="1" s="1"/>
  <c r="D204" i="1"/>
  <c r="J159" i="1"/>
  <c r="N233" i="1"/>
  <c r="E204" i="1"/>
  <c r="R233" i="1"/>
  <c r="L179" i="1"/>
  <c r="D233" i="1"/>
  <c r="G179" i="1"/>
  <c r="G213" i="1" s="1"/>
  <c r="G212" i="1" s="1"/>
  <c r="K151" i="1"/>
  <c r="C192" i="1"/>
  <c r="P179" i="1"/>
  <c r="W159" i="1"/>
  <c r="D179" i="1"/>
  <c r="U151" i="1"/>
  <c r="F187" i="1"/>
  <c r="F216" i="1" s="1"/>
  <c r="R179" i="1"/>
  <c r="C187" i="1"/>
  <c r="W204" i="1"/>
  <c r="E233" i="1"/>
  <c r="J179" i="1"/>
  <c r="E165" i="1"/>
  <c r="H187" i="1"/>
  <c r="H216" i="1" s="1"/>
  <c r="H215" i="1" s="1"/>
  <c r="H159" i="1"/>
  <c r="U233" i="1"/>
  <c r="I165" i="1"/>
  <c r="V204" i="1"/>
  <c r="P159" i="1"/>
  <c r="G204" i="1"/>
  <c r="J151" i="1"/>
  <c r="Q192" i="1"/>
  <c r="R240" i="1" s="1"/>
  <c r="N187" i="1"/>
  <c r="N216" i="1" s="1"/>
  <c r="N215" i="1" s="1"/>
  <c r="V179" i="1"/>
  <c r="O179" i="1"/>
  <c r="I159" i="1"/>
  <c r="O233" i="1"/>
  <c r="D165" i="1"/>
  <c r="G192" i="1"/>
  <c r="Q165" i="1"/>
  <c r="T179" i="1"/>
  <c r="E159" i="1"/>
  <c r="M165" i="1"/>
  <c r="Q151" i="1"/>
  <c r="P204" i="1"/>
  <c r="E179" i="1"/>
  <c r="L204" i="1"/>
  <c r="K204" i="1"/>
  <c r="K165" i="1"/>
  <c r="N159" i="1"/>
  <c r="O204" i="1"/>
  <c r="L159" i="1"/>
  <c r="P151" i="1"/>
  <c r="B179" i="1"/>
  <c r="T204" i="1"/>
  <c r="J204" i="1"/>
  <c r="P165" i="1"/>
  <c r="G159" i="1"/>
  <c r="U159" i="1"/>
  <c r="D187" i="1"/>
  <c r="H233" i="1"/>
  <c r="S151" i="1"/>
  <c r="W165" i="1"/>
  <c r="F204" i="1"/>
  <c r="O165" i="1"/>
  <c r="L192" i="1"/>
  <c r="R192" i="1"/>
  <c r="I204" i="1"/>
  <c r="R151" i="1"/>
  <c r="R85" i="1" s="1"/>
  <c r="Q179" i="1"/>
  <c r="V151" i="1"/>
  <c r="Q159" i="1"/>
  <c r="K187" i="1"/>
  <c r="Q134" i="1"/>
  <c r="Q138" i="1"/>
  <c r="I139" i="1"/>
  <c r="I135" i="1"/>
  <c r="Q135" i="1"/>
  <c r="Q139" i="1"/>
  <c r="R139" i="1"/>
  <c r="R135" i="1"/>
  <c r="R118" i="1"/>
  <c r="N210" i="1"/>
  <c r="N179" i="1"/>
  <c r="U133" i="1"/>
  <c r="U116" i="1"/>
  <c r="P187" i="1"/>
  <c r="P216" i="1" s="1"/>
  <c r="P215" i="1" s="1"/>
  <c r="T187" i="1"/>
  <c r="J187" i="1"/>
  <c r="E187" i="1"/>
  <c r="G187" i="1"/>
  <c r="O187" i="1"/>
  <c r="U187" i="1"/>
  <c r="L187" i="1"/>
  <c r="L206" i="1"/>
  <c r="J120" i="1"/>
  <c r="Q117" i="1"/>
  <c r="G120" i="1"/>
  <c r="E118" i="1"/>
  <c r="T139" i="1"/>
  <c r="T135" i="1"/>
  <c r="T138" i="1"/>
  <c r="T120" i="1"/>
  <c r="U139" i="1"/>
  <c r="U135" i="1"/>
  <c r="T116" i="1"/>
  <c r="T133" i="1"/>
  <c r="P138" i="1"/>
  <c r="P117" i="1"/>
  <c r="P134" i="1"/>
  <c r="W134" i="1"/>
  <c r="W138" i="1"/>
  <c r="L138" i="1"/>
  <c r="L134" i="1"/>
  <c r="L120" i="1"/>
  <c r="E134" i="1"/>
  <c r="E120" i="1"/>
  <c r="E138" i="1"/>
  <c r="M139" i="1"/>
  <c r="M118" i="1"/>
  <c r="O135" i="1"/>
  <c r="O139" i="1"/>
  <c r="K139" i="1"/>
  <c r="K135" i="1"/>
  <c r="R138" i="1"/>
  <c r="R134" i="1"/>
  <c r="R117" i="1"/>
  <c r="V134" i="1"/>
  <c r="V138" i="1"/>
  <c r="O138" i="1"/>
  <c r="O120" i="1"/>
  <c r="H210" i="1"/>
  <c r="H179" i="1"/>
  <c r="M120" i="1"/>
  <c r="M138" i="1"/>
  <c r="M117" i="1"/>
  <c r="J139" i="1"/>
  <c r="J118" i="1"/>
  <c r="R204" i="1"/>
  <c r="J233" i="1"/>
  <c r="I233" i="1"/>
  <c r="N138" i="1"/>
  <c r="N117" i="1"/>
  <c r="N134" i="1"/>
  <c r="F138" i="1"/>
  <c r="F120" i="1"/>
  <c r="F134" i="1"/>
  <c r="F117" i="1"/>
  <c r="F133" i="1"/>
  <c r="F116" i="1"/>
  <c r="E139" i="1"/>
  <c r="E135" i="1"/>
  <c r="P139" i="1"/>
  <c r="P118" i="1"/>
  <c r="P135" i="1"/>
  <c r="U117" i="1"/>
  <c r="U138" i="1"/>
  <c r="U134" i="1"/>
  <c r="K138" i="1"/>
  <c r="K134" i="1"/>
  <c r="V135" i="1"/>
  <c r="V139" i="1"/>
  <c r="I138" i="1"/>
  <c r="I120" i="1"/>
  <c r="I134" i="1"/>
  <c r="U204" i="1"/>
  <c r="G233" i="1"/>
  <c r="F233" i="1"/>
  <c r="R133" i="1"/>
  <c r="R116" i="1"/>
  <c r="X233" i="1"/>
  <c r="W233" i="1"/>
  <c r="F139" i="1"/>
  <c r="F118" i="1"/>
  <c r="F135" i="1"/>
  <c r="J138" i="1"/>
  <c r="J134" i="1"/>
  <c r="J117" i="1"/>
  <c r="H139" i="1"/>
  <c r="H135" i="1"/>
  <c r="S139" i="1"/>
  <c r="S135" i="1"/>
  <c r="M185" i="1"/>
  <c r="M187" i="1" s="1"/>
  <c r="M159" i="1"/>
  <c r="G138" i="1"/>
  <c r="G134" i="1"/>
  <c r="G117" i="1"/>
  <c r="V165" i="1"/>
  <c r="I187" i="1"/>
  <c r="H165" i="1"/>
  <c r="H169" i="1" s="1"/>
  <c r="Q187" i="1"/>
  <c r="V187" i="1"/>
  <c r="R187" i="1"/>
  <c r="BH165" i="1"/>
  <c r="BH169" i="1" s="1"/>
  <c r="L85" i="1"/>
  <c r="BH192" i="1"/>
  <c r="BI173" i="1"/>
  <c r="BH179" i="1"/>
  <c r="BH213" i="1" s="1"/>
  <c r="BI180" i="1"/>
  <c r="BH187" i="1"/>
  <c r="BH216" i="1" s="1"/>
  <c r="BI155" i="1"/>
  <c r="BI159" i="1" s="1"/>
  <c r="BH159" i="1"/>
  <c r="AZ41" i="1"/>
  <c r="AZ47" i="1" s="1"/>
  <c r="AN283" i="1"/>
  <c r="AI68" i="1"/>
  <c r="BV192" i="1"/>
  <c r="BW240" i="1" s="1"/>
  <c r="AP283" i="1"/>
  <c r="BK283" i="1"/>
  <c r="BO57" i="1"/>
  <c r="AU129" i="1"/>
  <c r="AU130" i="1" s="1"/>
  <c r="BH283" i="1"/>
  <c r="BI283" i="1"/>
  <c r="BU57" i="1"/>
  <c r="BD57" i="1"/>
  <c r="BK41" i="1"/>
  <c r="AT262" i="1"/>
  <c r="AP225" i="1"/>
  <c r="AP284" i="1"/>
  <c r="AY41" i="1"/>
  <c r="AM79" i="1"/>
  <c r="BO283" i="1"/>
  <c r="BR57" i="1"/>
  <c r="BW57" i="1"/>
  <c r="BF283" i="1"/>
  <c r="AX57" i="1"/>
  <c r="BI148" i="1"/>
  <c r="BH151" i="1"/>
  <c r="BH123" i="1" s="1"/>
  <c r="BH127" i="1" s="1"/>
  <c r="AZ262" i="1"/>
  <c r="BC129" i="1"/>
  <c r="BC130" i="1" s="1"/>
  <c r="AY283" i="1"/>
  <c r="AW41" i="1"/>
  <c r="AW47" i="1" s="1"/>
  <c r="BN284" i="1"/>
  <c r="AP41" i="1"/>
  <c r="BJ129" i="1"/>
  <c r="BJ130" i="1" s="1"/>
  <c r="BJ133" i="1" s="1"/>
  <c r="AI214" i="1"/>
  <c r="AI216" i="1"/>
  <c r="AI213" i="1"/>
  <c r="AN225" i="1"/>
  <c r="AN64" i="1"/>
  <c r="C206" i="1"/>
  <c r="C85" i="1"/>
  <c r="V240" i="1"/>
  <c r="AW57" i="1"/>
  <c r="AU57" i="1"/>
  <c r="BQ283" i="1"/>
  <c r="BN129" i="1"/>
  <c r="BN130" i="1" s="1"/>
  <c r="BM41" i="1"/>
  <c r="AO284" i="1"/>
  <c r="BA41" i="1"/>
  <c r="BA47" i="1" s="1"/>
  <c r="BW284" i="1"/>
  <c r="BR129" i="1"/>
  <c r="BR130" i="1" s="1"/>
  <c r="BP283" i="1"/>
  <c r="BQ41" i="1"/>
  <c r="BQ262" i="1"/>
  <c r="BS129" i="1"/>
  <c r="BS130" i="1" s="1"/>
  <c r="BB225" i="1"/>
  <c r="BB284" i="1"/>
  <c r="BN283" i="1"/>
  <c r="BO129" i="1"/>
  <c r="BO130" i="1" s="1"/>
  <c r="BO133" i="1" s="1"/>
  <c r="BN262" i="1"/>
  <c r="BM262" i="1"/>
  <c r="BP129" i="1"/>
  <c r="BP130" i="1" s="1"/>
  <c r="BK57" i="1"/>
  <c r="BU283" i="1"/>
  <c r="BU41" i="1"/>
  <c r="N279" i="1"/>
  <c r="L125" i="1"/>
  <c r="L127" i="1"/>
  <c r="E206" i="1"/>
  <c r="E123" i="1"/>
  <c r="BD41" i="1"/>
  <c r="BD284" i="1"/>
  <c r="BD262" i="1"/>
  <c r="BG129" i="1"/>
  <c r="BG130" i="1" s="1"/>
  <c r="AI234" i="1"/>
  <c r="AI232" i="1" s="1"/>
  <c r="AI57" i="1"/>
  <c r="E85" i="1"/>
  <c r="BV284" i="1"/>
  <c r="BJ58" i="1"/>
  <c r="BV41" i="1"/>
  <c r="BV47" i="1" s="1"/>
  <c r="BO41" i="1"/>
  <c r="BK68" i="1"/>
  <c r="AR284" i="1"/>
  <c r="BU129" i="1"/>
  <c r="BU130" i="1" s="1"/>
  <c r="BW159" i="1"/>
  <c r="BW129" i="1"/>
  <c r="BW130" i="1" s="1"/>
  <c r="AZ129" i="1"/>
  <c r="AZ130" i="1" s="1"/>
  <c r="AZ133" i="1" s="1"/>
  <c r="BG57" i="1"/>
  <c r="BA283" i="1"/>
  <c r="AY284" i="1"/>
  <c r="AT41" i="1"/>
  <c r="AT47" i="1" s="1"/>
  <c r="AZ57" i="1"/>
  <c r="AS57" i="1"/>
  <c r="BO262" i="1"/>
  <c r="AS283" i="1"/>
  <c r="BA57" i="1"/>
  <c r="AZ283" i="1"/>
  <c r="BE57" i="1"/>
  <c r="BV179" i="1"/>
  <c r="BV213" i="1" s="1"/>
  <c r="BR41" i="1"/>
  <c r="AR57" i="1"/>
  <c r="BD283" i="1"/>
  <c r="BI57" i="1"/>
  <c r="BM68" i="1"/>
  <c r="BQ57" i="1"/>
  <c r="AR41" i="1"/>
  <c r="AS41" i="1"/>
  <c r="AT57" i="1"/>
  <c r="K117" i="1"/>
  <c r="BP57" i="1"/>
  <c r="BT284" i="1"/>
  <c r="AP57" i="1"/>
  <c r="R101" i="1"/>
  <c r="AI41" i="1"/>
  <c r="BV210" i="1"/>
  <c r="BW210" i="1" s="1"/>
  <c r="BX129" i="1"/>
  <c r="BX130" i="1" s="1"/>
  <c r="BG284" i="1"/>
  <c r="BV129" i="1"/>
  <c r="BV130" i="1" s="1"/>
  <c r="AL129" i="1"/>
  <c r="AL130" i="1" s="1"/>
  <c r="AL135" i="1" s="1"/>
  <c r="AT283" i="1"/>
  <c r="AT129" i="1"/>
  <c r="AT130" i="1" s="1"/>
  <c r="BT129" i="1"/>
  <c r="BT130" i="1" s="1"/>
  <c r="AW284" i="1"/>
  <c r="BS283" i="1"/>
  <c r="AX283" i="1"/>
  <c r="AO283" i="1"/>
  <c r="K101" i="1"/>
  <c r="AN57" i="1"/>
  <c r="BT57" i="1"/>
  <c r="AQ57" i="1"/>
  <c r="AV57" i="1"/>
  <c r="BH57" i="1"/>
  <c r="BI41" i="1"/>
  <c r="BP41" i="1"/>
  <c r="AY57" i="1"/>
  <c r="BF57" i="1"/>
  <c r="BN57" i="1"/>
  <c r="AU41" i="1"/>
  <c r="K118" i="1"/>
  <c r="AY262" i="1"/>
  <c r="BV283" i="1"/>
  <c r="AI211" i="1"/>
  <c r="BV159" i="1"/>
  <c r="BS41" i="1"/>
  <c r="BQ129" i="1"/>
  <c r="BQ130" i="1" s="1"/>
  <c r="BQ133" i="1" s="1"/>
  <c r="BV214" i="1"/>
  <c r="BE41" i="1"/>
  <c r="BY129" i="1"/>
  <c r="BY130" i="1" s="1"/>
  <c r="BE283" i="1"/>
  <c r="BL129" i="1"/>
  <c r="BL130" i="1" s="1"/>
  <c r="AT284" i="1"/>
  <c r="BT283" i="1"/>
  <c r="BM284" i="1"/>
  <c r="BM234" i="1"/>
  <c r="BM232" i="1" s="1"/>
  <c r="BM64" i="1"/>
  <c r="BM225" i="1"/>
  <c r="BP284" i="1"/>
  <c r="BP225" i="1"/>
  <c r="BR284" i="1"/>
  <c r="BR225" i="1"/>
  <c r="BC41" i="1"/>
  <c r="AU284" i="1"/>
  <c r="BV211" i="1"/>
  <c r="BW211" i="1" s="1"/>
  <c r="BH129" i="1"/>
  <c r="BH130" i="1" s="1"/>
  <c r="BH134" i="1" s="1"/>
  <c r="BF284" i="1"/>
  <c r="BD129" i="1"/>
  <c r="BD130" i="1" s="1"/>
  <c r="AI64" i="1"/>
  <c r="BH41" i="1"/>
  <c r="BH211" i="1"/>
  <c r="BI211" i="1" s="1"/>
  <c r="AX129" i="1"/>
  <c r="AX130" i="1" s="1"/>
  <c r="BQ284" i="1"/>
  <c r="BK129" i="1"/>
  <c r="BK130" i="1" s="1"/>
  <c r="BK135" i="1" s="1"/>
  <c r="AX284" i="1"/>
  <c r="AR129" i="1"/>
  <c r="AR130" i="1" s="1"/>
  <c r="AQ283" i="1"/>
  <c r="AS129" i="1"/>
  <c r="AS130" i="1" s="1"/>
  <c r="AQ41" i="1"/>
  <c r="BT225" i="1"/>
  <c r="BH210" i="1"/>
  <c r="BI210" i="1" s="1"/>
  <c r="AR283" i="1"/>
  <c r="BU225" i="1"/>
  <c r="BU284" i="1"/>
  <c r="BW148" i="1"/>
  <c r="BV151" i="1"/>
  <c r="BK284" i="1"/>
  <c r="BK225" i="1"/>
  <c r="BK64" i="1"/>
  <c r="BK234" i="1"/>
  <c r="BK232" i="1" s="1"/>
  <c r="BK262" i="1"/>
  <c r="BM129" i="1"/>
  <c r="BM130" i="1" s="1"/>
  <c r="BM283" i="1"/>
  <c r="BS57" i="1"/>
  <c r="AN41" i="1"/>
  <c r="AN262" i="1"/>
  <c r="AN129" i="1"/>
  <c r="AN130" i="1" s="1"/>
  <c r="AO129" i="1"/>
  <c r="AO130" i="1" s="1"/>
  <c r="AU262" i="1"/>
  <c r="BO284" i="1"/>
  <c r="BF129" i="1"/>
  <c r="BF130" i="1" s="1"/>
  <c r="BF41" i="1"/>
  <c r="AV41" i="1"/>
  <c r="AY129" i="1"/>
  <c r="AY130" i="1" s="1"/>
  <c r="AW129" i="1"/>
  <c r="AW130" i="1" s="1"/>
  <c r="AV283" i="1"/>
  <c r="AP129" i="1"/>
  <c r="AP130" i="1" s="1"/>
  <c r="AV129" i="1"/>
  <c r="AV130" i="1" s="1"/>
  <c r="BW41" i="1"/>
  <c r="BW262" i="1"/>
  <c r="BZ129" i="1"/>
  <c r="BZ130" i="1" s="1"/>
  <c r="BV165" i="1"/>
  <c r="AO57" i="1"/>
  <c r="BR283" i="1"/>
  <c r="BN64" i="1"/>
  <c r="BN225" i="1"/>
  <c r="AQ284" i="1"/>
  <c r="AQ225" i="1"/>
  <c r="BN41" i="1"/>
  <c r="BW283" i="1"/>
  <c r="BI284" i="1"/>
  <c r="BI225" i="1"/>
  <c r="BB262" i="1"/>
  <c r="BB41" i="1"/>
  <c r="BM57" i="1"/>
  <c r="BI129" i="1"/>
  <c r="BI130" i="1" s="1"/>
  <c r="BI134" i="1" s="1"/>
  <c r="BF262" i="1"/>
  <c r="BE129" i="1"/>
  <c r="BE130" i="1" s="1"/>
  <c r="BE135" i="1" s="1"/>
  <c r="AN284" i="1"/>
  <c r="BC283" i="1"/>
  <c r="AV284" i="1"/>
  <c r="BC284" i="1"/>
  <c r="BE284" i="1"/>
  <c r="AQ129" i="1"/>
  <c r="AQ130" i="1" s="1"/>
  <c r="AQ135" i="1" s="1"/>
  <c r="BH284" i="1"/>
  <c r="BV187" i="1"/>
  <c r="BV216" i="1" s="1"/>
  <c r="BB283" i="1"/>
  <c r="BV57" i="1"/>
  <c r="BJ284" i="1"/>
  <c r="BJ225" i="1"/>
  <c r="BG283" i="1"/>
  <c r="BG262" i="1"/>
  <c r="BC57" i="1"/>
  <c r="AX262" i="1"/>
  <c r="AX41" i="1"/>
  <c r="AZ284" i="1"/>
  <c r="AZ225" i="1"/>
  <c r="BT262" i="1"/>
  <c r="BT41" i="1"/>
  <c r="BH214" i="1"/>
  <c r="BI214" i="1" s="1"/>
  <c r="BG41" i="1"/>
  <c r="AU283" i="1"/>
  <c r="BA284" i="1"/>
  <c r="BA225" i="1"/>
  <c r="AO262" i="1"/>
  <c r="AO41" i="1"/>
  <c r="AW283" i="1"/>
  <c r="AW262" i="1"/>
  <c r="AI210" i="1"/>
  <c r="AI262" i="1"/>
  <c r="BB57" i="1"/>
  <c r="BA129" i="1"/>
  <c r="BA130" i="1" s="1"/>
  <c r="BB129" i="1"/>
  <c r="BB130" i="1" s="1"/>
  <c r="AS284" i="1"/>
  <c r="AS225" i="1"/>
  <c r="BS284" i="1"/>
  <c r="E116" i="1"/>
  <c r="BI233" i="1"/>
  <c r="BW233" i="1"/>
  <c r="P120" i="1"/>
  <c r="BJ59" i="1"/>
  <c r="BJ48" i="1"/>
  <c r="Q118" i="1"/>
  <c r="Q116" i="1"/>
  <c r="Q101" i="1"/>
  <c r="H101" i="1"/>
  <c r="H118" i="1"/>
  <c r="F101" i="1"/>
  <c r="H116" i="1"/>
  <c r="H117" i="1"/>
  <c r="D120" i="1"/>
  <c r="M135" i="1"/>
  <c r="M134" i="1"/>
  <c r="M133" i="1"/>
  <c r="E117" i="1"/>
  <c r="U120" i="1"/>
  <c r="V117" i="1"/>
  <c r="V116" i="1"/>
  <c r="V118" i="1"/>
  <c r="V101" i="1"/>
  <c r="O99" i="1"/>
  <c r="O100" i="1"/>
  <c r="CQ165" i="1"/>
  <c r="DB108" i="1"/>
  <c r="CY96" i="1"/>
  <c r="CZ94" i="1"/>
  <c r="S117" i="1"/>
  <c r="S101" i="1"/>
  <c r="T101" i="1"/>
  <c r="M101" i="1"/>
  <c r="I117" i="1"/>
  <c r="I101" i="1"/>
  <c r="I118" i="1"/>
  <c r="I116" i="1"/>
  <c r="S116" i="1"/>
  <c r="H120" i="1"/>
  <c r="R120" i="1"/>
  <c r="S118" i="1"/>
  <c r="L116" i="1"/>
  <c r="L117" i="1"/>
  <c r="L118" i="1"/>
  <c r="K120" i="1"/>
  <c r="H58" i="3"/>
  <c r="W59" i="3"/>
  <c r="S73" i="3"/>
  <c r="I48" i="3"/>
  <c r="S69" i="3"/>
  <c r="AE68" i="3"/>
  <c r="AO82" i="3"/>
  <c r="AJ59" i="3"/>
  <c r="AO84" i="3"/>
  <c r="U57" i="3"/>
  <c r="AI94" i="3"/>
  <c r="M72" i="3"/>
  <c r="H60" i="3"/>
  <c r="AK65" i="3"/>
  <c r="K92" i="3"/>
  <c r="I78" i="3"/>
  <c r="AM63" i="3"/>
  <c r="H92" i="3"/>
  <c r="AJ67" i="3"/>
  <c r="AL89" i="3"/>
  <c r="H47" i="3"/>
  <c r="AQ58" i="3"/>
  <c r="S58" i="3"/>
  <c r="J90" i="3"/>
  <c r="N91" i="3"/>
  <c r="AH70" i="3"/>
  <c r="AE90" i="3"/>
  <c r="AI49" i="3"/>
  <c r="U93" i="3"/>
  <c r="AJ61" i="3"/>
  <c r="AN78" i="3"/>
  <c r="AL96" i="3"/>
  <c r="M69" i="3"/>
  <c r="W65" i="3"/>
  <c r="L64" i="3"/>
  <c r="T75" i="3"/>
  <c r="N97" i="3"/>
  <c r="U84" i="3"/>
  <c r="Z68" i="3"/>
  <c r="AI54" i="3"/>
  <c r="H67" i="3"/>
  <c r="AL66" i="3"/>
  <c r="AC79" i="3"/>
  <c r="Z96" i="3"/>
  <c r="Q58" i="3"/>
  <c r="N85" i="3"/>
  <c r="U60" i="3"/>
  <c r="J69" i="3"/>
  <c r="AO81" i="3"/>
  <c r="AI47" i="3"/>
  <c r="AE47" i="3"/>
  <c r="AM75" i="3"/>
  <c r="Y89" i="3"/>
  <c r="AN58" i="3"/>
  <c r="AA74" i="3"/>
  <c r="P80" i="3"/>
  <c r="AC48" i="3"/>
  <c r="I84" i="3"/>
  <c r="AG55" i="3"/>
  <c r="W47" i="3"/>
  <c r="Z93" i="3"/>
  <c r="AG86" i="3"/>
  <c r="K75" i="3"/>
  <c r="AQ57" i="3"/>
  <c r="P94" i="3"/>
  <c r="AI77" i="3"/>
  <c r="AJ60" i="3"/>
  <c r="R90" i="3"/>
  <c r="X62" i="3"/>
  <c r="T94" i="3"/>
  <c r="M74" i="3"/>
  <c r="W84" i="3"/>
  <c r="AE73" i="3"/>
  <c r="AA70" i="3"/>
  <c r="J76" i="3"/>
  <c r="U78" i="3"/>
  <c r="AI86" i="3"/>
  <c r="AE86" i="3"/>
  <c r="V73" i="3"/>
  <c r="Z66" i="3"/>
  <c r="AJ78" i="3"/>
  <c r="T56" i="3"/>
  <c r="M88" i="3"/>
  <c r="AI70" i="3"/>
  <c r="AH72" i="3"/>
  <c r="K77" i="3"/>
  <c r="AQ80" i="3"/>
  <c r="AE50" i="3"/>
  <c r="AI80" i="3"/>
  <c r="AN54" i="3"/>
  <c r="T57" i="3"/>
  <c r="X84" i="3"/>
  <c r="V48" i="3"/>
  <c r="AA94" i="3"/>
  <c r="I89" i="3"/>
  <c r="AL74" i="3"/>
  <c r="Q92" i="3"/>
  <c r="W72" i="3"/>
  <c r="X72" i="3"/>
  <c r="L61" i="3"/>
  <c r="AA93" i="3"/>
  <c r="U47" i="3"/>
  <c r="AJ83" i="3"/>
  <c r="AG75" i="3"/>
  <c r="AK61" i="3"/>
  <c r="O91" i="3"/>
  <c r="M49" i="3"/>
  <c r="AQ79" i="3"/>
  <c r="AO47" i="3"/>
  <c r="L81" i="3"/>
  <c r="J93" i="3"/>
  <c r="AQ74" i="3"/>
  <c r="S68" i="3"/>
  <c r="AE63" i="3"/>
  <c r="AN50" i="3"/>
  <c r="AM64" i="3"/>
  <c r="S84" i="3"/>
  <c r="AL54" i="3"/>
  <c r="Z74" i="3"/>
  <c r="AO96" i="3"/>
  <c r="Z84" i="3"/>
  <c r="AM80" i="3"/>
  <c r="AE84" i="3"/>
  <c r="N71" i="3"/>
  <c r="Y96" i="3"/>
  <c r="Q86" i="3"/>
  <c r="AK93" i="3"/>
  <c r="P50" i="3"/>
  <c r="Z58" i="3"/>
  <c r="AO62" i="3"/>
  <c r="X94" i="3"/>
  <c r="S48" i="3"/>
  <c r="L62" i="3"/>
  <c r="Q94" i="3"/>
  <c r="AO88" i="3"/>
  <c r="S63" i="3"/>
  <c r="K93" i="3"/>
  <c r="Z65" i="3"/>
  <c r="W94" i="3"/>
  <c r="H76" i="3"/>
  <c r="Q75" i="3"/>
  <c r="AH56" i="3"/>
  <c r="P69" i="3"/>
  <c r="J92" i="3"/>
  <c r="AI69" i="3"/>
  <c r="AC75" i="3"/>
  <c r="AM91" i="3"/>
  <c r="Y64" i="3"/>
  <c r="Q97" i="3"/>
  <c r="AN88" i="3"/>
  <c r="Q90" i="3"/>
  <c r="M94" i="3"/>
  <c r="AN90" i="3"/>
  <c r="AH66" i="3"/>
  <c r="O71" i="3"/>
  <c r="AN62" i="3"/>
  <c r="AI57" i="3"/>
  <c r="AA91" i="3"/>
  <c r="AM96" i="3"/>
  <c r="Y61" i="3"/>
  <c r="J73" i="3"/>
  <c r="P66" i="3"/>
  <c r="P56" i="3"/>
  <c r="Z54" i="3"/>
  <c r="R79" i="3"/>
  <c r="AG71" i="3"/>
  <c r="H81" i="3"/>
  <c r="Z49" i="3"/>
  <c r="Q76" i="3"/>
  <c r="T54" i="3"/>
  <c r="AN76" i="3"/>
  <c r="L88" i="3"/>
  <c r="Q60" i="3"/>
  <c r="AC58" i="3"/>
  <c r="I66" i="3"/>
  <c r="W80" i="3"/>
  <c r="AN77" i="3"/>
  <c r="AA56" i="3"/>
  <c r="H50" i="3"/>
  <c r="Z56" i="3"/>
  <c r="N66" i="3"/>
  <c r="Y92" i="3"/>
  <c r="AA97" i="3"/>
  <c r="W82" i="3"/>
  <c r="AH74" i="3"/>
  <c r="P76" i="3"/>
  <c r="V49" i="3"/>
  <c r="P96" i="3"/>
  <c r="AA72" i="3"/>
  <c r="AN91" i="3"/>
  <c r="AL86" i="3"/>
  <c r="Y82" i="3"/>
  <c r="H90" i="3"/>
  <c r="V88" i="3"/>
  <c r="AE97" i="3"/>
  <c r="AG80" i="3"/>
  <c r="N68" i="3"/>
  <c r="AL90" i="3"/>
  <c r="AO61" i="3"/>
  <c r="AH88" i="3"/>
  <c r="I73" i="3"/>
  <c r="AL88" i="3"/>
  <c r="Z95" i="3"/>
  <c r="AO87" i="3"/>
  <c r="AL79" i="3"/>
  <c r="Q57" i="3"/>
  <c r="W57" i="3"/>
  <c r="AH57" i="3"/>
  <c r="X88" i="3"/>
  <c r="AQ84" i="3"/>
  <c r="O59" i="3"/>
  <c r="Z60" i="3"/>
  <c r="X82" i="3"/>
  <c r="K82" i="3"/>
  <c r="AQ77" i="3"/>
  <c r="P70" i="3"/>
  <c r="S86" i="3"/>
  <c r="U82" i="3"/>
  <c r="Y66" i="3"/>
  <c r="S64" i="3"/>
  <c r="W63" i="3"/>
  <c r="AE80" i="3"/>
  <c r="T55" i="3"/>
  <c r="AJ85" i="3"/>
  <c r="V95" i="3"/>
  <c r="AC94" i="3"/>
  <c r="H66" i="3"/>
  <c r="AJ84" i="3"/>
  <c r="V60" i="3"/>
  <c r="W70" i="3"/>
  <c r="N72" i="3"/>
  <c r="AM82" i="3"/>
  <c r="AQ83" i="3"/>
  <c r="AK63" i="3"/>
  <c r="AQ63" i="3"/>
  <c r="AK69" i="3"/>
  <c r="AN71" i="3"/>
  <c r="M48" i="3"/>
  <c r="AQ72" i="3"/>
  <c r="N50" i="3"/>
  <c r="H69" i="3"/>
  <c r="L63" i="3"/>
  <c r="AQ94" i="3"/>
  <c r="K55" i="3"/>
  <c r="AQ78" i="3"/>
  <c r="AH55" i="3"/>
  <c r="Q73" i="3"/>
  <c r="AH69" i="3"/>
  <c r="AM58" i="3"/>
  <c r="X83" i="3"/>
  <c r="K58" i="3"/>
  <c r="N89" i="3"/>
  <c r="Q64" i="3"/>
  <c r="L82" i="3"/>
  <c r="X54" i="3"/>
  <c r="AG49" i="3"/>
  <c r="AC86" i="3"/>
  <c r="Q71" i="3"/>
  <c r="M60" i="3"/>
  <c r="O86" i="3"/>
  <c r="AN94" i="3"/>
  <c r="I54" i="3"/>
  <c r="AG95" i="3"/>
  <c r="N54" i="3"/>
  <c r="AQ60" i="3"/>
  <c r="P58" i="3"/>
  <c r="X63" i="3"/>
  <c r="S79" i="3"/>
  <c r="T58" i="3"/>
  <c r="AJ74" i="3"/>
  <c r="P87" i="3"/>
  <c r="M76" i="3"/>
  <c r="Z97" i="3"/>
  <c r="I93" i="3"/>
  <c r="W76" i="3"/>
  <c r="J70" i="3"/>
  <c r="X90" i="3"/>
  <c r="AI68" i="3"/>
  <c r="AH79" i="3"/>
  <c r="R50" i="3"/>
  <c r="O95" i="3"/>
  <c r="J48" i="3"/>
  <c r="AC76" i="3"/>
  <c r="U66" i="3"/>
  <c r="AH48" i="3"/>
  <c r="O74" i="3"/>
  <c r="O84" i="3"/>
  <c r="AG47" i="3"/>
  <c r="Y88" i="3"/>
  <c r="V71" i="3"/>
  <c r="AI83" i="3"/>
  <c r="AA48" i="3"/>
  <c r="P67" i="3"/>
  <c r="L76" i="3"/>
  <c r="X61" i="3"/>
  <c r="AK60" i="3"/>
  <c r="Z73" i="3"/>
  <c r="AM71" i="3"/>
  <c r="Y56" i="3"/>
  <c r="V85" i="3"/>
  <c r="N93" i="3"/>
  <c r="J79" i="3"/>
  <c r="T96" i="3"/>
  <c r="V86" i="3"/>
  <c r="AC63" i="3"/>
  <c r="AJ89" i="3"/>
  <c r="O94" i="3"/>
  <c r="AC81" i="3"/>
  <c r="V84" i="3"/>
  <c r="AQ75" i="3"/>
  <c r="R66" i="3"/>
  <c r="AQ55" i="3"/>
  <c r="AH63" i="3"/>
  <c r="R94" i="3"/>
  <c r="AO91" i="3"/>
  <c r="T87" i="3"/>
  <c r="J67" i="3"/>
  <c r="AA75" i="3"/>
  <c r="H49" i="3"/>
  <c r="AC97" i="3"/>
  <c r="AM76" i="3"/>
  <c r="Y70" i="3"/>
  <c r="H86" i="3"/>
  <c r="H71" i="3"/>
  <c r="AE81" i="3"/>
  <c r="AO72" i="3"/>
  <c r="AL78" i="3"/>
  <c r="T92" i="3"/>
  <c r="AN73" i="3"/>
  <c r="J78" i="3"/>
  <c r="Z62" i="3"/>
  <c r="AN68" i="3"/>
  <c r="AH95" i="3"/>
  <c r="AE77" i="3"/>
  <c r="AA63" i="3"/>
  <c r="J68" i="3"/>
  <c r="Z92" i="3"/>
  <c r="AO48" i="3"/>
  <c r="Z88" i="3"/>
  <c r="Y85" i="3"/>
  <c r="H61" i="3"/>
  <c r="Q63" i="3"/>
  <c r="AG64" i="3"/>
  <c r="R76" i="3"/>
  <c r="AG97" i="3"/>
  <c r="AK72" i="3"/>
  <c r="AC60" i="3"/>
  <c r="AA73" i="3"/>
  <c r="O80" i="3"/>
  <c r="AN47" i="3"/>
  <c r="AE94" i="3"/>
  <c r="R49" i="3"/>
  <c r="I50" i="3"/>
  <c r="H62" i="3"/>
  <c r="N47" i="3"/>
  <c r="U97" i="3"/>
  <c r="P68" i="3"/>
  <c r="R89" i="3"/>
  <c r="L66" i="3"/>
  <c r="AE79" i="3"/>
  <c r="V79" i="3"/>
  <c r="W75" i="3"/>
  <c r="K62" i="3"/>
  <c r="R74" i="3"/>
  <c r="J81" i="3"/>
  <c r="N56" i="3"/>
  <c r="AH96" i="3"/>
  <c r="AC57" i="3"/>
  <c r="AI71" i="3"/>
  <c r="Q88" i="3"/>
  <c r="I58" i="3"/>
  <c r="AJ58" i="3"/>
  <c r="O64" i="3"/>
  <c r="AG82" i="3"/>
  <c r="L79" i="3"/>
  <c r="I86" i="3"/>
  <c r="O47" i="3"/>
  <c r="AA95" i="3"/>
  <c r="Z76" i="3"/>
  <c r="S85" i="3"/>
  <c r="S71" i="3"/>
  <c r="P88" i="3"/>
  <c r="AI88" i="3"/>
  <c r="AG70" i="3"/>
  <c r="S93" i="3"/>
  <c r="AE56" i="3"/>
  <c r="AM56" i="3"/>
  <c r="Y60" i="3"/>
  <c r="L69" i="3"/>
  <c r="AA59" i="3"/>
  <c r="AC65" i="3"/>
  <c r="AH77" i="3"/>
  <c r="AH73" i="3"/>
  <c r="H91" i="3"/>
  <c r="O62" i="3"/>
  <c r="AG90" i="3"/>
  <c r="AH50" i="3"/>
  <c r="Z82" i="3"/>
  <c r="AI96" i="3"/>
  <c r="AO76" i="3"/>
  <c r="AA81" i="3"/>
  <c r="Z57" i="3"/>
  <c r="M64" i="3"/>
  <c r="AN75" i="3"/>
  <c r="K79" i="3"/>
  <c r="K63" i="3"/>
  <c r="V96" i="3"/>
  <c r="AQ97" i="3"/>
  <c r="AJ70" i="3"/>
  <c r="AE49" i="3"/>
  <c r="R55" i="3"/>
  <c r="AN72" i="3"/>
  <c r="Z86" i="3"/>
  <c r="AM62" i="3"/>
  <c r="W62" i="3"/>
  <c r="J77" i="3"/>
  <c r="AN84" i="3"/>
  <c r="M66" i="3"/>
  <c r="AK95" i="3"/>
  <c r="AA55" i="3"/>
  <c r="AE93" i="3"/>
  <c r="R86" i="3"/>
  <c r="Z55" i="3"/>
  <c r="AE74" i="3"/>
  <c r="H73" i="3"/>
  <c r="W67" i="3"/>
  <c r="S82" i="3"/>
  <c r="R82" i="3"/>
  <c r="V77" i="3"/>
  <c r="L57" i="3"/>
  <c r="U80" i="3"/>
  <c r="V50" i="3"/>
  <c r="T78" i="3"/>
  <c r="AH59" i="3"/>
  <c r="O79" i="3"/>
  <c r="AL49" i="3"/>
  <c r="O93" i="3"/>
  <c r="T91" i="3"/>
  <c r="AJ49" i="3"/>
  <c r="X87" i="3"/>
  <c r="AC66" i="3"/>
  <c r="N49" i="3"/>
  <c r="AC78" i="3"/>
  <c r="AJ97" i="3"/>
  <c r="R70" i="3"/>
  <c r="AO67" i="3"/>
  <c r="L47" i="3"/>
  <c r="J47" i="3"/>
  <c r="W69" i="3"/>
  <c r="S49" i="3"/>
  <c r="R71" i="3"/>
  <c r="N57" i="3"/>
  <c r="O56" i="3"/>
  <c r="I72" i="3"/>
  <c r="T89" i="3"/>
  <c r="Z50" i="3"/>
  <c r="AQ50" i="3"/>
  <c r="H93" i="3"/>
  <c r="L70" i="3"/>
  <c r="Y54" i="3"/>
  <c r="S55" i="3"/>
  <c r="AQ86" i="3"/>
  <c r="AN69" i="3"/>
  <c r="L86" i="3"/>
  <c r="X78" i="3"/>
  <c r="AG66" i="3"/>
  <c r="Z61" i="3"/>
  <c r="AL59" i="3"/>
  <c r="L83" i="3"/>
  <c r="W49" i="3"/>
  <c r="O72" i="3"/>
  <c r="T72" i="3"/>
  <c r="AC92" i="3"/>
  <c r="AM73" i="3"/>
  <c r="AO92" i="3"/>
  <c r="AI65" i="3"/>
  <c r="AE82" i="3"/>
  <c r="AM61" i="3"/>
  <c r="Y75" i="3"/>
  <c r="AN92" i="3"/>
  <c r="AM93" i="3"/>
  <c r="AN85" i="3"/>
  <c r="V65" i="3"/>
  <c r="AL67" i="3"/>
  <c r="L59" i="3"/>
  <c r="M95" i="3"/>
  <c r="S87" i="3"/>
  <c r="I80" i="3"/>
  <c r="AA88" i="3"/>
  <c r="AI97" i="3"/>
  <c r="X89" i="3"/>
  <c r="AM88" i="3"/>
  <c r="Y87" i="3"/>
  <c r="N48" i="3"/>
  <c r="L93" i="3"/>
  <c r="L78" i="3"/>
  <c r="S70" i="3"/>
  <c r="Y83" i="3"/>
  <c r="AJ88" i="3"/>
  <c r="J74" i="3"/>
  <c r="R83" i="3"/>
  <c r="Z63" i="3"/>
  <c r="J80" i="3"/>
  <c r="V87" i="3"/>
  <c r="AL61" i="3"/>
  <c r="AO49" i="3"/>
  <c r="K54" i="3"/>
  <c r="O83" i="3"/>
  <c r="J60" i="3"/>
  <c r="U69" i="3"/>
  <c r="AJ50" i="3"/>
  <c r="AJ48" i="3"/>
  <c r="AE83" i="3"/>
  <c r="AG91" i="3"/>
  <c r="AE67" i="3"/>
  <c r="K80" i="3"/>
  <c r="K72" i="3"/>
  <c r="V97" i="3"/>
  <c r="Y63" i="3"/>
  <c r="AA83" i="3"/>
  <c r="AE69" i="3"/>
  <c r="R78" i="3"/>
  <c r="AN48" i="3"/>
  <c r="X86" i="3"/>
  <c r="N64" i="3"/>
  <c r="Y74" i="3"/>
  <c r="H55" i="3"/>
  <c r="O92" i="3"/>
  <c r="Q66" i="3"/>
  <c r="M61" i="3"/>
  <c r="W48" i="3"/>
  <c r="AH76" i="3"/>
  <c r="I81" i="3"/>
  <c r="T84" i="3"/>
  <c r="L56" i="3"/>
  <c r="U85" i="3"/>
  <c r="AN83" i="3"/>
  <c r="AL50" i="3"/>
  <c r="Y79" i="3"/>
  <c r="L60" i="3"/>
  <c r="AC87" i="3"/>
  <c r="O55" i="3"/>
  <c r="AL69" i="3"/>
  <c r="W61" i="3"/>
  <c r="AI90" i="3"/>
  <c r="AO73" i="3"/>
  <c r="K86" i="3"/>
  <c r="AL85" i="3"/>
  <c r="W85" i="3"/>
  <c r="AM74" i="3"/>
  <c r="AE96" i="3"/>
  <c r="N92" i="3"/>
  <c r="U91" i="3"/>
  <c r="P54" i="3"/>
  <c r="AK94" i="3"/>
  <c r="AA82" i="3"/>
  <c r="AQ85" i="3"/>
  <c r="AL64" i="3"/>
  <c r="M54" i="3"/>
  <c r="Z85" i="3"/>
  <c r="AJ56" i="3"/>
  <c r="K69" i="3"/>
  <c r="AG79" i="3"/>
  <c r="R77" i="3"/>
  <c r="AM95" i="3"/>
  <c r="V59" i="3"/>
  <c r="AQ93" i="3"/>
  <c r="AM47" i="3"/>
  <c r="V57" i="3"/>
  <c r="AG67" i="3"/>
  <c r="K61" i="3"/>
  <c r="W64" i="3"/>
  <c r="AM69" i="3"/>
  <c r="AE66" i="3"/>
  <c r="N82" i="3"/>
  <c r="U76" i="3"/>
  <c r="AA64" i="3"/>
  <c r="P97" i="3"/>
  <c r="AN80" i="3"/>
  <c r="H94" i="3"/>
  <c r="Q77" i="3"/>
  <c r="AL75" i="3"/>
  <c r="AG89" i="3"/>
  <c r="O70" i="3"/>
  <c r="AO66" i="3"/>
  <c r="N78" i="3"/>
  <c r="AH83" i="3"/>
  <c r="AA80" i="3"/>
  <c r="AQ96" i="3"/>
  <c r="L73" i="3"/>
  <c r="M83" i="3"/>
  <c r="X55" i="3"/>
  <c r="K56" i="3"/>
  <c r="AQ65" i="3"/>
  <c r="AA66" i="3"/>
  <c r="AG69" i="3"/>
  <c r="AI91" i="3"/>
  <c r="R67" i="3"/>
  <c r="AK76" i="3"/>
  <c r="AJ71" i="3"/>
  <c r="AO80" i="3"/>
  <c r="N69" i="3"/>
  <c r="H48" i="3"/>
  <c r="AI84" i="3"/>
  <c r="AN60" i="3"/>
  <c r="AG73" i="3"/>
  <c r="Z64" i="3"/>
  <c r="AG56" i="3"/>
  <c r="AM81" i="3"/>
  <c r="H84" i="3"/>
  <c r="AJ47" i="3"/>
  <c r="I49" i="3"/>
  <c r="K91" i="3"/>
  <c r="AH49" i="3"/>
  <c r="AJ69" i="3"/>
  <c r="O58" i="3"/>
  <c r="V47" i="3"/>
  <c r="Y67" i="3"/>
  <c r="K85" i="3"/>
  <c r="AA86" i="3"/>
  <c r="AE58" i="3"/>
  <c r="J56" i="3"/>
  <c r="W56" i="3"/>
  <c r="AH64" i="3"/>
  <c r="I77" i="3"/>
  <c r="X80" i="3"/>
  <c r="X49" i="3"/>
  <c r="AO58" i="3"/>
  <c r="AJ66" i="3"/>
  <c r="V61" i="3"/>
  <c r="U94" i="3"/>
  <c r="J97" i="3"/>
  <c r="T73" i="3"/>
  <c r="AJ95" i="3"/>
  <c r="W96" i="3"/>
  <c r="AH71" i="3"/>
  <c r="I57" i="3"/>
  <c r="AC69" i="3"/>
  <c r="P62" i="3"/>
  <c r="S95" i="3"/>
  <c r="AJ76" i="3"/>
  <c r="AL94" i="3"/>
  <c r="Y69" i="3"/>
  <c r="L84" i="3"/>
  <c r="AJ82" i="3"/>
  <c r="V69" i="3"/>
  <c r="AJ81" i="3"/>
  <c r="AI64" i="3"/>
  <c r="AN96" i="3"/>
  <c r="AK48" i="3"/>
  <c r="Y80" i="3"/>
  <c r="H77" i="3"/>
  <c r="AK80" i="3"/>
  <c r="Q55" i="3"/>
  <c r="T65" i="3"/>
  <c r="V64" i="3"/>
  <c r="Z89" i="3"/>
  <c r="Q61" i="3"/>
  <c r="H65" i="3"/>
  <c r="X68" i="3"/>
  <c r="AC67" i="3"/>
  <c r="Y93" i="3"/>
  <c r="U92" i="3"/>
  <c r="AC83" i="3"/>
  <c r="N96" i="3"/>
  <c r="U74" i="3"/>
  <c r="AE65" i="3"/>
  <c r="AL77" i="3"/>
  <c r="AK49" i="3"/>
  <c r="AN82" i="3"/>
  <c r="AG84" i="3"/>
  <c r="AQ73" i="3"/>
  <c r="X60" i="3"/>
  <c r="AJ64" i="3"/>
  <c r="M78" i="3"/>
  <c r="T93" i="3"/>
  <c r="I75" i="3"/>
  <c r="AH60" i="3"/>
  <c r="N61" i="3"/>
  <c r="W58" i="3"/>
  <c r="M73" i="3"/>
  <c r="X85" i="3"/>
  <c r="S90" i="3"/>
  <c r="X48" i="3"/>
  <c r="AA68" i="3"/>
  <c r="V67" i="3"/>
  <c r="L92" i="3"/>
  <c r="M47" i="3"/>
  <c r="U65" i="3"/>
  <c r="AE92" i="3"/>
  <c r="K59" i="3"/>
  <c r="AK81" i="3"/>
  <c r="P93" i="3"/>
  <c r="U77" i="3"/>
  <c r="AQ61" i="3"/>
  <c r="AC70" i="3"/>
  <c r="L49" i="3"/>
  <c r="AL84" i="3"/>
  <c r="N75" i="3"/>
  <c r="R87" i="3"/>
  <c r="K88" i="3"/>
  <c r="AL80" i="3"/>
  <c r="AI89" i="3"/>
  <c r="M67" i="3"/>
  <c r="AM60" i="3"/>
  <c r="Y62" i="3"/>
  <c r="Q48" i="3"/>
  <c r="H78" i="3"/>
  <c r="AJ87" i="3"/>
  <c r="AO74" i="3"/>
  <c r="AL73" i="3"/>
  <c r="T70" i="3"/>
  <c r="Z83" i="3"/>
  <c r="AJ80" i="3"/>
  <c r="V83" i="3"/>
  <c r="W88" i="3"/>
  <c r="W73" i="3"/>
  <c r="Y71" i="3"/>
  <c r="S62" i="3"/>
  <c r="L95" i="3"/>
  <c r="L67" i="3"/>
  <c r="U56" i="3"/>
  <c r="AG81" i="3"/>
  <c r="AH68" i="3"/>
  <c r="N95" i="3"/>
  <c r="AI93" i="3"/>
  <c r="AN65" i="3"/>
  <c r="AK71" i="3"/>
  <c r="Y49" i="3"/>
  <c r="O66" i="3"/>
  <c r="M59" i="3"/>
  <c r="Z70" i="3"/>
  <c r="K89" i="3"/>
  <c r="S47" i="3"/>
  <c r="L94" i="3"/>
  <c r="Y47" i="3"/>
  <c r="AG85" i="3"/>
  <c r="K64" i="3"/>
  <c r="AA85" i="3"/>
  <c r="AK97" i="3"/>
  <c r="M57" i="3"/>
  <c r="AM89" i="3"/>
  <c r="AQ91" i="3"/>
  <c r="I55" i="3"/>
  <c r="P55" i="3"/>
  <c r="AG94" i="3"/>
  <c r="AM67" i="3"/>
  <c r="AE85" i="3"/>
  <c r="AK89" i="3"/>
  <c r="Y84" i="3"/>
  <c r="H70" i="3"/>
  <c r="AI87" i="3"/>
  <c r="H96" i="3"/>
  <c r="Z48" i="3"/>
  <c r="AO68" i="3"/>
  <c r="X65" i="3"/>
  <c r="Y91" i="3"/>
  <c r="Q89" i="3"/>
  <c r="AI75" i="3"/>
  <c r="AJ72" i="3"/>
  <c r="AK85" i="3"/>
  <c r="Y94" i="3"/>
  <c r="AJ65" i="3"/>
  <c r="AI56" i="3"/>
  <c r="O57" i="3"/>
  <c r="AC71" i="3"/>
  <c r="V66" i="3"/>
  <c r="Z72" i="3"/>
  <c r="I87" i="3"/>
  <c r="P47" i="3"/>
  <c r="AN89" i="3"/>
  <c r="X97" i="3"/>
  <c r="U95" i="3"/>
  <c r="AK56" i="3"/>
  <c r="M91" i="3"/>
  <c r="J66" i="3"/>
  <c r="R84" i="3"/>
  <c r="X81" i="3"/>
  <c r="H79" i="3"/>
  <c r="P79" i="3"/>
  <c r="W74" i="3"/>
  <c r="S59" i="3"/>
  <c r="AQ81" i="3"/>
  <c r="AO89" i="3"/>
  <c r="AJ55" i="3"/>
  <c r="U83" i="3"/>
  <c r="X50" i="3"/>
  <c r="I74" i="3"/>
  <c r="AH90" i="3"/>
  <c r="AA89" i="3"/>
  <c r="Z47" i="3"/>
  <c r="Q81" i="3"/>
  <c r="AO63" i="3"/>
  <c r="AN63" i="3"/>
  <c r="H72" i="3"/>
  <c r="J94" i="3"/>
  <c r="T69" i="3"/>
  <c r="I62" i="3"/>
  <c r="W97" i="3"/>
  <c r="AI50" i="3"/>
  <c r="K47" i="3"/>
  <c r="AK86" i="3"/>
  <c r="T76" i="3"/>
  <c r="K49" i="3"/>
  <c r="I65" i="3"/>
  <c r="AK79" i="3"/>
  <c r="V62" i="3"/>
  <c r="V93" i="3"/>
  <c r="U59" i="3"/>
  <c r="W54" i="3"/>
  <c r="AM70" i="3"/>
  <c r="N70" i="3"/>
  <c r="J86" i="3"/>
  <c r="AC56" i="3"/>
  <c r="AE70" i="3"/>
  <c r="AO79" i="3"/>
  <c r="Z81" i="3"/>
  <c r="L97" i="3"/>
  <c r="AE95" i="3"/>
  <c r="AO93" i="3"/>
  <c r="I69" i="3"/>
  <c r="N90" i="3"/>
  <c r="AI79" i="3"/>
  <c r="AO90" i="3"/>
  <c r="U90" i="3"/>
  <c r="Y72" i="3"/>
  <c r="P81" i="3"/>
  <c r="AQ71" i="3"/>
  <c r="N94" i="3"/>
  <c r="V56" i="3"/>
  <c r="AN70" i="3"/>
  <c r="I64" i="3"/>
  <c r="U61" i="3"/>
  <c r="P78" i="3"/>
  <c r="AJ63" i="3"/>
  <c r="W68" i="3"/>
  <c r="S56" i="3"/>
  <c r="R72" i="3"/>
  <c r="R96" i="3"/>
  <c r="L91" i="3"/>
  <c r="Y57" i="3"/>
  <c r="AG77" i="3"/>
  <c r="AA49" i="3"/>
  <c r="M79" i="3"/>
  <c r="W79" i="3"/>
  <c r="AH58" i="3"/>
  <c r="H64" i="3"/>
  <c r="Q96" i="3"/>
  <c r="U63" i="3"/>
  <c r="J85" i="3"/>
  <c r="AO50" i="3"/>
  <c r="AL93" i="3"/>
  <c r="AO71" i="3"/>
  <c r="M92" i="3"/>
  <c r="H85" i="3"/>
  <c r="Q68" i="3"/>
  <c r="U58" i="3"/>
  <c r="AJ75" i="3"/>
  <c r="S76" i="3"/>
  <c r="AK54" i="3"/>
  <c r="AO78" i="3"/>
  <c r="O76" i="3"/>
  <c r="AN59" i="3"/>
  <c r="V72" i="3"/>
  <c r="N86" i="3"/>
  <c r="S60" i="3"/>
  <c r="AK96" i="3"/>
  <c r="P61" i="3"/>
  <c r="AA87" i="3"/>
  <c r="R54" i="3"/>
  <c r="Q74" i="3"/>
  <c r="O63" i="3"/>
  <c r="P84" i="3"/>
  <c r="W89" i="3"/>
  <c r="S65" i="3"/>
  <c r="AQ82" i="3"/>
  <c r="X56" i="3"/>
  <c r="AH94" i="3"/>
  <c r="AK68" i="3"/>
  <c r="O90" i="3"/>
  <c r="AA76" i="3"/>
  <c r="R47" i="3"/>
  <c r="AJ54" i="3"/>
  <c r="AI95" i="3"/>
  <c r="O48" i="3"/>
  <c r="W81" i="3"/>
  <c r="S75" i="3"/>
  <c r="AQ92" i="3"/>
  <c r="T47" i="3"/>
  <c r="AN67" i="3"/>
  <c r="AH84" i="3"/>
  <c r="AI63" i="3"/>
  <c r="AO95" i="3"/>
  <c r="J83" i="3"/>
  <c r="P85" i="3"/>
  <c r="X74" i="3"/>
  <c r="AA79" i="3"/>
  <c r="AN87" i="3"/>
  <c r="AJ93" i="3"/>
  <c r="AO94" i="3"/>
  <c r="AE64" i="3"/>
  <c r="AN74" i="3"/>
  <c r="AA57" i="3"/>
  <c r="AN79" i="3"/>
  <c r="AG87" i="3"/>
  <c r="T97" i="3"/>
  <c r="AC61" i="3"/>
  <c r="AI72" i="3"/>
  <c r="AL81" i="3"/>
  <c r="W90" i="3"/>
  <c r="P92" i="3"/>
  <c r="AC68" i="3"/>
  <c r="V80" i="3"/>
  <c r="AC95" i="3"/>
  <c r="R91" i="3"/>
  <c r="Q56" i="3"/>
  <c r="N58" i="3"/>
  <c r="AH67" i="3"/>
  <c r="P91" i="3"/>
  <c r="AH81" i="3"/>
  <c r="AK75" i="3"/>
  <c r="AQ90" i="3"/>
  <c r="U72" i="3"/>
  <c r="H89" i="3"/>
  <c r="AC84" i="3"/>
  <c r="V55" i="3"/>
  <c r="T59" i="3"/>
  <c r="R56" i="3"/>
  <c r="AC50" i="3"/>
  <c r="N76" i="3"/>
  <c r="AH85" i="3"/>
  <c r="O82" i="3"/>
  <c r="U75" i="3"/>
  <c r="AK84" i="3"/>
  <c r="AA62" i="3"/>
  <c r="AN55" i="3"/>
  <c r="AJ62" i="3"/>
  <c r="H56" i="3"/>
  <c r="AJ92" i="3"/>
  <c r="AE76" i="3"/>
  <c r="AQ66" i="3"/>
  <c r="L68" i="3"/>
  <c r="U68" i="3"/>
  <c r="X67" i="3"/>
  <c r="AL87" i="3"/>
  <c r="K97" i="3"/>
  <c r="AM66" i="3"/>
  <c r="V70" i="3"/>
  <c r="K84" i="3"/>
  <c r="AL76" i="3"/>
  <c r="AM49" i="3"/>
  <c r="AI48" i="3"/>
  <c r="AH78" i="3"/>
  <c r="P65" i="3"/>
  <c r="K57" i="3"/>
  <c r="T83" i="3"/>
  <c r="Y48" i="3"/>
  <c r="Q87" i="3"/>
  <c r="AO97" i="3"/>
  <c r="AL83" i="3"/>
  <c r="T67" i="3"/>
  <c r="I92" i="3"/>
  <c r="L54" i="3"/>
  <c r="Q47" i="3"/>
  <c r="U73" i="3"/>
  <c r="AE57" i="3"/>
  <c r="T90" i="3"/>
  <c r="AK91" i="3"/>
  <c r="AC88" i="3"/>
  <c r="O85" i="3"/>
  <c r="M90" i="3"/>
  <c r="W92" i="3"/>
  <c r="S91" i="3"/>
  <c r="AG61" i="3"/>
  <c r="O61" i="3"/>
  <c r="AC85" i="3"/>
  <c r="L55" i="3"/>
  <c r="AJ94" i="3"/>
  <c r="Q67" i="3"/>
  <c r="U79" i="3"/>
  <c r="S77" i="3"/>
  <c r="S78" i="3"/>
  <c r="AL63" i="3"/>
  <c r="AM94" i="3"/>
  <c r="AI62" i="3"/>
  <c r="AE55" i="3"/>
  <c r="R64" i="3"/>
  <c r="K90" i="3"/>
  <c r="AI67" i="3"/>
  <c r="Q93" i="3"/>
  <c r="H80" i="3"/>
  <c r="AQ48" i="3"/>
  <c r="M93" i="3"/>
  <c r="P73" i="3"/>
  <c r="J75" i="3"/>
  <c r="AG60" i="3"/>
  <c r="V76" i="3"/>
  <c r="N88" i="3"/>
  <c r="X71" i="3"/>
  <c r="L77" i="3"/>
  <c r="AL56" i="3"/>
  <c r="AK57" i="3"/>
  <c r="AO65" i="3"/>
  <c r="Z78" i="3"/>
  <c r="R58" i="3"/>
  <c r="R73" i="3"/>
  <c r="P90" i="3"/>
  <c r="Y55" i="3"/>
  <c r="AG78" i="3"/>
  <c r="L72" i="3"/>
  <c r="W77" i="3"/>
  <c r="S94" i="3"/>
  <c r="R63" i="3"/>
  <c r="AC93" i="3"/>
  <c r="M86" i="3"/>
  <c r="Z77" i="3"/>
  <c r="S61" i="3"/>
  <c r="AC96" i="3"/>
  <c r="K81" i="3"/>
  <c r="P49" i="3"/>
  <c r="N74" i="3"/>
  <c r="I91" i="3"/>
  <c r="P60" i="3"/>
  <c r="W87" i="3"/>
  <c r="S97" i="3"/>
  <c r="R95" i="3"/>
  <c r="T79" i="3"/>
  <c r="Q54" i="3"/>
  <c r="Z67" i="3"/>
  <c r="Q84" i="3"/>
  <c r="T88" i="3"/>
  <c r="S74" i="3"/>
  <c r="H59" i="3"/>
  <c r="AK47" i="3"/>
  <c r="AE71" i="3"/>
  <c r="K76" i="3"/>
  <c r="AA67" i="3"/>
  <c r="AH93" i="3"/>
  <c r="Q95" i="3"/>
  <c r="Y90" i="3"/>
  <c r="O78" i="3"/>
  <c r="T63" i="3"/>
  <c r="AL60" i="3"/>
  <c r="T50" i="3"/>
  <c r="I76" i="3"/>
  <c r="L75" i="3"/>
  <c r="AA47" i="3"/>
  <c r="U81" i="3"/>
  <c r="J55" i="3"/>
  <c r="R68" i="3"/>
  <c r="AK92" i="3"/>
  <c r="X66" i="3"/>
  <c r="P77" i="3"/>
  <c r="AA84" i="3"/>
  <c r="U49" i="3"/>
  <c r="AG83" i="3"/>
  <c r="M96" i="3"/>
  <c r="W86" i="3"/>
  <c r="S96" i="3"/>
  <c r="R80" i="3"/>
  <c r="K60" i="3"/>
  <c r="AE59" i="3"/>
  <c r="T95" i="3"/>
  <c r="J57" i="3"/>
  <c r="AO60" i="3"/>
  <c r="AH80" i="3"/>
  <c r="AI59" i="3"/>
  <c r="AM79" i="3"/>
  <c r="V90" i="3"/>
  <c r="N80" i="3"/>
  <c r="Z69" i="3"/>
  <c r="AL97" i="3"/>
  <c r="P74" i="3"/>
  <c r="H75" i="3"/>
  <c r="W78" i="3"/>
  <c r="T74" i="3"/>
  <c r="O68" i="3"/>
  <c r="K78" i="3"/>
  <c r="R93" i="3"/>
  <c r="AM72" i="3"/>
  <c r="AL55" i="3"/>
  <c r="V91" i="3"/>
  <c r="AH97" i="3"/>
  <c r="R59" i="3"/>
  <c r="AH61" i="3"/>
  <c r="L89" i="3"/>
  <c r="AO59" i="3"/>
  <c r="AI73" i="3"/>
  <c r="S72" i="3"/>
  <c r="AL71" i="3"/>
  <c r="AL70" i="3"/>
  <c r="R81" i="3"/>
  <c r="X93" i="3"/>
  <c r="I83" i="3"/>
  <c r="S80" i="3"/>
  <c r="AL95" i="3"/>
  <c r="AC80" i="3"/>
  <c r="AQ95" i="3"/>
  <c r="N84" i="3"/>
  <c r="AN66" i="3"/>
  <c r="AG59" i="3"/>
  <c r="Q80" i="3"/>
  <c r="Q85" i="3"/>
  <c r="AQ64" i="3"/>
  <c r="AM59" i="3"/>
  <c r="U87" i="3"/>
  <c r="AQ49" i="3"/>
  <c r="AO54" i="3"/>
  <c r="AQ47" i="3"/>
  <c r="AJ91" i="3"/>
  <c r="X73" i="3"/>
  <c r="S57" i="3"/>
  <c r="M58" i="3"/>
  <c r="O65" i="3"/>
  <c r="AE48" i="3"/>
  <c r="AN81" i="3"/>
  <c r="AE61" i="3"/>
  <c r="O69" i="3"/>
  <c r="N62" i="3"/>
  <c r="U96" i="3"/>
  <c r="J82" i="3"/>
  <c r="I96" i="3"/>
  <c r="O67" i="3"/>
  <c r="J50" i="3"/>
  <c r="Z79" i="3"/>
  <c r="S89" i="3"/>
  <c r="I94" i="3"/>
  <c r="P95" i="3"/>
  <c r="AG72" i="3"/>
  <c r="H63" i="3"/>
  <c r="J72" i="3"/>
  <c r="N83" i="3"/>
  <c r="U62" i="3"/>
  <c r="T48" i="3"/>
  <c r="Q62" i="3"/>
  <c r="Q69" i="3"/>
  <c r="J71" i="3"/>
  <c r="AC47" i="3"/>
  <c r="AH65" i="3"/>
  <c r="I63" i="3"/>
  <c r="H83" i="3"/>
  <c r="AH75" i="3"/>
  <c r="Q83" i="3"/>
  <c r="X64" i="3"/>
  <c r="J63" i="3"/>
  <c r="AK88" i="3"/>
  <c r="AC49" i="3"/>
  <c r="AA92" i="3"/>
  <c r="O87" i="3"/>
  <c r="W55" i="3"/>
  <c r="S66" i="3"/>
  <c r="R61" i="3"/>
  <c r="AL91" i="3"/>
  <c r="J89" i="3"/>
  <c r="AC72" i="3"/>
  <c r="Q79" i="3"/>
  <c r="T61" i="3"/>
  <c r="AH54" i="3"/>
  <c r="V68" i="3"/>
  <c r="AM54" i="3"/>
  <c r="AE60" i="3"/>
  <c r="W95" i="3"/>
  <c r="T68" i="3"/>
  <c r="AM83" i="3"/>
  <c r="H97" i="3"/>
  <c r="N77" i="3"/>
  <c r="U86" i="3"/>
  <c r="AN49" i="3"/>
  <c r="AM48" i="3"/>
  <c r="AC74" i="3"/>
  <c r="X58" i="3"/>
  <c r="T66" i="3"/>
  <c r="I60" i="3"/>
  <c r="M75" i="3"/>
  <c r="M56" i="3"/>
  <c r="AG57" i="3"/>
  <c r="S50" i="3"/>
  <c r="J95" i="3"/>
  <c r="AO69" i="3"/>
  <c r="AH62" i="3"/>
  <c r="I70" i="3"/>
  <c r="AG74" i="3"/>
  <c r="Y76" i="3"/>
  <c r="Y68" i="3"/>
  <c r="M62" i="3"/>
  <c r="AN64" i="3"/>
  <c r="AE78" i="3"/>
  <c r="L65" i="3"/>
  <c r="AK50" i="3"/>
  <c r="AI92" i="3"/>
  <c r="R85" i="3"/>
  <c r="K94" i="3"/>
  <c r="AQ54" i="3"/>
  <c r="Z94" i="3"/>
  <c r="X75" i="3"/>
  <c r="P59" i="3"/>
  <c r="AM87" i="3"/>
  <c r="P64" i="3"/>
  <c r="AI58" i="3"/>
  <c r="U67" i="3"/>
  <c r="AA58" i="3"/>
  <c r="AQ70" i="3"/>
  <c r="P48" i="3"/>
  <c r="X47" i="3"/>
  <c r="AG54" i="3"/>
  <c r="AG62" i="3"/>
  <c r="Q78" i="3"/>
  <c r="AG50" i="3"/>
  <c r="I79" i="3"/>
  <c r="M80" i="3"/>
  <c r="M50" i="3"/>
  <c r="AA50" i="3"/>
  <c r="AQ76" i="3"/>
  <c r="AA71" i="3"/>
  <c r="Q91" i="3"/>
  <c r="M68" i="3"/>
  <c r="R60" i="3"/>
  <c r="AI85" i="3"/>
  <c r="X91" i="3"/>
  <c r="AM92" i="3"/>
  <c r="Y73" i="3"/>
  <c r="V81" i="3"/>
  <c r="P82" i="3"/>
  <c r="T86" i="3"/>
  <c r="K48" i="3"/>
  <c r="K74" i="3"/>
  <c r="AO70" i="3"/>
  <c r="AO75" i="3"/>
  <c r="AK70" i="3"/>
  <c r="AQ69" i="3"/>
  <c r="AI76" i="3"/>
  <c r="AC82" i="3"/>
  <c r="AM86" i="3"/>
  <c r="AQ62" i="3"/>
  <c r="Y86" i="3"/>
  <c r="O77" i="3"/>
  <c r="AI66" i="3"/>
  <c r="K73" i="3"/>
  <c r="K87" i="3"/>
  <c r="AO55" i="3"/>
  <c r="V89" i="3"/>
  <c r="L87" i="3"/>
  <c r="K71" i="3"/>
  <c r="N63" i="3"/>
  <c r="AN56" i="3"/>
  <c r="AC62" i="3"/>
  <c r="V94" i="3"/>
  <c r="K65" i="3"/>
  <c r="AI78" i="3"/>
  <c r="AE75" i="3"/>
  <c r="N59" i="3"/>
  <c r="U64" i="3"/>
  <c r="AE88" i="3"/>
  <c r="L90" i="3"/>
  <c r="J88" i="3"/>
  <c r="X77" i="3"/>
  <c r="AC54" i="3"/>
  <c r="U71" i="3"/>
  <c r="W83" i="3"/>
  <c r="AA78" i="3"/>
  <c r="U50" i="3"/>
  <c r="AN97" i="3"/>
  <c r="V75" i="3"/>
  <c r="AL48" i="3"/>
  <c r="AK77" i="3"/>
  <c r="AE72" i="3"/>
  <c r="U48" i="3"/>
  <c r="AQ87" i="3"/>
  <c r="Q72" i="3"/>
  <c r="L96" i="3"/>
  <c r="L48" i="3"/>
  <c r="Y59" i="3"/>
  <c r="K83" i="3"/>
  <c r="S67" i="3"/>
  <c r="K96" i="3"/>
  <c r="M77" i="3"/>
  <c r="S92" i="3"/>
  <c r="AM55" i="3"/>
  <c r="K70" i="3"/>
  <c r="L50" i="3"/>
  <c r="V74" i="3"/>
  <c r="AK73" i="3"/>
  <c r="L58" i="3"/>
  <c r="I95" i="3"/>
  <c r="O50" i="3"/>
  <c r="AE89" i="3"/>
  <c r="AM68" i="3"/>
  <c r="AM90" i="3"/>
  <c r="T77" i="3"/>
  <c r="P72" i="3"/>
  <c r="N67" i="3"/>
  <c r="K66" i="3"/>
  <c r="W50" i="3"/>
  <c r="K50" i="3"/>
  <c r="M55" i="3"/>
  <c r="AN57" i="3"/>
  <c r="H95" i="3"/>
  <c r="N60" i="3"/>
  <c r="AL58" i="3"/>
  <c r="M63" i="3"/>
  <c r="Z71" i="3"/>
  <c r="AA65" i="3"/>
  <c r="J64" i="3"/>
  <c r="X59" i="3"/>
  <c r="AK78" i="3"/>
  <c r="T49" i="3"/>
  <c r="AJ79" i="3"/>
  <c r="AJ57" i="3"/>
  <c r="AL57" i="3"/>
  <c r="M84" i="3"/>
  <c r="AO83" i="3"/>
  <c r="P89" i="3"/>
  <c r="AG93" i="3"/>
  <c r="M85" i="3"/>
  <c r="J59" i="3"/>
  <c r="X92" i="3"/>
  <c r="AG92" i="3"/>
  <c r="P75" i="3"/>
  <c r="W66" i="3"/>
  <c r="N65" i="3"/>
  <c r="AK66" i="3"/>
  <c r="AM85" i="3"/>
  <c r="M89" i="3"/>
  <c r="AK90" i="3"/>
  <c r="AM84" i="3"/>
  <c r="O88" i="3"/>
  <c r="AC55" i="3"/>
  <c r="I56" i="3"/>
  <c r="J54" i="3"/>
  <c r="AL62" i="3"/>
  <c r="AA96" i="3"/>
  <c r="W60" i="3"/>
  <c r="AH86" i="3"/>
  <c r="I71" i="3"/>
  <c r="I85" i="3"/>
  <c r="O73" i="3"/>
  <c r="Z59" i="3"/>
  <c r="M97" i="3"/>
  <c r="M87" i="3"/>
  <c r="T80" i="3"/>
  <c r="I59" i="3"/>
  <c r="Z87" i="3"/>
  <c r="O97" i="3"/>
  <c r="Q59" i="3"/>
  <c r="W93" i="3"/>
  <c r="AH91" i="3"/>
  <c r="I90" i="3"/>
  <c r="L74" i="3"/>
  <c r="L71" i="3"/>
  <c r="AQ89" i="3"/>
  <c r="U55" i="3"/>
  <c r="AJ90" i="3"/>
  <c r="R57" i="3"/>
  <c r="M81" i="3"/>
  <c r="Y77" i="3"/>
  <c r="AI60" i="3"/>
  <c r="H82" i="3"/>
  <c r="AM78" i="3"/>
  <c r="AQ56" i="3"/>
  <c r="O75" i="3"/>
  <c r="AA60" i="3"/>
  <c r="AG65" i="3"/>
  <c r="K68" i="3"/>
  <c r="AL72" i="3"/>
  <c r="AO57" i="3"/>
  <c r="V92" i="3"/>
  <c r="H87" i="3"/>
  <c r="AI55" i="3"/>
  <c r="AI82" i="3"/>
  <c r="H54" i="3"/>
  <c r="N79" i="3"/>
  <c r="V58" i="3"/>
  <c r="R62" i="3"/>
  <c r="T85" i="3"/>
  <c r="AH92" i="3"/>
  <c r="AM50" i="3"/>
  <c r="X79" i="3"/>
  <c r="AG48" i="3"/>
  <c r="V63" i="3"/>
  <c r="J62" i="3"/>
  <c r="AM57" i="3"/>
  <c r="AO85" i="3"/>
  <c r="U54" i="3"/>
  <c r="Y50" i="3"/>
  <c r="S83" i="3"/>
  <c r="AG96" i="3"/>
  <c r="AL68" i="3"/>
  <c r="AK59" i="3"/>
  <c r="AC73" i="3"/>
  <c r="AI61" i="3"/>
  <c r="AM77" i="3"/>
  <c r="X70" i="3"/>
  <c r="Y97" i="3"/>
  <c r="S81" i="3"/>
  <c r="J96" i="3"/>
  <c r="X76" i="3"/>
  <c r="AJ96" i="3"/>
  <c r="AO77" i="3"/>
  <c r="P57" i="3"/>
  <c r="AA54" i="3"/>
  <c r="I88" i="3"/>
  <c r="AG63" i="3"/>
  <c r="AK55" i="3"/>
  <c r="AL82" i="3"/>
  <c r="AK64" i="3"/>
  <c r="P71" i="3"/>
  <c r="AI74" i="3"/>
  <c r="AG68" i="3"/>
  <c r="Y78" i="3"/>
  <c r="AK58" i="3"/>
  <c r="AK74" i="3"/>
  <c r="Z90" i="3"/>
  <c r="AK82" i="3"/>
  <c r="Y95" i="3"/>
  <c r="AE62" i="3"/>
  <c r="V82" i="3"/>
  <c r="AJ86" i="3"/>
  <c r="I82" i="3"/>
  <c r="H88" i="3"/>
  <c r="P86" i="3"/>
  <c r="AG88" i="3"/>
  <c r="AQ59" i="3"/>
  <c r="AM97" i="3"/>
  <c r="AK67" i="3"/>
  <c r="AC90" i="3"/>
  <c r="AK87" i="3"/>
  <c r="Y65" i="3"/>
  <c r="AN61" i="3"/>
  <c r="L85" i="3"/>
  <c r="AN93" i="3"/>
  <c r="T82" i="3"/>
  <c r="AH47" i="3"/>
  <c r="N55" i="3"/>
  <c r="AQ68" i="3"/>
  <c r="Z91" i="3"/>
  <c r="AE87" i="3"/>
  <c r="H68" i="3"/>
  <c r="Q82" i="3"/>
  <c r="AO86" i="3"/>
  <c r="I97" i="3"/>
  <c r="T62" i="3"/>
  <c r="J49" i="3"/>
  <c r="AO64" i="3"/>
  <c r="W71" i="3"/>
  <c r="AH82" i="3"/>
  <c r="I67" i="3"/>
  <c r="AM65" i="3"/>
  <c r="P63" i="3"/>
  <c r="R65" i="3"/>
  <c r="AC89" i="3"/>
  <c r="Q49" i="3"/>
  <c r="AH87" i="3"/>
  <c r="J91" i="3"/>
  <c r="AI81" i="3"/>
  <c r="U89" i="3"/>
  <c r="V54" i="3"/>
  <c r="AE91" i="3"/>
  <c r="M70" i="3"/>
  <c r="M82" i="3"/>
  <c r="I47" i="3"/>
  <c r="X69" i="3"/>
  <c r="T64" i="3"/>
  <c r="AN86" i="3"/>
  <c r="H57" i="3"/>
  <c r="AC77" i="3"/>
  <c r="J65" i="3"/>
  <c r="AH89" i="3"/>
  <c r="AG58" i="3"/>
  <c r="H74" i="3"/>
  <c r="I68" i="3"/>
  <c r="AE54" i="3"/>
  <c r="W91" i="3"/>
  <c r="Y58" i="3"/>
  <c r="T71" i="3"/>
  <c r="N87" i="3"/>
  <c r="J58" i="3"/>
  <c r="J84" i="3"/>
  <c r="S54" i="3"/>
  <c r="AQ67" i="3"/>
  <c r="M65" i="3"/>
  <c r="AL65" i="3"/>
  <c r="AC59" i="3"/>
  <c r="K67" i="3"/>
  <c r="O49" i="3"/>
  <c r="N81" i="3"/>
  <c r="AJ77" i="3"/>
  <c r="O54" i="3"/>
  <c r="Q70" i="3"/>
  <c r="R48" i="3"/>
  <c r="AN95" i="3"/>
  <c r="S88" i="3"/>
  <c r="AK83" i="3"/>
  <c r="AA90" i="3"/>
  <c r="AA61" i="3"/>
  <c r="R75" i="3"/>
  <c r="J61" i="3"/>
  <c r="P83" i="3"/>
  <c r="X95" i="3"/>
  <c r="Q65" i="3"/>
  <c r="O60" i="3"/>
  <c r="J87" i="3"/>
  <c r="R88" i="3"/>
  <c r="X57" i="3"/>
  <c r="U88" i="3"/>
  <c r="AK62" i="3"/>
  <c r="AC91" i="3"/>
  <c r="Q50" i="3"/>
  <c r="R69" i="3"/>
  <c r="X96" i="3"/>
  <c r="AA77" i="3"/>
  <c r="O89" i="3"/>
  <c r="I61" i="3"/>
  <c r="AJ68" i="3"/>
  <c r="K95" i="3"/>
  <c r="U70" i="3"/>
  <c r="AC64" i="3"/>
  <c r="R97" i="3"/>
  <c r="O96" i="3"/>
  <c r="O81" i="3"/>
  <c r="AG76" i="3"/>
  <c r="AQ88" i="3"/>
  <c r="Y81" i="3"/>
  <c r="Z75" i="3"/>
  <c r="T60" i="3"/>
  <c r="AO56" i="3"/>
  <c r="AL47" i="3"/>
  <c r="M71" i="3"/>
  <c r="R92" i="3"/>
  <c r="AL92" i="3"/>
  <c r="L80" i="3"/>
  <c r="V78" i="3"/>
  <c r="T81" i="3"/>
  <c r="N73" i="3"/>
  <c r="AJ73" i="3"/>
  <c r="Z80" i="3"/>
  <c r="AA69" i="3"/>
  <c r="L126" i="1" l="1"/>
  <c r="R169" i="1"/>
  <c r="F169" i="1"/>
  <c r="BF190" i="1"/>
  <c r="AZ175" i="1"/>
  <c r="AZ210" i="1" s="1"/>
  <c r="BA210" i="1" s="1"/>
  <c r="BB173" i="1"/>
  <c r="BC173" i="1" s="1"/>
  <c r="AR190" i="1"/>
  <c r="BR186" i="1"/>
  <c r="BS186" i="1" s="1"/>
  <c r="AX186" i="1"/>
  <c r="AY186" i="1" s="1"/>
  <c r="AZ153" i="1"/>
  <c r="BA153" i="1" s="1"/>
  <c r="BP162" i="1"/>
  <c r="BD194" i="1"/>
  <c r="BE194" i="1" s="1"/>
  <c r="AX163" i="1"/>
  <c r="AW105" i="1"/>
  <c r="BD149" i="1"/>
  <c r="BE149" i="1" s="1"/>
  <c r="AX158" i="1"/>
  <c r="AY158" i="1" s="1"/>
  <c r="AP183" i="1"/>
  <c r="AQ183" i="1" s="1"/>
  <c r="BD195" i="1"/>
  <c r="BE195" i="1" s="1"/>
  <c r="AV191" i="1"/>
  <c r="BT195" i="1"/>
  <c r="BU195" i="1" s="1"/>
  <c r="BP171" i="1"/>
  <c r="BQ171" i="1" s="1"/>
  <c r="AT175" i="1"/>
  <c r="AT210" i="1" s="1"/>
  <c r="AU210" i="1" s="1"/>
  <c r="AU104" i="1"/>
  <c r="BR181" i="1"/>
  <c r="BS181" i="1" s="1"/>
  <c r="AP177" i="1"/>
  <c r="AQ177" i="1" s="1"/>
  <c r="AP150" i="1"/>
  <c r="AT183" i="1"/>
  <c r="AU183" i="1" s="1"/>
  <c r="AN168" i="1"/>
  <c r="AO168" i="1" s="1"/>
  <c r="BN184" i="1"/>
  <c r="BN214" i="1" s="1"/>
  <c r="BO214" i="1" s="1"/>
  <c r="AP181" i="1"/>
  <c r="AQ181" i="1" s="1"/>
  <c r="AN149" i="1"/>
  <c r="AO149" i="1" s="1"/>
  <c r="AZ180" i="1"/>
  <c r="BA180" i="1" s="1"/>
  <c r="BD163" i="1"/>
  <c r="AP185" i="1"/>
  <c r="AQ185" i="1" s="1"/>
  <c r="BN183" i="1"/>
  <c r="BO183" i="1" s="1"/>
  <c r="AW104" i="1"/>
  <c r="AX181" i="1"/>
  <c r="AY181" i="1" s="1"/>
  <c r="AV156" i="1"/>
  <c r="AW156" i="1" s="1"/>
  <c r="BN176" i="1"/>
  <c r="BN211" i="1" s="1"/>
  <c r="BO211" i="1" s="1"/>
  <c r="AP104" i="1"/>
  <c r="AZ155" i="1"/>
  <c r="BA155" i="1" s="1"/>
  <c r="AN162" i="1"/>
  <c r="BF185" i="1"/>
  <c r="BG185" i="1" s="1"/>
  <c r="AZ176" i="1"/>
  <c r="AZ211" i="1" s="1"/>
  <c r="BA211" i="1" s="1"/>
  <c r="AR178" i="1"/>
  <c r="AS178" i="1" s="1"/>
  <c r="AN158" i="1"/>
  <c r="AO158" i="1" s="1"/>
  <c r="BB176" i="1"/>
  <c r="BB211" i="1" s="1"/>
  <c r="BC211" i="1" s="1"/>
  <c r="BF157" i="1"/>
  <c r="BG157" i="1" s="1"/>
  <c r="BR176" i="1"/>
  <c r="BR211" i="1" s="1"/>
  <c r="BS211" i="1" s="1"/>
  <c r="AV149" i="1"/>
  <c r="AW149" i="1" s="1"/>
  <c r="BP194" i="1"/>
  <c r="BQ194" i="1" s="1"/>
  <c r="AP194" i="1"/>
  <c r="AQ194" i="1" s="1"/>
  <c r="BD164" i="1"/>
  <c r="BR162" i="1"/>
  <c r="BE105" i="1"/>
  <c r="AP155" i="1"/>
  <c r="AQ155" i="1" s="1"/>
  <c r="BB156" i="1"/>
  <c r="BC156" i="1" s="1"/>
  <c r="BD174" i="1"/>
  <c r="BS105" i="1"/>
  <c r="BN186" i="1"/>
  <c r="BO186" i="1" s="1"/>
  <c r="AZ178" i="1"/>
  <c r="BA178" i="1" s="1"/>
  <c r="AX155" i="1"/>
  <c r="BB150" i="1"/>
  <c r="AT174" i="1"/>
  <c r="AU174" i="1" s="1"/>
  <c r="AN183" i="1"/>
  <c r="AO183" i="1" s="1"/>
  <c r="BB186" i="1"/>
  <c r="BC186" i="1" s="1"/>
  <c r="BR166" i="1"/>
  <c r="BS166" i="1" s="1"/>
  <c r="AN176" i="1"/>
  <c r="AN211" i="1" s="1"/>
  <c r="AO211" i="1" s="1"/>
  <c r="AX149" i="1"/>
  <c r="AY149" i="1" s="1"/>
  <c r="BP157" i="1"/>
  <c r="BQ157" i="1" s="1"/>
  <c r="AR168" i="1"/>
  <c r="AS168" i="1" s="1"/>
  <c r="BN185" i="1"/>
  <c r="BO185" i="1" s="1"/>
  <c r="BF183" i="1"/>
  <c r="BG183" i="1" s="1"/>
  <c r="AZ190" i="1"/>
  <c r="BR155" i="1"/>
  <c r="BS155" i="1" s="1"/>
  <c r="AT181" i="1"/>
  <c r="BD186" i="1"/>
  <c r="BE186" i="1" s="1"/>
  <c r="AV184" i="1"/>
  <c r="AV214" i="1" s="1"/>
  <c r="BR149" i="1"/>
  <c r="BS149" i="1" s="1"/>
  <c r="BP149" i="1"/>
  <c r="BQ149" i="1" s="1"/>
  <c r="BP174" i="1"/>
  <c r="BQ174" i="1" s="1"/>
  <c r="AZ104" i="1"/>
  <c r="AP180" i="1"/>
  <c r="AQ180" i="1" s="1"/>
  <c r="BR150" i="1"/>
  <c r="AT153" i="1"/>
  <c r="AU153" i="1" s="1"/>
  <c r="AN195" i="1"/>
  <c r="AO195" i="1" s="1"/>
  <c r="BT149" i="1"/>
  <c r="BU149" i="1" s="1"/>
  <c r="AQ105" i="1"/>
  <c r="BC105" i="1"/>
  <c r="AV166" i="1"/>
  <c r="AW166" i="1" s="1"/>
  <c r="AZ171" i="1"/>
  <c r="BA171" i="1" s="1"/>
  <c r="AU105" i="1"/>
  <c r="AR150" i="1"/>
  <c r="BB168" i="1"/>
  <c r="BC168" i="1" s="1"/>
  <c r="AR105" i="1"/>
  <c r="AR194" i="1"/>
  <c r="AS194" i="1" s="1"/>
  <c r="BA105" i="1"/>
  <c r="BD171" i="1"/>
  <c r="BE171" i="1" s="1"/>
  <c r="AP158" i="1"/>
  <c r="AQ158" i="1" s="1"/>
  <c r="AR157" i="1"/>
  <c r="AS157" i="1" s="1"/>
  <c r="BT148" i="1"/>
  <c r="BU148" i="1" s="1"/>
  <c r="AT156" i="1"/>
  <c r="AU156" i="1" s="1"/>
  <c r="AR183" i="1"/>
  <c r="AS183" i="1" s="1"/>
  <c r="BB184" i="1"/>
  <c r="BB214" i="1" s="1"/>
  <c r="AV176" i="1"/>
  <c r="AV211" i="1" s="1"/>
  <c r="AW211" i="1" s="1"/>
  <c r="BB175" i="1"/>
  <c r="BB210" i="1" s="1"/>
  <c r="BC210" i="1" s="1"/>
  <c r="BD185" i="1"/>
  <c r="BE185" i="1" s="1"/>
  <c r="AX153" i="1"/>
  <c r="AY153" i="1" s="1"/>
  <c r="BG105" i="1"/>
  <c r="AS105" i="1"/>
  <c r="BM105" i="1"/>
  <c r="AV180" i="1"/>
  <c r="AW180" i="1" s="1"/>
  <c r="AX178" i="1"/>
  <c r="AY178" i="1" s="1"/>
  <c r="BQ105" i="1"/>
  <c r="AR181" i="1"/>
  <c r="AS181" i="1" s="1"/>
  <c r="BT180" i="1"/>
  <c r="BU180" i="1" s="1"/>
  <c r="BN155" i="1"/>
  <c r="AP195" i="1"/>
  <c r="AQ195" i="1" s="1"/>
  <c r="AY105" i="1"/>
  <c r="AZ182" i="1"/>
  <c r="BA182" i="1" s="1"/>
  <c r="BD150" i="1"/>
  <c r="BT104" i="1"/>
  <c r="AT171" i="1"/>
  <c r="AU171" i="1" s="1"/>
  <c r="AZ162" i="1"/>
  <c r="BB162" i="1"/>
  <c r="AP184" i="1"/>
  <c r="AP214" i="1" s="1"/>
  <c r="AQ214" i="1" s="1"/>
  <c r="BR185" i="1"/>
  <c r="BS185" i="1" s="1"/>
  <c r="BI104" i="1"/>
  <c r="AP156" i="1"/>
  <c r="AQ156" i="1" s="1"/>
  <c r="BD180" i="1"/>
  <c r="BE180" i="1" s="1"/>
  <c r="AN191" i="1"/>
  <c r="BN181" i="1"/>
  <c r="BO181" i="1" s="1"/>
  <c r="AT191" i="1"/>
  <c r="AP166" i="1"/>
  <c r="AQ166" i="1" s="1"/>
  <c r="AN156" i="1"/>
  <c r="AO156" i="1" s="1"/>
  <c r="AV195" i="1"/>
  <c r="AW195" i="1" s="1"/>
  <c r="BF174" i="1"/>
  <c r="AP105" i="1"/>
  <c r="AP176" i="1"/>
  <c r="AP211" i="1" s="1"/>
  <c r="AQ211" i="1" s="1"/>
  <c r="AT155" i="1"/>
  <c r="AU155" i="1" s="1"/>
  <c r="BT175" i="1"/>
  <c r="BT210" i="1" s="1"/>
  <c r="BU210" i="1" s="1"/>
  <c r="BP185" i="1"/>
  <c r="BQ185" i="1" s="1"/>
  <c r="BW104" i="1"/>
  <c r="BT182" i="1"/>
  <c r="BU182" i="1" s="1"/>
  <c r="AT177" i="1"/>
  <c r="AU177" i="1" s="1"/>
  <c r="BR195" i="1"/>
  <c r="BS195" i="1" s="1"/>
  <c r="AX175" i="1"/>
  <c r="AX210" i="1" s="1"/>
  <c r="AY210" i="1" s="1"/>
  <c r="BR164" i="1"/>
  <c r="AR184" i="1"/>
  <c r="AR214" i="1" s="1"/>
  <c r="BB185" i="1"/>
  <c r="BC185" i="1" s="1"/>
  <c r="AZ168" i="1"/>
  <c r="BA168" i="1" s="1"/>
  <c r="AV168" i="1"/>
  <c r="AW168" i="1" s="1"/>
  <c r="BF163" i="1"/>
  <c r="AT190" i="1"/>
  <c r="BB157" i="1"/>
  <c r="BC157" i="1" s="1"/>
  <c r="BN190" i="1"/>
  <c r="AP149" i="1"/>
  <c r="AQ149" i="1" s="1"/>
  <c r="AZ195" i="1"/>
  <c r="BA195" i="1" s="1"/>
  <c r="AX190" i="1"/>
  <c r="BA104" i="1"/>
  <c r="AV171" i="1"/>
  <c r="BD182" i="1"/>
  <c r="BE182" i="1" s="1"/>
  <c r="AX162" i="1"/>
  <c r="AZ105" i="1"/>
  <c r="BR153" i="1"/>
  <c r="BS153" i="1" s="1"/>
  <c r="AZ156" i="1"/>
  <c r="BA156" i="1" s="1"/>
  <c r="AZ158" i="1"/>
  <c r="BA158" i="1" s="1"/>
  <c r="AZ174" i="1"/>
  <c r="AX195" i="1"/>
  <c r="AY195" i="1" s="1"/>
  <c r="AV153" i="1"/>
  <c r="AW153" i="1" s="1"/>
  <c r="AT168" i="1"/>
  <c r="AU168" i="1" s="1"/>
  <c r="AV104" i="1"/>
  <c r="BF171" i="1"/>
  <c r="BG171" i="1" s="1"/>
  <c r="BH233" i="1" s="1"/>
  <c r="AX156" i="1"/>
  <c r="AY156" i="1" s="1"/>
  <c r="AR166" i="1"/>
  <c r="AS166" i="1" s="1"/>
  <c r="AV157" i="1"/>
  <c r="AW157" i="1" s="1"/>
  <c r="AX150" i="1"/>
  <c r="BF173" i="1"/>
  <c r="BG173" i="1" s="1"/>
  <c r="BR148" i="1"/>
  <c r="BS148" i="1" s="1"/>
  <c r="AR171" i="1"/>
  <c r="AS171" i="1" s="1"/>
  <c r="AT158" i="1"/>
  <c r="AU158" i="1" s="1"/>
  <c r="AN190" i="1"/>
  <c r="AX180" i="1"/>
  <c r="BR156" i="1"/>
  <c r="BS156" i="1" s="1"/>
  <c r="AZ157" i="1"/>
  <c r="BA157" i="1" s="1"/>
  <c r="BR191" i="1"/>
  <c r="AZ191" i="1"/>
  <c r="AV181" i="1"/>
  <c r="AW181" i="1" s="1"/>
  <c r="BN173" i="1"/>
  <c r="BO173" i="1" s="1"/>
  <c r="BS104" i="1"/>
  <c r="BB164" i="1"/>
  <c r="BR183" i="1"/>
  <c r="BS183" i="1" s="1"/>
  <c r="AR162" i="1"/>
  <c r="BP186" i="1"/>
  <c r="BQ186" i="1" s="1"/>
  <c r="AN148" i="1"/>
  <c r="BP155" i="1"/>
  <c r="BQ155" i="1" s="1"/>
  <c r="BN178" i="1"/>
  <c r="BO178" i="1" s="1"/>
  <c r="BI105" i="1"/>
  <c r="AX148" i="1"/>
  <c r="AN184" i="1"/>
  <c r="AN214" i="1" s="1"/>
  <c r="AO214" i="1" s="1"/>
  <c r="BN175" i="1"/>
  <c r="BN210" i="1" s="1"/>
  <c r="BO210" i="1" s="1"/>
  <c r="AV185" i="1"/>
  <c r="AW185" i="1" s="1"/>
  <c r="AT150" i="1"/>
  <c r="AX185" i="1"/>
  <c r="AY185" i="1" s="1"/>
  <c r="BB190" i="1"/>
  <c r="AV186" i="1"/>
  <c r="AW186" i="1" s="1"/>
  <c r="BR175" i="1"/>
  <c r="BR210" i="1" s="1"/>
  <c r="BS210" i="1" s="1"/>
  <c r="BT174" i="1"/>
  <c r="BT168" i="1"/>
  <c r="BU168" i="1" s="1"/>
  <c r="BT183" i="1"/>
  <c r="BU183" i="1" s="1"/>
  <c r="BD168" i="1"/>
  <c r="BE168" i="1" s="1"/>
  <c r="AV178" i="1"/>
  <c r="AW178" i="1" s="1"/>
  <c r="AP191" i="1"/>
  <c r="BN177" i="1"/>
  <c r="BO177" i="1" s="1"/>
  <c r="BD148" i="1"/>
  <c r="AV177" i="1"/>
  <c r="AW177" i="1" s="1"/>
  <c r="BB166" i="1"/>
  <c r="BC166" i="1" s="1"/>
  <c r="AN178" i="1"/>
  <c r="AO178" i="1" s="1"/>
  <c r="BU105" i="1"/>
  <c r="AP178" i="1"/>
  <c r="AQ178" i="1" s="1"/>
  <c r="AN180" i="1"/>
  <c r="AO180" i="1" s="1"/>
  <c r="BN150" i="1"/>
  <c r="BG104" i="1"/>
  <c r="AR185" i="1"/>
  <c r="AS185" i="1" s="1"/>
  <c r="AX194" i="1"/>
  <c r="AY194" i="1" s="1"/>
  <c r="AX166" i="1"/>
  <c r="AY166" i="1" s="1"/>
  <c r="BP156" i="1"/>
  <c r="BQ156" i="1" s="1"/>
  <c r="AV173" i="1"/>
  <c r="AW173" i="1" s="1"/>
  <c r="BT164" i="1"/>
  <c r="BB148" i="1"/>
  <c r="AV175" i="1"/>
  <c r="AV210" i="1" s="1"/>
  <c r="AW210" i="1" s="1"/>
  <c r="AT157" i="1"/>
  <c r="AU157" i="1" s="1"/>
  <c r="BF175" i="1"/>
  <c r="BF210" i="1" s="1"/>
  <c r="BG210" i="1" s="1"/>
  <c r="AT164" i="1"/>
  <c r="BB155" i="1"/>
  <c r="BC155" i="1" s="1"/>
  <c r="AQ104" i="1"/>
  <c r="BO105" i="1"/>
  <c r="AZ163" i="1"/>
  <c r="AN166" i="1"/>
  <c r="AO166" i="1" s="1"/>
  <c r="BT156" i="1"/>
  <c r="BU156" i="1" s="1"/>
  <c r="BN157" i="1"/>
  <c r="BO157" i="1" s="1"/>
  <c r="BD105" i="1"/>
  <c r="AV174" i="1"/>
  <c r="AW174" i="1" s="1"/>
  <c r="AN174" i="1"/>
  <c r="AO174" i="1" s="1"/>
  <c r="BD175" i="1"/>
  <c r="BD210" i="1" s="1"/>
  <c r="BE210" i="1" s="1"/>
  <c r="AX177" i="1"/>
  <c r="AY177" i="1" s="1"/>
  <c r="AP182" i="1"/>
  <c r="AQ182" i="1" s="1"/>
  <c r="BT184" i="1"/>
  <c r="BT214" i="1" s="1"/>
  <c r="BU214" i="1" s="1"/>
  <c r="BF166" i="1"/>
  <c r="BG166" i="1" s="1"/>
  <c r="BB182" i="1"/>
  <c r="BC182" i="1" s="1"/>
  <c r="BP181" i="1"/>
  <c r="BQ181" i="1" s="1"/>
  <c r="BP166" i="1"/>
  <c r="BQ166" i="1" s="1"/>
  <c r="BD181" i="1"/>
  <c r="BE181" i="1" s="1"/>
  <c r="AN194" i="1"/>
  <c r="AO194" i="1" s="1"/>
  <c r="AN164" i="1"/>
  <c r="BF164" i="1"/>
  <c r="BE104" i="1"/>
  <c r="BT181" i="1"/>
  <c r="BU181" i="1" s="1"/>
  <c r="AT195" i="1"/>
  <c r="AU195" i="1" s="1"/>
  <c r="BN162" i="1"/>
  <c r="AR195" i="1"/>
  <c r="AS195" i="1" s="1"/>
  <c r="BB191" i="1"/>
  <c r="BP190" i="1"/>
  <c r="BF191" i="1"/>
  <c r="AZ164" i="1"/>
  <c r="BP183" i="1"/>
  <c r="BQ183" i="1" s="1"/>
  <c r="AN173" i="1"/>
  <c r="AO173" i="1" s="1"/>
  <c r="BR190" i="1"/>
  <c r="AX183" i="1"/>
  <c r="AY183" i="1" s="1"/>
  <c r="BR177" i="1"/>
  <c r="BS177" i="1" s="1"/>
  <c r="AR104" i="1"/>
  <c r="AR186" i="1"/>
  <c r="AS186" i="1" s="1"/>
  <c r="BD178" i="1"/>
  <c r="BE178" i="1" s="1"/>
  <c r="BN153" i="1"/>
  <c r="BO153" i="1" s="1"/>
  <c r="BP180" i="1"/>
  <c r="BQ180" i="1" s="1"/>
  <c r="BD153" i="1"/>
  <c r="BE153" i="1" s="1"/>
  <c r="BT176" i="1"/>
  <c r="BT211" i="1" s="1"/>
  <c r="BU211" i="1" s="1"/>
  <c r="BQ104" i="1"/>
  <c r="BR171" i="1"/>
  <c r="AT194" i="1"/>
  <c r="AU194" i="1" s="1"/>
  <c r="BD162" i="1"/>
  <c r="AN181" i="1"/>
  <c r="AO181" i="1" s="1"/>
  <c r="BF184" i="1"/>
  <c r="BF214" i="1" s="1"/>
  <c r="BG214" i="1" s="1"/>
  <c r="BB180" i="1"/>
  <c r="BC180" i="1" s="1"/>
  <c r="AZ181" i="1"/>
  <c r="BA181" i="1" s="1"/>
  <c r="AN171" i="1"/>
  <c r="BT194" i="1"/>
  <c r="BU194" i="1" s="1"/>
  <c r="BP175" i="1"/>
  <c r="BP210" i="1" s="1"/>
  <c r="BQ210" i="1" s="1"/>
  <c r="BB163" i="1"/>
  <c r="BP176" i="1"/>
  <c r="BP211" i="1" s="1"/>
  <c r="BQ211" i="1" s="1"/>
  <c r="AR177" i="1"/>
  <c r="AS177" i="1" s="1"/>
  <c r="AV155" i="1"/>
  <c r="BP195" i="1"/>
  <c r="BQ195" i="1" s="1"/>
  <c r="BP182" i="1"/>
  <c r="BQ182" i="1" s="1"/>
  <c r="BD104" i="1"/>
  <c r="BD190" i="1"/>
  <c r="BN180" i="1"/>
  <c r="BO180" i="1" s="1"/>
  <c r="AP148" i="1"/>
  <c r="AQ148" i="1" s="1"/>
  <c r="BP163" i="1"/>
  <c r="BN104" i="1"/>
  <c r="AO104" i="1"/>
  <c r="AN177" i="1"/>
  <c r="AO177" i="1" s="1"/>
  <c r="BF180" i="1"/>
  <c r="BG180" i="1" s="1"/>
  <c r="BT153" i="1"/>
  <c r="BU153" i="1" s="1"/>
  <c r="AT163" i="1"/>
  <c r="BN191" i="1"/>
  <c r="AT173" i="1"/>
  <c r="AU173" i="1" s="1"/>
  <c r="BT190" i="1"/>
  <c r="AT176" i="1"/>
  <c r="AT211" i="1" s="1"/>
  <c r="AU211" i="1" s="1"/>
  <c r="BB149" i="1"/>
  <c r="BC149" i="1" s="1"/>
  <c r="AX171" i="1"/>
  <c r="AY171" i="1" s="1"/>
  <c r="BP148" i="1"/>
  <c r="BQ148" i="1" s="1"/>
  <c r="BF178" i="1"/>
  <c r="BG178" i="1" s="1"/>
  <c r="BR180" i="1"/>
  <c r="BS180" i="1" s="1"/>
  <c r="AT186" i="1"/>
  <c r="AU186" i="1" s="1"/>
  <c r="BR178" i="1"/>
  <c r="BS178" i="1" s="1"/>
  <c r="BR163" i="1"/>
  <c r="AR153" i="1"/>
  <c r="AS153" i="1" s="1"/>
  <c r="BR105" i="1"/>
  <c r="BT191" i="1"/>
  <c r="AR148" i="1"/>
  <c r="AZ177" i="1"/>
  <c r="BA177" i="1" s="1"/>
  <c r="AT180" i="1"/>
  <c r="AU180" i="1" s="1"/>
  <c r="AX173" i="1"/>
  <c r="AY173" i="1" s="1"/>
  <c r="BP105" i="1"/>
  <c r="AP153" i="1"/>
  <c r="AQ153" i="1" s="1"/>
  <c r="BU104" i="1"/>
  <c r="BB183" i="1"/>
  <c r="BC183" i="1" s="1"/>
  <c r="AP190" i="1"/>
  <c r="BF156" i="1"/>
  <c r="BG156" i="1" s="1"/>
  <c r="AX191" i="1"/>
  <c r="AP168" i="1"/>
  <c r="AQ168" i="1" s="1"/>
  <c r="BP158" i="1"/>
  <c r="BQ158" i="1" s="1"/>
  <c r="AR173" i="1"/>
  <c r="AS173" i="1" s="1"/>
  <c r="BD184" i="1"/>
  <c r="BD214" i="1" s="1"/>
  <c r="BE214" i="1" s="1"/>
  <c r="BB181" i="1"/>
  <c r="BC181" i="1" s="1"/>
  <c r="BT178" i="1"/>
  <c r="BU178" i="1" s="1"/>
  <c r="BT186" i="1"/>
  <c r="BU186" i="1" s="1"/>
  <c r="AZ166" i="1"/>
  <c r="BA166" i="1" s="1"/>
  <c r="BC104" i="1"/>
  <c r="AR191" i="1"/>
  <c r="BD173" i="1"/>
  <c r="BE173" i="1" s="1"/>
  <c r="BT163" i="1"/>
  <c r="AR164" i="1"/>
  <c r="BW105" i="1"/>
  <c r="BF105" i="1"/>
  <c r="AZ184" i="1"/>
  <c r="AZ214" i="1" s="1"/>
  <c r="BA214" i="1" s="1"/>
  <c r="AT149" i="1"/>
  <c r="AU149" i="1" s="1"/>
  <c r="AY104" i="1"/>
  <c r="AX164" i="1"/>
  <c r="AT104" i="1"/>
  <c r="BD183" i="1"/>
  <c r="BE183" i="1" s="1"/>
  <c r="BP104" i="1"/>
  <c r="AZ185" i="1"/>
  <c r="BA185" i="1" s="1"/>
  <c r="BR104" i="1"/>
  <c r="AZ173" i="1"/>
  <c r="BA173" i="1" s="1"/>
  <c r="BB105" i="1"/>
  <c r="AR149" i="1"/>
  <c r="AS149" i="1" s="1"/>
  <c r="BB171" i="1"/>
  <c r="BC171" i="1" s="1"/>
  <c r="AX176" i="1"/>
  <c r="AX211" i="1" s="1"/>
  <c r="AY211" i="1" s="1"/>
  <c r="BT177" i="1"/>
  <c r="BU177" i="1" s="1"/>
  <c r="AP171" i="1"/>
  <c r="BT166" i="1"/>
  <c r="BU166" i="1" s="1"/>
  <c r="BK104" i="1"/>
  <c r="BP164" i="1"/>
  <c r="BB194" i="1"/>
  <c r="BC194" i="1" s="1"/>
  <c r="BF149" i="1"/>
  <c r="BG149" i="1" s="1"/>
  <c r="BF176" i="1"/>
  <c r="BF211" i="1" s="1"/>
  <c r="BG211" i="1" s="1"/>
  <c r="BN105" i="1"/>
  <c r="AN185" i="1"/>
  <c r="AO185" i="1" s="1"/>
  <c r="BN171" i="1"/>
  <c r="BN233" i="1" s="1"/>
  <c r="AR163" i="1"/>
  <c r="AV158" i="1"/>
  <c r="AW158" i="1" s="1"/>
  <c r="AR174" i="1"/>
  <c r="AS174" i="1" s="1"/>
  <c r="BP150" i="1"/>
  <c r="BN194" i="1"/>
  <c r="BO194" i="1" s="1"/>
  <c r="AT148" i="1"/>
  <c r="AP175" i="1"/>
  <c r="AP210" i="1" s="1"/>
  <c r="AQ210" i="1" s="1"/>
  <c r="AX168" i="1"/>
  <c r="AY168" i="1" s="1"/>
  <c r="BB174" i="1"/>
  <c r="AR182" i="1"/>
  <c r="AS182" i="1" s="1"/>
  <c r="AX184" i="1"/>
  <c r="AX214" i="1" s="1"/>
  <c r="AY214" i="1" s="1"/>
  <c r="AV162" i="1"/>
  <c r="AN155" i="1"/>
  <c r="AO105" i="1"/>
  <c r="AX104" i="1"/>
  <c r="BF158" i="1"/>
  <c r="BG158" i="1" s="1"/>
  <c r="BF186" i="1"/>
  <c r="BG186" i="1" s="1"/>
  <c r="AP162" i="1"/>
  <c r="BN195" i="1"/>
  <c r="BO195" i="1" s="1"/>
  <c r="BT162" i="1"/>
  <c r="BF155" i="1"/>
  <c r="BG155" i="1" s="1"/>
  <c r="AP173" i="1"/>
  <c r="AZ186" i="1"/>
  <c r="BA186" i="1" s="1"/>
  <c r="BR173" i="1"/>
  <c r="BS173" i="1" s="1"/>
  <c r="AN104" i="1"/>
  <c r="AZ183" i="1"/>
  <c r="BA183" i="1" s="1"/>
  <c r="BN156" i="1"/>
  <c r="BO156" i="1" s="1"/>
  <c r="AX182" i="1"/>
  <c r="AY182" i="1" s="1"/>
  <c r="BB177" i="1"/>
  <c r="BC177" i="1" s="1"/>
  <c r="BP184" i="1"/>
  <c r="BP214" i="1" s="1"/>
  <c r="BQ214" i="1" s="1"/>
  <c r="AZ194" i="1"/>
  <c r="BA194" i="1" s="1"/>
  <c r="AP174" i="1"/>
  <c r="AQ174" i="1" s="1"/>
  <c r="BB178" i="1"/>
  <c r="BC178" i="1" s="1"/>
  <c r="AX105" i="1"/>
  <c r="BN174" i="1"/>
  <c r="BD157" i="1"/>
  <c r="BE157" i="1" s="1"/>
  <c r="AP164" i="1"/>
  <c r="AV183" i="1"/>
  <c r="AW183" i="1" s="1"/>
  <c r="BP168" i="1"/>
  <c r="BQ168" i="1" s="1"/>
  <c r="AZ150" i="1"/>
  <c r="BD156" i="1"/>
  <c r="BE156" i="1" s="1"/>
  <c r="AV150" i="1"/>
  <c r="BM104" i="1"/>
  <c r="AR176" i="1"/>
  <c r="AT184" i="1"/>
  <c r="AT214" i="1" s="1"/>
  <c r="AU214" i="1" s="1"/>
  <c r="BD191" i="1"/>
  <c r="BN163" i="1"/>
  <c r="AR156" i="1"/>
  <c r="AS156" i="1" s="1"/>
  <c r="AN163" i="1"/>
  <c r="AT105" i="1"/>
  <c r="AT166" i="1"/>
  <c r="AU166" i="1" s="1"/>
  <c r="BB153" i="1"/>
  <c r="BC153" i="1" s="1"/>
  <c r="BP177" i="1"/>
  <c r="BQ177" i="1" s="1"/>
  <c r="AN182" i="1"/>
  <c r="AO182" i="1" s="1"/>
  <c r="BB195" i="1"/>
  <c r="BC195" i="1" s="1"/>
  <c r="BP178" i="1"/>
  <c r="BQ178" i="1" s="1"/>
  <c r="AV164" i="1"/>
  <c r="BD176" i="1"/>
  <c r="BD211" i="1" s="1"/>
  <c r="BE211" i="1" s="1"/>
  <c r="BF153" i="1"/>
  <c r="BG153" i="1" s="1"/>
  <c r="BD158" i="1"/>
  <c r="BE158" i="1" s="1"/>
  <c r="BN149" i="1"/>
  <c r="BO149" i="1" s="1"/>
  <c r="BR174" i="1"/>
  <c r="BF195" i="1"/>
  <c r="BG195" i="1" s="1"/>
  <c r="BR158" i="1"/>
  <c r="BS158" i="1" s="1"/>
  <c r="BN158" i="1"/>
  <c r="BO158" i="1" s="1"/>
  <c r="BR157" i="1"/>
  <c r="BS157" i="1" s="1"/>
  <c r="AT162" i="1"/>
  <c r="BB158" i="1"/>
  <c r="BC158" i="1" s="1"/>
  <c r="AN157" i="1"/>
  <c r="AO157" i="1" s="1"/>
  <c r="BT185" i="1"/>
  <c r="BU185" i="1" s="1"/>
  <c r="AV194" i="1"/>
  <c r="AW194" i="1" s="1"/>
  <c r="BB104" i="1"/>
  <c r="BN168" i="1"/>
  <c r="BO168" i="1" s="1"/>
  <c r="AT182" i="1"/>
  <c r="AU182" i="1" s="1"/>
  <c r="BF148" i="1"/>
  <c r="BG148" i="1" s="1"/>
  <c r="AN105" i="1"/>
  <c r="BT171" i="1"/>
  <c r="AR158" i="1"/>
  <c r="AS158" i="1" s="1"/>
  <c r="BF104" i="1"/>
  <c r="AN175" i="1"/>
  <c r="AN210" i="1" s="1"/>
  <c r="AO210" i="1" s="1"/>
  <c r="AX174" i="1"/>
  <c r="AV148" i="1"/>
  <c r="AW148" i="1" s="1"/>
  <c r="AV182" i="1"/>
  <c r="AW182" i="1" s="1"/>
  <c r="BT155" i="1"/>
  <c r="BN182" i="1"/>
  <c r="BO182" i="1" s="1"/>
  <c r="BT157" i="1"/>
  <c r="BU157" i="1" s="1"/>
  <c r="BT158" i="1"/>
  <c r="BU158" i="1" s="1"/>
  <c r="AP186" i="1"/>
  <c r="AQ186" i="1" s="1"/>
  <c r="AV163" i="1"/>
  <c r="BN148" i="1"/>
  <c r="BO148" i="1" s="1"/>
  <c r="BF181" i="1"/>
  <c r="BG181" i="1" s="1"/>
  <c r="AR155" i="1"/>
  <c r="BF150" i="1"/>
  <c r="AV105" i="1"/>
  <c r="BF177" i="1"/>
  <c r="BG177" i="1" s="1"/>
  <c r="BF168" i="1"/>
  <c r="BG168" i="1" s="1"/>
  <c r="BT105" i="1"/>
  <c r="AR175" i="1"/>
  <c r="AR210" i="1" s="1"/>
  <c r="AS210" i="1" s="1"/>
  <c r="AS104" i="1"/>
  <c r="BP191" i="1"/>
  <c r="BD166" i="1"/>
  <c r="BE166" i="1" s="1"/>
  <c r="BR168" i="1"/>
  <c r="BS168" i="1" s="1"/>
  <c r="BD177" i="1"/>
  <c r="BE177" i="1" s="1"/>
  <c r="AZ149" i="1"/>
  <c r="BA149" i="1" s="1"/>
  <c r="BK105" i="1"/>
  <c r="BN166" i="1"/>
  <c r="BO166" i="1" s="1"/>
  <c r="AZ148" i="1"/>
  <c r="BA148" i="1" s="1"/>
  <c r="BP173" i="1"/>
  <c r="BQ173" i="1" s="1"/>
  <c r="BF182" i="1"/>
  <c r="BG182" i="1" s="1"/>
  <c r="BD155" i="1"/>
  <c r="BE155" i="1" s="1"/>
  <c r="AX157" i="1"/>
  <c r="AY157" i="1" s="1"/>
  <c r="BP153" i="1"/>
  <c r="BQ153" i="1" s="1"/>
  <c r="AV190" i="1"/>
  <c r="BT150" i="1"/>
  <c r="AP163" i="1"/>
  <c r="AT178" i="1"/>
  <c r="AU178" i="1" s="1"/>
  <c r="BF194" i="1"/>
  <c r="BG194" i="1" s="1"/>
  <c r="BR182" i="1"/>
  <c r="BS182" i="1" s="1"/>
  <c r="BF162" i="1"/>
  <c r="AR180" i="1"/>
  <c r="AS180" i="1" s="1"/>
  <c r="BR194" i="1"/>
  <c r="BS194" i="1" s="1"/>
  <c r="BT173" i="1"/>
  <c r="BU173" i="1" s="1"/>
  <c r="BO104" i="1"/>
  <c r="BN164" i="1"/>
  <c r="AT185" i="1"/>
  <c r="AU185" i="1" s="1"/>
  <c r="AP157" i="1"/>
  <c r="AQ157" i="1" s="1"/>
  <c r="BR184" i="1"/>
  <c r="BR214" i="1" s="1"/>
  <c r="BS214" i="1" s="1"/>
  <c r="AN186" i="1"/>
  <c r="AO186" i="1" s="1"/>
  <c r="AN153" i="1"/>
  <c r="AO153" i="1" s="1"/>
  <c r="AN150" i="1"/>
  <c r="T233" i="1"/>
  <c r="B96" i="1"/>
  <c r="O206" i="1"/>
  <c r="O123" i="1"/>
  <c r="O127" i="1" s="1"/>
  <c r="R123" i="1"/>
  <c r="R126" i="1" s="1"/>
  <c r="N206" i="1"/>
  <c r="T169" i="1"/>
  <c r="O238" i="1"/>
  <c r="O279" i="1"/>
  <c r="R206" i="1"/>
  <c r="N85" i="1"/>
  <c r="E237" i="1"/>
  <c r="D279" i="1"/>
  <c r="E238" i="1"/>
  <c r="D238" i="1"/>
  <c r="D206" i="1"/>
  <c r="U212" i="1"/>
  <c r="P228" i="1"/>
  <c r="H64" i="1"/>
  <c r="C280" i="1"/>
  <c r="C282" i="1" s="1"/>
  <c r="I238" i="1"/>
  <c r="D68" i="1"/>
  <c r="D160" i="1"/>
  <c r="D86" i="1" s="1"/>
  <c r="M206" i="1"/>
  <c r="M123" i="1"/>
  <c r="M85" i="1"/>
  <c r="M238" i="1"/>
  <c r="N238" i="1"/>
  <c r="N169" i="1"/>
  <c r="N64" i="1"/>
  <c r="N240" i="1"/>
  <c r="M279" i="1"/>
  <c r="T238" i="1"/>
  <c r="T206" i="1"/>
  <c r="P169" i="1"/>
  <c r="P275" i="1" s="1"/>
  <c r="P64" i="1"/>
  <c r="C160" i="1"/>
  <c r="C86" i="1" s="1"/>
  <c r="D237" i="1"/>
  <c r="C68" i="1"/>
  <c r="D280" i="1"/>
  <c r="D282" i="1" s="1"/>
  <c r="U227" i="1"/>
  <c r="R199" i="1"/>
  <c r="R140" i="1" s="1"/>
  <c r="R160" i="1"/>
  <c r="R86" i="1" s="1"/>
  <c r="C169" i="1"/>
  <c r="C64" i="1"/>
  <c r="H123" i="1"/>
  <c r="H206" i="1"/>
  <c r="V199" i="1"/>
  <c r="V140" i="1" s="1"/>
  <c r="V68" i="1"/>
  <c r="D228" i="1"/>
  <c r="P227" i="1"/>
  <c r="C188" i="1"/>
  <c r="V280" i="1"/>
  <c r="V282" i="1" s="1"/>
  <c r="F68" i="1"/>
  <c r="F160" i="1"/>
  <c r="F86" i="1" s="1"/>
  <c r="F199" i="1"/>
  <c r="F140" i="1" s="1"/>
  <c r="L64" i="1"/>
  <c r="L169" i="1"/>
  <c r="U240" i="1"/>
  <c r="T279" i="1"/>
  <c r="S213" i="1"/>
  <c r="S188" i="1"/>
  <c r="T123" i="1"/>
  <c r="T85" i="1"/>
  <c r="I85" i="1"/>
  <c r="I123" i="1"/>
  <c r="I279" i="1"/>
  <c r="I206" i="1"/>
  <c r="J169" i="1"/>
  <c r="J64" i="1"/>
  <c r="U64" i="1"/>
  <c r="U169" i="1"/>
  <c r="S64" i="1"/>
  <c r="S169" i="1"/>
  <c r="B64" i="1"/>
  <c r="B169" i="1"/>
  <c r="I240" i="1"/>
  <c r="H279" i="1"/>
  <c r="C97" i="1"/>
  <c r="C139" i="1"/>
  <c r="C138" i="1"/>
  <c r="S68" i="1"/>
  <c r="S199" i="1"/>
  <c r="S140" i="1" s="1"/>
  <c r="S237" i="1"/>
  <c r="S280" i="1"/>
  <c r="S282" i="1" s="1"/>
  <c r="S216" i="1"/>
  <c r="S215" i="1" s="1"/>
  <c r="T228" i="1"/>
  <c r="G240" i="1"/>
  <c r="F279" i="1"/>
  <c r="F85" i="1"/>
  <c r="F238" i="1"/>
  <c r="F123" i="1"/>
  <c r="F206" i="1"/>
  <c r="T199" i="1"/>
  <c r="T140" i="1" s="1"/>
  <c r="T237" i="1"/>
  <c r="U280" i="1"/>
  <c r="U282" i="1" s="1"/>
  <c r="O160" i="1"/>
  <c r="O86" i="1" s="1"/>
  <c r="O237" i="1"/>
  <c r="F213" i="1"/>
  <c r="G227" i="1"/>
  <c r="F188" i="1"/>
  <c r="F196" i="1" s="1"/>
  <c r="U238" i="1"/>
  <c r="U85" i="1"/>
  <c r="U123" i="1"/>
  <c r="J227" i="1"/>
  <c r="J213" i="1"/>
  <c r="J212" i="1" s="1"/>
  <c r="K227" i="1"/>
  <c r="J280" i="1"/>
  <c r="J282" i="1" s="1"/>
  <c r="I199" i="1"/>
  <c r="I140" i="1" s="1"/>
  <c r="T216" i="1"/>
  <c r="T215" i="1" s="1"/>
  <c r="U228" i="1"/>
  <c r="S228" i="1"/>
  <c r="E240" i="1"/>
  <c r="D199" i="1"/>
  <c r="D140" i="1" s="1"/>
  <c r="D141" i="1" s="1"/>
  <c r="D144" i="1" s="1"/>
  <c r="G123" i="1"/>
  <c r="G206" i="1"/>
  <c r="G238" i="1"/>
  <c r="G85" i="1"/>
  <c r="J68" i="1"/>
  <c r="J199" i="1"/>
  <c r="J140" i="1" s="1"/>
  <c r="H237" i="1"/>
  <c r="H236" i="1" s="1"/>
  <c r="H199" i="1"/>
  <c r="H140" i="1" s="1"/>
  <c r="H160" i="1"/>
  <c r="H86" i="1" s="1"/>
  <c r="H68" i="1"/>
  <c r="J279" i="1"/>
  <c r="J160" i="1"/>
  <c r="J86" i="1" s="1"/>
  <c r="R238" i="1"/>
  <c r="Q279" i="1"/>
  <c r="E213" i="1"/>
  <c r="E212" i="1" s="1"/>
  <c r="E227" i="1"/>
  <c r="F227" i="1"/>
  <c r="Q199" i="1"/>
  <c r="Q140" i="1" s="1"/>
  <c r="H228" i="1"/>
  <c r="K238" i="1"/>
  <c r="G169" i="1"/>
  <c r="G64" i="1"/>
  <c r="I64" i="1"/>
  <c r="I169" i="1"/>
  <c r="V227" i="1"/>
  <c r="V213" i="1"/>
  <c r="V212" i="1" s="1"/>
  <c r="T227" i="1"/>
  <c r="E160" i="1"/>
  <c r="E86" i="1" s="1"/>
  <c r="F280" i="1"/>
  <c r="F282" i="1" s="1"/>
  <c r="H280" i="1"/>
  <c r="H282" i="1" s="1"/>
  <c r="G237" i="1"/>
  <c r="G280" i="1"/>
  <c r="G282" i="1" s="1"/>
  <c r="Q227" i="1"/>
  <c r="E64" i="1"/>
  <c r="E169" i="1"/>
  <c r="J206" i="1"/>
  <c r="J123" i="1"/>
  <c r="J85" i="1"/>
  <c r="J238" i="1"/>
  <c r="D64" i="1"/>
  <c r="D169" i="1"/>
  <c r="L216" i="1"/>
  <c r="L215" i="1" s="1"/>
  <c r="L188" i="1"/>
  <c r="C213" i="1"/>
  <c r="C212" i="1" s="1"/>
  <c r="D227" i="1"/>
  <c r="L240" i="1"/>
  <c r="K279" i="1"/>
  <c r="B206" i="1"/>
  <c r="B85" i="1"/>
  <c r="B279" i="1"/>
  <c r="T68" i="1"/>
  <c r="T160" i="1"/>
  <c r="T86" i="1" s="1"/>
  <c r="T280" i="1"/>
  <c r="T282" i="1" s="1"/>
  <c r="O68" i="1"/>
  <c r="O199" i="1"/>
  <c r="O140" i="1" s="1"/>
  <c r="B68" i="1"/>
  <c r="C237" i="1"/>
  <c r="C236" i="1" s="1"/>
  <c r="B199" i="1"/>
  <c r="B140" i="1" s="1"/>
  <c r="B160" i="1"/>
  <c r="B86" i="1" s="1"/>
  <c r="K280" i="1"/>
  <c r="K282" i="1" s="1"/>
  <c r="K237" i="1"/>
  <c r="K160" i="1"/>
  <c r="K86" i="1" s="1"/>
  <c r="K68" i="1"/>
  <c r="K199" i="1"/>
  <c r="K140" i="1" s="1"/>
  <c r="K85" i="1"/>
  <c r="L238" i="1"/>
  <c r="K206" i="1"/>
  <c r="K123" i="1"/>
  <c r="C199" i="1"/>
  <c r="C140" i="1" s="1"/>
  <c r="D240" i="1"/>
  <c r="C279" i="1"/>
  <c r="W280" i="1"/>
  <c r="W282" i="1" s="1"/>
  <c r="W237" i="1"/>
  <c r="W68" i="1"/>
  <c r="X280" i="1"/>
  <c r="X282" i="1" s="1"/>
  <c r="X237" i="1"/>
  <c r="U279" i="1"/>
  <c r="U206" i="1"/>
  <c r="M169" i="1"/>
  <c r="M64" i="1"/>
  <c r="S160" i="1"/>
  <c r="S86" i="1" s="1"/>
  <c r="S238" i="1"/>
  <c r="S85" i="1"/>
  <c r="S123" i="1"/>
  <c r="Q213" i="1"/>
  <c r="Q212" i="1" s="1"/>
  <c r="R227" i="1"/>
  <c r="H213" i="1"/>
  <c r="I227" i="1"/>
  <c r="J188" i="1"/>
  <c r="D97" i="1"/>
  <c r="D139" i="1"/>
  <c r="K213" i="1"/>
  <c r="K212" i="1" s="1"/>
  <c r="K188" i="1"/>
  <c r="D213" i="1"/>
  <c r="D212" i="1" s="1"/>
  <c r="D188" i="1"/>
  <c r="I68" i="1"/>
  <c r="I237" i="1"/>
  <c r="J237" i="1"/>
  <c r="Q123" i="1"/>
  <c r="Q85" i="1"/>
  <c r="Q206" i="1"/>
  <c r="K64" i="1"/>
  <c r="K169" i="1"/>
  <c r="M237" i="1"/>
  <c r="L160" i="1"/>
  <c r="L86" i="1" s="1"/>
  <c r="D216" i="1"/>
  <c r="E228" i="1"/>
  <c r="W169" i="1"/>
  <c r="X234" i="1" s="1"/>
  <c r="X232" i="1" s="1"/>
  <c r="W64" i="1"/>
  <c r="S240" i="1"/>
  <c r="R279" i="1"/>
  <c r="V238" i="1"/>
  <c r="V279" i="1"/>
  <c r="N227" i="1"/>
  <c r="O227" i="1"/>
  <c r="K228" i="1"/>
  <c r="J216" i="1"/>
  <c r="Q238" i="1"/>
  <c r="L213" i="1"/>
  <c r="L227" i="1"/>
  <c r="M227" i="1"/>
  <c r="P213" i="1"/>
  <c r="P188" i="1"/>
  <c r="R213" i="1"/>
  <c r="R212" i="1" s="1"/>
  <c r="S227" i="1"/>
  <c r="C216" i="1"/>
  <c r="C228" i="1"/>
  <c r="O213" i="1"/>
  <c r="O212" i="1" s="1"/>
  <c r="O188" i="1"/>
  <c r="I280" i="1"/>
  <c r="I282" i="1" s="1"/>
  <c r="I160" i="1"/>
  <c r="I86" i="1" s="1"/>
  <c r="Q64" i="1"/>
  <c r="Q169" i="1"/>
  <c r="P123" i="1"/>
  <c r="P206" i="1"/>
  <c r="G160" i="1"/>
  <c r="G86" i="1" s="1"/>
  <c r="G68" i="1"/>
  <c r="G199" i="1"/>
  <c r="G140" i="1" s="1"/>
  <c r="U237" i="1"/>
  <c r="U199" i="1"/>
  <c r="U140" i="1" s="1"/>
  <c r="U68" i="1"/>
  <c r="U160" i="1"/>
  <c r="U86" i="1" s="1"/>
  <c r="V237" i="1"/>
  <c r="S279" i="1"/>
  <c r="S206" i="1"/>
  <c r="Q280" i="1"/>
  <c r="Q282" i="1" s="1"/>
  <c r="R280" i="1"/>
  <c r="R282" i="1" s="1"/>
  <c r="Q237" i="1"/>
  <c r="H227" i="1"/>
  <c r="H188" i="1"/>
  <c r="H196" i="1" s="1"/>
  <c r="I188" i="1"/>
  <c r="I228" i="1"/>
  <c r="I216" i="1"/>
  <c r="J228" i="1"/>
  <c r="Q216" i="1"/>
  <c r="Q188" i="1"/>
  <c r="Q228" i="1"/>
  <c r="R228" i="1"/>
  <c r="P160" i="1"/>
  <c r="P86" i="1" s="1"/>
  <c r="P237" i="1"/>
  <c r="P199" i="1"/>
  <c r="P140" i="1" s="1"/>
  <c r="P280" i="1"/>
  <c r="P282" i="1" s="1"/>
  <c r="P68" i="1"/>
  <c r="H240" i="1"/>
  <c r="G279" i="1"/>
  <c r="T213" i="1"/>
  <c r="T188" i="1"/>
  <c r="F237" i="1"/>
  <c r="E199" i="1"/>
  <c r="E140" i="1" s="1"/>
  <c r="E68" i="1"/>
  <c r="O280" i="1"/>
  <c r="O282" i="1" s="1"/>
  <c r="N160" i="1"/>
  <c r="N86" i="1" s="1"/>
  <c r="N280" i="1"/>
  <c r="N282" i="1" s="1"/>
  <c r="N68" i="1"/>
  <c r="N237" i="1"/>
  <c r="N199" i="1"/>
  <c r="N140" i="1" s="1"/>
  <c r="L199" i="1"/>
  <c r="L140" i="1" s="1"/>
  <c r="L68" i="1"/>
  <c r="L280" i="1"/>
  <c r="L282" i="1" s="1"/>
  <c r="L237" i="1"/>
  <c r="P238" i="1"/>
  <c r="P85" i="1"/>
  <c r="P279" i="1"/>
  <c r="B188" i="1"/>
  <c r="B213" i="1"/>
  <c r="C227" i="1"/>
  <c r="O169" i="1"/>
  <c r="O64" i="1"/>
  <c r="M240" i="1"/>
  <c r="L279" i="1"/>
  <c r="V123" i="1"/>
  <c r="V85" i="1"/>
  <c r="V160" i="1"/>
  <c r="V86" i="1" s="1"/>
  <c r="V206" i="1"/>
  <c r="Q160" i="1"/>
  <c r="Q86" i="1" s="1"/>
  <c r="R237" i="1"/>
  <c r="Q68" i="1"/>
  <c r="K216" i="1"/>
  <c r="L228" i="1"/>
  <c r="N213" i="1"/>
  <c r="N188" i="1"/>
  <c r="E216" i="1"/>
  <c r="F228" i="1"/>
  <c r="E188" i="1"/>
  <c r="G216" i="1"/>
  <c r="G188" i="1"/>
  <c r="G228" i="1"/>
  <c r="O216" i="1"/>
  <c r="O228" i="1"/>
  <c r="U216" i="1"/>
  <c r="U188" i="1"/>
  <c r="M280" i="1"/>
  <c r="M282" i="1" s="1"/>
  <c r="M68" i="1"/>
  <c r="M160" i="1"/>
  <c r="M86" i="1" s="1"/>
  <c r="M199" i="1"/>
  <c r="M140" i="1" s="1"/>
  <c r="V169" i="1"/>
  <c r="V64" i="1"/>
  <c r="V216" i="1"/>
  <c r="V188" i="1"/>
  <c r="V228" i="1"/>
  <c r="M228" i="1"/>
  <c r="N228" i="1"/>
  <c r="M188" i="1"/>
  <c r="M216" i="1"/>
  <c r="R216" i="1"/>
  <c r="R188" i="1"/>
  <c r="R196" i="1" s="1"/>
  <c r="AY180" i="1"/>
  <c r="AI217" i="1"/>
  <c r="BQ233" i="1"/>
  <c r="AI215" i="1"/>
  <c r="BH188" i="1"/>
  <c r="BH196" i="1" s="1"/>
  <c r="BH160" i="1"/>
  <c r="AZ58" i="1"/>
  <c r="BK42" i="1"/>
  <c r="BC133" i="1"/>
  <c r="BC135" i="1"/>
  <c r="BC134" i="1"/>
  <c r="O89" i="1"/>
  <c r="BF134" i="1"/>
  <c r="BF135" i="1"/>
  <c r="BF133" i="1"/>
  <c r="BH125" i="1"/>
  <c r="BH126" i="1"/>
  <c r="BK58" i="1"/>
  <c r="AW58" i="1"/>
  <c r="AU134" i="1"/>
  <c r="AU135" i="1"/>
  <c r="AU133" i="1"/>
  <c r="BE58" i="1"/>
  <c r="BK43" i="1"/>
  <c r="BL43" i="1"/>
  <c r="BK47" i="1"/>
  <c r="AM83" i="1"/>
  <c r="AM150" i="1"/>
  <c r="AM151" i="1" s="1"/>
  <c r="AM160" i="1" s="1"/>
  <c r="AM224" i="1"/>
  <c r="AM226" i="1" s="1"/>
  <c r="AM97" i="1"/>
  <c r="AM100" i="1" s="1"/>
  <c r="AS43" i="1"/>
  <c r="AT43" i="1"/>
  <c r="AT58" i="1"/>
  <c r="AY58" i="1"/>
  <c r="AP256" i="1"/>
  <c r="AQ43" i="1"/>
  <c r="AZ43" i="1"/>
  <c r="AY47" i="1"/>
  <c r="AP47" i="1"/>
  <c r="AP42" i="1"/>
  <c r="BJ134" i="1"/>
  <c r="BJ135" i="1"/>
  <c r="BA58" i="1"/>
  <c r="BQ58" i="1"/>
  <c r="AP58" i="1"/>
  <c r="AQ219" i="1"/>
  <c r="BM58" i="1"/>
  <c r="BN134" i="1"/>
  <c r="BN135" i="1"/>
  <c r="BN133" i="1"/>
  <c r="BQ42" i="1"/>
  <c r="BM256" i="1"/>
  <c r="BM42" i="1"/>
  <c r="BR133" i="1"/>
  <c r="BR135" i="1"/>
  <c r="BR134" i="1"/>
  <c r="BU42" i="1"/>
  <c r="BQ47" i="1"/>
  <c r="BQ59" i="1" s="1"/>
  <c r="BQ43" i="1"/>
  <c r="BS133" i="1"/>
  <c r="BS134" i="1"/>
  <c r="BS135" i="1"/>
  <c r="BO134" i="1"/>
  <c r="BO135" i="1"/>
  <c r="BP134" i="1"/>
  <c r="BP135" i="1"/>
  <c r="BP133" i="1"/>
  <c r="BU58" i="1"/>
  <c r="BU47" i="1"/>
  <c r="BU135" i="1"/>
  <c r="BU134" i="1"/>
  <c r="BV123" i="1"/>
  <c r="BV279" i="1"/>
  <c r="BM47" i="1"/>
  <c r="BM43" i="1"/>
  <c r="BA42" i="1"/>
  <c r="BA43" i="1"/>
  <c r="AI58" i="1"/>
  <c r="BA50" i="1"/>
  <c r="BH58" i="1"/>
  <c r="AS47" i="1"/>
  <c r="AW42" i="1"/>
  <c r="BJ42" i="1"/>
  <c r="BF47" i="1"/>
  <c r="BF59" i="1" s="1"/>
  <c r="BJ61" i="1" s="1"/>
  <c r="N127" i="1"/>
  <c r="N125" i="1"/>
  <c r="N277" i="1"/>
  <c r="N275" i="1"/>
  <c r="BV58" i="1"/>
  <c r="BC58" i="1"/>
  <c r="AY219" i="1"/>
  <c r="BT256" i="1"/>
  <c r="BY42" i="1"/>
  <c r="BU219" i="1"/>
  <c r="F277" i="1"/>
  <c r="F275" i="1"/>
  <c r="E125" i="1"/>
  <c r="E126" i="1"/>
  <c r="E127" i="1"/>
  <c r="R275" i="1"/>
  <c r="R277" i="1"/>
  <c r="BD42" i="1"/>
  <c r="BE43" i="1"/>
  <c r="BG256" i="1"/>
  <c r="BH42" i="1"/>
  <c r="BD47" i="1"/>
  <c r="BD58" i="1"/>
  <c r="BD219" i="1"/>
  <c r="BG133" i="1"/>
  <c r="BG135" i="1"/>
  <c r="BG134" i="1"/>
  <c r="BV43" i="1"/>
  <c r="BV219" i="1"/>
  <c r="BJ280" i="1"/>
  <c r="BJ237" i="1"/>
  <c r="BI280" i="1"/>
  <c r="BO42" i="1"/>
  <c r="BP43" i="1"/>
  <c r="BO58" i="1"/>
  <c r="BO47" i="1"/>
  <c r="BR256" i="1"/>
  <c r="V89" i="1"/>
  <c r="BX237" i="1"/>
  <c r="BX280" i="1"/>
  <c r="BW237" i="1"/>
  <c r="BW135" i="1"/>
  <c r="BW133" i="1"/>
  <c r="AT42" i="1"/>
  <c r="AW256" i="1"/>
  <c r="AU43" i="1"/>
  <c r="AT219" i="1"/>
  <c r="BR58" i="1"/>
  <c r="BV42" i="1"/>
  <c r="BS43" i="1"/>
  <c r="BU256" i="1"/>
  <c r="AR47" i="1"/>
  <c r="AR59" i="1" s="1"/>
  <c r="AR60" i="1" s="1"/>
  <c r="AU256" i="1"/>
  <c r="AS256" i="1"/>
  <c r="AT48" i="1"/>
  <c r="AT59" i="1"/>
  <c r="BV48" i="1"/>
  <c r="BZ49" i="1"/>
  <c r="N89" i="1"/>
  <c r="AL275" i="1"/>
  <c r="AJ43" i="1"/>
  <c r="AM42" i="1"/>
  <c r="AL256" i="1"/>
  <c r="AI47" i="1"/>
  <c r="BX133" i="1"/>
  <c r="BX134" i="1"/>
  <c r="BX135" i="1"/>
  <c r="BV134" i="1"/>
  <c r="BV133" i="1"/>
  <c r="BV135" i="1"/>
  <c r="AT134" i="1"/>
  <c r="AT135" i="1"/>
  <c r="AT133" i="1"/>
  <c r="BT135" i="1"/>
  <c r="BT134" i="1"/>
  <c r="BT133" i="1"/>
  <c r="BA59" i="1"/>
  <c r="BA48" i="1"/>
  <c r="BI47" i="1"/>
  <c r="BI219" i="1"/>
  <c r="BJ219" i="1"/>
  <c r="BL275" i="1"/>
  <c r="BL256" i="1"/>
  <c r="AW48" i="1"/>
  <c r="AW59" i="1"/>
  <c r="BA49" i="1"/>
  <c r="BP47" i="1"/>
  <c r="BP219" i="1"/>
  <c r="BS256" i="1"/>
  <c r="BQ219" i="1"/>
  <c r="AY42" i="1"/>
  <c r="AU47" i="1"/>
  <c r="AU58" i="1"/>
  <c r="BV199" i="1"/>
  <c r="BV160" i="1"/>
  <c r="BS58" i="1"/>
  <c r="BW42" i="1"/>
  <c r="BS47" i="1"/>
  <c r="BT43" i="1"/>
  <c r="BS219" i="1"/>
  <c r="BX219" i="1"/>
  <c r="BW214" i="1"/>
  <c r="BV215" i="1"/>
  <c r="BE47" i="1"/>
  <c r="BE49" i="1" s="1"/>
  <c r="BE219" i="1"/>
  <c r="BI42" i="1"/>
  <c r="BF43" i="1"/>
  <c r="BE42" i="1"/>
  <c r="BY135" i="1"/>
  <c r="BY133" i="1"/>
  <c r="BC47" i="1"/>
  <c r="BC42" i="1"/>
  <c r="BD133" i="1"/>
  <c r="BD134" i="1"/>
  <c r="BD135" i="1"/>
  <c r="BK256" i="1"/>
  <c r="T89" i="1"/>
  <c r="BL219" i="1"/>
  <c r="BH219" i="1"/>
  <c r="AZ59" i="1"/>
  <c r="BF58" i="1"/>
  <c r="BR47" i="1"/>
  <c r="BV49" i="1" s="1"/>
  <c r="AX256" i="1"/>
  <c r="BF256" i="1"/>
  <c r="AV219" i="1"/>
  <c r="BF219" i="1"/>
  <c r="BK134" i="1"/>
  <c r="BK133" i="1"/>
  <c r="BS42" i="1"/>
  <c r="BR43" i="1"/>
  <c r="BT219" i="1"/>
  <c r="AY43" i="1"/>
  <c r="BI256" i="1"/>
  <c r="BG43" i="1"/>
  <c r="AZ48" i="1"/>
  <c r="BW280" i="1"/>
  <c r="BH199" i="1"/>
  <c r="BP58" i="1"/>
  <c r="AR58" i="1"/>
  <c r="BW134" i="1"/>
  <c r="BI237" i="1"/>
  <c r="AI212" i="1"/>
  <c r="BZ42" i="1"/>
  <c r="BZ219" i="1"/>
  <c r="BY134" i="1"/>
  <c r="AZ135" i="1"/>
  <c r="BK219" i="1"/>
  <c r="BH256" i="1"/>
  <c r="AR256" i="1"/>
  <c r="S89" i="1"/>
  <c r="W89" i="1"/>
  <c r="AV256" i="1"/>
  <c r="AS58" i="1"/>
  <c r="AZ134" i="1"/>
  <c r="AS219" i="1"/>
  <c r="AN58" i="1"/>
  <c r="BU133" i="1"/>
  <c r="Q89" i="1"/>
  <c r="BE134" i="1"/>
  <c r="BV256" i="1"/>
  <c r="AP43" i="1"/>
  <c r="BV212" i="1"/>
  <c r="BA256" i="1"/>
  <c r="AZ219" i="1"/>
  <c r="AU42" i="1"/>
  <c r="AY256" i="1"/>
  <c r="AU219" i="1"/>
  <c r="BV217" i="1"/>
  <c r="BZ220" i="1" s="1"/>
  <c r="BP42" i="1"/>
  <c r="BJ43" i="1"/>
  <c r="BT58" i="1"/>
  <c r="BQ134" i="1"/>
  <c r="BQ135" i="1"/>
  <c r="BI58" i="1"/>
  <c r="AX58" i="1"/>
  <c r="AL133" i="1"/>
  <c r="AL134" i="1"/>
  <c r="BE133" i="1"/>
  <c r="AQ256" i="1"/>
  <c r="BH212" i="1"/>
  <c r="AQ134" i="1"/>
  <c r="BM219" i="1"/>
  <c r="BL135" i="1"/>
  <c r="BL133" i="1"/>
  <c r="BL134" i="1"/>
  <c r="BB43" i="1"/>
  <c r="BB219" i="1"/>
  <c r="R89" i="1"/>
  <c r="BD256" i="1"/>
  <c r="BB47" i="1"/>
  <c r="BN42" i="1"/>
  <c r="BN219" i="1"/>
  <c r="BN47" i="1"/>
  <c r="BN43" i="1"/>
  <c r="BR42" i="1"/>
  <c r="BR219" i="1"/>
  <c r="BZ134" i="1"/>
  <c r="BZ133" i="1"/>
  <c r="BZ135" i="1"/>
  <c r="AN133" i="1"/>
  <c r="AN134" i="1"/>
  <c r="AN135" i="1"/>
  <c r="BM135" i="1"/>
  <c r="BM133" i="1"/>
  <c r="BM134" i="1"/>
  <c r="AR133" i="1"/>
  <c r="AR134" i="1"/>
  <c r="AR135" i="1"/>
  <c r="U89" i="1"/>
  <c r="BE256" i="1"/>
  <c r="BQ256" i="1"/>
  <c r="BO43" i="1"/>
  <c r="AP219" i="1"/>
  <c r="AQ133" i="1"/>
  <c r="BB58" i="1"/>
  <c r="BX42" i="1"/>
  <c r="BU43" i="1"/>
  <c r="BT47" i="1"/>
  <c r="BY219" i="1"/>
  <c r="BW256" i="1"/>
  <c r="AX219" i="1"/>
  <c r="AX43" i="1"/>
  <c r="AX47" i="1"/>
  <c r="BB42" i="1"/>
  <c r="AZ256" i="1"/>
  <c r="BI165" i="1"/>
  <c r="AV133" i="1"/>
  <c r="AV135" i="1"/>
  <c r="AV134" i="1"/>
  <c r="AY133" i="1"/>
  <c r="AY134" i="1"/>
  <c r="AY135" i="1"/>
  <c r="AT256" i="1"/>
  <c r="P89" i="1"/>
  <c r="AQ47" i="1"/>
  <c r="AQ42" i="1"/>
  <c r="AR43" i="1"/>
  <c r="AX133" i="1"/>
  <c r="AX135" i="1"/>
  <c r="AX134" i="1"/>
  <c r="BH135" i="1"/>
  <c r="BH133" i="1"/>
  <c r="AX42" i="1"/>
  <c r="BV188" i="1"/>
  <c r="AR219" i="1"/>
  <c r="BC43" i="1"/>
  <c r="BP256" i="1"/>
  <c r="BC256" i="1"/>
  <c r="BO256" i="1"/>
  <c r="BB135" i="1"/>
  <c r="BB134" i="1"/>
  <c r="BB133" i="1"/>
  <c r="AO42" i="1"/>
  <c r="AS42" i="1"/>
  <c r="AO219" i="1"/>
  <c r="AO47" i="1"/>
  <c r="BH215" i="1"/>
  <c r="BI240" i="1"/>
  <c r="BH279" i="1"/>
  <c r="AO58" i="1"/>
  <c r="BX275" i="1"/>
  <c r="CA219" i="1"/>
  <c r="CB219" i="1"/>
  <c r="X89" i="1"/>
  <c r="BW47" i="1"/>
  <c r="BZ275" i="1"/>
  <c r="CA42" i="1"/>
  <c r="BW43" i="1"/>
  <c r="BY256" i="1"/>
  <c r="BZ256" i="1"/>
  <c r="BX43" i="1"/>
  <c r="BX256" i="1"/>
  <c r="AV58" i="1"/>
  <c r="AW219" i="1"/>
  <c r="AV47" i="1"/>
  <c r="AW43" i="1"/>
  <c r="BA219" i="1"/>
  <c r="AZ42" i="1"/>
  <c r="AN42" i="1"/>
  <c r="AO256" i="1"/>
  <c r="AN47" i="1"/>
  <c r="AN43" i="1"/>
  <c r="AN256" i="1"/>
  <c r="AO43" i="1"/>
  <c r="AR42" i="1"/>
  <c r="AS133" i="1"/>
  <c r="AS135" i="1"/>
  <c r="AS134" i="1"/>
  <c r="BH47" i="1"/>
  <c r="BL42" i="1"/>
  <c r="BI43" i="1"/>
  <c r="BT42" i="1"/>
  <c r="AV43" i="1"/>
  <c r="BN58" i="1"/>
  <c r="BI64" i="1"/>
  <c r="BC219" i="1"/>
  <c r="BI135" i="1"/>
  <c r="BB256" i="1"/>
  <c r="BO219" i="1"/>
  <c r="BI133" i="1"/>
  <c r="BN256" i="1"/>
  <c r="BA135" i="1"/>
  <c r="BA133" i="1"/>
  <c r="BA134" i="1"/>
  <c r="BG219" i="1"/>
  <c r="BG58" i="1"/>
  <c r="BJ256" i="1"/>
  <c r="BJ275" i="1"/>
  <c r="BH43" i="1"/>
  <c r="BG47" i="1"/>
  <c r="BW219" i="1"/>
  <c r="BV169" i="1"/>
  <c r="BW64" i="1"/>
  <c r="BW165" i="1"/>
  <c r="AP133" i="1"/>
  <c r="AP135" i="1"/>
  <c r="AP134" i="1"/>
  <c r="AW133" i="1"/>
  <c r="AW135" i="1"/>
  <c r="AW134" i="1"/>
  <c r="BF42" i="1"/>
  <c r="BV59" i="1"/>
  <c r="AO133" i="1"/>
  <c r="AO135" i="1"/>
  <c r="AO134" i="1"/>
  <c r="BW58" i="1"/>
  <c r="BD43" i="1"/>
  <c r="BG42" i="1"/>
  <c r="AN219" i="1"/>
  <c r="AV42" i="1"/>
  <c r="AQ58" i="1"/>
  <c r="BH217" i="1"/>
  <c r="BL220" i="1" s="1"/>
  <c r="H277" i="1"/>
  <c r="H275" i="1"/>
  <c r="BJ60" i="1"/>
  <c r="BJ65" i="1"/>
  <c r="BJ69" i="1" s="1"/>
  <c r="BJ18" i="1" s="1"/>
  <c r="BJ17" i="1" s="1"/>
  <c r="BJ263" i="1"/>
  <c r="BJ264" i="1" s="1"/>
  <c r="F215" i="1"/>
  <c r="P101" i="1"/>
  <c r="N120" i="1"/>
  <c r="O117" i="1"/>
  <c r="O118" i="1"/>
  <c r="O101" i="1"/>
  <c r="O116" i="1"/>
  <c r="CQ169" i="1"/>
  <c r="CR63" i="1"/>
  <c r="AE108" i="1"/>
  <c r="AB156" i="1"/>
  <c r="AB159" i="1" s="1"/>
  <c r="AB280" i="1" s="1"/>
  <c r="AD173" i="1"/>
  <c r="CZ96" i="1"/>
  <c r="DA94" i="1"/>
  <c r="AY148" i="1" l="1"/>
  <c r="AO148" i="1"/>
  <c r="BE174" i="1"/>
  <c r="BU174" i="1"/>
  <c r="R234" i="1"/>
  <c r="R232" i="1" s="1"/>
  <c r="AS214" i="1"/>
  <c r="O125" i="1"/>
  <c r="AU148" i="1"/>
  <c r="BO171" i="1"/>
  <c r="BC148" i="1"/>
  <c r="AO155" i="1"/>
  <c r="BC174" i="1"/>
  <c r="BO174" i="1"/>
  <c r="AQ173" i="1"/>
  <c r="BE148" i="1"/>
  <c r="BN179" i="1"/>
  <c r="AR165" i="1"/>
  <c r="AS64" i="1" s="1"/>
  <c r="E236" i="1"/>
  <c r="D236" i="1"/>
  <c r="BN192" i="1"/>
  <c r="BO240" i="1" s="1"/>
  <c r="BR165" i="1"/>
  <c r="BS159" i="1"/>
  <c r="T196" i="1"/>
  <c r="T277" i="1"/>
  <c r="AY174" i="1"/>
  <c r="BS174" i="1"/>
  <c r="AS165" i="1"/>
  <c r="AZ192" i="1"/>
  <c r="BA240" i="1" s="1"/>
  <c r="AX192" i="1"/>
  <c r="AY240" i="1" s="1"/>
  <c r="O236" i="1"/>
  <c r="T275" i="1"/>
  <c r="BD192" i="1"/>
  <c r="BE240" i="1" s="1"/>
  <c r="I236" i="1"/>
  <c r="R127" i="1"/>
  <c r="AZ165" i="1"/>
  <c r="BT192" i="1"/>
  <c r="BU240" i="1" s="1"/>
  <c r="BP192" i="1"/>
  <c r="BQ240" i="1" s="1"/>
  <c r="BB192" i="1"/>
  <c r="BE159" i="1"/>
  <c r="AR192" i="1"/>
  <c r="AS240" i="1" s="1"/>
  <c r="AQ171" i="1"/>
  <c r="AW171" i="1"/>
  <c r="AS155" i="1"/>
  <c r="AS148" i="1"/>
  <c r="AR151" i="1"/>
  <c r="AX151" i="1"/>
  <c r="AY155" i="1"/>
  <c r="AY159" i="1" s="1"/>
  <c r="AX159" i="1"/>
  <c r="BT165" i="1"/>
  <c r="AT165" i="1"/>
  <c r="BF192" i="1"/>
  <c r="BG240" i="1" s="1"/>
  <c r="BF165" i="1"/>
  <c r="AV165" i="1"/>
  <c r="BD165" i="1"/>
  <c r="AP165" i="1"/>
  <c r="AT179" i="1"/>
  <c r="BB151" i="1"/>
  <c r="BB123" i="1" s="1"/>
  <c r="AO159" i="1"/>
  <c r="AN159" i="1"/>
  <c r="AR211" i="1"/>
  <c r="AS211" i="1" s="1"/>
  <c r="AR169" i="1"/>
  <c r="BU171" i="1"/>
  <c r="BV233" i="1" s="1"/>
  <c r="BD151" i="1"/>
  <c r="AU181" i="1"/>
  <c r="AT187" i="1"/>
  <c r="AT216" i="1" s="1"/>
  <c r="AT215" i="1" s="1"/>
  <c r="AX187" i="1"/>
  <c r="AX216" i="1" s="1"/>
  <c r="AX215" i="1" s="1"/>
  <c r="BO155" i="1"/>
  <c r="BO159" i="1" s="1"/>
  <c r="BN159" i="1"/>
  <c r="AW155" i="1"/>
  <c r="AW159" i="1" s="1"/>
  <c r="AV159" i="1"/>
  <c r="AN179" i="1"/>
  <c r="BS171" i="1"/>
  <c r="BR233" i="1"/>
  <c r="BU155" i="1"/>
  <c r="BU159" i="1" s="1"/>
  <c r="BT159" i="1"/>
  <c r="AO171" i="1"/>
  <c r="AN233" i="1"/>
  <c r="BR151" i="1"/>
  <c r="BR123" i="1" s="1"/>
  <c r="BF233" i="1"/>
  <c r="AN165" i="1"/>
  <c r="AP192" i="1"/>
  <c r="BT187" i="1"/>
  <c r="BT216" i="1" s="1"/>
  <c r="BT215" i="1" s="1"/>
  <c r="BN165" i="1"/>
  <c r="BB165" i="1"/>
  <c r="AT192" i="1"/>
  <c r="AU240" i="1" s="1"/>
  <c r="BR192" i="1"/>
  <c r="BN151" i="1"/>
  <c r="AS233" i="1"/>
  <c r="BT151" i="1"/>
  <c r="BE233" i="1"/>
  <c r="BR187" i="1"/>
  <c r="BR216" i="1" s="1"/>
  <c r="AZ159" i="1"/>
  <c r="BB187" i="1"/>
  <c r="BB216" i="1" s="1"/>
  <c r="BB215" i="1" s="1"/>
  <c r="AP151" i="1"/>
  <c r="AP123" i="1" s="1"/>
  <c r="BP151" i="1"/>
  <c r="BP123" i="1" s="1"/>
  <c r="BP125" i="1" s="1"/>
  <c r="BP159" i="1"/>
  <c r="BA159" i="1"/>
  <c r="AT159" i="1"/>
  <c r="BF151" i="1"/>
  <c r="BQ159" i="1"/>
  <c r="BD159" i="1"/>
  <c r="AU159" i="1"/>
  <c r="AV179" i="1"/>
  <c r="BB179" i="1"/>
  <c r="BG174" i="1"/>
  <c r="BF179" i="1"/>
  <c r="BD179" i="1"/>
  <c r="BT179" i="1"/>
  <c r="AX179" i="1"/>
  <c r="BA174" i="1"/>
  <c r="AZ179" i="1"/>
  <c r="AY233" i="1"/>
  <c r="BC233" i="1"/>
  <c r="BD233" i="1"/>
  <c r="BC214" i="1"/>
  <c r="AW214" i="1"/>
  <c r="BG233" i="1"/>
  <c r="O126" i="1"/>
  <c r="BG159" i="1"/>
  <c r="BH237" i="1" s="1"/>
  <c r="AV151" i="1"/>
  <c r="AV187" i="1"/>
  <c r="AV216" i="1" s="1"/>
  <c r="AV215" i="1" s="1"/>
  <c r="R125" i="1"/>
  <c r="BC159" i="1"/>
  <c r="AT151" i="1"/>
  <c r="AT123" i="1" s="1"/>
  <c r="AN151" i="1"/>
  <c r="AX165" i="1"/>
  <c r="AN192" i="1"/>
  <c r="AO240" i="1" s="1"/>
  <c r="AV233" i="1"/>
  <c r="AQ159" i="1"/>
  <c r="BB233" i="1"/>
  <c r="AV192" i="1"/>
  <c r="AW240" i="1" s="1"/>
  <c r="BP165" i="1"/>
  <c r="B139" i="1"/>
  <c r="B97" i="1"/>
  <c r="B138" i="1"/>
  <c r="BA233" i="1"/>
  <c r="AN187" i="1"/>
  <c r="AN216" i="1" s="1"/>
  <c r="AR159" i="1"/>
  <c r="BN187" i="1"/>
  <c r="BN216" i="1" s="1"/>
  <c r="BP179" i="1"/>
  <c r="BP213" i="1" s="1"/>
  <c r="BP212" i="1" s="1"/>
  <c r="AR187" i="1"/>
  <c r="AR179" i="1"/>
  <c r="AR213" i="1" s="1"/>
  <c r="AU233" i="1"/>
  <c r="BF187" i="1"/>
  <c r="BF216" i="1" s="1"/>
  <c r="BF215" i="1" s="1"/>
  <c r="AP179" i="1"/>
  <c r="AP213" i="1" s="1"/>
  <c r="AP212" i="1" s="1"/>
  <c r="AP187" i="1"/>
  <c r="BD187" i="1"/>
  <c r="BD216" i="1" s="1"/>
  <c r="BD215" i="1" s="1"/>
  <c r="AZ151" i="1"/>
  <c r="AZ187" i="1"/>
  <c r="AZ216" i="1" s="1"/>
  <c r="AZ215" i="1" s="1"/>
  <c r="BF159" i="1"/>
  <c r="AT233" i="1"/>
  <c r="BB159" i="1"/>
  <c r="AZ233" i="1"/>
  <c r="BR179" i="1"/>
  <c r="AP159" i="1"/>
  <c r="BR159" i="1"/>
  <c r="BP187" i="1"/>
  <c r="BP216" i="1" s="1"/>
  <c r="BP215" i="1" s="1"/>
  <c r="C234" i="1"/>
  <c r="C232" i="1" s="1"/>
  <c r="C196" i="1"/>
  <c r="P229" i="1"/>
  <c r="P230" i="1" s="1"/>
  <c r="V196" i="1"/>
  <c r="U229" i="1"/>
  <c r="U230" i="1" s="1"/>
  <c r="P196" i="1"/>
  <c r="P197" i="1" s="1"/>
  <c r="P277" i="1"/>
  <c r="T236" i="1"/>
  <c r="F197" i="1"/>
  <c r="M236" i="1"/>
  <c r="E229" i="1"/>
  <c r="E230" i="1" s="1"/>
  <c r="N236" i="1"/>
  <c r="R236" i="1"/>
  <c r="N196" i="1"/>
  <c r="N197" i="1" s="1"/>
  <c r="R197" i="1"/>
  <c r="M126" i="1"/>
  <c r="M127" i="1"/>
  <c r="M125" i="1"/>
  <c r="V142" i="1"/>
  <c r="V145" i="1" s="1"/>
  <c r="V141" i="1"/>
  <c r="V144" i="1" s="1"/>
  <c r="H142" i="1"/>
  <c r="H145" i="1" s="1"/>
  <c r="H141" i="1"/>
  <c r="H144" i="1" s="1"/>
  <c r="H126" i="1"/>
  <c r="H127" i="1"/>
  <c r="H125" i="1"/>
  <c r="D234" i="1"/>
  <c r="D232" i="1" s="1"/>
  <c r="L196" i="1"/>
  <c r="L197" i="1" s="1"/>
  <c r="D229" i="1"/>
  <c r="D230" i="1" s="1"/>
  <c r="B196" i="1"/>
  <c r="B275" i="1" s="1"/>
  <c r="U196" i="1"/>
  <c r="U197" i="1" s="1"/>
  <c r="F236" i="1"/>
  <c r="R141" i="1"/>
  <c r="R144" i="1" s="1"/>
  <c r="R142" i="1"/>
  <c r="R145" i="1" s="1"/>
  <c r="F141" i="1"/>
  <c r="F144" i="1" s="1"/>
  <c r="F142" i="1"/>
  <c r="F145" i="1" s="1"/>
  <c r="L275" i="1"/>
  <c r="L277" i="1"/>
  <c r="J275" i="1"/>
  <c r="J277" i="1"/>
  <c r="K234" i="1"/>
  <c r="K232" i="1" s="1"/>
  <c r="U275" i="1"/>
  <c r="U234" i="1"/>
  <c r="U232" i="1" s="1"/>
  <c r="U277" i="1"/>
  <c r="S277" i="1"/>
  <c r="S234" i="1"/>
  <c r="S232" i="1" s="1"/>
  <c r="S275" i="1"/>
  <c r="T234" i="1"/>
  <c r="T232" i="1" s="1"/>
  <c r="C99" i="1"/>
  <c r="C100" i="1"/>
  <c r="S141" i="1"/>
  <c r="S144" i="1" s="1"/>
  <c r="S142" i="1"/>
  <c r="S145" i="1" s="1"/>
  <c r="T141" i="1"/>
  <c r="T144" i="1" s="1"/>
  <c r="T142" i="1"/>
  <c r="T145" i="1" s="1"/>
  <c r="F212" i="1"/>
  <c r="F217" i="1"/>
  <c r="I141" i="1"/>
  <c r="I144" i="1" s="1"/>
  <c r="I142" i="1"/>
  <c r="I145" i="1" s="1"/>
  <c r="F127" i="1"/>
  <c r="F126" i="1"/>
  <c r="F125" i="1"/>
  <c r="G125" i="1"/>
  <c r="G127" i="1"/>
  <c r="G126" i="1"/>
  <c r="S196" i="1"/>
  <c r="S197" i="1" s="1"/>
  <c r="S236" i="1"/>
  <c r="J196" i="1"/>
  <c r="J197" i="1" s="1"/>
  <c r="D142" i="1"/>
  <c r="D145" i="1" s="1"/>
  <c r="L234" i="1"/>
  <c r="L232" i="1" s="1"/>
  <c r="V236" i="1"/>
  <c r="K229" i="1"/>
  <c r="K230" i="1" s="1"/>
  <c r="U236" i="1"/>
  <c r="J229" i="1"/>
  <c r="J230" i="1" s="1"/>
  <c r="U126" i="1"/>
  <c r="U127" i="1"/>
  <c r="U125" i="1"/>
  <c r="T229" i="1"/>
  <c r="T230" i="1" s="1"/>
  <c r="G236" i="1"/>
  <c r="G229" i="1"/>
  <c r="G230" i="1" s="1"/>
  <c r="W234" i="1"/>
  <c r="W232" i="1" s="1"/>
  <c r="T127" i="1"/>
  <c r="T125" i="1"/>
  <c r="T126" i="1"/>
  <c r="I125" i="1"/>
  <c r="I127" i="1"/>
  <c r="I126" i="1"/>
  <c r="S217" i="1"/>
  <c r="S212" i="1"/>
  <c r="H197" i="1"/>
  <c r="J141" i="1"/>
  <c r="J144" i="1" s="1"/>
  <c r="J142" i="1"/>
  <c r="J145" i="1" s="1"/>
  <c r="G141" i="1"/>
  <c r="G144" i="1" s="1"/>
  <c r="G142" i="1"/>
  <c r="G145" i="1" s="1"/>
  <c r="K236" i="1"/>
  <c r="S229" i="1"/>
  <c r="S230" i="1" s="1"/>
  <c r="F229" i="1"/>
  <c r="F230" i="1" s="1"/>
  <c r="D196" i="1"/>
  <c r="J236" i="1"/>
  <c r="H229" i="1"/>
  <c r="H230" i="1" s="1"/>
  <c r="I196" i="1"/>
  <c r="I197" i="1" s="1"/>
  <c r="Q229" i="1"/>
  <c r="Q230" i="1" s="1"/>
  <c r="L236" i="1"/>
  <c r="E196" i="1"/>
  <c r="E197" i="1" s="1"/>
  <c r="G196" i="1"/>
  <c r="G197" i="1" s="1"/>
  <c r="V229" i="1"/>
  <c r="V230" i="1" s="1"/>
  <c r="Q142" i="1"/>
  <c r="Q145" i="1" s="1"/>
  <c r="Q141" i="1"/>
  <c r="Q144" i="1" s="1"/>
  <c r="G234" i="1"/>
  <c r="G232" i="1" s="1"/>
  <c r="G275" i="1"/>
  <c r="G277" i="1"/>
  <c r="H234" i="1"/>
  <c r="H232" i="1" s="1"/>
  <c r="I234" i="1"/>
  <c r="I232" i="1" s="1"/>
  <c r="I275" i="1"/>
  <c r="I277" i="1"/>
  <c r="J234" i="1"/>
  <c r="J232" i="1" s="1"/>
  <c r="E275" i="1"/>
  <c r="E277" i="1"/>
  <c r="F234" i="1"/>
  <c r="F232" i="1" s="1"/>
  <c r="O142" i="1"/>
  <c r="O145" i="1" s="1"/>
  <c r="O141" i="1"/>
  <c r="O144" i="1" s="1"/>
  <c r="C141" i="1"/>
  <c r="C144" i="1" s="1"/>
  <c r="C142" i="1"/>
  <c r="C145" i="1" s="1"/>
  <c r="N234" i="1"/>
  <c r="N232" i="1" s="1"/>
  <c r="M234" i="1"/>
  <c r="M232" i="1" s="1"/>
  <c r="M275" i="1"/>
  <c r="M277" i="1"/>
  <c r="K196" i="1"/>
  <c r="K197" i="1" s="1"/>
  <c r="E234" i="1"/>
  <c r="E232" i="1" s="1"/>
  <c r="J125" i="1"/>
  <c r="J126" i="1"/>
  <c r="J127" i="1"/>
  <c r="L212" i="1"/>
  <c r="L217" i="1"/>
  <c r="C229" i="1"/>
  <c r="C230" i="1" s="1"/>
  <c r="K141" i="1"/>
  <c r="K144" i="1" s="1"/>
  <c r="K142" i="1"/>
  <c r="K145" i="1" s="1"/>
  <c r="K126" i="1"/>
  <c r="K127" i="1"/>
  <c r="K125" i="1"/>
  <c r="H212" i="1"/>
  <c r="H217" i="1"/>
  <c r="D215" i="1"/>
  <c r="D217" i="1"/>
  <c r="Q236" i="1"/>
  <c r="I229" i="1"/>
  <c r="I230" i="1" s="1"/>
  <c r="Q196" i="1"/>
  <c r="Q197" i="1" s="1"/>
  <c r="R229" i="1"/>
  <c r="R230" i="1" s="1"/>
  <c r="M229" i="1"/>
  <c r="M230" i="1" s="1"/>
  <c r="N229" i="1"/>
  <c r="N230" i="1" s="1"/>
  <c r="M196" i="1"/>
  <c r="M197" i="1" s="1"/>
  <c r="S126" i="1"/>
  <c r="S125" i="1"/>
  <c r="S127" i="1"/>
  <c r="D100" i="1"/>
  <c r="D99" i="1"/>
  <c r="B217" i="1"/>
  <c r="B212" i="1"/>
  <c r="O229" i="1"/>
  <c r="O230" i="1" s="1"/>
  <c r="J215" i="1"/>
  <c r="J217" i="1"/>
  <c r="L229" i="1"/>
  <c r="L230" i="1" s="1"/>
  <c r="P236" i="1"/>
  <c r="Q126" i="1"/>
  <c r="Q127" i="1"/>
  <c r="Q125" i="1"/>
  <c r="K275" i="1"/>
  <c r="K277" i="1"/>
  <c r="C215" i="1"/>
  <c r="C217" i="1"/>
  <c r="P125" i="1"/>
  <c r="P126" i="1"/>
  <c r="P127" i="1"/>
  <c r="U141" i="1"/>
  <c r="U144" i="1" s="1"/>
  <c r="U142" i="1"/>
  <c r="U145" i="1" s="1"/>
  <c r="P142" i="1"/>
  <c r="P145" i="1" s="1"/>
  <c r="P141" i="1"/>
  <c r="P144" i="1" s="1"/>
  <c r="L142" i="1"/>
  <c r="L145" i="1" s="1"/>
  <c r="L141" i="1"/>
  <c r="L144" i="1" s="1"/>
  <c r="M142" i="1"/>
  <c r="M145" i="1" s="1"/>
  <c r="M141" i="1"/>
  <c r="M144" i="1" s="1"/>
  <c r="V234" i="1"/>
  <c r="V232" i="1" s="1"/>
  <c r="V275" i="1"/>
  <c r="V277" i="1"/>
  <c r="P217" i="1"/>
  <c r="P212" i="1"/>
  <c r="O196" i="1"/>
  <c r="O197" i="1" s="1"/>
  <c r="Q277" i="1"/>
  <c r="Q275" i="1"/>
  <c r="Q234" i="1"/>
  <c r="Q232" i="1" s="1"/>
  <c r="E141" i="1"/>
  <c r="E144" i="1" s="1"/>
  <c r="E142" i="1"/>
  <c r="E145" i="1" s="1"/>
  <c r="N142" i="1"/>
  <c r="N145" i="1" s="1"/>
  <c r="N141" i="1"/>
  <c r="N144" i="1" s="1"/>
  <c r="O277" i="1"/>
  <c r="P234" i="1"/>
  <c r="P232" i="1" s="1"/>
  <c r="Q217" i="1"/>
  <c r="Q215" i="1"/>
  <c r="I215" i="1"/>
  <c r="I217" i="1"/>
  <c r="V126" i="1"/>
  <c r="V125" i="1"/>
  <c r="V127" i="1"/>
  <c r="K215" i="1"/>
  <c r="K217" i="1"/>
  <c r="E215" i="1"/>
  <c r="E217" i="1"/>
  <c r="U215" i="1"/>
  <c r="U217" i="1"/>
  <c r="V215" i="1"/>
  <c r="V217" i="1"/>
  <c r="T217" i="1"/>
  <c r="T212" i="1"/>
  <c r="O234" i="1"/>
  <c r="O232" i="1" s="1"/>
  <c r="O275" i="1"/>
  <c r="N217" i="1"/>
  <c r="N212" i="1"/>
  <c r="G217" i="1"/>
  <c r="G215" i="1"/>
  <c r="O217" i="1"/>
  <c r="O215" i="1"/>
  <c r="R217" i="1"/>
  <c r="R215" i="1"/>
  <c r="M217" i="1"/>
  <c r="M215" i="1"/>
  <c r="BH197" i="1"/>
  <c r="BV127" i="1"/>
  <c r="BV126" i="1"/>
  <c r="BV125" i="1"/>
  <c r="BA281" i="1"/>
  <c r="AP50" i="1"/>
  <c r="BL50" i="1"/>
  <c r="BK48" i="1"/>
  <c r="BK59" i="1"/>
  <c r="BK50" i="1"/>
  <c r="AM85" i="1"/>
  <c r="AM238" i="1"/>
  <c r="AM236" i="1" s="1"/>
  <c r="AM86" i="1"/>
  <c r="AM123" i="1"/>
  <c r="AM117" i="1"/>
  <c r="AM116" i="1"/>
  <c r="AM118" i="1"/>
  <c r="AY59" i="1"/>
  <c r="AY48" i="1"/>
  <c r="AZ50" i="1"/>
  <c r="AT49" i="1"/>
  <c r="AP59" i="1"/>
  <c r="AP49" i="1"/>
  <c r="AP48" i="1"/>
  <c r="BQ48" i="1"/>
  <c r="BU49" i="1"/>
  <c r="BU59" i="1"/>
  <c r="BV50" i="1"/>
  <c r="BY49" i="1"/>
  <c r="BU48" i="1"/>
  <c r="BQ65" i="1"/>
  <c r="BQ69" i="1" s="1"/>
  <c r="BQ18" i="1" s="1"/>
  <c r="BQ17" i="1" s="1"/>
  <c r="BQ60" i="1"/>
  <c r="BQ263" i="1"/>
  <c r="BQ264" i="1" s="1"/>
  <c r="AS48" i="1"/>
  <c r="AS59" i="1"/>
  <c r="AS62" i="1" s="1"/>
  <c r="AT50" i="1"/>
  <c r="AW49" i="1"/>
  <c r="AR48" i="1"/>
  <c r="AS50" i="1"/>
  <c r="BI49" i="1"/>
  <c r="BI48" i="1"/>
  <c r="BM49" i="1"/>
  <c r="BI59" i="1"/>
  <c r="BJ50" i="1"/>
  <c r="BP59" i="1"/>
  <c r="BP49" i="1"/>
  <c r="BP48" i="1"/>
  <c r="BQ50" i="1"/>
  <c r="BM48" i="1"/>
  <c r="BQ49" i="1"/>
  <c r="BM59" i="1"/>
  <c r="BM50" i="1"/>
  <c r="BF48" i="1"/>
  <c r="BJ49" i="1"/>
  <c r="BE50" i="1"/>
  <c r="BS50" i="1"/>
  <c r="BD48" i="1"/>
  <c r="BD59" i="1"/>
  <c r="BD61" i="1" s="1"/>
  <c r="BD49" i="1"/>
  <c r="BE59" i="1"/>
  <c r="BE48" i="1"/>
  <c r="BF50" i="1"/>
  <c r="BC50" i="1"/>
  <c r="BT50" i="1"/>
  <c r="AU49" i="1"/>
  <c r="BW49" i="1"/>
  <c r="Q90" i="1"/>
  <c r="BF60" i="1"/>
  <c r="BF65" i="1"/>
  <c r="BF69" i="1" s="1"/>
  <c r="BF18" i="1" s="1"/>
  <c r="BF17" i="1" s="1"/>
  <c r="BF263" i="1"/>
  <c r="BF264" i="1" s="1"/>
  <c r="BO59" i="1"/>
  <c r="V90" i="1"/>
  <c r="BP50" i="1"/>
  <c r="BS49" i="1"/>
  <c r="BO49" i="1"/>
  <c r="BO48" i="1"/>
  <c r="AT65" i="1"/>
  <c r="AT69" i="1" s="1"/>
  <c r="AT18" i="1" s="1"/>
  <c r="AT17" i="1" s="1"/>
  <c r="AT60" i="1"/>
  <c r="AT263" i="1"/>
  <c r="AT264" i="1" s="1"/>
  <c r="AJ50" i="1"/>
  <c r="AI48" i="1"/>
  <c r="AM49" i="1"/>
  <c r="AI59" i="1"/>
  <c r="N90" i="1"/>
  <c r="BA60" i="1"/>
  <c r="BA263" i="1"/>
  <c r="BA264" i="1" s="1"/>
  <c r="BA65" i="1"/>
  <c r="BA69" i="1" s="1"/>
  <c r="BA18" i="1" s="1"/>
  <c r="BA17" i="1" s="1"/>
  <c r="BA61" i="1"/>
  <c r="AW263" i="1"/>
  <c r="AW264" i="1" s="1"/>
  <c r="AW60" i="1"/>
  <c r="AW65" i="1"/>
  <c r="AW69" i="1" s="1"/>
  <c r="AW18" i="1" s="1"/>
  <c r="AW17" i="1" s="1"/>
  <c r="AU50" i="1"/>
  <c r="AV50" i="1"/>
  <c r="AU59" i="1"/>
  <c r="AY49" i="1"/>
  <c r="AU48" i="1"/>
  <c r="BV140" i="1"/>
  <c r="BW68" i="1"/>
  <c r="BS59" i="1"/>
  <c r="BS48" i="1"/>
  <c r="BD50" i="1"/>
  <c r="S90" i="1"/>
  <c r="BC59" i="1"/>
  <c r="BC48" i="1"/>
  <c r="BC49" i="1"/>
  <c r="BA62" i="1"/>
  <c r="BH140" i="1"/>
  <c r="BI68" i="1"/>
  <c r="BR59" i="1"/>
  <c r="BR50" i="1"/>
  <c r="BR48" i="1"/>
  <c r="AZ60" i="1"/>
  <c r="AZ263" i="1"/>
  <c r="AZ264" i="1" s="1"/>
  <c r="AZ65" i="1"/>
  <c r="AZ69" i="1" s="1"/>
  <c r="AZ18" i="1" s="1"/>
  <c r="AZ17" i="1" s="1"/>
  <c r="AQ50" i="1"/>
  <c r="BH59" i="1"/>
  <c r="BH48" i="1"/>
  <c r="BL49" i="1"/>
  <c r="BH49" i="1"/>
  <c r="BB49" i="1"/>
  <c r="AX50" i="1"/>
  <c r="AX48" i="1"/>
  <c r="AX49" i="1"/>
  <c r="AX59" i="1"/>
  <c r="BN49" i="1"/>
  <c r="BR49" i="1"/>
  <c r="BN59" i="1"/>
  <c r="U90" i="1"/>
  <c r="BN48" i="1"/>
  <c r="BN50" i="1"/>
  <c r="AR263" i="1"/>
  <c r="AR264" i="1" s="1"/>
  <c r="BO50" i="1"/>
  <c r="BG50" i="1"/>
  <c r="BG49" i="1"/>
  <c r="BG48" i="1"/>
  <c r="BH50" i="1"/>
  <c r="BK49" i="1"/>
  <c r="T90" i="1"/>
  <c r="BG59" i="1"/>
  <c r="AN59" i="1"/>
  <c r="AO50" i="1"/>
  <c r="AN49" i="1"/>
  <c r="AR49" i="1"/>
  <c r="AN50" i="1"/>
  <c r="AN48" i="1"/>
  <c r="AV59" i="1"/>
  <c r="AV48" i="1"/>
  <c r="AW50" i="1"/>
  <c r="AV49" i="1"/>
  <c r="AZ49" i="1"/>
  <c r="BW50" i="1"/>
  <c r="BW48" i="1"/>
  <c r="X90" i="1"/>
  <c r="CA49" i="1"/>
  <c r="BX50" i="1"/>
  <c r="BW59" i="1"/>
  <c r="BU50" i="1"/>
  <c r="BT59" i="1"/>
  <c r="BX49" i="1"/>
  <c r="BT48" i="1"/>
  <c r="BT49" i="1"/>
  <c r="BV65" i="1"/>
  <c r="BV69" i="1" s="1"/>
  <c r="BV18" i="1" s="1"/>
  <c r="BV17" i="1" s="1"/>
  <c r="BZ61" i="1"/>
  <c r="BV60" i="1"/>
  <c r="BV263" i="1"/>
  <c r="BV264" i="1" s="1"/>
  <c r="BW169" i="1"/>
  <c r="BX64" i="1"/>
  <c r="AR65" i="1"/>
  <c r="AR69" i="1" s="1"/>
  <c r="AR18" i="1" s="1"/>
  <c r="AR17" i="1" s="1"/>
  <c r="AY50" i="1"/>
  <c r="BI50" i="1"/>
  <c r="BV275" i="1"/>
  <c r="BV277" i="1"/>
  <c r="AO49" i="1"/>
  <c r="AO59" i="1"/>
  <c r="AO48" i="1"/>
  <c r="AS49" i="1"/>
  <c r="BH277" i="1"/>
  <c r="BH275" i="1"/>
  <c r="O90" i="1"/>
  <c r="BV196" i="1"/>
  <c r="BV197" i="1" s="1"/>
  <c r="AQ59" i="1"/>
  <c r="P90" i="1"/>
  <c r="AQ49" i="1"/>
  <c r="AQ48" i="1"/>
  <c r="AR50" i="1"/>
  <c r="BJ64" i="1"/>
  <c r="BI169" i="1"/>
  <c r="BJ234" i="1" s="1"/>
  <c r="BJ232" i="1" s="1"/>
  <c r="BB48" i="1"/>
  <c r="R90" i="1"/>
  <c r="BB59" i="1"/>
  <c r="BF49" i="1"/>
  <c r="BB50" i="1"/>
  <c r="BJ72" i="1"/>
  <c r="BJ71" i="1"/>
  <c r="CR225" i="1"/>
  <c r="CR163" i="1"/>
  <c r="CQ234" i="1"/>
  <c r="CQ232" i="1" s="1"/>
  <c r="AB237" i="1"/>
  <c r="DB94" i="1"/>
  <c r="DA96" i="1"/>
  <c r="BR215" i="1" l="1"/>
  <c r="AR212" i="1"/>
  <c r="AS159" i="1"/>
  <c r="AX233" i="1"/>
  <c r="AW233" i="1"/>
  <c r="BO233" i="1"/>
  <c r="BP233" i="1"/>
  <c r="BN213" i="1"/>
  <c r="AS169" i="1"/>
  <c r="AT64" i="1"/>
  <c r="BR127" i="1"/>
  <c r="BR125" i="1"/>
  <c r="BR126" i="1"/>
  <c r="T197" i="1"/>
  <c r="AR233" i="1"/>
  <c r="AQ233" i="1"/>
  <c r="BS64" i="1"/>
  <c r="BS165" i="1"/>
  <c r="BR169" i="1"/>
  <c r="AN123" i="1"/>
  <c r="AN126" i="1" s="1"/>
  <c r="AN279" i="1"/>
  <c r="AV280" i="1"/>
  <c r="BB125" i="1"/>
  <c r="AO280" i="1"/>
  <c r="AO237" i="1"/>
  <c r="AN280" i="1"/>
  <c r="AN237" i="1"/>
  <c r="BF237" i="1"/>
  <c r="BF199" i="1"/>
  <c r="BS280" i="1"/>
  <c r="BS237" i="1"/>
  <c r="BA165" i="1"/>
  <c r="BA64" i="1"/>
  <c r="AZ169" i="1"/>
  <c r="BC240" i="1"/>
  <c r="BB279" i="1"/>
  <c r="AR279" i="1"/>
  <c r="AX237" i="1"/>
  <c r="AX199" i="1"/>
  <c r="AX160" i="1"/>
  <c r="AX280" i="1"/>
  <c r="AT169" i="1"/>
  <c r="AU64" i="1"/>
  <c r="AU165" i="1"/>
  <c r="BD123" i="1"/>
  <c r="BD279" i="1"/>
  <c r="BO237" i="1"/>
  <c r="BO280" i="1"/>
  <c r="BN280" i="1"/>
  <c r="BN237" i="1"/>
  <c r="AW280" i="1"/>
  <c r="AW237" i="1"/>
  <c r="AN213" i="1"/>
  <c r="BT233" i="1"/>
  <c r="BS233" i="1"/>
  <c r="BV280" i="1"/>
  <c r="BU280" i="1"/>
  <c r="BU237" i="1"/>
  <c r="BV237" i="1"/>
  <c r="BT199" i="1"/>
  <c r="BT280" i="1"/>
  <c r="BT237" i="1"/>
  <c r="AP233" i="1"/>
  <c r="AO233" i="1"/>
  <c r="AZ199" i="1"/>
  <c r="AZ280" i="1"/>
  <c r="AZ160" i="1"/>
  <c r="AY237" i="1"/>
  <c r="AY280" i="1"/>
  <c r="AQ240" i="1"/>
  <c r="AZ123" i="1"/>
  <c r="AZ279" i="1"/>
  <c r="BS240" i="1"/>
  <c r="BR279" i="1"/>
  <c r="BT123" i="1"/>
  <c r="BT279" i="1"/>
  <c r="BF280" i="1"/>
  <c r="AP126" i="1"/>
  <c r="AP125" i="1"/>
  <c r="AP127" i="1"/>
  <c r="AP216" i="1"/>
  <c r="AP188" i="1"/>
  <c r="BF123" i="1"/>
  <c r="BF279" i="1"/>
  <c r="BP127" i="1"/>
  <c r="BQ280" i="1"/>
  <c r="BP279" i="1"/>
  <c r="BP160" i="1"/>
  <c r="BQ237" i="1"/>
  <c r="BP126" i="1"/>
  <c r="AV213" i="1"/>
  <c r="BB213" i="1"/>
  <c r="BB188" i="1"/>
  <c r="BD213" i="1"/>
  <c r="AX213" i="1"/>
  <c r="AX188" i="1"/>
  <c r="BF213" i="1"/>
  <c r="BT213" i="1"/>
  <c r="BT188" i="1"/>
  <c r="BR213" i="1"/>
  <c r="BR217" i="1" s="1"/>
  <c r="BV220" i="1" s="1"/>
  <c r="BR188" i="1"/>
  <c r="AZ213" i="1"/>
  <c r="AZ188" i="1"/>
  <c r="C275" i="1"/>
  <c r="C197" i="1"/>
  <c r="BN215" i="1"/>
  <c r="T244" i="1"/>
  <c r="BB199" i="1"/>
  <c r="AQ280" i="1"/>
  <c r="V197" i="1"/>
  <c r="BU233" i="1"/>
  <c r="BR280" i="1"/>
  <c r="B141" i="1"/>
  <c r="B144" i="1" s="1"/>
  <c r="B142" i="1"/>
  <c r="B145" i="1" s="1"/>
  <c r="D101" i="1"/>
  <c r="AV199" i="1"/>
  <c r="P244" i="1"/>
  <c r="AR237" i="1"/>
  <c r="AR280" i="1"/>
  <c r="AO165" i="1"/>
  <c r="AO64" i="1"/>
  <c r="AN169" i="1"/>
  <c r="AN277" i="1" s="1"/>
  <c r="BC64" i="1"/>
  <c r="BB169" i="1"/>
  <c r="BC165" i="1"/>
  <c r="AV237" i="1"/>
  <c r="BT160" i="1"/>
  <c r="BN199" i="1"/>
  <c r="BN160" i="1"/>
  <c r="BC237" i="1"/>
  <c r="BC280" i="1"/>
  <c r="BB160" i="1"/>
  <c r="AT279" i="1"/>
  <c r="AR199" i="1"/>
  <c r="AS68" i="1" s="1"/>
  <c r="AR160" i="1"/>
  <c r="AR123" i="1"/>
  <c r="AR277" i="1"/>
  <c r="AX123" i="1"/>
  <c r="AX279" i="1"/>
  <c r="BU64" i="1"/>
  <c r="BT169" i="1"/>
  <c r="BU165" i="1"/>
  <c r="BG165" i="1"/>
  <c r="BG64" i="1"/>
  <c r="BF169" i="1"/>
  <c r="AW64" i="1"/>
  <c r="AV169" i="1"/>
  <c r="AW165" i="1"/>
  <c r="BE64" i="1"/>
  <c r="BE165" i="1"/>
  <c r="BD169" i="1"/>
  <c r="AQ165" i="1"/>
  <c r="AP169" i="1"/>
  <c r="AQ64" i="1"/>
  <c r="AT213" i="1"/>
  <c r="AT188" i="1"/>
  <c r="BB126" i="1"/>
  <c r="BB127" i="1"/>
  <c r="AN160" i="1"/>
  <c r="AN199" i="1"/>
  <c r="BN169" i="1"/>
  <c r="BO165" i="1"/>
  <c r="BO64" i="1"/>
  <c r="AY165" i="1"/>
  <c r="AX169" i="1"/>
  <c r="AY64" i="1"/>
  <c r="AR216" i="1"/>
  <c r="AR188" i="1"/>
  <c r="AR196" i="1" s="1"/>
  <c r="BN279" i="1"/>
  <c r="BN123" i="1"/>
  <c r="BP280" i="1"/>
  <c r="BP237" i="1"/>
  <c r="BP199" i="1"/>
  <c r="BR160" i="1"/>
  <c r="BR199" i="1"/>
  <c r="BQ64" i="1"/>
  <c r="BP169" i="1"/>
  <c r="BQ165" i="1"/>
  <c r="AR275" i="1"/>
  <c r="AN188" i="1"/>
  <c r="AV188" i="1"/>
  <c r="BF188" i="1"/>
  <c r="BN188" i="1"/>
  <c r="AZ237" i="1"/>
  <c r="AN215" i="1"/>
  <c r="AT160" i="1"/>
  <c r="AT280" i="1"/>
  <c r="AT237" i="1"/>
  <c r="AT199" i="1"/>
  <c r="BD237" i="1"/>
  <c r="BD160" i="1"/>
  <c r="BE280" i="1"/>
  <c r="BE237" i="1"/>
  <c r="BD199" i="1"/>
  <c r="BD280" i="1"/>
  <c r="AV123" i="1"/>
  <c r="AV279" i="1"/>
  <c r="BG280" i="1"/>
  <c r="BH280" i="1"/>
  <c r="BB237" i="1"/>
  <c r="BA280" i="1"/>
  <c r="BB280" i="1"/>
  <c r="BA237" i="1"/>
  <c r="AU237" i="1"/>
  <c r="AU280" i="1"/>
  <c r="BR237" i="1"/>
  <c r="AP279" i="1"/>
  <c r="BF160" i="1"/>
  <c r="AV160" i="1"/>
  <c r="BG237" i="1"/>
  <c r="AT126" i="1"/>
  <c r="AT127" i="1"/>
  <c r="AT125" i="1"/>
  <c r="AQ237" i="1"/>
  <c r="BP217" i="1"/>
  <c r="BP220" i="1" s="1"/>
  <c r="AP160" i="1"/>
  <c r="AP280" i="1"/>
  <c r="BD188" i="1"/>
  <c r="AP199" i="1"/>
  <c r="AP237" i="1"/>
  <c r="DB96" i="1"/>
  <c r="AE94" i="1"/>
  <c r="AE96" i="1" s="1"/>
  <c r="BP188" i="1"/>
  <c r="B100" i="1"/>
  <c r="B99" i="1"/>
  <c r="U244" i="1"/>
  <c r="B197" i="1"/>
  <c r="D241" i="1"/>
  <c r="D242" i="1" s="1"/>
  <c r="V220" i="1"/>
  <c r="V221" i="1" s="1"/>
  <c r="K241" i="1"/>
  <c r="K242" i="1" s="1"/>
  <c r="D244" i="1"/>
  <c r="K244" i="1"/>
  <c r="U241" i="1"/>
  <c r="U242" i="1" s="1"/>
  <c r="T241" i="1"/>
  <c r="T242" i="1" s="1"/>
  <c r="C118" i="1"/>
  <c r="C116" i="1"/>
  <c r="C117" i="1"/>
  <c r="B120" i="1"/>
  <c r="H241" i="1"/>
  <c r="H242" i="1" s="1"/>
  <c r="J244" i="1"/>
  <c r="M244" i="1"/>
  <c r="N244" i="1"/>
  <c r="Q241" i="1"/>
  <c r="Q242" i="1" s="1"/>
  <c r="S244" i="1"/>
  <c r="S241" i="1"/>
  <c r="S242" i="1" s="1"/>
  <c r="D275" i="1"/>
  <c r="D197" i="1"/>
  <c r="J241" i="1"/>
  <c r="J242" i="1" s="1"/>
  <c r="H244" i="1"/>
  <c r="Q244" i="1"/>
  <c r="P241" i="1"/>
  <c r="P242" i="1" s="1"/>
  <c r="I241" i="1"/>
  <c r="I242" i="1" s="1"/>
  <c r="I244" i="1"/>
  <c r="N241" i="1"/>
  <c r="N242" i="1" s="1"/>
  <c r="M241" i="1"/>
  <c r="M242" i="1" s="1"/>
  <c r="I220" i="1"/>
  <c r="I221" i="1" s="1"/>
  <c r="G241" i="1"/>
  <c r="G242" i="1" s="1"/>
  <c r="G244" i="1"/>
  <c r="F244" i="1"/>
  <c r="F241" i="1"/>
  <c r="F242" i="1" s="1"/>
  <c r="E241" i="1"/>
  <c r="E242" i="1" s="1"/>
  <c r="E244" i="1"/>
  <c r="C241" i="1"/>
  <c r="C242" i="1" s="1"/>
  <c r="C244" i="1"/>
  <c r="BS169" i="1"/>
  <c r="BT64" i="1"/>
  <c r="BR277" i="1"/>
  <c r="BR275" i="1"/>
  <c r="V241" i="1"/>
  <c r="V242" i="1" s="1"/>
  <c r="V244" i="1"/>
  <c r="AN125" i="1"/>
  <c r="AN127" i="1"/>
  <c r="O244" i="1"/>
  <c r="J220" i="1"/>
  <c r="J221" i="1" s="1"/>
  <c r="Q220" i="1"/>
  <c r="Q221" i="1" s="1"/>
  <c r="O241" i="1"/>
  <c r="O242" i="1" s="1"/>
  <c r="R241" i="1"/>
  <c r="R242" i="1" s="1"/>
  <c r="R244" i="1"/>
  <c r="L244" i="1"/>
  <c r="L241" i="1"/>
  <c r="L242" i="1" s="1"/>
  <c r="D116" i="1"/>
  <c r="D117" i="1"/>
  <c r="D118" i="1"/>
  <c r="C120" i="1"/>
  <c r="E101" i="1"/>
  <c r="L220" i="1"/>
  <c r="L221" i="1" s="1"/>
  <c r="K220" i="1"/>
  <c r="K221" i="1" s="1"/>
  <c r="E220" i="1"/>
  <c r="E221" i="1" s="1"/>
  <c r="F220" i="1"/>
  <c r="F221" i="1" s="1"/>
  <c r="H220" i="1"/>
  <c r="H221" i="1" s="1"/>
  <c r="G220" i="1"/>
  <c r="G221" i="1" s="1"/>
  <c r="C220" i="1"/>
  <c r="C221" i="1" s="1"/>
  <c r="D220" i="1"/>
  <c r="D221" i="1" s="1"/>
  <c r="BT196" i="1"/>
  <c r="BF277" i="1"/>
  <c r="BF275" i="1"/>
  <c r="AP277" i="1"/>
  <c r="AP275" i="1"/>
  <c r="BG68" i="1"/>
  <c r="BF140" i="1"/>
  <c r="BN196" i="1"/>
  <c r="AZ196" i="1"/>
  <c r="AZ197" i="1" s="1"/>
  <c r="BA169" i="1"/>
  <c r="BB64" i="1"/>
  <c r="AZ275" i="1"/>
  <c r="AZ277" i="1"/>
  <c r="AN212" i="1"/>
  <c r="AN217" i="1"/>
  <c r="S220" i="1"/>
  <c r="S221" i="1" s="1"/>
  <c r="R220" i="1"/>
  <c r="R221" i="1" s="1"/>
  <c r="AV64" i="1"/>
  <c r="AU169" i="1"/>
  <c r="BD126" i="1"/>
  <c r="BD125" i="1"/>
  <c r="BD127" i="1"/>
  <c r="BU68" i="1"/>
  <c r="BT140" i="1"/>
  <c r="T220" i="1"/>
  <c r="T221" i="1" s="1"/>
  <c r="U220" i="1"/>
  <c r="U221" i="1" s="1"/>
  <c r="P220" i="1"/>
  <c r="P221" i="1" s="1"/>
  <c r="O220" i="1"/>
  <c r="O221" i="1" s="1"/>
  <c r="AY68" i="1"/>
  <c r="AX140" i="1"/>
  <c r="AT277" i="1"/>
  <c r="AT275" i="1"/>
  <c r="AZ140" i="1"/>
  <c r="BA68" i="1"/>
  <c r="M220" i="1"/>
  <c r="M221" i="1" s="1"/>
  <c r="N220" i="1"/>
  <c r="N221" i="1" s="1"/>
  <c r="AZ126" i="1"/>
  <c r="AZ127" i="1"/>
  <c r="AZ125" i="1"/>
  <c r="AP217" i="1"/>
  <c r="AP220" i="1" s="1"/>
  <c r="AP215" i="1"/>
  <c r="AX212" i="1"/>
  <c r="AX217" i="1"/>
  <c r="BF212" i="1"/>
  <c r="BF217" i="1"/>
  <c r="BJ220" i="1" s="1"/>
  <c r="BT127" i="1"/>
  <c r="BT126" i="1"/>
  <c r="BT125" i="1"/>
  <c r="BF126" i="1"/>
  <c r="BF127" i="1"/>
  <c r="BF125" i="1"/>
  <c r="AV212" i="1"/>
  <c r="BR212" i="1"/>
  <c r="BX234" i="1"/>
  <c r="BX232" i="1" s="1"/>
  <c r="BW234" i="1"/>
  <c r="BW232" i="1" s="1"/>
  <c r="BA257" i="1"/>
  <c r="BL143" i="1"/>
  <c r="AQ281" i="1"/>
  <c r="AT61" i="1"/>
  <c r="AQ62" i="1"/>
  <c r="BS257" i="1"/>
  <c r="BO61" i="1"/>
  <c r="BK61" i="1"/>
  <c r="BX257" i="1"/>
  <c r="BK62" i="1"/>
  <c r="BK60" i="1"/>
  <c r="BL62" i="1"/>
  <c r="BK263" i="1"/>
  <c r="BK264" i="1" s="1"/>
  <c r="BK65" i="1"/>
  <c r="BK69" i="1" s="1"/>
  <c r="BK18" i="1" s="1"/>
  <c r="BK17" i="1" s="1"/>
  <c r="BK281" i="1"/>
  <c r="BK282" i="1" s="1"/>
  <c r="BL281" i="1"/>
  <c r="BL282" i="1" s="1"/>
  <c r="AM125" i="1"/>
  <c r="AM126" i="1"/>
  <c r="AM127" i="1"/>
  <c r="AY60" i="1"/>
  <c r="AY263" i="1"/>
  <c r="AY264" i="1" s="1"/>
  <c r="AY65" i="1"/>
  <c r="AY69" i="1" s="1"/>
  <c r="AY18" i="1" s="1"/>
  <c r="AY17" i="1" s="1"/>
  <c r="AZ281" i="1"/>
  <c r="AZ62" i="1"/>
  <c r="AP60" i="1"/>
  <c r="AP61" i="1"/>
  <c r="AP263" i="1"/>
  <c r="AP264" i="1" s="1"/>
  <c r="AP65" i="1"/>
  <c r="AP69" i="1" s="1"/>
  <c r="BV281" i="1"/>
  <c r="BV282" i="1" s="1"/>
  <c r="BV62" i="1"/>
  <c r="BM143" i="1"/>
  <c r="BM257" i="1"/>
  <c r="BU61" i="1"/>
  <c r="BU60" i="1"/>
  <c r="BU263" i="1"/>
  <c r="BU264" i="1" s="1"/>
  <c r="BY61" i="1"/>
  <c r="BU65" i="1"/>
  <c r="BU69" i="1" s="1"/>
  <c r="BU18" i="1" s="1"/>
  <c r="BU17" i="1" s="1"/>
  <c r="S91" i="1"/>
  <c r="BK143" i="1"/>
  <c r="U91" i="1"/>
  <c r="AS234" i="1"/>
  <c r="AS232" i="1" s="1"/>
  <c r="AT234" i="1"/>
  <c r="AT232" i="1" s="1"/>
  <c r="AS263" i="1"/>
  <c r="AS264" i="1" s="1"/>
  <c r="AS65" i="1"/>
  <c r="AS69" i="1" s="1"/>
  <c r="AS18" i="1" s="1"/>
  <c r="AS17" i="1" s="1"/>
  <c r="AW61" i="1"/>
  <c r="AT62" i="1"/>
  <c r="AS281" i="1"/>
  <c r="AS60" i="1"/>
  <c r="AT281" i="1"/>
  <c r="AT282" i="1" s="1"/>
  <c r="AS257" i="1"/>
  <c r="AS143" i="1"/>
  <c r="BF281" i="1"/>
  <c r="BF282" i="1" s="1"/>
  <c r="BE61" i="1"/>
  <c r="BI263" i="1"/>
  <c r="BI264" i="1" s="1"/>
  <c r="BI65" i="1"/>
  <c r="BI60" i="1"/>
  <c r="BL257" i="1"/>
  <c r="BJ62" i="1"/>
  <c r="BJ281" i="1"/>
  <c r="BJ282" i="1" s="1"/>
  <c r="BQ62" i="1"/>
  <c r="BP60" i="1"/>
  <c r="BP61" i="1"/>
  <c r="BP263" i="1"/>
  <c r="BP264" i="1" s="1"/>
  <c r="BP65" i="1"/>
  <c r="BP69" i="1" s="1"/>
  <c r="BP18" i="1" s="1"/>
  <c r="BP17" i="1" s="1"/>
  <c r="BQ281" i="1"/>
  <c r="BQ282" i="1" s="1"/>
  <c r="BM65" i="1"/>
  <c r="BM69" i="1" s="1"/>
  <c r="BM18" i="1" s="1"/>
  <c r="BM17" i="1" s="1"/>
  <c r="BM60" i="1"/>
  <c r="BQ61" i="1"/>
  <c r="BM62" i="1"/>
  <c r="BM61" i="1"/>
  <c r="BM263" i="1"/>
  <c r="BM264" i="1" s="1"/>
  <c r="BM281" i="1"/>
  <c r="BM282" i="1" s="1"/>
  <c r="BD281" i="1"/>
  <c r="BD282" i="1" s="1"/>
  <c r="O91" i="1"/>
  <c r="AP62" i="1"/>
  <c r="BE62" i="1"/>
  <c r="BD65" i="1"/>
  <c r="BD69" i="1" s="1"/>
  <c r="BD18" i="1" s="1"/>
  <c r="BD17" i="1" s="1"/>
  <c r="BD60" i="1"/>
  <c r="BD263" i="1"/>
  <c r="BD264" i="1" s="1"/>
  <c r="BE281" i="1"/>
  <c r="BE282" i="1" s="1"/>
  <c r="BI61" i="1"/>
  <c r="BE263" i="1"/>
  <c r="BE264" i="1" s="1"/>
  <c r="BE60" i="1"/>
  <c r="BE65" i="1"/>
  <c r="BE69" i="1" s="1"/>
  <c r="BE18" i="1" s="1"/>
  <c r="BE17" i="1" s="1"/>
  <c r="BF62" i="1"/>
  <c r="BF72" i="1"/>
  <c r="BF71" i="1"/>
  <c r="BO60" i="1"/>
  <c r="BO65" i="1"/>
  <c r="BO69" i="1" s="1"/>
  <c r="BO18" i="1" s="1"/>
  <c r="BO17" i="1" s="1"/>
  <c r="BO263" i="1"/>
  <c r="BO264" i="1" s="1"/>
  <c r="BP62" i="1"/>
  <c r="BP281" i="1"/>
  <c r="BH141" i="1"/>
  <c r="BH142" i="1"/>
  <c r="AX257" i="1"/>
  <c r="BT281" i="1"/>
  <c r="BC62" i="1"/>
  <c r="AJ62" i="1"/>
  <c r="AL143" i="1"/>
  <c r="AI60" i="1"/>
  <c r="AM61" i="1"/>
  <c r="AI65" i="1"/>
  <c r="N91" i="1"/>
  <c r="AL257" i="1"/>
  <c r="AI263" i="1"/>
  <c r="AI264" i="1" s="1"/>
  <c r="AW257" i="1"/>
  <c r="AU257" i="1"/>
  <c r="AW143" i="1"/>
  <c r="AU62" i="1"/>
  <c r="AU281" i="1"/>
  <c r="AU143" i="1"/>
  <c r="AV257" i="1"/>
  <c r="AU263" i="1"/>
  <c r="AU264" i="1" s="1"/>
  <c r="AU60" i="1"/>
  <c r="AU65" i="1"/>
  <c r="AU69" i="1" s="1"/>
  <c r="AU18" i="1" s="1"/>
  <c r="AU17" i="1" s="1"/>
  <c r="AY61" i="1"/>
  <c r="AV62" i="1"/>
  <c r="AV281" i="1"/>
  <c r="AV282" i="1" s="1"/>
  <c r="AU61" i="1"/>
  <c r="BV141" i="1"/>
  <c r="BV142" i="1"/>
  <c r="BS61" i="1"/>
  <c r="BS65" i="1"/>
  <c r="BS69" i="1" s="1"/>
  <c r="BS18" i="1" s="1"/>
  <c r="BS17" i="1" s="1"/>
  <c r="BS60" i="1"/>
  <c r="BS263" i="1"/>
  <c r="BS264" i="1" s="1"/>
  <c r="BS281" i="1"/>
  <c r="BS282" i="1" s="1"/>
  <c r="BD62" i="1"/>
  <c r="BG61" i="1"/>
  <c r="BF143" i="1"/>
  <c r="BC65" i="1"/>
  <c r="BC60" i="1"/>
  <c r="BC263" i="1"/>
  <c r="BC264" i="1" s="1"/>
  <c r="BF257" i="1"/>
  <c r="BC61" i="1"/>
  <c r="BV61" i="1"/>
  <c r="BS143" i="1"/>
  <c r="BT257" i="1"/>
  <c r="AQ257" i="1"/>
  <c r="AZ72" i="1"/>
  <c r="AZ71" i="1"/>
  <c r="BV257" i="1"/>
  <c r="BR281" i="1"/>
  <c r="BR60" i="1"/>
  <c r="BR62" i="1"/>
  <c r="BS62" i="1"/>
  <c r="V91" i="1"/>
  <c r="BR257" i="1"/>
  <c r="BR263" i="1"/>
  <c r="BR264" i="1" s="1"/>
  <c r="BR143" i="1"/>
  <c r="BR65" i="1"/>
  <c r="BN143" i="1"/>
  <c r="BN257" i="1"/>
  <c r="BA143" i="1"/>
  <c r="AX143" i="1"/>
  <c r="AY143" i="1"/>
  <c r="AY257" i="1"/>
  <c r="AY62" i="1"/>
  <c r="AY281" i="1"/>
  <c r="AY282" i="1" s="1"/>
  <c r="AZ143" i="1"/>
  <c r="BV143" i="1"/>
  <c r="AQ143" i="1"/>
  <c r="BT143" i="1"/>
  <c r="BT62" i="1"/>
  <c r="AR257" i="1"/>
  <c r="AP257" i="1"/>
  <c r="AP281" i="1"/>
  <c r="AP143" i="1"/>
  <c r="BK257" i="1"/>
  <c r="BX143" i="1"/>
  <c r="AV143" i="1"/>
  <c r="Q91" i="1"/>
  <c r="BI234" i="1"/>
  <c r="BI232" i="1" s="1"/>
  <c r="BV71" i="1"/>
  <c r="BV72" i="1"/>
  <c r="BD257" i="1"/>
  <c r="BC143" i="1"/>
  <c r="BC257" i="1"/>
  <c r="BB257" i="1"/>
  <c r="R91" i="1"/>
  <c r="AV65" i="1"/>
  <c r="AZ61" i="1"/>
  <c r="AV60" i="1"/>
  <c r="AV263" i="1"/>
  <c r="AV264" i="1" s="1"/>
  <c r="AW281" i="1"/>
  <c r="AW282" i="1" s="1"/>
  <c r="AW62" i="1"/>
  <c r="BG60" i="1"/>
  <c r="BH257" i="1"/>
  <c r="T91" i="1"/>
  <c r="BG143" i="1"/>
  <c r="BJ143" i="1"/>
  <c r="BG281" i="1"/>
  <c r="BI257" i="1"/>
  <c r="BG65" i="1"/>
  <c r="BI143" i="1"/>
  <c r="BG263" i="1"/>
  <c r="BG264" i="1" s="1"/>
  <c r="BH143" i="1"/>
  <c r="BJ257" i="1"/>
  <c r="BH62" i="1"/>
  <c r="BG257" i="1"/>
  <c r="BG62" i="1"/>
  <c r="BL61" i="1"/>
  <c r="BH60" i="1"/>
  <c r="BH65" i="1"/>
  <c r="BH69" i="1" s="1"/>
  <c r="BH18" i="1" s="1"/>
  <c r="BH17" i="1" s="1"/>
  <c r="BH263" i="1"/>
  <c r="BH264" i="1" s="1"/>
  <c r="BH281" i="1"/>
  <c r="BH61" i="1"/>
  <c r="BI281" i="1"/>
  <c r="BI282" i="1" s="1"/>
  <c r="BI62" i="1"/>
  <c r="BW61" i="1"/>
  <c r="AN281" i="1"/>
  <c r="AN65" i="1"/>
  <c r="AO257" i="1"/>
  <c r="AN62" i="1"/>
  <c r="AN60" i="1"/>
  <c r="AN263" i="1"/>
  <c r="AN264" i="1" s="1"/>
  <c r="AN257" i="1"/>
  <c r="AR61" i="1"/>
  <c r="AO143" i="1"/>
  <c r="AN143" i="1"/>
  <c r="AO62" i="1"/>
  <c r="AN61" i="1"/>
  <c r="BW62" i="1"/>
  <c r="BN65" i="1"/>
  <c r="BP257" i="1"/>
  <c r="BO257" i="1"/>
  <c r="BR61" i="1"/>
  <c r="BQ143" i="1"/>
  <c r="BN60" i="1"/>
  <c r="BO62" i="1"/>
  <c r="BN62" i="1"/>
  <c r="BN263" i="1"/>
  <c r="BN264" i="1" s="1"/>
  <c r="BO281" i="1"/>
  <c r="BN281" i="1"/>
  <c r="BN61" i="1"/>
  <c r="BP143" i="1"/>
  <c r="BQ257" i="1"/>
  <c r="BO143" i="1"/>
  <c r="AX281" i="1"/>
  <c r="AX263" i="1"/>
  <c r="AX264" i="1" s="1"/>
  <c r="AX61" i="1"/>
  <c r="BB61" i="1"/>
  <c r="AZ257" i="1"/>
  <c r="AX65" i="1"/>
  <c r="AX62" i="1"/>
  <c r="AX60" i="1"/>
  <c r="BB65" i="1"/>
  <c r="BF61" i="1"/>
  <c r="BB263" i="1"/>
  <c r="BB264" i="1" s="1"/>
  <c r="BB143" i="1"/>
  <c r="BD143" i="1"/>
  <c r="BB60" i="1"/>
  <c r="BB281" i="1"/>
  <c r="BB62" i="1"/>
  <c r="BW257" i="1"/>
  <c r="BW263" i="1"/>
  <c r="BW264" i="1" s="1"/>
  <c r="BX62" i="1"/>
  <c r="X91" i="1"/>
  <c r="BW60" i="1"/>
  <c r="BZ143" i="1"/>
  <c r="BZ257" i="1"/>
  <c r="BW281" i="1"/>
  <c r="BW282" i="1" s="1"/>
  <c r="BW65" i="1"/>
  <c r="BY143" i="1"/>
  <c r="CA61" i="1"/>
  <c r="BX281" i="1"/>
  <c r="BX282" i="1" s="1"/>
  <c r="BY257" i="1"/>
  <c r="BC281" i="1"/>
  <c r="BE257" i="1"/>
  <c r="BE143" i="1"/>
  <c r="AQ60" i="1"/>
  <c r="AT257" i="1"/>
  <c r="AQ263" i="1"/>
  <c r="AQ264" i="1" s="1"/>
  <c r="P91" i="1"/>
  <c r="AQ65" i="1"/>
  <c r="AQ61" i="1"/>
  <c r="AR62" i="1"/>
  <c r="AR281" i="1"/>
  <c r="AT143" i="1"/>
  <c r="AO263" i="1"/>
  <c r="AO264" i="1" s="1"/>
  <c r="AO65" i="1"/>
  <c r="AO69" i="1" s="1"/>
  <c r="AO71" i="1" s="1"/>
  <c r="AR143" i="1"/>
  <c r="AO281" i="1"/>
  <c r="AO61" i="1"/>
  <c r="AS61" i="1"/>
  <c r="AO60" i="1"/>
  <c r="AR72" i="1"/>
  <c r="AR71" i="1"/>
  <c r="BT65" i="1"/>
  <c r="BU281" i="1"/>
  <c r="BT60" i="1"/>
  <c r="BX61" i="1"/>
  <c r="BU62" i="1"/>
  <c r="BT263" i="1"/>
  <c r="BT264" i="1" s="1"/>
  <c r="BT61" i="1"/>
  <c r="BW143" i="1"/>
  <c r="BU143" i="1"/>
  <c r="AV61" i="1"/>
  <c r="BJ265" i="1"/>
  <c r="BJ73" i="1"/>
  <c r="BJ276" i="1" s="1"/>
  <c r="BJ79" i="1"/>
  <c r="BQ71" i="1"/>
  <c r="BQ72" i="1"/>
  <c r="BA72" i="1"/>
  <c r="BA71" i="1"/>
  <c r="AW71" i="1"/>
  <c r="AW72" i="1"/>
  <c r="AT72" i="1"/>
  <c r="AT71" i="1"/>
  <c r="CR165" i="1"/>
  <c r="AE173" i="1"/>
  <c r="AC155" i="1"/>
  <c r="BO68" i="1" l="1"/>
  <c r="BB196" i="1"/>
  <c r="BB197" i="1" s="1"/>
  <c r="BT197" i="1"/>
  <c r="BD64" i="1"/>
  <c r="BC169" i="1"/>
  <c r="BN197" i="1"/>
  <c r="BN212" i="1"/>
  <c r="BN217" i="1"/>
  <c r="BB217" i="1"/>
  <c r="AZ282" i="1"/>
  <c r="AS237" i="1"/>
  <c r="AS280" i="1"/>
  <c r="AS282" i="1" s="1"/>
  <c r="AV217" i="1"/>
  <c r="BB212" i="1"/>
  <c r="BD212" i="1"/>
  <c r="BD217" i="1"/>
  <c r="BT217" i="1"/>
  <c r="BT212" i="1"/>
  <c r="AZ217" i="1"/>
  <c r="AZ212" i="1"/>
  <c r="AQ282" i="1"/>
  <c r="BT282" i="1"/>
  <c r="AW68" i="1"/>
  <c r="AV140" i="1"/>
  <c r="AP64" i="1"/>
  <c r="AO169" i="1"/>
  <c r="BR196" i="1"/>
  <c r="BR197" i="1" s="1"/>
  <c r="BB140" i="1"/>
  <c r="BC68" i="1"/>
  <c r="AR197" i="1"/>
  <c r="AN196" i="1"/>
  <c r="AN197" i="1" s="1"/>
  <c r="BP196" i="1"/>
  <c r="BP197" i="1" s="1"/>
  <c r="BA282" i="1"/>
  <c r="BN140" i="1"/>
  <c r="AZ64" i="1"/>
  <c r="AY169" i="1"/>
  <c r="BN234" i="1"/>
  <c r="BN232" i="1" s="1"/>
  <c r="BN277" i="1"/>
  <c r="BN275" i="1"/>
  <c r="BN127" i="1"/>
  <c r="BN126" i="1"/>
  <c r="BN125" i="1"/>
  <c r="BP140" i="1"/>
  <c r="BQ68" i="1"/>
  <c r="BF196" i="1"/>
  <c r="BF197" i="1" s="1"/>
  <c r="AN282" i="1"/>
  <c r="BO282" i="1"/>
  <c r="BN282" i="1"/>
  <c r="AX282" i="1"/>
  <c r="AO282" i="1"/>
  <c r="BU282" i="1"/>
  <c r="AN275" i="1"/>
  <c r="AN234" i="1"/>
  <c r="AN232" i="1" s="1"/>
  <c r="BT277" i="1"/>
  <c r="BT275" i="1"/>
  <c r="AW169" i="1"/>
  <c r="AX64" i="1"/>
  <c r="BS68" i="1"/>
  <c r="BR140" i="1"/>
  <c r="BR64" i="1"/>
  <c r="BQ169" i="1"/>
  <c r="BB277" i="1"/>
  <c r="BB275" i="1"/>
  <c r="BG169" i="1"/>
  <c r="BH64" i="1"/>
  <c r="AV275" i="1"/>
  <c r="AV277" i="1"/>
  <c r="BE169" i="1"/>
  <c r="BF64" i="1"/>
  <c r="BD275" i="1"/>
  <c r="BD277" i="1"/>
  <c r="AX277" i="1"/>
  <c r="AX275" i="1"/>
  <c r="AU68" i="1"/>
  <c r="AT140" i="1"/>
  <c r="AP196" i="1"/>
  <c r="AP197" i="1" s="1"/>
  <c r="BD196" i="1"/>
  <c r="BD197" i="1" s="1"/>
  <c r="AR125" i="1"/>
  <c r="AR127" i="1"/>
  <c r="AR126" i="1"/>
  <c r="AX127" i="1"/>
  <c r="AX126" i="1"/>
  <c r="AX125" i="1"/>
  <c r="BV64" i="1"/>
  <c r="BU169" i="1"/>
  <c r="AQ169" i="1"/>
  <c r="AR64" i="1"/>
  <c r="AT217" i="1"/>
  <c r="AT212" i="1"/>
  <c r="AO68" i="1"/>
  <c r="AN140" i="1"/>
  <c r="AR217" i="1"/>
  <c r="AR215" i="1"/>
  <c r="BE68" i="1"/>
  <c r="BD140" i="1"/>
  <c r="AV127" i="1"/>
  <c r="AV125" i="1"/>
  <c r="AV126" i="1"/>
  <c r="AV196" i="1"/>
  <c r="AV197" i="1" s="1"/>
  <c r="AX196" i="1"/>
  <c r="AX197" i="1" s="1"/>
  <c r="BP64" i="1"/>
  <c r="BO169" i="1"/>
  <c r="BP277" i="1"/>
  <c r="BP275" i="1"/>
  <c r="AT196" i="1"/>
  <c r="AT197" i="1" s="1"/>
  <c r="AP140" i="1"/>
  <c r="AQ68" i="1"/>
  <c r="BP282" i="1"/>
  <c r="AU282" i="1"/>
  <c r="BR282" i="1"/>
  <c r="AP282" i="1"/>
  <c r="BG282" i="1"/>
  <c r="BB282" i="1"/>
  <c r="BC282" i="1"/>
  <c r="AR282" i="1"/>
  <c r="C101" i="1"/>
  <c r="BH282" i="1"/>
  <c r="B118" i="1"/>
  <c r="B116" i="1"/>
  <c r="B117" i="1"/>
  <c r="BT234" i="1"/>
  <c r="BT232" i="1" s="1"/>
  <c r="BS234" i="1"/>
  <c r="BS232" i="1" s="1"/>
  <c r="BF142" i="1"/>
  <c r="BF145" i="1" s="1"/>
  <c r="BF141" i="1"/>
  <c r="BF144" i="1" s="1"/>
  <c r="BC234" i="1"/>
  <c r="BC232" i="1" s="1"/>
  <c r="BD234" i="1"/>
  <c r="BD232" i="1" s="1"/>
  <c r="BB234" i="1"/>
  <c r="BB232" i="1" s="1"/>
  <c r="BA234" i="1"/>
  <c r="BA232" i="1" s="1"/>
  <c r="AR234" i="1"/>
  <c r="AR232" i="1" s="1"/>
  <c r="AQ234" i="1"/>
  <c r="AQ232" i="1" s="1"/>
  <c r="AR220" i="1"/>
  <c r="AN142" i="1"/>
  <c r="AN145" i="1" s="1"/>
  <c r="AN141" i="1"/>
  <c r="AN144" i="1" s="1"/>
  <c r="AT220" i="1"/>
  <c r="AX220" i="1"/>
  <c r="BV234" i="1"/>
  <c r="BV232" i="1" s="1"/>
  <c r="BU234" i="1"/>
  <c r="BU232" i="1" s="1"/>
  <c r="AV234" i="1"/>
  <c r="AV232" i="1" s="1"/>
  <c r="AU234" i="1"/>
  <c r="AU232" i="1" s="1"/>
  <c r="BT142" i="1"/>
  <c r="BT145" i="1" s="1"/>
  <c r="BT141" i="1"/>
  <c r="BT144" i="1" s="1"/>
  <c r="AX141" i="1"/>
  <c r="AX144" i="1" s="1"/>
  <c r="AX142" i="1"/>
  <c r="AX145" i="1" s="1"/>
  <c r="AZ141" i="1"/>
  <c r="AZ144" i="1" s="1"/>
  <c r="AZ142" i="1"/>
  <c r="AZ145" i="1" s="1"/>
  <c r="BN220" i="1"/>
  <c r="BR220" i="1"/>
  <c r="BB220" i="1"/>
  <c r="BF220" i="1"/>
  <c r="BL144" i="1"/>
  <c r="BL145" i="1"/>
  <c r="BK72" i="1"/>
  <c r="BK71" i="1"/>
  <c r="AY71" i="1"/>
  <c r="AY72" i="1"/>
  <c r="AP71" i="1"/>
  <c r="AP72" i="1"/>
  <c r="AP74" i="1" s="1"/>
  <c r="BU72" i="1"/>
  <c r="BY74" i="1" s="1"/>
  <c r="BU71" i="1"/>
  <c r="AS71" i="1"/>
  <c r="AS72" i="1"/>
  <c r="AS75" i="1" s="1"/>
  <c r="BP71" i="1"/>
  <c r="BP72" i="1"/>
  <c r="BQ75" i="1" s="1"/>
  <c r="BI69" i="1"/>
  <c r="BI18" i="1" s="1"/>
  <c r="BI17" i="1" s="1"/>
  <c r="BL86" i="1"/>
  <c r="BM71" i="1"/>
  <c r="BM72" i="1"/>
  <c r="BV144" i="1"/>
  <c r="BE71" i="1"/>
  <c r="BE72" i="1"/>
  <c r="BF265" i="1"/>
  <c r="BF73" i="1"/>
  <c r="BF276" i="1" s="1"/>
  <c r="BF79" i="1"/>
  <c r="BJ74" i="1"/>
  <c r="BD86" i="1"/>
  <c r="BV86" i="1"/>
  <c r="BD71" i="1"/>
  <c r="BD72" i="1"/>
  <c r="BO72" i="1"/>
  <c r="BO71" i="1"/>
  <c r="AL145" i="1"/>
  <c r="AL144" i="1"/>
  <c r="AI69" i="1"/>
  <c r="AL86" i="1"/>
  <c r="AU72" i="1"/>
  <c r="AU71" i="1"/>
  <c r="BC69" i="1"/>
  <c r="BC18" i="1" s="1"/>
  <c r="BC17" i="1" s="1"/>
  <c r="BF86" i="1"/>
  <c r="BX144" i="1"/>
  <c r="BX145" i="1"/>
  <c r="AZ265" i="1"/>
  <c r="AZ79" i="1"/>
  <c r="AZ73" i="1"/>
  <c r="AZ276" i="1" s="1"/>
  <c r="BR69" i="1"/>
  <c r="BR18" i="1" s="1"/>
  <c r="BR17" i="1" s="1"/>
  <c r="BR86" i="1"/>
  <c r="AR86" i="1"/>
  <c r="AP86" i="1"/>
  <c r="BV145" i="1"/>
  <c r="AO72" i="1"/>
  <c r="AR73" i="1"/>
  <c r="AR276" i="1" s="1"/>
  <c r="AR79" i="1"/>
  <c r="AR265" i="1"/>
  <c r="AX69" i="1"/>
  <c r="AX18" i="1" s="1"/>
  <c r="AX17" i="1" s="1"/>
  <c r="AZ86" i="1"/>
  <c r="BN69" i="1"/>
  <c r="BN18" i="1" s="1"/>
  <c r="BN17" i="1" s="1"/>
  <c r="BP86" i="1"/>
  <c r="BV73" i="1"/>
  <c r="BV276" i="1" s="1"/>
  <c r="BV79" i="1"/>
  <c r="BV265" i="1"/>
  <c r="BZ74" i="1"/>
  <c r="BH72" i="1"/>
  <c r="BH71" i="1"/>
  <c r="AQ69" i="1"/>
  <c r="AT86" i="1"/>
  <c r="BX86" i="1"/>
  <c r="BZ86" i="1"/>
  <c r="BW69" i="1"/>
  <c r="BW18" i="1" s="1"/>
  <c r="BW17" i="1" s="1"/>
  <c r="BB69" i="1"/>
  <c r="BB18" i="1" s="1"/>
  <c r="BB17" i="1" s="1"/>
  <c r="BB86" i="1"/>
  <c r="AN86" i="1"/>
  <c r="AN69" i="1"/>
  <c r="BH144" i="1"/>
  <c r="BH145" i="1"/>
  <c r="AV69" i="1"/>
  <c r="AV18" i="1" s="1"/>
  <c r="AV17" i="1" s="1"/>
  <c r="AV86" i="1"/>
  <c r="AX86" i="1"/>
  <c r="BT69" i="1"/>
  <c r="BT18" i="1" s="1"/>
  <c r="BT17" i="1" s="1"/>
  <c r="BT86" i="1"/>
  <c r="BJ144" i="1"/>
  <c r="BJ145" i="1"/>
  <c r="BN86" i="1"/>
  <c r="BY86" i="1"/>
  <c r="BZ144" i="1"/>
  <c r="BZ145" i="1"/>
  <c r="BJ86" i="1"/>
  <c r="BG69" i="1"/>
  <c r="BG18" i="1" s="1"/>
  <c r="BG17" i="1" s="1"/>
  <c r="BH86" i="1"/>
  <c r="BS71" i="1"/>
  <c r="BS72" i="1"/>
  <c r="BJ83" i="1"/>
  <c r="BJ224" i="1"/>
  <c r="BJ226" i="1" s="1"/>
  <c r="BJ97" i="1"/>
  <c r="BQ73" i="1"/>
  <c r="BQ276" i="1" s="1"/>
  <c r="BQ79" i="1"/>
  <c r="BQ265" i="1"/>
  <c r="AT79" i="1"/>
  <c r="AT265" i="1"/>
  <c r="AT73" i="1"/>
  <c r="AT276" i="1" s="1"/>
  <c r="BA265" i="1"/>
  <c r="BA73" i="1"/>
  <c r="BA276" i="1" s="1"/>
  <c r="BA75" i="1"/>
  <c r="BA79" i="1"/>
  <c r="AW79" i="1"/>
  <c r="AW265" i="1"/>
  <c r="AW73" i="1"/>
  <c r="AW276" i="1" s="1"/>
  <c r="BA74" i="1"/>
  <c r="CR169" i="1"/>
  <c r="CS63" i="1"/>
  <c r="AZ220" i="1" l="1"/>
  <c r="AV220" i="1"/>
  <c r="BH220" i="1"/>
  <c r="BD220" i="1"/>
  <c r="BT220" i="1"/>
  <c r="BX220" i="1"/>
  <c r="AV141" i="1"/>
  <c r="AV144" i="1" s="1"/>
  <c r="AV142" i="1"/>
  <c r="AV145" i="1" s="1"/>
  <c r="AP234" i="1"/>
  <c r="AP232" i="1" s="1"/>
  <c r="AO234" i="1"/>
  <c r="AO232" i="1" s="1"/>
  <c r="BB142" i="1"/>
  <c r="BB145" i="1" s="1"/>
  <c r="BB141" i="1"/>
  <c r="BB144" i="1" s="1"/>
  <c r="BN142" i="1"/>
  <c r="BN145" i="1" s="1"/>
  <c r="BN141" i="1"/>
  <c r="BN144" i="1" s="1"/>
  <c r="BP141" i="1"/>
  <c r="BP144" i="1" s="1"/>
  <c r="BP142" i="1"/>
  <c r="BP145" i="1" s="1"/>
  <c r="AY234" i="1"/>
  <c r="AY232" i="1" s="1"/>
  <c r="AZ234" i="1"/>
  <c r="AZ232" i="1" s="1"/>
  <c r="AX234" i="1"/>
  <c r="AX232" i="1" s="1"/>
  <c r="AW234" i="1"/>
  <c r="AW232" i="1" s="1"/>
  <c r="BR234" i="1"/>
  <c r="BR232" i="1" s="1"/>
  <c r="BQ234" i="1"/>
  <c r="BQ232" i="1" s="1"/>
  <c r="BH234" i="1"/>
  <c r="BH232" i="1" s="1"/>
  <c r="BG234" i="1"/>
  <c r="BG232" i="1" s="1"/>
  <c r="BR141" i="1"/>
  <c r="BR144" i="1" s="1"/>
  <c r="BR142" i="1"/>
  <c r="BR145" i="1" s="1"/>
  <c r="BE234" i="1"/>
  <c r="BE232" i="1" s="1"/>
  <c r="BF234" i="1"/>
  <c r="BF232" i="1" s="1"/>
  <c r="AT142" i="1"/>
  <c r="AT145" i="1" s="1"/>
  <c r="AT141" i="1"/>
  <c r="AT144" i="1" s="1"/>
  <c r="BD142" i="1"/>
  <c r="BD145" i="1" s="1"/>
  <c r="BD141" i="1"/>
  <c r="BD144" i="1" s="1"/>
  <c r="BO234" i="1"/>
  <c r="BO232" i="1" s="1"/>
  <c r="BP234" i="1"/>
  <c r="BP232" i="1" s="1"/>
  <c r="AP141" i="1"/>
  <c r="AP144" i="1" s="1"/>
  <c r="AP142" i="1"/>
  <c r="AP145" i="1" s="1"/>
  <c r="BL75" i="1"/>
  <c r="BK79" i="1"/>
  <c r="BK73" i="1"/>
  <c r="BK276" i="1" s="1"/>
  <c r="AY265" i="1"/>
  <c r="AY73" i="1"/>
  <c r="AY276" i="1" s="1"/>
  <c r="AT74" i="1"/>
  <c r="AP265" i="1"/>
  <c r="AP79" i="1"/>
  <c r="AP73" i="1"/>
  <c r="AP276" i="1" s="1"/>
  <c r="AZ75" i="1"/>
  <c r="AY79" i="1"/>
  <c r="BU73" i="1"/>
  <c r="BU276" i="1" s="1"/>
  <c r="BU265" i="1"/>
  <c r="BU79" i="1"/>
  <c r="BK75" i="1"/>
  <c r="BK265" i="1"/>
  <c r="AS79" i="1"/>
  <c r="AS73" i="1"/>
  <c r="AS276" i="1" s="1"/>
  <c r="BV75" i="1"/>
  <c r="BU74" i="1"/>
  <c r="AS265" i="1"/>
  <c r="AT75" i="1"/>
  <c r="AW74" i="1"/>
  <c r="BP79" i="1"/>
  <c r="BP74" i="1"/>
  <c r="BP265" i="1"/>
  <c r="BP73" i="1"/>
  <c r="BP276" i="1" s="1"/>
  <c r="BI72" i="1"/>
  <c r="BI75" i="1" s="1"/>
  <c r="BI71" i="1"/>
  <c r="BM79" i="1"/>
  <c r="BM75" i="1"/>
  <c r="BM265" i="1"/>
  <c r="BM258" i="1"/>
  <c r="BQ74" i="1"/>
  <c r="BM73" i="1"/>
  <c r="BM276" i="1" s="1"/>
  <c r="BE73" i="1"/>
  <c r="BE276" i="1" s="1"/>
  <c r="BE79" i="1"/>
  <c r="BE265" i="1"/>
  <c r="BF75" i="1"/>
  <c r="BF83" i="1"/>
  <c r="BF224" i="1"/>
  <c r="BF226" i="1" s="1"/>
  <c r="BF97" i="1"/>
  <c r="BC72" i="1"/>
  <c r="BC71" i="1"/>
  <c r="BS74" i="1"/>
  <c r="BE74" i="1"/>
  <c r="BD79" i="1"/>
  <c r="BD265" i="1"/>
  <c r="BD73" i="1"/>
  <c r="BD276" i="1" s="1"/>
  <c r="BD74" i="1"/>
  <c r="BE75" i="1"/>
  <c r="BO265" i="1"/>
  <c r="BO73" i="1"/>
  <c r="BO276" i="1" s="1"/>
  <c r="BO79" i="1"/>
  <c r="BP75" i="1"/>
  <c r="BO74" i="1"/>
  <c r="AI72" i="1"/>
  <c r="AI71" i="1"/>
  <c r="AU73" i="1"/>
  <c r="AU276" i="1" s="1"/>
  <c r="AU265" i="1"/>
  <c r="AY74" i="1"/>
  <c r="AU79" i="1"/>
  <c r="AU258" i="1"/>
  <c r="AU75" i="1"/>
  <c r="AP75" i="1"/>
  <c r="AO79" i="1"/>
  <c r="AZ97" i="1"/>
  <c r="AZ83" i="1"/>
  <c r="AZ224" i="1"/>
  <c r="AZ226" i="1" s="1"/>
  <c r="BR72" i="1"/>
  <c r="BR71" i="1"/>
  <c r="AO74" i="1"/>
  <c r="BH74" i="1"/>
  <c r="AO265" i="1"/>
  <c r="AS74" i="1"/>
  <c r="AO73" i="1"/>
  <c r="AO276" i="1" s="1"/>
  <c r="BW72" i="1"/>
  <c r="BW74" i="1" s="1"/>
  <c r="BW71" i="1"/>
  <c r="BN72" i="1"/>
  <c r="BN71" i="1"/>
  <c r="AQ72" i="1"/>
  <c r="AQ71" i="1"/>
  <c r="AR83" i="1"/>
  <c r="AR224" i="1"/>
  <c r="AR226" i="1" s="1"/>
  <c r="AR97" i="1"/>
  <c r="BT72" i="1"/>
  <c r="BT71" i="1"/>
  <c r="AV71" i="1"/>
  <c r="AV72" i="1"/>
  <c r="AN72" i="1"/>
  <c r="AN71" i="1"/>
  <c r="BH79" i="1"/>
  <c r="BL74" i="1"/>
  <c r="BH265" i="1"/>
  <c r="BH73" i="1"/>
  <c r="BH276" i="1" s="1"/>
  <c r="AX72" i="1"/>
  <c r="AX71" i="1"/>
  <c r="BV224" i="1"/>
  <c r="BV226" i="1" s="1"/>
  <c r="BV97" i="1"/>
  <c r="BV83" i="1"/>
  <c r="BG71" i="1"/>
  <c r="BG72" i="1"/>
  <c r="BB72" i="1"/>
  <c r="BB71" i="1"/>
  <c r="BS265" i="1"/>
  <c r="BS73" i="1"/>
  <c r="BS276" i="1" s="1"/>
  <c r="BS79" i="1"/>
  <c r="BQ224" i="1"/>
  <c r="BQ226" i="1" s="1"/>
  <c r="BQ150" i="1"/>
  <c r="BQ151" i="1" s="1"/>
  <c r="BQ97" i="1"/>
  <c r="BQ83" i="1"/>
  <c r="AT97" i="1"/>
  <c r="AT224" i="1"/>
  <c r="AT226" i="1" s="1"/>
  <c r="AT83" i="1"/>
  <c r="AW224" i="1"/>
  <c r="AW226" i="1" s="1"/>
  <c r="AW97" i="1"/>
  <c r="AW150" i="1"/>
  <c r="AW151" i="1" s="1"/>
  <c r="AW83" i="1"/>
  <c r="BA83" i="1"/>
  <c r="BA224" i="1"/>
  <c r="BA226" i="1" s="1"/>
  <c r="BA97" i="1"/>
  <c r="BA150" i="1"/>
  <c r="BA151" i="1" s="1"/>
  <c r="CS225" i="1"/>
  <c r="CS163" i="1"/>
  <c r="CR234" i="1"/>
  <c r="CR232" i="1" s="1"/>
  <c r="AC156" i="1"/>
  <c r="AC159" i="1" s="1"/>
  <c r="AC280" i="1" s="1"/>
  <c r="BK83" i="1" l="1"/>
  <c r="BK224" i="1"/>
  <c r="BK226" i="1" s="1"/>
  <c r="BK150" i="1"/>
  <c r="BK151" i="1" s="1"/>
  <c r="BK97" i="1"/>
  <c r="AP224" i="1"/>
  <c r="AP226" i="1" s="1"/>
  <c r="AP97" i="1"/>
  <c r="AP83" i="1"/>
  <c r="BU150" i="1"/>
  <c r="BU151" i="1" s="1"/>
  <c r="BU83" i="1"/>
  <c r="BU224" i="1"/>
  <c r="BU226" i="1" s="1"/>
  <c r="BU97" i="1"/>
  <c r="BS75" i="1"/>
  <c r="BS258" i="1"/>
  <c r="AY224" i="1"/>
  <c r="AY226" i="1" s="1"/>
  <c r="AY97" i="1"/>
  <c r="AY150" i="1"/>
  <c r="AY151" i="1" s="1"/>
  <c r="AY83" i="1"/>
  <c r="AS83" i="1"/>
  <c r="AS150" i="1"/>
  <c r="AS151" i="1" s="1"/>
  <c r="AS224" i="1"/>
  <c r="AS226" i="1" s="1"/>
  <c r="AS97" i="1"/>
  <c r="BI74" i="1"/>
  <c r="BK258" i="1"/>
  <c r="BM97" i="1"/>
  <c r="BM83" i="1"/>
  <c r="BP83" i="1"/>
  <c r="BP224" i="1"/>
  <c r="BP226" i="1" s="1"/>
  <c r="BP97" i="1"/>
  <c r="BM74" i="1"/>
  <c r="BL258" i="1"/>
  <c r="BI79" i="1"/>
  <c r="BI265" i="1"/>
  <c r="BJ75" i="1"/>
  <c r="BI73" i="1"/>
  <c r="BI276" i="1" s="1"/>
  <c r="BM150" i="1"/>
  <c r="BM151" i="1" s="1"/>
  <c r="BM224" i="1"/>
  <c r="BM226" i="1" s="1"/>
  <c r="BE97" i="1"/>
  <c r="BE224" i="1"/>
  <c r="BE226" i="1" s="1"/>
  <c r="BE83" i="1"/>
  <c r="BE150" i="1"/>
  <c r="BE151" i="1" s="1"/>
  <c r="BF258" i="1"/>
  <c r="BD75" i="1"/>
  <c r="BC74" i="1"/>
  <c r="BC79" i="1"/>
  <c r="BC265" i="1"/>
  <c r="BC73" i="1"/>
  <c r="BC276" i="1" s="1"/>
  <c r="BD83" i="1"/>
  <c r="BD224" i="1"/>
  <c r="BD226" i="1" s="1"/>
  <c r="BD97" i="1"/>
  <c r="BO83" i="1"/>
  <c r="BO97" i="1"/>
  <c r="BO224" i="1"/>
  <c r="BO226" i="1" s="1"/>
  <c r="BO150" i="1"/>
  <c r="BO151" i="1" s="1"/>
  <c r="AI73" i="1"/>
  <c r="AI265" i="1"/>
  <c r="AJ75" i="1"/>
  <c r="AM74" i="1"/>
  <c r="AI79" i="1"/>
  <c r="AL258" i="1"/>
  <c r="AU83" i="1"/>
  <c r="AU97" i="1"/>
  <c r="AU224" i="1"/>
  <c r="AU226" i="1" s="1"/>
  <c r="AU150" i="1"/>
  <c r="AU151" i="1" s="1"/>
  <c r="AO224" i="1"/>
  <c r="AO226" i="1" s="1"/>
  <c r="AO97" i="1"/>
  <c r="AO150" i="1"/>
  <c r="AO151" i="1" s="1"/>
  <c r="AO83" i="1"/>
  <c r="BR73" i="1"/>
  <c r="BR276" i="1" s="1"/>
  <c r="BR265" i="1"/>
  <c r="BR79" i="1"/>
  <c r="BR238" i="1" s="1"/>
  <c r="BR236" i="1" s="1"/>
  <c r="BV74" i="1"/>
  <c r="BR75" i="1"/>
  <c r="BR258" i="1"/>
  <c r="AN73" i="1"/>
  <c r="AN276" i="1" s="1"/>
  <c r="AQ258" i="1"/>
  <c r="AO75" i="1"/>
  <c r="AN258" i="1"/>
  <c r="AN74" i="1"/>
  <c r="AP258" i="1"/>
  <c r="AR74" i="1"/>
  <c r="AO258" i="1"/>
  <c r="AN79" i="1"/>
  <c r="AN75" i="1"/>
  <c r="AN265" i="1"/>
  <c r="BX74" i="1"/>
  <c r="BT73" i="1"/>
  <c r="BT276" i="1" s="1"/>
  <c r="BT265" i="1"/>
  <c r="BT79" i="1"/>
  <c r="BU75" i="1"/>
  <c r="BT74" i="1"/>
  <c r="BW258" i="1"/>
  <c r="BV258" i="1"/>
  <c r="AZ74" i="1"/>
  <c r="AV73" i="1"/>
  <c r="AV276" i="1" s="1"/>
  <c r="AV265" i="1"/>
  <c r="AV79" i="1"/>
  <c r="AY258" i="1"/>
  <c r="AW258" i="1"/>
  <c r="AW75" i="1"/>
  <c r="AV74" i="1"/>
  <c r="AV75" i="1"/>
  <c r="AX258" i="1"/>
  <c r="AV258" i="1"/>
  <c r="AR75" i="1"/>
  <c r="AQ74" i="1"/>
  <c r="AQ265" i="1"/>
  <c r="AQ79" i="1"/>
  <c r="AQ73" i="1"/>
  <c r="AQ276" i="1" s="1"/>
  <c r="AQ75" i="1"/>
  <c r="AU74" i="1"/>
  <c r="AT258" i="1"/>
  <c r="AS258" i="1"/>
  <c r="AR258" i="1"/>
  <c r="BN265" i="1"/>
  <c r="BR74" i="1"/>
  <c r="BN79" i="1"/>
  <c r="BQ85" i="1" s="1"/>
  <c r="BN74" i="1"/>
  <c r="BN73" i="1"/>
  <c r="BN276" i="1" s="1"/>
  <c r="BO75" i="1"/>
  <c r="BN258" i="1"/>
  <c r="BQ258" i="1"/>
  <c r="BN75" i="1"/>
  <c r="BO258" i="1"/>
  <c r="BP258" i="1"/>
  <c r="BB73" i="1"/>
  <c r="BB276" i="1" s="1"/>
  <c r="BF74" i="1"/>
  <c r="BB265" i="1"/>
  <c r="BB79" i="1"/>
  <c r="BB238" i="1" s="1"/>
  <c r="BB236" i="1" s="1"/>
  <c r="BC75" i="1"/>
  <c r="BD258" i="1"/>
  <c r="BB258" i="1"/>
  <c r="BB75" i="1"/>
  <c r="BC258" i="1"/>
  <c r="BE258" i="1"/>
  <c r="BB74" i="1"/>
  <c r="AX79" i="1"/>
  <c r="AX265" i="1"/>
  <c r="AX73" i="1"/>
  <c r="AX276" i="1" s="1"/>
  <c r="AZ258" i="1"/>
  <c r="AX75" i="1"/>
  <c r="AY75" i="1"/>
  <c r="AX74" i="1"/>
  <c r="BA258" i="1"/>
  <c r="BH83" i="1"/>
  <c r="BH97" i="1"/>
  <c r="BH224" i="1"/>
  <c r="BH226" i="1" s="1"/>
  <c r="BT258" i="1"/>
  <c r="BT75" i="1"/>
  <c r="BK74" i="1"/>
  <c r="BG79" i="1"/>
  <c r="BH258" i="1"/>
  <c r="BG74" i="1"/>
  <c r="BG73" i="1"/>
  <c r="BG276" i="1" s="1"/>
  <c r="BH75" i="1"/>
  <c r="BG258" i="1"/>
  <c r="BG265" i="1"/>
  <c r="BJ258" i="1"/>
  <c r="BG75" i="1"/>
  <c r="BI258" i="1"/>
  <c r="BX258" i="1"/>
  <c r="BW265" i="1"/>
  <c r="BW75" i="1"/>
  <c r="BX75" i="1"/>
  <c r="BW79" i="1"/>
  <c r="X92" i="1"/>
  <c r="BY258" i="1"/>
  <c r="CA74" i="1"/>
  <c r="BW73" i="1"/>
  <c r="BW276" i="1" s="1"/>
  <c r="BZ258" i="1"/>
  <c r="BS224" i="1"/>
  <c r="BS226" i="1" s="1"/>
  <c r="BS83" i="1"/>
  <c r="BS150" i="1"/>
  <c r="BS151" i="1" s="1"/>
  <c r="BS97" i="1"/>
  <c r="BQ238" i="1"/>
  <c r="BQ236" i="1" s="1"/>
  <c r="BQ160" i="1"/>
  <c r="BQ86" i="1" s="1"/>
  <c r="BQ123" i="1"/>
  <c r="AW160" i="1"/>
  <c r="AW86" i="1" s="1"/>
  <c r="AW238" i="1"/>
  <c r="AW236" i="1" s="1"/>
  <c r="AW123" i="1"/>
  <c r="BA238" i="1"/>
  <c r="BA236" i="1" s="1"/>
  <c r="BA123" i="1"/>
  <c r="BA160" i="1"/>
  <c r="BA86" i="1" s="1"/>
  <c r="CS165" i="1"/>
  <c r="AC237" i="1"/>
  <c r="CA257" i="1"/>
  <c r="CB257" i="1"/>
  <c r="BU257" i="1"/>
  <c r="BK85" i="1" l="1"/>
  <c r="BM100" i="1"/>
  <c r="BI120" i="1" s="1"/>
  <c r="BK123" i="1"/>
  <c r="BL238" i="1"/>
  <c r="BL236" i="1" s="1"/>
  <c r="BK238" i="1"/>
  <c r="BK236" i="1" s="1"/>
  <c r="BK160" i="1"/>
  <c r="BK86" i="1" s="1"/>
  <c r="BV238" i="1"/>
  <c r="BV236" i="1" s="1"/>
  <c r="BU238" i="1"/>
  <c r="BU236" i="1" s="1"/>
  <c r="BU123" i="1"/>
  <c r="BU160" i="1"/>
  <c r="BU86" i="1" s="1"/>
  <c r="AU100" i="1"/>
  <c r="AY123" i="1"/>
  <c r="AY238" i="1"/>
  <c r="AY236" i="1" s="1"/>
  <c r="AY160" i="1"/>
  <c r="AY86" i="1" s="1"/>
  <c r="AZ238" i="1"/>
  <c r="AZ236" i="1" s="1"/>
  <c r="AS238" i="1"/>
  <c r="AS236" i="1" s="1"/>
  <c r="AS123" i="1"/>
  <c r="AS160" i="1"/>
  <c r="AS86" i="1" s="1"/>
  <c r="AT238" i="1"/>
  <c r="AT236" i="1" s="1"/>
  <c r="AO85" i="1"/>
  <c r="BL85" i="1"/>
  <c r="BI83" i="1"/>
  <c r="BI224" i="1"/>
  <c r="BI226" i="1" s="1"/>
  <c r="BI97" i="1"/>
  <c r="BI150" i="1"/>
  <c r="BI151" i="1" s="1"/>
  <c r="BM85" i="1"/>
  <c r="BM238" i="1"/>
  <c r="BM236" i="1" s="1"/>
  <c r="BM160" i="1"/>
  <c r="BM86" i="1" s="1"/>
  <c r="BM123" i="1"/>
  <c r="AX238" i="1"/>
  <c r="AX236" i="1" s="1"/>
  <c r="BA85" i="1"/>
  <c r="BF238" i="1"/>
  <c r="BF236" i="1" s="1"/>
  <c r="BE123" i="1"/>
  <c r="BE160" i="1"/>
  <c r="BE86" i="1" s="1"/>
  <c r="BE238" i="1"/>
  <c r="BE236" i="1" s="1"/>
  <c r="S92" i="1"/>
  <c r="BF85" i="1"/>
  <c r="BC97" i="1"/>
  <c r="BF100" i="1" s="1"/>
  <c r="BC150" i="1"/>
  <c r="BC151" i="1" s="1"/>
  <c r="BC224" i="1"/>
  <c r="BC226" i="1" s="1"/>
  <c r="BC83" i="1"/>
  <c r="BO238" i="1"/>
  <c r="BO236" i="1" s="1"/>
  <c r="BO160" i="1"/>
  <c r="BO86" i="1" s="1"/>
  <c r="BP238" i="1"/>
  <c r="BP236" i="1" s="1"/>
  <c r="BO123" i="1"/>
  <c r="AI97" i="1"/>
  <c r="AL100" i="1" s="1"/>
  <c r="AI83" i="1"/>
  <c r="AL85" i="1"/>
  <c r="N92" i="1"/>
  <c r="AI238" i="1"/>
  <c r="AI236" i="1" s="1"/>
  <c r="AI224" i="1"/>
  <c r="AI226" i="1" s="1"/>
  <c r="AI230" i="1" s="1"/>
  <c r="AI244" i="1" s="1"/>
  <c r="AU123" i="1"/>
  <c r="AU238" i="1"/>
  <c r="AU236" i="1" s="1"/>
  <c r="AU160" i="1"/>
  <c r="AU86" i="1" s="1"/>
  <c r="AU85" i="1"/>
  <c r="AP238" i="1"/>
  <c r="AP236" i="1" s="1"/>
  <c r="AO123" i="1"/>
  <c r="AO160" i="1"/>
  <c r="AO86" i="1" s="1"/>
  <c r="AO238" i="1"/>
  <c r="AO236" i="1" s="1"/>
  <c r="AV238" i="1"/>
  <c r="AV236" i="1" s="1"/>
  <c r="AY85" i="1"/>
  <c r="BT85" i="1"/>
  <c r="BR83" i="1"/>
  <c r="BR224" i="1"/>
  <c r="BR226" i="1" s="1"/>
  <c r="BR97" i="1"/>
  <c r="BR85" i="1"/>
  <c r="V92" i="1"/>
  <c r="AW85" i="1"/>
  <c r="BV85" i="1"/>
  <c r="BO85" i="1"/>
  <c r="BN238" i="1"/>
  <c r="BN236" i="1" s="1"/>
  <c r="BU85" i="1"/>
  <c r="BX85" i="1"/>
  <c r="BW150" i="1"/>
  <c r="BW151" i="1" s="1"/>
  <c r="BY85" i="1"/>
  <c r="BW224" i="1"/>
  <c r="BW226" i="1" s="1"/>
  <c r="BW83" i="1"/>
  <c r="BZ85" i="1"/>
  <c r="BW97" i="1"/>
  <c r="BN83" i="1"/>
  <c r="BN97" i="1"/>
  <c r="BN224" i="1"/>
  <c r="BN226" i="1" s="1"/>
  <c r="BN85" i="1"/>
  <c r="U92" i="1"/>
  <c r="BP85" i="1"/>
  <c r="AV224" i="1"/>
  <c r="AV226" i="1" s="1"/>
  <c r="AV83" i="1"/>
  <c r="AV97" i="1"/>
  <c r="AV85" i="1"/>
  <c r="Q92" i="1"/>
  <c r="AX85" i="1"/>
  <c r="BT224" i="1"/>
  <c r="BT226" i="1" s="1"/>
  <c r="BT83" i="1"/>
  <c r="BT97" i="1"/>
  <c r="BV100" i="1" s="1"/>
  <c r="BR120" i="1" s="1"/>
  <c r="AX83" i="1"/>
  <c r="AX97" i="1"/>
  <c r="AX224" i="1"/>
  <c r="AX226" i="1" s="1"/>
  <c r="AZ85" i="1"/>
  <c r="BB97" i="1"/>
  <c r="BB83" i="1"/>
  <c r="BB224" i="1"/>
  <c r="BB226" i="1" s="1"/>
  <c r="BB85" i="1"/>
  <c r="R92" i="1"/>
  <c r="BD85" i="1"/>
  <c r="BE85" i="1"/>
  <c r="AQ150" i="1"/>
  <c r="AQ151" i="1" s="1"/>
  <c r="AQ224" i="1"/>
  <c r="AQ226" i="1" s="1"/>
  <c r="AQ83" i="1"/>
  <c r="AQ97" i="1"/>
  <c r="AS85" i="1"/>
  <c r="AR85" i="1"/>
  <c r="AT85" i="1"/>
  <c r="P92" i="1"/>
  <c r="BG83" i="1"/>
  <c r="BG97" i="1"/>
  <c r="BG150" i="1"/>
  <c r="BG151" i="1" s="1"/>
  <c r="BJ85" i="1"/>
  <c r="BH85" i="1"/>
  <c r="BG224" i="1"/>
  <c r="BG226" i="1" s="1"/>
  <c r="T92" i="1"/>
  <c r="AN83" i="1"/>
  <c r="AP85" i="1"/>
  <c r="AN97" i="1"/>
  <c r="AN224" i="1"/>
  <c r="AN226" i="1" s="1"/>
  <c r="AN85" i="1"/>
  <c r="O92" i="1"/>
  <c r="AN238" i="1"/>
  <c r="AN236" i="1" s="1"/>
  <c r="BT238" i="1"/>
  <c r="BT236" i="1" s="1"/>
  <c r="BS123" i="1"/>
  <c r="BS160" i="1"/>
  <c r="BS86" i="1" s="1"/>
  <c r="BS238" i="1"/>
  <c r="BS236" i="1" s="1"/>
  <c r="BS85" i="1"/>
  <c r="BQ125" i="1"/>
  <c r="BQ126" i="1"/>
  <c r="BQ127" i="1"/>
  <c r="BA126" i="1"/>
  <c r="BA125" i="1"/>
  <c r="BA127" i="1"/>
  <c r="AW126" i="1"/>
  <c r="AW125" i="1"/>
  <c r="AW127" i="1"/>
  <c r="CS169" i="1"/>
  <c r="CT63" i="1"/>
  <c r="AD155" i="1"/>
  <c r="W90" i="1"/>
  <c r="BM116" i="1" l="1"/>
  <c r="BM118" i="1"/>
  <c r="BM117" i="1"/>
  <c r="BK127" i="1"/>
  <c r="BK125" i="1"/>
  <c r="BK126" i="1"/>
  <c r="BU125" i="1"/>
  <c r="BU127" i="1"/>
  <c r="BU126" i="1"/>
  <c r="AU118" i="1"/>
  <c r="AU117" i="1"/>
  <c r="AQ120" i="1"/>
  <c r="AU116" i="1"/>
  <c r="AY125" i="1"/>
  <c r="AY126" i="1"/>
  <c r="AY127" i="1"/>
  <c r="BL100" i="1"/>
  <c r="BK100" i="1"/>
  <c r="BR100" i="1"/>
  <c r="BR117" i="1" s="1"/>
  <c r="BT100" i="1"/>
  <c r="BS100" i="1"/>
  <c r="AS126" i="1"/>
  <c r="AS127" i="1"/>
  <c r="AS125" i="1"/>
  <c r="BI123" i="1"/>
  <c r="BI160" i="1"/>
  <c r="BI86" i="1" s="1"/>
  <c r="BI238" i="1"/>
  <c r="BI236" i="1" s="1"/>
  <c r="BI85" i="1"/>
  <c r="BJ238" i="1"/>
  <c r="BJ236" i="1" s="1"/>
  <c r="AI241" i="1"/>
  <c r="AI242" i="1" s="1"/>
  <c r="BM126" i="1"/>
  <c r="BM127" i="1"/>
  <c r="BM125" i="1"/>
  <c r="BU100" i="1"/>
  <c r="BU116" i="1" s="1"/>
  <c r="BE125" i="1"/>
  <c r="BE127" i="1"/>
  <c r="BE126" i="1"/>
  <c r="BC238" i="1"/>
  <c r="BC236" i="1" s="1"/>
  <c r="BC160" i="1"/>
  <c r="BC86" i="1" s="1"/>
  <c r="BC123" i="1"/>
  <c r="BC85" i="1"/>
  <c r="BD238" i="1"/>
  <c r="BD236" i="1" s="1"/>
  <c r="BB120" i="1"/>
  <c r="BF116" i="1"/>
  <c r="BF118" i="1"/>
  <c r="BF117" i="1"/>
  <c r="BO125" i="1"/>
  <c r="BO126" i="1"/>
  <c r="BO127" i="1"/>
  <c r="AL116" i="1"/>
  <c r="AL117" i="1"/>
  <c r="AL118" i="1"/>
  <c r="AU126" i="1"/>
  <c r="AU127" i="1"/>
  <c r="AU125" i="1"/>
  <c r="AO127" i="1"/>
  <c r="AO125" i="1"/>
  <c r="AO126" i="1"/>
  <c r="BA100" i="1"/>
  <c r="AZ100" i="1"/>
  <c r="AY100" i="1"/>
  <c r="AY117" i="1" s="1"/>
  <c r="AX100" i="1"/>
  <c r="AV100" i="1"/>
  <c r="AW100" i="1"/>
  <c r="AT100" i="1"/>
  <c r="AR100" i="1"/>
  <c r="AS100" i="1"/>
  <c r="BQ100" i="1"/>
  <c r="BO100" i="1"/>
  <c r="BN100" i="1"/>
  <c r="BP100" i="1"/>
  <c r="AQ100" i="1"/>
  <c r="AN100" i="1"/>
  <c r="AP100" i="1"/>
  <c r="AO100" i="1"/>
  <c r="BJ100" i="1"/>
  <c r="BF120" i="1" s="1"/>
  <c r="BG100" i="1"/>
  <c r="BH100" i="1"/>
  <c r="BI100" i="1"/>
  <c r="BE100" i="1"/>
  <c r="BE117" i="1" s="1"/>
  <c r="BD100" i="1"/>
  <c r="BB100" i="1"/>
  <c r="BC100" i="1"/>
  <c r="BZ100" i="1"/>
  <c r="BX100" i="1"/>
  <c r="BY100" i="1"/>
  <c r="BW100" i="1"/>
  <c r="BG238" i="1"/>
  <c r="BG236" i="1" s="1"/>
  <c r="BG160" i="1"/>
  <c r="BG86" i="1" s="1"/>
  <c r="BG123" i="1"/>
  <c r="BG85" i="1"/>
  <c r="BH238" i="1"/>
  <c r="BH236" i="1" s="1"/>
  <c r="AQ160" i="1"/>
  <c r="AQ86" i="1" s="1"/>
  <c r="AQ238" i="1"/>
  <c r="AQ236" i="1" s="1"/>
  <c r="AQ123" i="1"/>
  <c r="AR238" i="1"/>
  <c r="AR236" i="1" s="1"/>
  <c r="AQ85" i="1"/>
  <c r="BW238" i="1"/>
  <c r="BW236" i="1" s="1"/>
  <c r="BX238" i="1"/>
  <c r="BX236" i="1" s="1"/>
  <c r="BW160" i="1"/>
  <c r="BW86" i="1" s="1"/>
  <c r="BW85" i="1"/>
  <c r="BW123" i="1"/>
  <c r="BV118" i="1"/>
  <c r="BV117" i="1"/>
  <c r="BV116" i="1"/>
  <c r="BS125" i="1"/>
  <c r="BS126" i="1"/>
  <c r="BS127" i="1"/>
  <c r="AC63" i="1"/>
  <c r="CT225" i="1"/>
  <c r="CT163" i="1"/>
  <c r="CS234" i="1"/>
  <c r="CS232" i="1" s="1"/>
  <c r="W91" i="1"/>
  <c r="BL116" i="1" l="1"/>
  <c r="BL117" i="1"/>
  <c r="BN120" i="1"/>
  <c r="BR116" i="1"/>
  <c r="BR118" i="1"/>
  <c r="BV101" i="1"/>
  <c r="BP120" i="1"/>
  <c r="BT118" i="1"/>
  <c r="BT116" i="1"/>
  <c r="BT117" i="1"/>
  <c r="BS118" i="1"/>
  <c r="BO120" i="1"/>
  <c r="BS117" i="1"/>
  <c r="BS116" i="1"/>
  <c r="BH120" i="1"/>
  <c r="BL118" i="1"/>
  <c r="BK116" i="1"/>
  <c r="BK117" i="1"/>
  <c r="BK118" i="1"/>
  <c r="BG120" i="1"/>
  <c r="BT101" i="1"/>
  <c r="BV120" i="1"/>
  <c r="BZ101" i="1"/>
  <c r="BY101" i="1"/>
  <c r="BI126" i="1"/>
  <c r="BI127" i="1"/>
  <c r="BI125" i="1"/>
  <c r="BQ120" i="1"/>
  <c r="BU118" i="1"/>
  <c r="BU117" i="1"/>
  <c r="BW116" i="1"/>
  <c r="BW101" i="1"/>
  <c r="BC126" i="1"/>
  <c r="BC125" i="1"/>
  <c r="BC127" i="1"/>
  <c r="AW120" i="1"/>
  <c r="BE101" i="1"/>
  <c r="BQ117" i="1"/>
  <c r="BM120" i="1"/>
  <c r="AQ117" i="1"/>
  <c r="AQ116" i="1"/>
  <c r="BU101" i="1"/>
  <c r="BA118" i="1"/>
  <c r="AX101" i="1"/>
  <c r="CD101" i="1"/>
  <c r="BZ118" i="1"/>
  <c r="BX117" i="1"/>
  <c r="BT120" i="1"/>
  <c r="BX118" i="1"/>
  <c r="CB101" i="1"/>
  <c r="BX116" i="1"/>
  <c r="AN118" i="1"/>
  <c r="AR101" i="1"/>
  <c r="AN117" i="1"/>
  <c r="AN116" i="1"/>
  <c r="BO116" i="1"/>
  <c r="BK120" i="1"/>
  <c r="BO117" i="1"/>
  <c r="BO101" i="1"/>
  <c r="BO118" i="1"/>
  <c r="AP120" i="1"/>
  <c r="CA101" i="1"/>
  <c r="BS120" i="1"/>
  <c r="BW118" i="1"/>
  <c r="BE118" i="1"/>
  <c r="BI101" i="1"/>
  <c r="BE116" i="1"/>
  <c r="BJ117" i="1"/>
  <c r="BJ101" i="1"/>
  <c r="BJ116" i="1"/>
  <c r="AU101" i="1"/>
  <c r="AQ101" i="1"/>
  <c r="AQ118" i="1"/>
  <c r="BQ116" i="1"/>
  <c r="BQ101" i="1"/>
  <c r="BQ118" i="1"/>
  <c r="AW116" i="1"/>
  <c r="AW117" i="1"/>
  <c r="AS120" i="1"/>
  <c r="BA101" i="1"/>
  <c r="AW118" i="1"/>
  <c r="AV120" i="1"/>
  <c r="AZ118" i="1"/>
  <c r="AZ117" i="1"/>
  <c r="BD101" i="1"/>
  <c r="AZ116" i="1"/>
  <c r="AZ120" i="1"/>
  <c r="BD116" i="1"/>
  <c r="BH101" i="1"/>
  <c r="BD118" i="1"/>
  <c r="BD117" i="1"/>
  <c r="AY118" i="1"/>
  <c r="AU120" i="1"/>
  <c r="BC101" i="1"/>
  <c r="AY101" i="1"/>
  <c r="AT117" i="1"/>
  <c r="BJ118" i="1"/>
  <c r="BW117" i="1"/>
  <c r="AM120" i="1"/>
  <c r="BS101" i="1"/>
  <c r="BC118" i="1"/>
  <c r="AY120" i="1"/>
  <c r="BG101" i="1"/>
  <c r="BC117" i="1"/>
  <c r="BC116" i="1"/>
  <c r="BM101" i="1"/>
  <c r="BI118" i="1"/>
  <c r="BI116" i="1"/>
  <c r="BI117" i="1"/>
  <c r="BE120" i="1"/>
  <c r="AO118" i="1"/>
  <c r="AO116" i="1"/>
  <c r="AS101" i="1"/>
  <c r="AO117" i="1"/>
  <c r="BP101" i="1"/>
  <c r="BL120" i="1"/>
  <c r="BP117" i="1"/>
  <c r="BP118" i="1"/>
  <c r="BP116" i="1"/>
  <c r="AS117" i="1"/>
  <c r="AO120" i="1"/>
  <c r="AS118" i="1"/>
  <c r="AS116" i="1"/>
  <c r="AW101" i="1"/>
  <c r="AV117" i="1"/>
  <c r="AV116" i="1"/>
  <c r="AZ101" i="1"/>
  <c r="AV118" i="1"/>
  <c r="AR120" i="1"/>
  <c r="BA116" i="1"/>
  <c r="BA117" i="1"/>
  <c r="BC120" i="1"/>
  <c r="BG116" i="1"/>
  <c r="BG117" i="1"/>
  <c r="BG118" i="1"/>
  <c r="BK101" i="1"/>
  <c r="AT118" i="1"/>
  <c r="AT116" i="1"/>
  <c r="AY116" i="1"/>
  <c r="BZ117" i="1"/>
  <c r="CC121" i="1" s="1"/>
  <c r="BA120" i="1"/>
  <c r="BN101" i="1"/>
  <c r="BZ116" i="1"/>
  <c r="CC101" i="1"/>
  <c r="BY118" i="1"/>
  <c r="BU120" i="1"/>
  <c r="BY117" i="1"/>
  <c r="BY116" i="1"/>
  <c r="AX120" i="1"/>
  <c r="BF101" i="1"/>
  <c r="BB118" i="1"/>
  <c r="BB117" i="1"/>
  <c r="BB116" i="1"/>
  <c r="BH118" i="1"/>
  <c r="BH116" i="1"/>
  <c r="BD120" i="1"/>
  <c r="BL101" i="1"/>
  <c r="BH117" i="1"/>
  <c r="AT101" i="1"/>
  <c r="AP118" i="1"/>
  <c r="AP101" i="1"/>
  <c r="AL120" i="1"/>
  <c r="AP117" i="1"/>
  <c r="AP116" i="1"/>
  <c r="BR101" i="1"/>
  <c r="BJ120" i="1"/>
  <c r="BN118" i="1"/>
  <c r="BN116" i="1"/>
  <c r="BN117" i="1"/>
  <c r="AN120" i="1"/>
  <c r="AR118" i="1"/>
  <c r="AR117" i="1"/>
  <c r="AR116" i="1"/>
  <c r="AV101" i="1"/>
  <c r="AX117" i="1"/>
  <c r="BB101" i="1"/>
  <c r="AX116" i="1"/>
  <c r="AT120" i="1"/>
  <c r="AX118" i="1"/>
  <c r="BX101" i="1"/>
  <c r="BW125" i="1"/>
  <c r="BW127" i="1"/>
  <c r="BW126" i="1"/>
  <c r="BG125" i="1"/>
  <c r="BG127" i="1"/>
  <c r="BG126" i="1"/>
  <c r="AQ126" i="1"/>
  <c r="AQ127" i="1"/>
  <c r="AQ125" i="1"/>
  <c r="AC225" i="1"/>
  <c r="AC163" i="1"/>
  <c r="AC165" i="1" s="1"/>
  <c r="AC64" i="1" s="1"/>
  <c r="CT165" i="1"/>
  <c r="AD156" i="1"/>
  <c r="AD159" i="1" s="1"/>
  <c r="AD280" i="1" s="1"/>
  <c r="AR140" i="1"/>
  <c r="W92" i="1"/>
  <c r="CB121" i="1" l="1"/>
  <c r="BT121" i="1"/>
  <c r="BH121" i="1"/>
  <c r="BM121" i="1"/>
  <c r="BG121" i="1"/>
  <c r="BN121" i="1"/>
  <c r="BB121" i="1"/>
  <c r="BI121" i="1"/>
  <c r="AW121" i="1"/>
  <c r="BL121" i="1"/>
  <c r="BY121" i="1"/>
  <c r="AZ121" i="1"/>
  <c r="AR121" i="1"/>
  <c r="AV121" i="1"/>
  <c r="BJ121" i="1"/>
  <c r="BE121" i="1"/>
  <c r="AS121" i="1"/>
  <c r="AU121" i="1"/>
  <c r="BA121" i="1"/>
  <c r="AT121" i="1"/>
  <c r="AQ121" i="1"/>
  <c r="AP121" i="1"/>
  <c r="AO121" i="1"/>
  <c r="BP121" i="1"/>
  <c r="BO121" i="1"/>
  <c r="AY121" i="1"/>
  <c r="AX121" i="1"/>
  <c r="CA121" i="1"/>
  <c r="BR121" i="1"/>
  <c r="BC121" i="1"/>
  <c r="BZ121" i="1"/>
  <c r="BF121" i="1"/>
  <c r="BS121" i="1"/>
  <c r="BD121" i="1"/>
  <c r="BK121" i="1"/>
  <c r="BQ121" i="1"/>
  <c r="BX121" i="1"/>
  <c r="BW121" i="1"/>
  <c r="BV121" i="1"/>
  <c r="BU121" i="1"/>
  <c r="CU63" i="1"/>
  <c r="CT169" i="1"/>
  <c r="AD237" i="1"/>
  <c r="AB169" i="1"/>
  <c r="AR141" i="1"/>
  <c r="AR144" i="1" s="1"/>
  <c r="AR142" i="1"/>
  <c r="AR145" i="1" s="1"/>
  <c r="CA258" i="1"/>
  <c r="CB258" i="1"/>
  <c r="W224" i="1"/>
  <c r="W226" i="1" s="1"/>
  <c r="BU258" i="1"/>
  <c r="CT234" i="1" l="1"/>
  <c r="CT232" i="1" s="1"/>
  <c r="CU225" i="1"/>
  <c r="CU163" i="1"/>
  <c r="AB234" i="1"/>
  <c r="AB232" i="1" s="1"/>
  <c r="AE155" i="1"/>
  <c r="CA120" i="1"/>
  <c r="CU165" i="1" l="1"/>
  <c r="CF120" i="1"/>
  <c r="W120" i="1"/>
  <c r="W100" i="1"/>
  <c r="W99" i="1"/>
  <c r="CU169" i="1" l="1"/>
  <c r="CV63" i="1"/>
  <c r="AE156" i="1"/>
  <c r="AE159" i="1" s="1"/>
  <c r="AE280" i="1" s="1"/>
  <c r="W101" i="1"/>
  <c r="X101" i="1"/>
  <c r="X120" i="1"/>
  <c r="W118" i="1"/>
  <c r="V120" i="1"/>
  <c r="W116" i="1"/>
  <c r="W117" i="1"/>
  <c r="CV225" i="1" l="1"/>
  <c r="CV163" i="1"/>
  <c r="CU234" i="1"/>
  <c r="CU232" i="1" s="1"/>
  <c r="AE237" i="1"/>
  <c r="AC169" i="1"/>
  <c r="W151" i="1"/>
  <c r="CV165" i="1" l="1"/>
  <c r="W85" i="1"/>
  <c r="W123" i="1"/>
  <c r="AC234" i="1"/>
  <c r="AC232" i="1" s="1"/>
  <c r="X238" i="1"/>
  <c r="X236" i="1" s="1"/>
  <c r="W238" i="1"/>
  <c r="W236" i="1" s="1"/>
  <c r="W160" i="1"/>
  <c r="W86" i="1" s="1"/>
  <c r="W206" i="1"/>
  <c r="CW63" i="1" l="1"/>
  <c r="CV169" i="1"/>
  <c r="W126" i="1"/>
  <c r="W125" i="1"/>
  <c r="W127" i="1"/>
  <c r="CV234" i="1" l="1"/>
  <c r="CV232" i="1" s="1"/>
  <c r="CW225" i="1"/>
  <c r="CW163" i="1"/>
  <c r="CW165" i="1" l="1"/>
  <c r="CW169" i="1" l="1"/>
  <c r="CX63" i="1"/>
  <c r="AD63" i="1" l="1"/>
  <c r="CX225" i="1"/>
  <c r="CX163" i="1"/>
  <c r="CW234" i="1"/>
  <c r="CW232" i="1" s="1"/>
  <c r="AD225" i="1" l="1"/>
  <c r="AD163" i="1"/>
  <c r="AD165" i="1" s="1"/>
  <c r="CX165" i="1"/>
  <c r="AD169" i="1" l="1"/>
  <c r="AD234" i="1" s="1"/>
  <c r="AD232" i="1" s="1"/>
  <c r="AD64" i="1"/>
  <c r="CX169" i="1"/>
  <c r="CY63" i="1"/>
  <c r="CY225" i="1" l="1"/>
  <c r="CY163" i="1"/>
  <c r="CX234" i="1"/>
  <c r="CX232" i="1" s="1"/>
  <c r="CY165" i="1" l="1"/>
  <c r="W211" i="1"/>
  <c r="CY169" i="1" l="1"/>
  <c r="CZ63" i="1"/>
  <c r="W214" i="1"/>
  <c r="W187" i="1"/>
  <c r="X228" i="1" s="1"/>
  <c r="CZ225" i="1" l="1"/>
  <c r="CZ163" i="1"/>
  <c r="CY234" i="1"/>
  <c r="CY232" i="1" s="1"/>
  <c r="W216" i="1"/>
  <c r="W215" i="1" s="1"/>
  <c r="W228" i="1"/>
  <c r="W179" i="1"/>
  <c r="X227" i="1" s="1"/>
  <c r="X229" i="1" s="1"/>
  <c r="X230" i="1" s="1"/>
  <c r="X244" i="1" s="1"/>
  <c r="W210" i="1"/>
  <c r="CZ165" i="1" l="1"/>
  <c r="W213" i="1"/>
  <c r="W188" i="1"/>
  <c r="W227" i="1"/>
  <c r="W229" i="1" s="1"/>
  <c r="W230" i="1" s="1"/>
  <c r="CZ169" i="1" l="1"/>
  <c r="CZ234" i="1" s="1"/>
  <c r="CZ232" i="1" s="1"/>
  <c r="DA63" i="1"/>
  <c r="W212" i="1"/>
  <c r="W217" i="1"/>
  <c r="W241" i="1"/>
  <c r="W244" i="1"/>
  <c r="DA225" i="1" l="1"/>
  <c r="DA163" i="1"/>
  <c r="W220" i="1"/>
  <c r="W221" i="1" s="1"/>
  <c r="X220" i="1"/>
  <c r="X221" i="1" s="1"/>
  <c r="DA165" i="1" l="1"/>
  <c r="W192" i="1"/>
  <c r="X240" i="1" l="1"/>
  <c r="X241" i="1" s="1"/>
  <c r="X242" i="1" s="1"/>
  <c r="W277" i="1"/>
  <c r="W279" i="1"/>
  <c r="W275" i="1"/>
  <c r="DA169" i="1"/>
  <c r="DA234" i="1" s="1"/>
  <c r="DA232" i="1" s="1"/>
  <c r="DB63" i="1"/>
  <c r="W199" i="1"/>
  <c r="W140" i="1" s="1"/>
  <c r="W196" i="1"/>
  <c r="W242" i="1"/>
  <c r="AE63" i="1" l="1"/>
  <c r="AE225" i="1" s="1"/>
  <c r="DB225" i="1"/>
  <c r="DB163" i="1"/>
  <c r="W142" i="1"/>
  <c r="W145" i="1" s="1"/>
  <c r="W141" i="1"/>
  <c r="W144" i="1" s="1"/>
  <c r="W197" i="1"/>
  <c r="DB165" i="1" l="1"/>
  <c r="DB169" i="1" s="1"/>
  <c r="DB234" i="1" s="1"/>
  <c r="DB232" i="1" s="1"/>
  <c r="AE163" i="1"/>
  <c r="AE165" i="1" s="1"/>
  <c r="C111" i="2"/>
  <c r="C112" i="2"/>
  <c r="C113" i="2"/>
  <c r="AE169" i="1" l="1"/>
  <c r="AE234" i="1" s="1"/>
  <c r="AE232" i="1" s="1"/>
  <c r="AE64" i="1"/>
  <c r="B104" i="1"/>
  <c r="B105" i="1"/>
  <c r="AK210" i="1" l="1"/>
  <c r="AK175" i="1" s="1"/>
  <c r="AM175" i="1" l="1"/>
  <c r="AO175" i="1" l="1"/>
  <c r="AQ175" i="1" l="1"/>
  <c r="AS175" i="1" l="1"/>
  <c r="AU175" i="1" l="1"/>
  <c r="AW175" i="1" l="1"/>
  <c r="AY175" i="1" l="1"/>
  <c r="BA175" i="1" l="1"/>
  <c r="BC175" i="1" l="1"/>
  <c r="BE175" i="1" l="1"/>
  <c r="BG175" i="1" l="1"/>
  <c r="BI175" i="1" l="1"/>
  <c r="BK175" i="1" l="1"/>
  <c r="BM175" i="1" l="1"/>
  <c r="BO175" i="1" l="1"/>
  <c r="BQ175" i="1" l="1"/>
  <c r="BS175" i="1" l="1"/>
  <c r="BU175" i="1" l="1"/>
  <c r="BW175" i="1" l="1"/>
  <c r="BY175" i="1" l="1"/>
  <c r="AK176" i="1" l="1"/>
  <c r="AK179" i="1" s="1"/>
  <c r="AL227" i="1" l="1"/>
  <c r="AK227" i="1"/>
  <c r="AK213" i="1"/>
  <c r="AM176" i="1"/>
  <c r="AM179" i="1" s="1"/>
  <c r="AM213" i="1" l="1"/>
  <c r="AM212" i="1" s="1"/>
  <c r="AN227" i="1"/>
  <c r="AM227" i="1"/>
  <c r="AJ212" i="1"/>
  <c r="AK212" i="1"/>
  <c r="AO176" i="1" l="1"/>
  <c r="AO179" i="1" s="1"/>
  <c r="AP227" i="1" l="1"/>
  <c r="AO213" i="1"/>
  <c r="AO212" i="1" s="1"/>
  <c r="AO227" i="1"/>
  <c r="AQ176" i="1" l="1"/>
  <c r="AQ179" i="1" s="1"/>
  <c r="AQ213" i="1" l="1"/>
  <c r="AQ212" i="1" s="1"/>
  <c r="AR227" i="1"/>
  <c r="AQ227" i="1"/>
  <c r="AS176" i="1" l="1"/>
  <c r="AS179" i="1" s="1"/>
  <c r="AT227" i="1" l="1"/>
  <c r="AS213" i="1"/>
  <c r="AS212" i="1" s="1"/>
  <c r="AS227" i="1"/>
  <c r="AU176" i="1" l="1"/>
  <c r="AU179" i="1" s="1"/>
  <c r="AU213" i="1" l="1"/>
  <c r="AU212" i="1" s="1"/>
  <c r="AV227" i="1"/>
  <c r="AU227" i="1"/>
  <c r="AW176" i="1" l="1"/>
  <c r="AW179" i="1" s="1"/>
  <c r="AW213" i="1" l="1"/>
  <c r="AW212" i="1" s="1"/>
  <c r="AX227" i="1"/>
  <c r="AW227" i="1"/>
  <c r="AY176" i="1" l="1"/>
  <c r="AY179" i="1" s="1"/>
  <c r="AY213" i="1" l="1"/>
  <c r="AY212" i="1" s="1"/>
  <c r="AZ227" i="1"/>
  <c r="AY227" i="1"/>
  <c r="BA176" i="1" l="1"/>
  <c r="BA179" i="1" s="1"/>
  <c r="BB227" i="1" l="1"/>
  <c r="BA213" i="1"/>
  <c r="BA212" i="1" s="1"/>
  <c r="BA227" i="1"/>
  <c r="BC176" i="1" l="1"/>
  <c r="BC179" i="1" s="1"/>
  <c r="BD227" i="1" l="1"/>
  <c r="BC213" i="1"/>
  <c r="BC212" i="1" s="1"/>
  <c r="BC227" i="1"/>
  <c r="BE176" i="1" l="1"/>
  <c r="BE179" i="1" s="1"/>
  <c r="BF227" i="1" l="1"/>
  <c r="BE213" i="1"/>
  <c r="BE212" i="1" s="1"/>
  <c r="BE227" i="1"/>
  <c r="BG176" i="1" l="1"/>
  <c r="BG179" i="1" s="1"/>
  <c r="BG213" i="1" l="1"/>
  <c r="BG212" i="1" s="1"/>
  <c r="BH227" i="1"/>
  <c r="BG227" i="1"/>
  <c r="BI176" i="1" l="1"/>
  <c r="BI179" i="1" s="1"/>
  <c r="BJ227" i="1" l="1"/>
  <c r="BI213" i="1"/>
  <c r="BI212" i="1" s="1"/>
  <c r="BI227" i="1"/>
  <c r="BK176" i="1" l="1"/>
  <c r="BK179" i="1" s="1"/>
  <c r="BL227" i="1" l="1"/>
  <c r="BK213" i="1"/>
  <c r="BK212" i="1" s="1"/>
  <c r="BK227" i="1"/>
  <c r="BM176" i="1" l="1"/>
  <c r="BM179" i="1" s="1"/>
  <c r="BM213" i="1" l="1"/>
  <c r="BM212" i="1" s="1"/>
  <c r="BN227" i="1"/>
  <c r="BM227" i="1"/>
  <c r="BO176" i="1" l="1"/>
  <c r="BO179" i="1" s="1"/>
  <c r="BO213" i="1" l="1"/>
  <c r="BO212" i="1" s="1"/>
  <c r="BP227" i="1"/>
  <c r="BO227" i="1"/>
  <c r="BQ176" i="1" l="1"/>
  <c r="BQ179" i="1" s="1"/>
  <c r="BR227" i="1" l="1"/>
  <c r="BQ213" i="1"/>
  <c r="BQ212" i="1" s="1"/>
  <c r="BQ227" i="1"/>
  <c r="BS176" i="1" l="1"/>
  <c r="BS179" i="1" s="1"/>
  <c r="BT227" i="1" l="1"/>
  <c r="BS213" i="1"/>
  <c r="BS212" i="1" s="1"/>
  <c r="BS227" i="1"/>
  <c r="BU176" i="1" l="1"/>
  <c r="BU179" i="1" s="1"/>
  <c r="BU213" i="1" l="1"/>
  <c r="BU212" i="1" s="1"/>
  <c r="BV227" i="1"/>
  <c r="BU227" i="1"/>
  <c r="BW176" i="1" l="1"/>
  <c r="BW179" i="1" s="1"/>
  <c r="BW213" i="1" l="1"/>
  <c r="BW212" i="1" s="1"/>
  <c r="BX227" i="1"/>
  <c r="BW227" i="1"/>
  <c r="BY176" i="1" l="1"/>
  <c r="BY179" i="1" s="1"/>
  <c r="BZ227" i="1" l="1"/>
  <c r="BY213" i="1"/>
  <c r="BY212" i="1" s="1"/>
  <c r="BY227" i="1"/>
  <c r="AK214" i="1" l="1"/>
  <c r="AK184" i="1" s="1"/>
  <c r="AK187" i="1" s="1"/>
  <c r="AK188" i="1" l="1"/>
  <c r="AK216" i="1"/>
  <c r="AL228" i="1"/>
  <c r="AL229" i="1" s="1"/>
  <c r="AL230" i="1" s="1"/>
  <c r="AL244" i="1" s="1"/>
  <c r="AK228" i="1"/>
  <c r="AK229" i="1" s="1"/>
  <c r="AK230" i="1" s="1"/>
  <c r="AM184" i="1"/>
  <c r="AM187" i="1" s="1"/>
  <c r="AK244" i="1" l="1"/>
  <c r="AK241" i="1"/>
  <c r="AK191" i="1" s="1"/>
  <c r="AK192" i="1" s="1"/>
  <c r="AK196" i="1" s="1"/>
  <c r="AK197" i="1" s="1"/>
  <c r="AN228" i="1"/>
  <c r="AN229" i="1" s="1"/>
  <c r="AN230" i="1" s="1"/>
  <c r="AN244" i="1" s="1"/>
  <c r="AM216" i="1"/>
  <c r="AM215" i="1" s="1"/>
  <c r="AM228" i="1"/>
  <c r="AM229" i="1" s="1"/>
  <c r="AM230" i="1" s="1"/>
  <c r="AM188" i="1"/>
  <c r="AJ215" i="1"/>
  <c r="AJ217" i="1"/>
  <c r="AN220" i="1" s="1"/>
  <c r="AK215" i="1"/>
  <c r="AK217" i="1"/>
  <c r="AO184" i="1"/>
  <c r="AO187" i="1" s="1"/>
  <c r="AM217" i="1" l="1"/>
  <c r="AO216" i="1"/>
  <c r="AO215" i="1" s="1"/>
  <c r="AP228" i="1"/>
  <c r="AP229" i="1" s="1"/>
  <c r="AP230" i="1" s="1"/>
  <c r="AP244" i="1" s="1"/>
  <c r="AO228" i="1"/>
  <c r="AO229" i="1" s="1"/>
  <c r="AO230" i="1" s="1"/>
  <c r="AM244" i="1"/>
  <c r="AM241" i="1"/>
  <c r="AO188" i="1"/>
  <c r="AL240" i="1" l="1"/>
  <c r="AL241" i="1" s="1"/>
  <c r="AL242" i="1" s="1"/>
  <c r="AK242" i="1"/>
  <c r="AO217" i="1"/>
  <c r="AO220" i="1" s="1"/>
  <c r="AO244" i="1"/>
  <c r="AO241" i="1"/>
  <c r="AQ184" i="1"/>
  <c r="AQ187" i="1" s="1"/>
  <c r="AK199" i="1"/>
  <c r="AL68" i="1" s="1"/>
  <c r="AM191" i="1"/>
  <c r="AM192" i="1" s="1"/>
  <c r="AM196" i="1" s="1"/>
  <c r="AN240" i="1" l="1"/>
  <c r="AN241" i="1" s="1"/>
  <c r="AN242" i="1" s="1"/>
  <c r="AM279" i="1"/>
  <c r="AM277" i="1"/>
  <c r="AM275" i="1"/>
  <c r="AQ216" i="1"/>
  <c r="AQ215" i="1" s="1"/>
  <c r="AR228" i="1"/>
  <c r="AR229" i="1" s="1"/>
  <c r="AR230" i="1" s="1"/>
  <c r="AR244" i="1" s="1"/>
  <c r="AQ228" i="1"/>
  <c r="AQ229" i="1" s="1"/>
  <c r="AQ230" i="1" s="1"/>
  <c r="AM242" i="1"/>
  <c r="AQ188" i="1"/>
  <c r="AO191" i="1"/>
  <c r="AO192" i="1" s="1"/>
  <c r="AM199" i="1"/>
  <c r="AO277" i="1" l="1"/>
  <c r="AO279" i="1"/>
  <c r="AO275" i="1"/>
  <c r="AM140" i="1"/>
  <c r="AM141" i="1" s="1"/>
  <c r="AM144" i="1" s="1"/>
  <c r="AN68" i="1"/>
  <c r="AQ217" i="1"/>
  <c r="AQ220" i="1" s="1"/>
  <c r="AQ244" i="1"/>
  <c r="AQ241" i="1"/>
  <c r="AP240" i="1"/>
  <c r="AP241" i="1" s="1"/>
  <c r="AP242" i="1" s="1"/>
  <c r="AO242" i="1"/>
  <c r="AS184" i="1"/>
  <c r="AS187" i="1" s="1"/>
  <c r="AO199" i="1"/>
  <c r="AO196" i="1"/>
  <c r="AM197" i="1"/>
  <c r="AM142" i="1" l="1"/>
  <c r="AM145" i="1" s="1"/>
  <c r="AO140" i="1"/>
  <c r="AO142" i="1" s="1"/>
  <c r="AO145" i="1" s="1"/>
  <c r="AP68" i="1"/>
  <c r="AS216" i="1"/>
  <c r="AS215" i="1" s="1"/>
  <c r="AT228" i="1"/>
  <c r="AT229" i="1" s="1"/>
  <c r="AT230" i="1" s="1"/>
  <c r="AT244" i="1" s="1"/>
  <c r="AS228" i="1"/>
  <c r="AS229" i="1" s="1"/>
  <c r="AS230" i="1" s="1"/>
  <c r="AO197" i="1"/>
  <c r="AS188" i="1"/>
  <c r="AQ191" i="1"/>
  <c r="AQ192" i="1" s="1"/>
  <c r="AQ277" i="1" l="1"/>
  <c r="AQ279" i="1"/>
  <c r="AQ275" i="1"/>
  <c r="AO141" i="1"/>
  <c r="AO144" i="1" s="1"/>
  <c r="AS217" i="1"/>
  <c r="AS220" i="1" s="1"/>
  <c r="AS244" i="1"/>
  <c r="AS241" i="1"/>
  <c r="AR240" i="1"/>
  <c r="AR241" i="1" s="1"/>
  <c r="AR242" i="1" s="1"/>
  <c r="AQ242" i="1"/>
  <c r="AQ196" i="1"/>
  <c r="AQ199" i="1"/>
  <c r="AU184" i="1"/>
  <c r="AU187" i="1" s="1"/>
  <c r="AQ140" i="1" l="1"/>
  <c r="AQ141" i="1" s="1"/>
  <c r="AQ144" i="1" s="1"/>
  <c r="AR68" i="1"/>
  <c r="AU216" i="1"/>
  <c r="AU215" i="1" s="1"/>
  <c r="AV228" i="1"/>
  <c r="AV229" i="1" s="1"/>
  <c r="AV230" i="1" s="1"/>
  <c r="AV244" i="1" s="1"/>
  <c r="AU228" i="1"/>
  <c r="AU229" i="1" s="1"/>
  <c r="AU230" i="1" s="1"/>
  <c r="AU188" i="1"/>
  <c r="AS191" i="1"/>
  <c r="AS192" i="1" s="1"/>
  <c r="AQ197" i="1"/>
  <c r="AS279" i="1" l="1"/>
  <c r="AS277" i="1"/>
  <c r="AS275" i="1"/>
  <c r="AQ142" i="1"/>
  <c r="AQ145" i="1" s="1"/>
  <c r="AU217" i="1"/>
  <c r="AU220" i="1" s="1"/>
  <c r="AU244" i="1"/>
  <c r="AU241" i="1"/>
  <c r="AT240" i="1"/>
  <c r="AT241" i="1" s="1"/>
  <c r="AT242" i="1" s="1"/>
  <c r="AS242" i="1"/>
  <c r="AS199" i="1"/>
  <c r="AS196" i="1"/>
  <c r="AW184" i="1"/>
  <c r="AW187" i="1" s="1"/>
  <c r="AS140" i="1" l="1"/>
  <c r="AS141" i="1" s="1"/>
  <c r="AS144" i="1" s="1"/>
  <c r="AT68" i="1"/>
  <c r="AW216" i="1"/>
  <c r="AW217" i="1" s="1"/>
  <c r="AW220" i="1" s="1"/>
  <c r="AX228" i="1"/>
  <c r="AX229" i="1" s="1"/>
  <c r="AX230" i="1" s="1"/>
  <c r="AX244" i="1" s="1"/>
  <c r="AW228" i="1"/>
  <c r="AW229" i="1" s="1"/>
  <c r="AW230" i="1" s="1"/>
  <c r="AU191" i="1"/>
  <c r="AU192" i="1" s="1"/>
  <c r="AS197" i="1"/>
  <c r="AW188" i="1"/>
  <c r="AU279" i="1" l="1"/>
  <c r="AU277" i="1"/>
  <c r="AU275" i="1"/>
  <c r="AS142" i="1"/>
  <c r="AS145" i="1" s="1"/>
  <c r="AW215" i="1"/>
  <c r="AW244" i="1"/>
  <c r="AW241" i="1"/>
  <c r="AV240" i="1"/>
  <c r="AV241" i="1" s="1"/>
  <c r="AV242" i="1" s="1"/>
  <c r="AU242" i="1"/>
  <c r="AU199" i="1"/>
  <c r="AU196" i="1"/>
  <c r="AY184" i="1"/>
  <c r="AY187" i="1" s="1"/>
  <c r="AU140" i="1" l="1"/>
  <c r="AU142" i="1" s="1"/>
  <c r="AU145" i="1" s="1"/>
  <c r="AV68" i="1"/>
  <c r="AY216" i="1"/>
  <c r="AY215" i="1" s="1"/>
  <c r="AZ228" i="1"/>
  <c r="AZ229" i="1" s="1"/>
  <c r="AZ230" i="1" s="1"/>
  <c r="AZ244" i="1" s="1"/>
  <c r="AY228" i="1"/>
  <c r="AY229" i="1" s="1"/>
  <c r="AY230" i="1" s="1"/>
  <c r="AW191" i="1"/>
  <c r="AW192" i="1" s="1"/>
  <c r="AY188" i="1"/>
  <c r="AU197" i="1"/>
  <c r="AW277" i="1" l="1"/>
  <c r="AW279" i="1"/>
  <c r="AW275" i="1"/>
  <c r="AU141" i="1"/>
  <c r="AU144" i="1" s="1"/>
  <c r="AY217" i="1"/>
  <c r="AY220" i="1" s="1"/>
  <c r="AY244" i="1"/>
  <c r="AY241" i="1"/>
  <c r="AX240" i="1"/>
  <c r="AX241" i="1" s="1"/>
  <c r="AX242" i="1" s="1"/>
  <c r="AW242" i="1"/>
  <c r="BA184" i="1"/>
  <c r="BA187" i="1" s="1"/>
  <c r="AW196" i="1"/>
  <c r="AW199" i="1"/>
  <c r="AW140" i="1" l="1"/>
  <c r="AW142" i="1" s="1"/>
  <c r="AW145" i="1" s="1"/>
  <c r="AX68" i="1"/>
  <c r="BB228" i="1"/>
  <c r="BB229" i="1" s="1"/>
  <c r="BB230" i="1" s="1"/>
  <c r="BB244" i="1" s="1"/>
  <c r="BA216" i="1"/>
  <c r="BA215" i="1" s="1"/>
  <c r="BA228" i="1"/>
  <c r="BA229" i="1" s="1"/>
  <c r="BA230" i="1" s="1"/>
  <c r="AW197" i="1"/>
  <c r="BA188" i="1"/>
  <c r="AY191" i="1"/>
  <c r="AY192" i="1" s="1"/>
  <c r="AY277" i="1" l="1"/>
  <c r="AY279" i="1"/>
  <c r="AY275" i="1"/>
  <c r="AW141" i="1"/>
  <c r="AW144" i="1" s="1"/>
  <c r="BA217" i="1"/>
  <c r="BA220" i="1" s="1"/>
  <c r="BA244" i="1"/>
  <c r="BA241" i="1"/>
  <c r="AZ240" i="1"/>
  <c r="AZ241" i="1" s="1"/>
  <c r="AZ242" i="1" s="1"/>
  <c r="AY242" i="1"/>
  <c r="AY196" i="1"/>
  <c r="AY199" i="1"/>
  <c r="BC184" i="1"/>
  <c r="BC187" i="1" s="1"/>
  <c r="AY140" i="1" l="1"/>
  <c r="AY142" i="1" s="1"/>
  <c r="AY145" i="1" s="1"/>
  <c r="AZ68" i="1"/>
  <c r="BC216" i="1"/>
  <c r="BC215" i="1" s="1"/>
  <c r="BD228" i="1"/>
  <c r="BD229" i="1" s="1"/>
  <c r="BD230" i="1" s="1"/>
  <c r="BD244" i="1" s="1"/>
  <c r="BC228" i="1"/>
  <c r="BC229" i="1" s="1"/>
  <c r="BC230" i="1" s="1"/>
  <c r="AY197" i="1"/>
  <c r="BC188" i="1"/>
  <c r="BA191" i="1"/>
  <c r="BA192" i="1" s="1"/>
  <c r="BA279" i="1" l="1"/>
  <c r="BA277" i="1"/>
  <c r="BA275" i="1"/>
  <c r="AY141" i="1"/>
  <c r="AY144" i="1" s="1"/>
  <c r="BC217" i="1"/>
  <c r="BC220" i="1" s="1"/>
  <c r="BC244" i="1"/>
  <c r="BC241" i="1"/>
  <c r="BB240" i="1"/>
  <c r="BB241" i="1" s="1"/>
  <c r="BB242" i="1" s="1"/>
  <c r="BA242" i="1"/>
  <c r="BE184" i="1"/>
  <c r="BE187" i="1" s="1"/>
  <c r="BA199" i="1"/>
  <c r="BA196" i="1"/>
  <c r="BA140" i="1" l="1"/>
  <c r="BA141" i="1" s="1"/>
  <c r="BA144" i="1" s="1"/>
  <c r="BB68" i="1"/>
  <c r="BE216" i="1"/>
  <c r="BE215" i="1" s="1"/>
  <c r="BF228" i="1"/>
  <c r="BF229" i="1" s="1"/>
  <c r="BF230" i="1" s="1"/>
  <c r="BF244" i="1" s="1"/>
  <c r="BE228" i="1"/>
  <c r="BE229" i="1" s="1"/>
  <c r="BE230" i="1" s="1"/>
  <c r="BC191" i="1"/>
  <c r="BC192" i="1" s="1"/>
  <c r="BA197" i="1"/>
  <c r="BE188" i="1"/>
  <c r="BC279" i="1" l="1"/>
  <c r="BC277" i="1"/>
  <c r="BC275" i="1"/>
  <c r="BA142" i="1"/>
  <c r="BA145" i="1" s="1"/>
  <c r="BE217" i="1"/>
  <c r="BE220" i="1" s="1"/>
  <c r="BE244" i="1"/>
  <c r="BE241" i="1"/>
  <c r="BD240" i="1"/>
  <c r="BD241" i="1" s="1"/>
  <c r="BD242" i="1" s="1"/>
  <c r="BC242" i="1"/>
  <c r="BG184" i="1"/>
  <c r="BG187" i="1" s="1"/>
  <c r="BC196" i="1"/>
  <c r="BC199" i="1"/>
  <c r="BC140" i="1" l="1"/>
  <c r="BC141" i="1" s="1"/>
  <c r="BC144" i="1" s="1"/>
  <c r="BD68" i="1"/>
  <c r="BG216" i="1"/>
  <c r="BG217" i="1" s="1"/>
  <c r="BG220" i="1" s="1"/>
  <c r="BH228" i="1"/>
  <c r="BH229" i="1" s="1"/>
  <c r="BH230" i="1" s="1"/>
  <c r="BH244" i="1" s="1"/>
  <c r="BG228" i="1"/>
  <c r="BG229" i="1" s="1"/>
  <c r="BG230" i="1" s="1"/>
  <c r="BC197" i="1"/>
  <c r="BE191" i="1"/>
  <c r="BE192" i="1" s="1"/>
  <c r="BG188" i="1"/>
  <c r="BE277" i="1" l="1"/>
  <c r="BE279" i="1"/>
  <c r="BE275" i="1"/>
  <c r="BC142" i="1"/>
  <c r="BC145" i="1" s="1"/>
  <c r="BG215" i="1"/>
  <c r="BG244" i="1"/>
  <c r="BG241" i="1"/>
  <c r="BF240" i="1"/>
  <c r="BF241" i="1" s="1"/>
  <c r="BF242" i="1" s="1"/>
  <c r="BE242" i="1"/>
  <c r="BE199" i="1"/>
  <c r="BE196" i="1"/>
  <c r="BI184" i="1"/>
  <c r="BI187" i="1" s="1"/>
  <c r="BE140" i="1" l="1"/>
  <c r="BE141" i="1" s="1"/>
  <c r="BE144" i="1" s="1"/>
  <c r="BF68" i="1"/>
  <c r="BI216" i="1"/>
  <c r="BI215" i="1" s="1"/>
  <c r="BJ228" i="1"/>
  <c r="BJ229" i="1" s="1"/>
  <c r="BJ230" i="1" s="1"/>
  <c r="BJ244" i="1" s="1"/>
  <c r="BI228" i="1"/>
  <c r="BI229" i="1" s="1"/>
  <c r="BI230" i="1" s="1"/>
  <c r="BE197" i="1"/>
  <c r="BG191" i="1"/>
  <c r="BG192" i="1" s="1"/>
  <c r="BI188" i="1"/>
  <c r="BG277" i="1" l="1"/>
  <c r="BG279" i="1"/>
  <c r="BG275" i="1"/>
  <c r="BE142" i="1"/>
  <c r="BE145" i="1" s="1"/>
  <c r="BI217" i="1"/>
  <c r="BI220" i="1" s="1"/>
  <c r="BI244" i="1"/>
  <c r="BI241" i="1"/>
  <c r="BH240" i="1"/>
  <c r="BH241" i="1" s="1"/>
  <c r="BH242" i="1" s="1"/>
  <c r="BG242" i="1"/>
  <c r="BG196" i="1"/>
  <c r="BG199" i="1"/>
  <c r="BK184" i="1"/>
  <c r="BK187" i="1" s="1"/>
  <c r="BG140" i="1" l="1"/>
  <c r="BG141" i="1" s="1"/>
  <c r="BG144" i="1" s="1"/>
  <c r="BH68" i="1"/>
  <c r="BL228" i="1"/>
  <c r="BL229" i="1" s="1"/>
  <c r="BL230" i="1" s="1"/>
  <c r="BL244" i="1" s="1"/>
  <c r="BK216" i="1"/>
  <c r="BK215" i="1" s="1"/>
  <c r="BK228" i="1"/>
  <c r="BK229" i="1" s="1"/>
  <c r="BK230" i="1" s="1"/>
  <c r="BK188" i="1"/>
  <c r="BG197" i="1"/>
  <c r="BI191" i="1"/>
  <c r="BI192" i="1" s="1"/>
  <c r="BI279" i="1" l="1"/>
  <c r="BI277" i="1"/>
  <c r="BI275" i="1"/>
  <c r="BG142" i="1"/>
  <c r="BG145" i="1" s="1"/>
  <c r="BK217" i="1"/>
  <c r="BK220" i="1" s="1"/>
  <c r="BK244" i="1"/>
  <c r="BK241" i="1"/>
  <c r="BJ240" i="1"/>
  <c r="BJ241" i="1" s="1"/>
  <c r="BJ242" i="1" s="1"/>
  <c r="BI242" i="1"/>
  <c r="BI199" i="1"/>
  <c r="BI196" i="1"/>
  <c r="BM184" i="1"/>
  <c r="BM187" i="1" s="1"/>
  <c r="BI140" i="1" l="1"/>
  <c r="BI142" i="1" s="1"/>
  <c r="BI145" i="1" s="1"/>
  <c r="BJ68" i="1"/>
  <c r="BM216" i="1"/>
  <c r="BM215" i="1" s="1"/>
  <c r="BN228" i="1"/>
  <c r="BN229" i="1" s="1"/>
  <c r="BN230" i="1" s="1"/>
  <c r="BN244" i="1" s="1"/>
  <c r="BM228" i="1"/>
  <c r="BM229" i="1" s="1"/>
  <c r="BM230" i="1" s="1"/>
  <c r="BM188" i="1"/>
  <c r="BI197" i="1"/>
  <c r="BK191" i="1"/>
  <c r="BK192" i="1" s="1"/>
  <c r="BK279" i="1" l="1"/>
  <c r="BK277" i="1"/>
  <c r="BK275" i="1"/>
  <c r="BI141" i="1"/>
  <c r="BI144" i="1" s="1"/>
  <c r="BM217" i="1"/>
  <c r="BM220" i="1" s="1"/>
  <c r="BM244" i="1"/>
  <c r="BM241" i="1"/>
  <c r="BL240" i="1"/>
  <c r="BL241" i="1" s="1"/>
  <c r="BL242" i="1" s="1"/>
  <c r="BK242" i="1"/>
  <c r="BK199" i="1"/>
  <c r="BK196" i="1"/>
  <c r="BO184" i="1"/>
  <c r="BO187" i="1" s="1"/>
  <c r="BK140" i="1" l="1"/>
  <c r="BK142" i="1" s="1"/>
  <c r="BK145" i="1" s="1"/>
  <c r="BL68" i="1"/>
  <c r="BO216" i="1"/>
  <c r="BO215" i="1" s="1"/>
  <c r="BP228" i="1"/>
  <c r="BP229" i="1" s="1"/>
  <c r="BP230" i="1" s="1"/>
  <c r="BP244" i="1" s="1"/>
  <c r="BO228" i="1"/>
  <c r="BO229" i="1" s="1"/>
  <c r="BO230" i="1" s="1"/>
  <c r="BM191" i="1"/>
  <c r="BM192" i="1" s="1"/>
  <c r="BK197" i="1"/>
  <c r="BO188" i="1"/>
  <c r="BM277" i="1" l="1"/>
  <c r="BM279" i="1"/>
  <c r="BM275" i="1"/>
  <c r="BK141" i="1"/>
  <c r="BK144" i="1" s="1"/>
  <c r="BO217" i="1"/>
  <c r="BO220" i="1" s="1"/>
  <c r="BO244" i="1"/>
  <c r="BO241" i="1"/>
  <c r="BN240" i="1"/>
  <c r="BN241" i="1" s="1"/>
  <c r="BN242" i="1" s="1"/>
  <c r="BM242" i="1"/>
  <c r="BM196" i="1"/>
  <c r="BM199" i="1"/>
  <c r="BQ184" i="1"/>
  <c r="BQ187" i="1" s="1"/>
  <c r="BM140" i="1" l="1"/>
  <c r="BM141" i="1" s="1"/>
  <c r="BM144" i="1" s="1"/>
  <c r="BN68" i="1"/>
  <c r="BQ216" i="1"/>
  <c r="BQ215" i="1" s="1"/>
  <c r="BR228" i="1"/>
  <c r="BR229" i="1" s="1"/>
  <c r="BR230" i="1" s="1"/>
  <c r="BR244" i="1" s="1"/>
  <c r="BQ228" i="1"/>
  <c r="BQ229" i="1" s="1"/>
  <c r="BQ230" i="1" s="1"/>
  <c r="BO191" i="1"/>
  <c r="BO192" i="1" s="1"/>
  <c r="BQ188" i="1"/>
  <c r="BM197" i="1"/>
  <c r="BO277" i="1" l="1"/>
  <c r="BO279" i="1"/>
  <c r="BO275" i="1"/>
  <c r="BM142" i="1"/>
  <c r="BM145" i="1" s="1"/>
  <c r="BQ217" i="1"/>
  <c r="BQ220" i="1" s="1"/>
  <c r="BQ244" i="1"/>
  <c r="BQ241" i="1"/>
  <c r="BP240" i="1"/>
  <c r="BP241" i="1" s="1"/>
  <c r="BP242" i="1" s="1"/>
  <c r="BO242" i="1"/>
  <c r="BS184" i="1"/>
  <c r="BS187" i="1" s="1"/>
  <c r="BO196" i="1"/>
  <c r="BO199" i="1"/>
  <c r="BO140" i="1" l="1"/>
  <c r="BO141" i="1" s="1"/>
  <c r="BO144" i="1" s="1"/>
  <c r="BP68" i="1"/>
  <c r="BS216" i="1"/>
  <c r="BS215" i="1" s="1"/>
  <c r="BT228" i="1"/>
  <c r="BT229" i="1" s="1"/>
  <c r="BT230" i="1" s="1"/>
  <c r="BT244" i="1" s="1"/>
  <c r="BS228" i="1"/>
  <c r="BS229" i="1" s="1"/>
  <c r="BS230" i="1" s="1"/>
  <c r="BO197" i="1"/>
  <c r="BS188" i="1"/>
  <c r="BQ191" i="1"/>
  <c r="BQ192" i="1" s="1"/>
  <c r="BQ279" i="1" l="1"/>
  <c r="BQ277" i="1"/>
  <c r="BQ275" i="1"/>
  <c r="BO142" i="1"/>
  <c r="BO145" i="1" s="1"/>
  <c r="BS217" i="1"/>
  <c r="BS220" i="1" s="1"/>
  <c r="BS244" i="1"/>
  <c r="BS241" i="1"/>
  <c r="BR240" i="1"/>
  <c r="BR241" i="1" s="1"/>
  <c r="BR242" i="1" s="1"/>
  <c r="BQ242" i="1"/>
  <c r="BQ196" i="1"/>
  <c r="BQ199" i="1"/>
  <c r="BU184" i="1"/>
  <c r="BU187" i="1" s="1"/>
  <c r="BQ140" i="1" l="1"/>
  <c r="BQ141" i="1" s="1"/>
  <c r="BQ144" i="1" s="1"/>
  <c r="BR68" i="1"/>
  <c r="BU216" i="1"/>
  <c r="BU215" i="1" s="1"/>
  <c r="BV228" i="1"/>
  <c r="BV229" i="1" s="1"/>
  <c r="BV230" i="1" s="1"/>
  <c r="BV244" i="1" s="1"/>
  <c r="BU228" i="1"/>
  <c r="BU229" i="1" s="1"/>
  <c r="BU230" i="1" s="1"/>
  <c r="BS191" i="1"/>
  <c r="BS192" i="1" s="1"/>
  <c r="BQ197" i="1"/>
  <c r="BU188" i="1"/>
  <c r="BS279" i="1" l="1"/>
  <c r="BS277" i="1"/>
  <c r="BS275" i="1"/>
  <c r="BQ142" i="1"/>
  <c r="BQ145" i="1" s="1"/>
  <c r="BU217" i="1"/>
  <c r="BU220" i="1" s="1"/>
  <c r="BU244" i="1"/>
  <c r="BU241" i="1"/>
  <c r="BT240" i="1"/>
  <c r="BT241" i="1" s="1"/>
  <c r="BT242" i="1" s="1"/>
  <c r="BS242" i="1"/>
  <c r="BS196" i="1"/>
  <c r="BS199" i="1"/>
  <c r="BW184" i="1"/>
  <c r="BW187" i="1" s="1"/>
  <c r="BS140" i="1" l="1"/>
  <c r="BS142" i="1" s="1"/>
  <c r="BS145" i="1" s="1"/>
  <c r="BT68" i="1"/>
  <c r="BW216" i="1"/>
  <c r="BW215" i="1" s="1"/>
  <c r="BX228" i="1"/>
  <c r="BX229" i="1" s="1"/>
  <c r="BX230" i="1" s="1"/>
  <c r="BX244" i="1" s="1"/>
  <c r="BW228" i="1"/>
  <c r="BW229" i="1" s="1"/>
  <c r="BW230" i="1" s="1"/>
  <c r="BW188" i="1"/>
  <c r="BS197" i="1"/>
  <c r="BU191" i="1"/>
  <c r="BU192" i="1" s="1"/>
  <c r="BU277" i="1" l="1"/>
  <c r="BU279" i="1"/>
  <c r="BU275" i="1"/>
  <c r="BS141" i="1"/>
  <c r="BS144" i="1" s="1"/>
  <c r="BW217" i="1"/>
  <c r="BW220" i="1" s="1"/>
  <c r="BW244" i="1"/>
  <c r="BW241" i="1"/>
  <c r="BV240" i="1"/>
  <c r="BV241" i="1" s="1"/>
  <c r="BV242" i="1" s="1"/>
  <c r="BU242" i="1"/>
  <c r="BU196" i="1"/>
  <c r="BU199" i="1"/>
  <c r="BY184" i="1"/>
  <c r="BY187" i="1" s="1"/>
  <c r="BU140" i="1" l="1"/>
  <c r="BU142" i="1" s="1"/>
  <c r="BU145" i="1" s="1"/>
  <c r="BV68" i="1"/>
  <c r="BZ228" i="1"/>
  <c r="BZ229" i="1" s="1"/>
  <c r="BZ230" i="1" s="1"/>
  <c r="BZ244" i="1" s="1"/>
  <c r="BY216" i="1"/>
  <c r="BY215" i="1" s="1"/>
  <c r="BY228" i="1"/>
  <c r="BY229" i="1" s="1"/>
  <c r="BY230" i="1" s="1"/>
  <c r="BW191" i="1"/>
  <c r="BW192" i="1" s="1"/>
  <c r="BY188" i="1"/>
  <c r="BU197" i="1"/>
  <c r="BW277" i="1" l="1"/>
  <c r="BW279" i="1"/>
  <c r="BW275" i="1"/>
  <c r="BU141" i="1"/>
  <c r="BU144" i="1" s="1"/>
  <c r="BY217" i="1"/>
  <c r="BY220" i="1" s="1"/>
  <c r="BY244" i="1"/>
  <c r="BY241" i="1"/>
  <c r="BX240" i="1"/>
  <c r="BX241" i="1" s="1"/>
  <c r="BX242" i="1" s="1"/>
  <c r="BW242" i="1"/>
  <c r="BW196" i="1"/>
  <c r="BW199" i="1"/>
  <c r="BW140" i="1" l="1"/>
  <c r="BW142" i="1" s="1"/>
  <c r="BW145" i="1" s="1"/>
  <c r="BX68" i="1"/>
  <c r="BW197" i="1"/>
  <c r="BY191" i="1"/>
  <c r="BY192" i="1" s="1"/>
  <c r="BY279" i="1" l="1"/>
  <c r="BY277" i="1"/>
  <c r="BY275" i="1"/>
  <c r="BW141" i="1"/>
  <c r="BW144" i="1" s="1"/>
  <c r="BZ240" i="1"/>
  <c r="BZ241" i="1" s="1"/>
  <c r="BZ242" i="1" s="1"/>
  <c r="BY242" i="1"/>
  <c r="BY199" i="1"/>
  <c r="BY196" i="1"/>
  <c r="BY140" i="1" l="1"/>
  <c r="BY141" i="1" s="1"/>
  <c r="BY144" i="1" s="1"/>
  <c r="BZ68" i="1"/>
  <c r="BY197" i="1"/>
  <c r="CC176" i="1"/>
  <c r="CC175" i="1"/>
  <c r="CA175" i="1"/>
  <c r="CA184" i="1"/>
  <c r="CA187" i="1" s="1"/>
  <c r="CA176" i="1"/>
  <c r="BY142" i="1" l="1"/>
  <c r="BY145" i="1" s="1"/>
  <c r="CA179" i="1"/>
  <c r="CA213" i="1" s="1"/>
  <c r="CA212" i="1" s="1"/>
  <c r="CB228" i="1"/>
  <c r="CA216" i="1"/>
  <c r="CA215" i="1" s="1"/>
  <c r="CA228" i="1"/>
  <c r="CC184" i="1"/>
  <c r="CC187" i="1" s="1"/>
  <c r="CC179" i="1"/>
  <c r="CA188" i="1" l="1"/>
  <c r="CA227" i="1"/>
  <c r="CA229" i="1" s="1"/>
  <c r="CA230" i="1" s="1"/>
  <c r="CA244" i="1" s="1"/>
  <c r="CB227" i="1"/>
  <c r="CB229" i="1" s="1"/>
  <c r="CB230" i="1" s="1"/>
  <c r="CB244" i="1" s="1"/>
  <c r="CA217" i="1"/>
  <c r="CD227" i="1"/>
  <c r="CC213" i="1"/>
  <c r="CC212" i="1" s="1"/>
  <c r="CC227" i="1"/>
  <c r="CC216" i="1"/>
  <c r="CC215" i="1" s="1"/>
  <c r="CD228" i="1"/>
  <c r="CC228" i="1"/>
  <c r="CC188" i="1"/>
  <c r="CA220" i="1" l="1"/>
  <c r="CE220" i="1"/>
  <c r="CC229" i="1"/>
  <c r="CC230" i="1" s="1"/>
  <c r="CC244" i="1" s="1"/>
  <c r="CD229" i="1"/>
  <c r="CD230" i="1" s="1"/>
  <c r="CD244" i="1" s="1"/>
  <c r="CA241" i="1"/>
  <c r="CA191" i="1" s="1"/>
  <c r="CA192" i="1" s="1"/>
  <c r="CC217" i="1"/>
  <c r="CA279" i="1" l="1"/>
  <c r="CA277" i="1"/>
  <c r="CA275" i="1"/>
  <c r="CC220" i="1"/>
  <c r="CG220" i="1"/>
  <c r="CC241" i="1"/>
  <c r="CC191" i="1" s="1"/>
  <c r="CC192" i="1" s="1"/>
  <c r="CB240" i="1"/>
  <c r="CB241" i="1" s="1"/>
  <c r="CB242" i="1" s="1"/>
  <c r="CA242" i="1"/>
  <c r="CA199" i="1"/>
  <c r="CA196" i="1"/>
  <c r="CC277" i="1" l="1"/>
  <c r="CC279" i="1"/>
  <c r="CC275" i="1"/>
  <c r="CA140" i="1"/>
  <c r="CA141" i="1" s="1"/>
  <c r="CA144" i="1" s="1"/>
  <c r="CB68" i="1"/>
  <c r="CD240" i="1"/>
  <c r="CD241" i="1" s="1"/>
  <c r="CD242" i="1" s="1"/>
  <c r="CC242" i="1"/>
  <c r="CC196" i="1"/>
  <c r="CC199" i="1"/>
  <c r="CA197" i="1"/>
  <c r="CA142" i="1" l="1"/>
  <c r="CA145" i="1" s="1"/>
  <c r="CC140" i="1"/>
  <c r="CC141" i="1" s="1"/>
  <c r="CC144" i="1" s="1"/>
  <c r="CD68" i="1"/>
  <c r="CC197" i="1"/>
  <c r="CC142" i="1" l="1"/>
  <c r="CC145" i="1" s="1"/>
  <c r="CE120" i="1"/>
  <c r="CD120" i="1"/>
  <c r="CC120" i="1"/>
  <c r="CB120" i="1"/>
  <c r="Y120" i="1"/>
  <c r="CI176" i="1" l="1"/>
  <c r="CI184" i="1"/>
  <c r="CI187" i="1" s="1"/>
  <c r="CI175" i="1"/>
  <c r="CJ228" i="1" l="1"/>
  <c r="CI179" i="1"/>
  <c r="CI228" i="1"/>
  <c r="CJ227" i="1" l="1"/>
  <c r="CJ229" i="1" s="1"/>
  <c r="CJ230" i="1" s="1"/>
  <c r="CJ244" i="1" s="1"/>
  <c r="CI188" i="1"/>
  <c r="CI227" i="1"/>
  <c r="CI229" i="1" s="1"/>
  <c r="CI230" i="1" s="1"/>
  <c r="CI244" i="1" s="1"/>
  <c r="CI217" i="1" l="1"/>
  <c r="CI220" i="1" s="1"/>
  <c r="CI241" i="1"/>
  <c r="CI191" i="1" s="1"/>
  <c r="CI192" i="1" s="1"/>
  <c r="CI279" i="1" l="1"/>
  <c r="CI277" i="1"/>
  <c r="CI275" i="1"/>
  <c r="CI242" i="1"/>
  <c r="CJ240" i="1"/>
  <c r="CJ241" i="1" s="1"/>
  <c r="CI199" i="1"/>
  <c r="CI196" i="1"/>
  <c r="CI140" i="1" l="1"/>
  <c r="CI142" i="1" s="1"/>
  <c r="CI145" i="1" s="1"/>
  <c r="CJ68" i="1"/>
  <c r="CJ242" i="1"/>
  <c r="CI197" i="1"/>
  <c r="CI141" i="1" l="1"/>
  <c r="CI144" i="1" s="1"/>
  <c r="CJ199" i="1"/>
  <c r="CJ140" i="1" l="1"/>
  <c r="CK68" i="1"/>
  <c r="CJ141" i="1" l="1"/>
  <c r="CJ144" i="1" s="1"/>
  <c r="CJ142" i="1"/>
  <c r="CJ145" i="1" s="1"/>
  <c r="CK262" i="1" l="1"/>
  <c r="CK284" i="1"/>
  <c r="CK283" i="1"/>
  <c r="CN41" i="1"/>
  <c r="CN284" i="1"/>
  <c r="CM41" i="1"/>
  <c r="CM284" i="1"/>
  <c r="CN262" i="1"/>
  <c r="CM262" i="1"/>
  <c r="CM129" i="1"/>
  <c r="CM130" i="1" s="1"/>
  <c r="CM133" i="1" s="1"/>
  <c r="CN129" i="1"/>
  <c r="CN130" i="1" s="1"/>
  <c r="CN133" i="1" s="1"/>
  <c r="CP39" i="1"/>
  <c r="CM177" i="1" l="1"/>
  <c r="CQ39" i="1"/>
  <c r="CQ284" i="1" s="1"/>
  <c r="CO39" i="1"/>
  <c r="CO41" i="1" s="1"/>
  <c r="CN57" i="1"/>
  <c r="CN54" i="1" s="1"/>
  <c r="CR39" i="1"/>
  <c r="CR284" i="1" s="1"/>
  <c r="CN176" i="1"/>
  <c r="CN47" i="1"/>
  <c r="CN175" i="1"/>
  <c r="CN184" i="1"/>
  <c r="CM57" i="1"/>
  <c r="CM54" i="1" s="1"/>
  <c r="CM184" i="1"/>
  <c r="CN43" i="1"/>
  <c r="CN183" i="1"/>
  <c r="CN177" i="1"/>
  <c r="CM176" i="1"/>
  <c r="CM43" i="1"/>
  <c r="CM47" i="1"/>
  <c r="CM46" i="1" s="1"/>
  <c r="CM183" i="1"/>
  <c r="CM175" i="1"/>
  <c r="CK175" i="1"/>
  <c r="CK184" i="1"/>
  <c r="CK176" i="1"/>
  <c r="CM256" i="1"/>
  <c r="CK183" i="1"/>
  <c r="CK256" i="1"/>
  <c r="CK177" i="1"/>
  <c r="CN256" i="1"/>
  <c r="CO256" i="1" l="1"/>
  <c r="CS39" i="1"/>
  <c r="CM187" i="1"/>
  <c r="CK187" i="1"/>
  <c r="CN46" i="1"/>
  <c r="CN49" i="1"/>
  <c r="CN59" i="1"/>
  <c r="CN179" i="1"/>
  <c r="CM179" i="1"/>
  <c r="CN187" i="1"/>
  <c r="CR41" i="1"/>
  <c r="CV39" i="1" s="1"/>
  <c r="CM49" i="1"/>
  <c r="CR262" i="1"/>
  <c r="CQ41" i="1"/>
  <c r="CQ262" i="1"/>
  <c r="CM59" i="1"/>
  <c r="CR129" i="1"/>
  <c r="CR130" i="1" s="1"/>
  <c r="CR133" i="1" s="1"/>
  <c r="CP284" i="1"/>
  <c r="CN50" i="1"/>
  <c r="CO129" i="1"/>
  <c r="CO130" i="1" s="1"/>
  <c r="CO133" i="1" s="1"/>
  <c r="CO284" i="1"/>
  <c r="CO262" i="1"/>
  <c r="CK179" i="1"/>
  <c r="CM50" i="1"/>
  <c r="CP262" i="1"/>
  <c r="CP41" i="1"/>
  <c r="CT39" i="1" s="1"/>
  <c r="CQ129" i="1"/>
  <c r="CQ130" i="1" s="1"/>
  <c r="CQ133" i="1" s="1"/>
  <c r="AB39" i="1"/>
  <c r="AB284" i="1" s="1"/>
  <c r="CP129" i="1"/>
  <c r="CP130" i="1" s="1"/>
  <c r="CP133" i="1" s="1"/>
  <c r="CO175" i="1"/>
  <c r="CO47" i="1"/>
  <c r="CO183" i="1"/>
  <c r="CO184" i="1"/>
  <c r="CO57" i="1"/>
  <c r="CO54" i="1" s="1"/>
  <c r="CO176" i="1"/>
  <c r="CO177" i="1"/>
  <c r="CO43" i="1"/>
  <c r="CK228" i="1" l="1"/>
  <c r="CL228" i="1"/>
  <c r="CK227" i="1"/>
  <c r="CL227" i="1"/>
  <c r="CL229" i="1" s="1"/>
  <c r="CL230" i="1" s="1"/>
  <c r="CL244" i="1" s="1"/>
  <c r="CU39" i="1"/>
  <c r="CU262" i="1" s="1"/>
  <c r="CN281" i="1"/>
  <c r="CN282" i="1" s="1"/>
  <c r="CN228" i="1"/>
  <c r="CN60" i="1"/>
  <c r="CN263" i="1"/>
  <c r="CN264" i="1" s="1"/>
  <c r="CN61" i="1"/>
  <c r="CN65" i="1"/>
  <c r="CN188" i="1"/>
  <c r="CM188" i="1"/>
  <c r="CN227" i="1"/>
  <c r="CR183" i="1"/>
  <c r="CR47" i="1"/>
  <c r="CR175" i="1"/>
  <c r="CR176" i="1"/>
  <c r="CR43" i="1"/>
  <c r="CR177" i="1"/>
  <c r="CR57" i="1"/>
  <c r="CR54" i="1" s="1"/>
  <c r="CR184" i="1"/>
  <c r="CK229" i="1"/>
  <c r="CQ43" i="1"/>
  <c r="CQ57" i="1"/>
  <c r="CQ54" i="1" s="1"/>
  <c r="CQ177" i="1"/>
  <c r="CQ176" i="1"/>
  <c r="CQ183" i="1"/>
  <c r="CQ184" i="1"/>
  <c r="CQ175" i="1"/>
  <c r="CN62" i="1"/>
  <c r="CM61" i="1"/>
  <c r="CM263" i="1"/>
  <c r="CM264" i="1" s="1"/>
  <c r="CM60" i="1"/>
  <c r="CM65" i="1"/>
  <c r="CQ47" i="1"/>
  <c r="CK188" i="1"/>
  <c r="CK281" i="1"/>
  <c r="CK282" i="1" s="1"/>
  <c r="CS129" i="1"/>
  <c r="CS130" i="1" s="1"/>
  <c r="CS133" i="1" s="1"/>
  <c r="CS284" i="1"/>
  <c r="CM281" i="1"/>
  <c r="CM282" i="1" s="1"/>
  <c r="CK263" i="1"/>
  <c r="CK264" i="1" s="1"/>
  <c r="CK257" i="1"/>
  <c r="CN257" i="1"/>
  <c r="CR256" i="1"/>
  <c r="CP256" i="1"/>
  <c r="AB41" i="1"/>
  <c r="CO187" i="1"/>
  <c r="CS41" i="1"/>
  <c r="CS262" i="1"/>
  <c r="CO179" i="1"/>
  <c r="CM143" i="1"/>
  <c r="CN143" i="1"/>
  <c r="CM228" i="1"/>
  <c r="CP176" i="1"/>
  <c r="AB176" i="1" s="1"/>
  <c r="AB211" i="1" s="1"/>
  <c r="CP175" i="1"/>
  <c r="CP183" i="1"/>
  <c r="CP47" i="1"/>
  <c r="CP46" i="1" s="1"/>
  <c r="CP184" i="1"/>
  <c r="AB184" i="1" s="1"/>
  <c r="AB214" i="1" s="1"/>
  <c r="CP177" i="1"/>
  <c r="AB177" i="1" s="1"/>
  <c r="CP43" i="1"/>
  <c r="CP57" i="1"/>
  <c r="CP54" i="1" s="1"/>
  <c r="CT284" i="1"/>
  <c r="CO59" i="1"/>
  <c r="CO49" i="1"/>
  <c r="CO50" i="1"/>
  <c r="CM227" i="1"/>
  <c r="CQ256" i="1"/>
  <c r="CO46" i="1"/>
  <c r="CM257" i="1"/>
  <c r="CM62" i="1"/>
  <c r="CU284" i="1" l="1"/>
  <c r="CU41" i="1"/>
  <c r="CU57" i="1" s="1"/>
  <c r="CU54" i="1" s="1"/>
  <c r="CS256" i="1"/>
  <c r="CW39" i="1"/>
  <c r="CW284" i="1" s="1"/>
  <c r="CR179" i="1"/>
  <c r="CQ187" i="1"/>
  <c r="AB54" i="1"/>
  <c r="AB57" i="1" s="1"/>
  <c r="AB58" i="1" s="1"/>
  <c r="CN229" i="1"/>
  <c r="CR187" i="1"/>
  <c r="CR49" i="1"/>
  <c r="CR50" i="1"/>
  <c r="CR59" i="1"/>
  <c r="CR46" i="1"/>
  <c r="CV284" i="1"/>
  <c r="CV262" i="1"/>
  <c r="CV41" i="1"/>
  <c r="CZ39" i="1" s="1"/>
  <c r="CQ46" i="1"/>
  <c r="CQ49" i="1"/>
  <c r="CQ59" i="1"/>
  <c r="CQ179" i="1"/>
  <c r="CO143" i="1"/>
  <c r="CO281" i="1"/>
  <c r="CO282" i="1" s="1"/>
  <c r="AB129" i="1"/>
  <c r="AB130" i="1" s="1"/>
  <c r="AB133" i="1" s="1"/>
  <c r="AB219" i="1"/>
  <c r="CQ50" i="1"/>
  <c r="AB46" i="1"/>
  <c r="AB47" i="1" s="1"/>
  <c r="CM229" i="1"/>
  <c r="CO188" i="1"/>
  <c r="CO227" i="1"/>
  <c r="CO257" i="1"/>
  <c r="AC39" i="1"/>
  <c r="AC284" i="1" s="1"/>
  <c r="CV129" i="1"/>
  <c r="CV130" i="1" s="1"/>
  <c r="CV133" i="1" s="1"/>
  <c r="AB42" i="1"/>
  <c r="AB89" i="1"/>
  <c r="AB175" i="1"/>
  <c r="CP179" i="1"/>
  <c r="CS175" i="1"/>
  <c r="CS47" i="1"/>
  <c r="CS46" i="1" s="1"/>
  <c r="CS183" i="1"/>
  <c r="CS43" i="1"/>
  <c r="CS176" i="1"/>
  <c r="CS184" i="1"/>
  <c r="CS177" i="1"/>
  <c r="CS57" i="1"/>
  <c r="CS54" i="1" s="1"/>
  <c r="CT129" i="1"/>
  <c r="CT130" i="1" s="1"/>
  <c r="CT133" i="1" s="1"/>
  <c r="CO228" i="1"/>
  <c r="CO61" i="1"/>
  <c r="CO263" i="1"/>
  <c r="CO264" i="1" s="1"/>
  <c r="CO65" i="1"/>
  <c r="CO62" i="1"/>
  <c r="CO60" i="1"/>
  <c r="CU47" i="1"/>
  <c r="CU46" i="1" s="1"/>
  <c r="CP49" i="1"/>
  <c r="CP59" i="1"/>
  <c r="CP50" i="1"/>
  <c r="CT262" i="1"/>
  <c r="CT41" i="1"/>
  <c r="AB183" i="1"/>
  <c r="AB187" i="1" s="1"/>
  <c r="CP187" i="1"/>
  <c r="CU129" i="1"/>
  <c r="CU130" i="1" s="1"/>
  <c r="CU133" i="1" s="1"/>
  <c r="CU175" i="1" l="1"/>
  <c r="CY39" i="1"/>
  <c r="CY284" i="1" s="1"/>
  <c r="CU183" i="1"/>
  <c r="CU176" i="1"/>
  <c r="CU184" i="1"/>
  <c r="CU177" i="1"/>
  <c r="CU43" i="1"/>
  <c r="CX39" i="1"/>
  <c r="CQ228" i="1"/>
  <c r="CV175" i="1"/>
  <c r="CV47" i="1"/>
  <c r="CV49" i="1" s="1"/>
  <c r="CV183" i="1"/>
  <c r="CR228" i="1"/>
  <c r="CR188" i="1"/>
  <c r="CR263" i="1"/>
  <c r="CR264" i="1" s="1"/>
  <c r="CR60" i="1"/>
  <c r="CR65" i="1"/>
  <c r="CR61" i="1"/>
  <c r="CV177" i="1"/>
  <c r="CV176" i="1"/>
  <c r="CV57" i="1"/>
  <c r="CV54" i="1" s="1"/>
  <c r="CV43" i="1"/>
  <c r="CV184" i="1"/>
  <c r="CQ65" i="1"/>
  <c r="CQ60" i="1"/>
  <c r="CQ61" i="1"/>
  <c r="CR62" i="1"/>
  <c r="CR281" i="1"/>
  <c r="CR282" i="1" s="1"/>
  <c r="CQ263" i="1"/>
  <c r="CQ264" i="1" s="1"/>
  <c r="CR227" i="1"/>
  <c r="CQ188" i="1"/>
  <c r="AB49" i="1"/>
  <c r="CP143" i="1"/>
  <c r="CP281" i="1"/>
  <c r="CP282" i="1" s="1"/>
  <c r="CQ281" i="1"/>
  <c r="CQ282" i="1" s="1"/>
  <c r="CS187" i="1"/>
  <c r="CS228" i="1" s="1"/>
  <c r="CV256" i="1"/>
  <c r="CP228" i="1"/>
  <c r="CP263" i="1"/>
  <c r="CP264" i="1" s="1"/>
  <c r="CP61" i="1"/>
  <c r="CP62" i="1"/>
  <c r="CP60" i="1"/>
  <c r="CP65" i="1"/>
  <c r="CT256" i="1"/>
  <c r="CP257" i="1"/>
  <c r="CU256" i="1"/>
  <c r="CR257" i="1"/>
  <c r="CQ257" i="1"/>
  <c r="CS59" i="1"/>
  <c r="CS281" i="1" s="1"/>
  <c r="CS282" i="1" s="1"/>
  <c r="CS49" i="1"/>
  <c r="CS50" i="1"/>
  <c r="AC41" i="1"/>
  <c r="CO229" i="1"/>
  <c r="CW262" i="1"/>
  <c r="CW41" i="1"/>
  <c r="CQ143" i="1"/>
  <c r="CW129" i="1"/>
  <c r="CW130" i="1" s="1"/>
  <c r="CW133" i="1" s="1"/>
  <c r="CU59" i="1"/>
  <c r="CU49" i="1"/>
  <c r="CS179" i="1"/>
  <c r="CT175" i="1"/>
  <c r="CT184" i="1"/>
  <c r="AC184" i="1" s="1"/>
  <c r="AC214" i="1" s="1"/>
  <c r="CT47" i="1"/>
  <c r="CT46" i="1" s="1"/>
  <c r="AC46" i="1" s="1"/>
  <c r="CT176" i="1"/>
  <c r="AC176" i="1" s="1"/>
  <c r="AC211" i="1" s="1"/>
  <c r="CT183" i="1"/>
  <c r="CT57" i="1"/>
  <c r="CT54" i="1" s="1"/>
  <c r="CT43" i="1"/>
  <c r="CT177" i="1"/>
  <c r="AC177" i="1" s="1"/>
  <c r="AB90" i="1"/>
  <c r="AB48" i="1"/>
  <c r="AB59" i="1"/>
  <c r="AB281" i="1" s="1"/>
  <c r="AB282" i="1" s="1"/>
  <c r="CQ62" i="1"/>
  <c r="CQ227" i="1"/>
  <c r="CP188" i="1"/>
  <c r="CP227" i="1"/>
  <c r="AB216" i="1"/>
  <c r="AB215" i="1" s="1"/>
  <c r="AB228" i="1"/>
  <c r="CR143" i="1"/>
  <c r="AB179" i="1"/>
  <c r="AB210" i="1"/>
  <c r="CY41" i="1" l="1"/>
  <c r="CY262" i="1"/>
  <c r="CU179" i="1"/>
  <c r="CU187" i="1"/>
  <c r="CW256" i="1"/>
  <c r="DA39" i="1"/>
  <c r="DA284" i="1" s="1"/>
  <c r="CQ229" i="1"/>
  <c r="AC54" i="1"/>
  <c r="AC57" i="1" s="1"/>
  <c r="AC58" i="1" s="1"/>
  <c r="CV179" i="1"/>
  <c r="CV46" i="1"/>
  <c r="CV50" i="1"/>
  <c r="CV187" i="1"/>
  <c r="CV59" i="1"/>
  <c r="CZ284" i="1"/>
  <c r="CZ262" i="1"/>
  <c r="CZ41" i="1"/>
  <c r="CZ184" i="1" s="1"/>
  <c r="CR229" i="1"/>
  <c r="CX129" i="1"/>
  <c r="CX130" i="1" s="1"/>
  <c r="CX133" i="1" s="1"/>
  <c r="CX284" i="1"/>
  <c r="CP229" i="1"/>
  <c r="AC129" i="1"/>
  <c r="AC130" i="1" s="1"/>
  <c r="AC133" i="1" s="1"/>
  <c r="AC219" i="1"/>
  <c r="AB61" i="1"/>
  <c r="CT179" i="1"/>
  <c r="CT227" i="1" s="1"/>
  <c r="AC175" i="1"/>
  <c r="CS188" i="1"/>
  <c r="CS227" i="1"/>
  <c r="CS229" i="1" s="1"/>
  <c r="CU65" i="1"/>
  <c r="CU60" i="1"/>
  <c r="CU61" i="1"/>
  <c r="CU263" i="1"/>
  <c r="CU264" i="1" s="1"/>
  <c r="CY129" i="1"/>
  <c r="CY130" i="1" s="1"/>
  <c r="CY133" i="1" s="1"/>
  <c r="CS62" i="1"/>
  <c r="CS60" i="1"/>
  <c r="CS65" i="1"/>
  <c r="CS263" i="1"/>
  <c r="CS264" i="1" s="1"/>
  <c r="CS61" i="1"/>
  <c r="AB188" i="1"/>
  <c r="AB213" i="1"/>
  <c r="AB227" i="1"/>
  <c r="AB229" i="1" s="1"/>
  <c r="AB91" i="1"/>
  <c r="AB65" i="1"/>
  <c r="AB143" i="1"/>
  <c r="AB60" i="1"/>
  <c r="CW47" i="1"/>
  <c r="CW46" i="1" s="1"/>
  <c r="CW183" i="1"/>
  <c r="CW175" i="1"/>
  <c r="CW43" i="1"/>
  <c r="CW177" i="1"/>
  <c r="CW176" i="1"/>
  <c r="CW184" i="1"/>
  <c r="CW57" i="1"/>
  <c r="CW54" i="1" s="1"/>
  <c r="CT187" i="1"/>
  <c r="AC183" i="1"/>
  <c r="AC187" i="1" s="1"/>
  <c r="CS143" i="1"/>
  <c r="CK276" i="1"/>
  <c r="CK258" i="1"/>
  <c r="CK265" i="1"/>
  <c r="CS257" i="1"/>
  <c r="CT50" i="1"/>
  <c r="CT49" i="1"/>
  <c r="CT59" i="1"/>
  <c r="AC42" i="1"/>
  <c r="AC47" i="1"/>
  <c r="AC89" i="1"/>
  <c r="CX262" i="1"/>
  <c r="CX41" i="1"/>
  <c r="DB39" i="1" s="1"/>
  <c r="CZ129" i="1"/>
  <c r="CZ130" i="1" s="1"/>
  <c r="CZ133" i="1" s="1"/>
  <c r="CY176" i="1"/>
  <c r="CY47" i="1"/>
  <c r="CY46" i="1" s="1"/>
  <c r="CY184" i="1"/>
  <c r="CY177" i="1"/>
  <c r="CY183" i="1"/>
  <c r="CY57" i="1"/>
  <c r="CY54" i="1" s="1"/>
  <c r="CY175" i="1"/>
  <c r="CU50" i="1"/>
  <c r="AD39" i="1"/>
  <c r="AD284" i="1" s="1"/>
  <c r="CV227" i="1" l="1"/>
  <c r="CU188" i="1"/>
  <c r="CZ256" i="1"/>
  <c r="CV281" i="1"/>
  <c r="CV282" i="1" s="1"/>
  <c r="CV65" i="1"/>
  <c r="CV263" i="1"/>
  <c r="CV264" i="1" s="1"/>
  <c r="CV60" i="1"/>
  <c r="CV62" i="1"/>
  <c r="CV61" i="1"/>
  <c r="CZ57" i="1"/>
  <c r="CZ54" i="1" s="1"/>
  <c r="CZ175" i="1"/>
  <c r="CZ43" i="1"/>
  <c r="CZ183" i="1"/>
  <c r="CZ187" i="1" s="1"/>
  <c r="CZ177" i="1"/>
  <c r="CZ176" i="1"/>
  <c r="CZ47" i="1"/>
  <c r="CV188" i="1"/>
  <c r="CV228" i="1"/>
  <c r="AC49" i="1"/>
  <c r="CU143" i="1"/>
  <c r="CT281" i="1"/>
  <c r="CT282" i="1" s="1"/>
  <c r="CU281" i="1"/>
  <c r="CU282" i="1" s="1"/>
  <c r="CW187" i="1"/>
  <c r="CW228" i="1" s="1"/>
  <c r="CX256" i="1"/>
  <c r="CY256" i="1"/>
  <c r="CY43" i="1"/>
  <c r="CU228" i="1"/>
  <c r="CT228" i="1"/>
  <c r="CT229" i="1" s="1"/>
  <c r="CK224" i="1"/>
  <c r="CK226" i="1" s="1"/>
  <c r="CK230" i="1" s="1"/>
  <c r="CK244" i="1" s="1"/>
  <c r="CK150" i="1"/>
  <c r="CV257" i="1"/>
  <c r="AC59" i="1"/>
  <c r="AC281" i="1" s="1"/>
  <c r="AC282" i="1" s="1"/>
  <c r="AC90" i="1"/>
  <c r="AC48" i="1"/>
  <c r="CW179" i="1"/>
  <c r="CT257" i="1"/>
  <c r="AC210" i="1"/>
  <c r="AC179" i="1"/>
  <c r="DA262" i="1"/>
  <c r="DA41" i="1"/>
  <c r="DA256" i="1" s="1"/>
  <c r="CT188" i="1"/>
  <c r="CU227" i="1"/>
  <c r="CY179" i="1"/>
  <c r="CY187" i="1"/>
  <c r="CX175" i="1"/>
  <c r="CX176" i="1"/>
  <c r="AD176" i="1" s="1"/>
  <c r="AD211" i="1" s="1"/>
  <c r="CX47" i="1"/>
  <c r="CY50" i="1" s="1"/>
  <c r="CX184" i="1"/>
  <c r="AD184" i="1" s="1"/>
  <c r="AD214" i="1" s="1"/>
  <c r="CX183" i="1"/>
  <c r="CX43" i="1"/>
  <c r="CX57" i="1"/>
  <c r="CX54" i="1" s="1"/>
  <c r="CX177" i="1"/>
  <c r="AD177" i="1" s="1"/>
  <c r="CT65" i="1"/>
  <c r="CT61" i="1"/>
  <c r="CT60" i="1"/>
  <c r="CT263" i="1"/>
  <c r="CT264" i="1" s="1"/>
  <c r="CT62" i="1"/>
  <c r="CW50" i="1"/>
  <c r="CW49" i="1"/>
  <c r="CW59" i="1"/>
  <c r="CU257" i="1"/>
  <c r="CU62" i="1"/>
  <c r="CY49" i="1"/>
  <c r="CY59" i="1"/>
  <c r="AD41" i="1"/>
  <c r="DA129" i="1"/>
  <c r="DA130" i="1" s="1"/>
  <c r="DA133" i="1" s="1"/>
  <c r="AC216" i="1"/>
  <c r="AC215" i="1" s="1"/>
  <c r="AC228" i="1"/>
  <c r="AB212" i="1"/>
  <c r="AB217" i="1"/>
  <c r="AB220" i="1" s="1"/>
  <c r="AB221" i="1" s="1"/>
  <c r="CT143" i="1"/>
  <c r="CV143" i="1"/>
  <c r="CV229" i="1" l="1"/>
  <c r="AD54" i="1"/>
  <c r="AD57" i="1" s="1"/>
  <c r="AD58" i="1" s="1"/>
  <c r="CZ179" i="1"/>
  <c r="CZ46" i="1"/>
  <c r="CZ49" i="1"/>
  <c r="CZ59" i="1"/>
  <c r="CZ50" i="1"/>
  <c r="CZ228" i="1"/>
  <c r="CW257" i="1"/>
  <c r="CW281" i="1"/>
  <c r="CW282" i="1" s="1"/>
  <c r="DB129" i="1"/>
  <c r="DB130" i="1" s="1"/>
  <c r="DB133" i="1" s="1"/>
  <c r="DB284" i="1"/>
  <c r="AD129" i="1"/>
  <c r="AD130" i="1" s="1"/>
  <c r="AD133" i="1" s="1"/>
  <c r="AD219" i="1"/>
  <c r="CU229" i="1"/>
  <c r="AC61" i="1"/>
  <c r="AD183" i="1"/>
  <c r="AD187" i="1" s="1"/>
  <c r="CX187" i="1"/>
  <c r="CY65" i="1"/>
  <c r="CY61" i="1"/>
  <c r="CY60" i="1"/>
  <c r="CY263" i="1"/>
  <c r="CY264" i="1" s="1"/>
  <c r="CY188" i="1"/>
  <c r="DA183" i="1"/>
  <c r="DA184" i="1"/>
  <c r="DA176" i="1"/>
  <c r="DA47" i="1"/>
  <c r="DA175" i="1"/>
  <c r="DA57" i="1"/>
  <c r="DA54" i="1" s="1"/>
  <c r="DA43" i="1"/>
  <c r="DA177" i="1"/>
  <c r="CK151" i="1"/>
  <c r="CL238" i="1" s="1"/>
  <c r="CL236" i="1" s="1"/>
  <c r="CX50" i="1"/>
  <c r="CX59" i="1"/>
  <c r="CY281" i="1" s="1"/>
  <c r="CY282" i="1" s="1"/>
  <c r="CX49" i="1"/>
  <c r="AC213" i="1"/>
  <c r="AC188" i="1"/>
  <c r="AC227" i="1"/>
  <c r="AC229" i="1" s="1"/>
  <c r="AC65" i="1"/>
  <c r="AC91" i="1"/>
  <c r="AC60" i="1"/>
  <c r="AC143" i="1"/>
  <c r="DB41" i="1"/>
  <c r="DB256" i="1" s="1"/>
  <c r="DB262" i="1"/>
  <c r="CW188" i="1"/>
  <c r="CW227" i="1"/>
  <c r="CW229" i="1" s="1"/>
  <c r="AD175" i="1"/>
  <c r="CX179" i="1"/>
  <c r="AD89" i="1"/>
  <c r="AD42" i="1"/>
  <c r="CW65" i="1"/>
  <c r="CW61" i="1"/>
  <c r="CW263" i="1"/>
  <c r="CW264" i="1" s="1"/>
  <c r="CW62" i="1"/>
  <c r="CW60" i="1"/>
  <c r="CW143" i="1"/>
  <c r="CX46" i="1"/>
  <c r="AD46" i="1" s="1"/>
  <c r="AD47" i="1" s="1"/>
  <c r="AE39" i="1"/>
  <c r="AE284" i="1" s="1"/>
  <c r="CK85" i="1" l="1"/>
  <c r="CK123" i="1"/>
  <c r="CZ227" i="1"/>
  <c r="CZ229" i="1" s="1"/>
  <c r="CZ188" i="1"/>
  <c r="CZ281" i="1"/>
  <c r="CZ282" i="1" s="1"/>
  <c r="CZ60" i="1"/>
  <c r="CZ263" i="1"/>
  <c r="CZ264" i="1" s="1"/>
  <c r="CZ62" i="1"/>
  <c r="CZ65" i="1"/>
  <c r="CZ61" i="1"/>
  <c r="AD49" i="1"/>
  <c r="CZ143" i="1"/>
  <c r="CX281" i="1"/>
  <c r="CX282" i="1" s="1"/>
  <c r="CY257" i="1"/>
  <c r="CY62" i="1"/>
  <c r="CZ257" i="1"/>
  <c r="CX257" i="1"/>
  <c r="CY143" i="1"/>
  <c r="CX143" i="1"/>
  <c r="DA179" i="1"/>
  <c r="DA227" i="1" s="1"/>
  <c r="AD48" i="1"/>
  <c r="AD90" i="1"/>
  <c r="AD59" i="1"/>
  <c r="AD281" i="1" s="1"/>
  <c r="AD282" i="1" s="1"/>
  <c r="CY227" i="1"/>
  <c r="CX188" i="1"/>
  <c r="CY228" i="1"/>
  <c r="CX228" i="1"/>
  <c r="AD216" i="1"/>
  <c r="AD215" i="1" s="1"/>
  <c r="AD228" i="1"/>
  <c r="CG120" i="1"/>
  <c r="DA50" i="1"/>
  <c r="DA49" i="1"/>
  <c r="DA59" i="1"/>
  <c r="DA281" i="1" s="1"/>
  <c r="DA282" i="1" s="1"/>
  <c r="CX227" i="1"/>
  <c r="CX65" i="1"/>
  <c r="CX61" i="1"/>
  <c r="CX60" i="1"/>
  <c r="CX263" i="1"/>
  <c r="CX264" i="1" s="1"/>
  <c r="CX62" i="1"/>
  <c r="AD210" i="1"/>
  <c r="AD179" i="1"/>
  <c r="CK238" i="1"/>
  <c r="CK236" i="1" s="1"/>
  <c r="CK241" i="1" s="1"/>
  <c r="CK160" i="1"/>
  <c r="CK86" i="1" s="1"/>
  <c r="AC212" i="1"/>
  <c r="AC217" i="1"/>
  <c r="AC220" i="1" s="1"/>
  <c r="AC221" i="1" s="1"/>
  <c r="DA46" i="1"/>
  <c r="DB176" i="1"/>
  <c r="AE176" i="1" s="1"/>
  <c r="AE211" i="1" s="1"/>
  <c r="DB47" i="1"/>
  <c r="DB46" i="1" s="1"/>
  <c r="DB175" i="1"/>
  <c r="DB57" i="1"/>
  <c r="DB54" i="1" s="1"/>
  <c r="DB184" i="1"/>
  <c r="AE184" i="1" s="1"/>
  <c r="AE214" i="1" s="1"/>
  <c r="DB43" i="1"/>
  <c r="DB177" i="1"/>
  <c r="AE177" i="1" s="1"/>
  <c r="DB183" i="1"/>
  <c r="AE41" i="1"/>
  <c r="DA187" i="1"/>
  <c r="CK125" i="1" l="1"/>
  <c r="CK126" i="1"/>
  <c r="CK127" i="1"/>
  <c r="AE54" i="1"/>
  <c r="AE57" i="1" s="1"/>
  <c r="AE58" i="1" s="1"/>
  <c r="AE129" i="1"/>
  <c r="AE130" i="1" s="1"/>
  <c r="AE133" i="1" s="1"/>
  <c r="AE219" i="1"/>
  <c r="AD61" i="1"/>
  <c r="DA188" i="1"/>
  <c r="CK191" i="1"/>
  <c r="CK192" i="1" s="1"/>
  <c r="CL240" i="1" s="1"/>
  <c r="CL241" i="1" s="1"/>
  <c r="CL242" i="1" s="1"/>
  <c r="DB50" i="1"/>
  <c r="DB59" i="1"/>
  <c r="DB281" i="1" s="1"/>
  <c r="DB282" i="1" s="1"/>
  <c r="DB49" i="1"/>
  <c r="CX229" i="1"/>
  <c r="CY229" i="1"/>
  <c r="AD188" i="1"/>
  <c r="AD213" i="1"/>
  <c r="AD227" i="1"/>
  <c r="AD229" i="1" s="1"/>
  <c r="DB179" i="1"/>
  <c r="AE175" i="1"/>
  <c r="DA65" i="1"/>
  <c r="DA60" i="1"/>
  <c r="DA61" i="1"/>
  <c r="DA62" i="1"/>
  <c r="DA263" i="1"/>
  <c r="DA264" i="1" s="1"/>
  <c r="AD65" i="1"/>
  <c r="AD60" i="1"/>
  <c r="AD143" i="1"/>
  <c r="AD91" i="1"/>
  <c r="AE42" i="1"/>
  <c r="AE89" i="1"/>
  <c r="AE46" i="1"/>
  <c r="AE47" i="1" s="1"/>
  <c r="AE49" i="1" s="1"/>
  <c r="DA143" i="1"/>
  <c r="DA257" i="1"/>
  <c r="AE183" i="1"/>
  <c r="AE187" i="1" s="1"/>
  <c r="DB187" i="1"/>
  <c r="DB228" i="1" s="1"/>
  <c r="DA228" i="1"/>
  <c r="DA229" i="1" s="1"/>
  <c r="CK196" i="1" l="1"/>
  <c r="CK197" i="1" s="1"/>
  <c r="CK199" i="1"/>
  <c r="CK242" i="1"/>
  <c r="CK279" i="1"/>
  <c r="CK275" i="1"/>
  <c r="CK277" i="1"/>
  <c r="AE59" i="1"/>
  <c r="AE48" i="1"/>
  <c r="AE90" i="1"/>
  <c r="DB65" i="1"/>
  <c r="DB62" i="1"/>
  <c r="DB263" i="1"/>
  <c r="DB264" i="1" s="1"/>
  <c r="DB60" i="1"/>
  <c r="DB61" i="1"/>
  <c r="DB143" i="1"/>
  <c r="AD217" i="1"/>
  <c r="AD220" i="1" s="1"/>
  <c r="AD221" i="1" s="1"/>
  <c r="AD212" i="1"/>
  <c r="AE179" i="1"/>
  <c r="AE210" i="1"/>
  <c r="DB188" i="1"/>
  <c r="DB227" i="1"/>
  <c r="DB229" i="1" s="1"/>
  <c r="AE216" i="1"/>
  <c r="AE215" i="1" s="1"/>
  <c r="AE228" i="1"/>
  <c r="DB257" i="1"/>
  <c r="CK140" i="1" l="1"/>
  <c r="CL68" i="1"/>
  <c r="CM68" i="1" s="1"/>
  <c r="CN68" i="1" s="1"/>
  <c r="CO68" i="1" s="1"/>
  <c r="CP68" i="1" s="1"/>
  <c r="CQ68" i="1" s="1"/>
  <c r="CR68" i="1" s="1"/>
  <c r="CS68" i="1" s="1"/>
  <c r="CT68" i="1" s="1"/>
  <c r="CU68" i="1" s="1"/>
  <c r="CV68" i="1" s="1"/>
  <c r="CW68" i="1" s="1"/>
  <c r="CX68" i="1" s="1"/>
  <c r="CY68" i="1" s="1"/>
  <c r="CZ68" i="1" s="1"/>
  <c r="DA68" i="1" s="1"/>
  <c r="DB68" i="1" s="1"/>
  <c r="AE61" i="1"/>
  <c r="AE281" i="1"/>
  <c r="AE282" i="1" s="1"/>
  <c r="AE188" i="1"/>
  <c r="AE213" i="1"/>
  <c r="AE227" i="1"/>
  <c r="AE229" i="1" s="1"/>
  <c r="AE65" i="1"/>
  <c r="AE60" i="1"/>
  <c r="AE91" i="1"/>
  <c r="AE143" i="1"/>
  <c r="CK141" i="1" l="1"/>
  <c r="CK144" i="1" s="1"/>
  <c r="CK142" i="1"/>
  <c r="CK145" i="1" s="1"/>
  <c r="AE217" i="1"/>
  <c r="AE220" i="1" s="1"/>
  <c r="AE221" i="1" s="1"/>
  <c r="AE212" i="1"/>
  <c r="CL18" i="1"/>
  <c r="Z120" i="1" l="1"/>
  <c r="CM118" i="1" l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H120" i="1"/>
  <c r="CM117" i="1" l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CY117" i="1" s="1"/>
  <c r="CZ117" i="1" s="1"/>
  <c r="DA117" i="1" s="1"/>
  <c r="DB117" i="1" s="1"/>
  <c r="CM240" i="1" l="1"/>
  <c r="CL140" i="1"/>
  <c r="AB240" i="1"/>
  <c r="CL142" i="1" l="1"/>
  <c r="CL145" i="1" s="1"/>
  <c r="CL141" i="1"/>
  <c r="CL144" i="1" s="1"/>
  <c r="CM67" i="1"/>
  <c r="CM283" i="1" s="1"/>
  <c r="CM69" i="1" l="1"/>
  <c r="CM70" i="1" l="1"/>
  <c r="CM72" i="1" l="1"/>
  <c r="CM74" i="1" l="1"/>
  <c r="CM75" i="1"/>
  <c r="CM265" i="1"/>
  <c r="CM79" i="1"/>
  <c r="CM73" i="1"/>
  <c r="CM276" i="1" s="1"/>
  <c r="CM258" i="1"/>
  <c r="CM224" i="1" l="1"/>
  <c r="CM226" i="1" s="1"/>
  <c r="CM230" i="1" s="1"/>
  <c r="CM244" i="1" s="1"/>
  <c r="CM97" i="1"/>
  <c r="CM150" i="1"/>
  <c r="CM151" i="1" l="1"/>
  <c r="CM100" i="1"/>
  <c r="CM101" i="1" l="1"/>
  <c r="CM109" i="1"/>
  <c r="CI120" i="1"/>
  <c r="CM116" i="1"/>
  <c r="CM110" i="1"/>
  <c r="CM160" i="1"/>
  <c r="CM86" i="1" s="1"/>
  <c r="CM123" i="1"/>
  <c r="CM125" i="1" s="1"/>
  <c r="CM238" i="1"/>
  <c r="CM236" i="1" s="1"/>
  <c r="CM241" i="1" s="1"/>
  <c r="CM85" i="1"/>
  <c r="CM191" i="1" l="1"/>
  <c r="CM192" i="1" s="1"/>
  <c r="CM113" i="1"/>
  <c r="CM139" i="1"/>
  <c r="CM112" i="1"/>
  <c r="CM138" i="1"/>
  <c r="CM242" i="1" l="1"/>
  <c r="CM279" i="1"/>
  <c r="CM277" i="1"/>
  <c r="CM275" i="1"/>
  <c r="CN240" i="1"/>
  <c r="CM196" i="1"/>
  <c r="CM199" i="1"/>
  <c r="CM197" i="1" l="1"/>
  <c r="CN67" i="1"/>
  <c r="CN283" i="1" s="1"/>
  <c r="CM140" i="1"/>
  <c r="CM141" i="1" l="1"/>
  <c r="CM144" i="1" s="1"/>
  <c r="CM142" i="1"/>
  <c r="CM145" i="1" s="1"/>
  <c r="CN69" i="1"/>
  <c r="CN70" i="1" l="1"/>
  <c r="CN72" i="1" s="1"/>
  <c r="CN74" i="1" l="1"/>
  <c r="CN75" i="1"/>
  <c r="CN79" i="1"/>
  <c r="CN265" i="1"/>
  <c r="CN73" i="1"/>
  <c r="CN276" i="1" s="1"/>
  <c r="CN258" i="1"/>
  <c r="CN97" i="1" l="1"/>
  <c r="CN224" i="1"/>
  <c r="CN226" i="1" s="1"/>
  <c r="CN230" i="1" s="1"/>
  <c r="CN244" i="1" s="1"/>
  <c r="CN150" i="1"/>
  <c r="CN100" i="1" l="1"/>
  <c r="CN151" i="1"/>
  <c r="CN101" i="1" l="1"/>
  <c r="CN160" i="1"/>
  <c r="CN86" i="1" s="1"/>
  <c r="CN238" i="1"/>
  <c r="CN236" i="1" s="1"/>
  <c r="CN241" i="1" s="1"/>
  <c r="CN123" i="1"/>
  <c r="CN125" i="1" s="1"/>
  <c r="CN85" i="1"/>
  <c r="CN116" i="1"/>
  <c r="CN109" i="1"/>
  <c r="CN110" i="1"/>
  <c r="CJ120" i="1"/>
  <c r="CN112" i="1" l="1"/>
  <c r="CN138" i="1"/>
  <c r="CN191" i="1"/>
  <c r="CN192" i="1" s="1"/>
  <c r="CN139" i="1"/>
  <c r="CN113" i="1"/>
  <c r="CN242" i="1" l="1"/>
  <c r="CN279" i="1"/>
  <c r="CN277" i="1"/>
  <c r="CN275" i="1"/>
  <c r="CN196" i="1"/>
  <c r="CN199" i="1"/>
  <c r="CO240" i="1"/>
  <c r="CN197" i="1" l="1"/>
  <c r="CO67" i="1"/>
  <c r="CO283" i="1" s="1"/>
  <c r="CN140" i="1"/>
  <c r="CO69" i="1" l="1"/>
  <c r="CN142" i="1"/>
  <c r="CN145" i="1" s="1"/>
  <c r="CN141" i="1"/>
  <c r="CN144" i="1" s="1"/>
  <c r="CO70" i="1" l="1"/>
  <c r="CO72" i="1" l="1"/>
  <c r="CO73" i="1" l="1"/>
  <c r="CO276" i="1" s="1"/>
  <c r="CO75" i="1"/>
  <c r="CO74" i="1"/>
  <c r="CO265" i="1"/>
  <c r="CO79" i="1"/>
  <c r="CO258" i="1"/>
  <c r="CO97" i="1" l="1"/>
  <c r="CO224" i="1"/>
  <c r="CO226" i="1" s="1"/>
  <c r="CO230" i="1" s="1"/>
  <c r="CO244" i="1" s="1"/>
  <c r="CO150" i="1"/>
  <c r="CO151" i="1" l="1"/>
  <c r="CO100" i="1"/>
  <c r="CK120" i="1" s="1"/>
  <c r="CO101" i="1" l="1"/>
  <c r="CO110" i="1"/>
  <c r="CO116" i="1"/>
  <c r="CO109" i="1"/>
  <c r="CO123" i="1"/>
  <c r="CO125" i="1" s="1"/>
  <c r="CO238" i="1"/>
  <c r="CO236" i="1" s="1"/>
  <c r="CO241" i="1" s="1"/>
  <c r="CO160" i="1"/>
  <c r="CO86" i="1" s="1"/>
  <c r="CO85" i="1"/>
  <c r="CO191" i="1" l="1"/>
  <c r="CO192" i="1" s="1"/>
  <c r="CO112" i="1"/>
  <c r="CO138" i="1"/>
  <c r="CO139" i="1"/>
  <c r="CO113" i="1"/>
  <c r="CO242" i="1" l="1"/>
  <c r="CO277" i="1"/>
  <c r="CO275" i="1"/>
  <c r="CO279" i="1"/>
  <c r="CO196" i="1"/>
  <c r="CO199" i="1"/>
  <c r="CP240" i="1"/>
  <c r="CP67" i="1" l="1"/>
  <c r="CP283" i="1" s="1"/>
  <c r="CO140" i="1"/>
  <c r="CO197" i="1"/>
  <c r="CO142" i="1" l="1"/>
  <c r="CO145" i="1" s="1"/>
  <c r="CO141" i="1"/>
  <c r="CO144" i="1" s="1"/>
  <c r="CP69" i="1"/>
  <c r="AB67" i="1"/>
  <c r="AB68" i="1" l="1"/>
  <c r="AB283" i="1"/>
  <c r="AB69" i="1"/>
  <c r="CP70" i="1"/>
  <c r="AB70" i="1" s="1"/>
  <c r="AB71" i="1" l="1"/>
  <c r="CP72" i="1"/>
  <c r="CP73" i="1" s="1"/>
  <c r="CP276" i="1" s="1"/>
  <c r="AB72" i="1"/>
  <c r="CP74" i="1" l="1"/>
  <c r="CP258" i="1"/>
  <c r="CP265" i="1"/>
  <c r="CP79" i="1"/>
  <c r="CP150" i="1" s="1"/>
  <c r="CP75" i="1"/>
  <c r="AB74" i="1"/>
  <c r="AB79" i="1"/>
  <c r="AB73" i="1"/>
  <c r="AB276" i="1" s="1"/>
  <c r="AB92" i="1"/>
  <c r="CP224" i="1" l="1"/>
  <c r="CP226" i="1" s="1"/>
  <c r="CP230" i="1" s="1"/>
  <c r="CP244" i="1" s="1"/>
  <c r="CP97" i="1"/>
  <c r="CP100" i="1" s="1"/>
  <c r="CL120" i="1" s="1"/>
  <c r="AB150" i="1"/>
  <c r="AB151" i="1" s="1"/>
  <c r="AB85" i="1" s="1"/>
  <c r="CP151" i="1"/>
  <c r="AB82" i="1"/>
  <c r="AB83" i="1" s="1"/>
  <c r="AB97" i="1"/>
  <c r="AB224" i="1"/>
  <c r="AB226" i="1" s="1"/>
  <c r="AB230" i="1" s="1"/>
  <c r="AB244" i="1" s="1"/>
  <c r="CP103" i="1" l="1"/>
  <c r="CP101" i="1"/>
  <c r="AB160" i="1"/>
  <c r="AB86" i="1" s="1"/>
  <c r="AB206" i="1"/>
  <c r="AB238" i="1"/>
  <c r="AB236" i="1" s="1"/>
  <c r="AB241" i="1" s="1"/>
  <c r="AB123" i="1"/>
  <c r="AB125" i="1" s="1"/>
  <c r="AB99" i="1"/>
  <c r="AB100" i="1"/>
  <c r="CP109" i="1"/>
  <c r="CP116" i="1"/>
  <c r="CP110" i="1"/>
  <c r="CP238" i="1"/>
  <c r="CP236" i="1" s="1"/>
  <c r="CP241" i="1" s="1"/>
  <c r="CP160" i="1"/>
  <c r="CP86" i="1" s="1"/>
  <c r="CP123" i="1"/>
  <c r="CP125" i="1" s="1"/>
  <c r="CP85" i="1"/>
  <c r="AB101" i="1" l="1"/>
  <c r="AA120" i="1"/>
  <c r="CP191" i="1"/>
  <c r="CP112" i="1"/>
  <c r="CP138" i="1"/>
  <c r="AB109" i="1"/>
  <c r="AB134" i="1" s="1"/>
  <c r="AB116" i="1"/>
  <c r="CP139" i="1"/>
  <c r="CP113" i="1"/>
  <c r="AB110" i="1"/>
  <c r="AB135" i="1" s="1"/>
  <c r="AB113" i="1" l="1"/>
  <c r="AB127" i="1"/>
  <c r="AB118" i="1"/>
  <c r="AB139" i="1"/>
  <c r="CP192" i="1"/>
  <c r="AB191" i="1"/>
  <c r="AB192" i="1" s="1"/>
  <c r="AB117" i="1"/>
  <c r="AB126" i="1"/>
  <c r="AB138" i="1"/>
  <c r="AB112" i="1"/>
  <c r="AB279" i="1" l="1"/>
  <c r="AB277" i="1"/>
  <c r="AB275" i="1"/>
  <c r="CP277" i="1"/>
  <c r="CP275" i="1"/>
  <c r="CP279" i="1"/>
  <c r="CP196" i="1"/>
  <c r="CQ240" i="1"/>
  <c r="CP199" i="1"/>
  <c r="CP242" i="1"/>
  <c r="AB199" i="1"/>
  <c r="AB140" i="1" s="1"/>
  <c r="AB142" i="1" s="1"/>
  <c r="AB145" i="1" s="1"/>
  <c r="AB196" i="1"/>
  <c r="AC240" i="1"/>
  <c r="AB242" i="1"/>
  <c r="AB141" i="1" l="1"/>
  <c r="AB144" i="1" s="1"/>
  <c r="AB197" i="1"/>
  <c r="CP140" i="1"/>
  <c r="CQ67" i="1"/>
  <c r="CQ283" i="1" s="1"/>
  <c r="CP197" i="1"/>
  <c r="CQ69" i="1" l="1"/>
  <c r="CP141" i="1"/>
  <c r="CP144" i="1" s="1"/>
  <c r="CP142" i="1"/>
  <c r="CP145" i="1" s="1"/>
  <c r="CQ70" i="1" l="1"/>
  <c r="CQ72" i="1" s="1"/>
  <c r="CQ79" i="1" l="1"/>
  <c r="CQ73" i="1"/>
  <c r="CQ276" i="1" s="1"/>
  <c r="CQ74" i="1"/>
  <c r="CQ75" i="1"/>
  <c r="CQ265" i="1"/>
  <c r="CQ258" i="1"/>
  <c r="CQ97" i="1" l="1"/>
  <c r="CQ224" i="1"/>
  <c r="CQ226" i="1" s="1"/>
  <c r="CQ230" i="1" s="1"/>
  <c r="CQ244" i="1" s="1"/>
  <c r="CQ150" i="1"/>
  <c r="CQ151" i="1" l="1"/>
  <c r="CQ100" i="1"/>
  <c r="CQ101" i="1" l="1"/>
  <c r="CQ110" i="1"/>
  <c r="CQ109" i="1"/>
  <c r="CQ116" i="1"/>
  <c r="CQ160" i="1"/>
  <c r="CQ86" i="1" s="1"/>
  <c r="CQ238" i="1"/>
  <c r="CQ236" i="1" s="1"/>
  <c r="CQ241" i="1" s="1"/>
  <c r="CQ123" i="1"/>
  <c r="CQ125" i="1" s="1"/>
  <c r="CQ85" i="1"/>
  <c r="CQ191" i="1" l="1"/>
  <c r="CQ192" i="1" s="1"/>
  <c r="CQ242" i="1" s="1"/>
  <c r="CQ138" i="1"/>
  <c r="CQ112" i="1"/>
  <c r="CQ139" i="1"/>
  <c r="CQ113" i="1"/>
  <c r="CQ279" i="1" l="1"/>
  <c r="CQ277" i="1"/>
  <c r="CQ275" i="1"/>
  <c r="CQ199" i="1"/>
  <c r="CR240" i="1"/>
  <c r="CQ196" i="1"/>
  <c r="CQ197" i="1" l="1"/>
  <c r="CQ140" i="1"/>
  <c r="CR67" i="1"/>
  <c r="CR283" i="1" s="1"/>
  <c r="CR69" i="1" l="1"/>
  <c r="CQ141" i="1"/>
  <c r="CQ144" i="1" s="1"/>
  <c r="CQ142" i="1"/>
  <c r="CQ145" i="1" s="1"/>
  <c r="CR70" i="1" l="1"/>
  <c r="CR72" i="1" s="1"/>
  <c r="CR265" i="1" l="1"/>
  <c r="CR73" i="1"/>
  <c r="CR276" i="1" s="1"/>
  <c r="CR79" i="1"/>
  <c r="CR74" i="1"/>
  <c r="CR75" i="1"/>
  <c r="CR258" i="1"/>
  <c r="CR97" i="1" l="1"/>
  <c r="CR224" i="1"/>
  <c r="CR226" i="1" s="1"/>
  <c r="CR230" i="1" s="1"/>
  <c r="CR244" i="1" s="1"/>
  <c r="CR150" i="1"/>
  <c r="CR151" i="1" l="1"/>
  <c r="CR100" i="1"/>
  <c r="CR101" i="1" l="1"/>
  <c r="CR116" i="1"/>
  <c r="CR109" i="1"/>
  <c r="CR110" i="1"/>
  <c r="CR160" i="1"/>
  <c r="CR86" i="1" s="1"/>
  <c r="CR238" i="1"/>
  <c r="CR236" i="1" s="1"/>
  <c r="CR241" i="1" s="1"/>
  <c r="CR123" i="1"/>
  <c r="CR125" i="1" s="1"/>
  <c r="CR85" i="1"/>
  <c r="CR191" i="1" l="1"/>
  <c r="CR192" i="1" s="1"/>
  <c r="CR139" i="1"/>
  <c r="CR113" i="1"/>
  <c r="CR138" i="1"/>
  <c r="CR112" i="1"/>
  <c r="CR279" i="1" l="1"/>
  <c r="CR277" i="1"/>
  <c r="CR275" i="1"/>
  <c r="CS240" i="1"/>
  <c r="CR199" i="1"/>
  <c r="CR196" i="1"/>
  <c r="CR242" i="1"/>
  <c r="CR197" i="1" l="1"/>
  <c r="CR140" i="1"/>
  <c r="CS67" i="1"/>
  <c r="CS283" i="1" s="1"/>
  <c r="CS69" i="1" l="1"/>
  <c r="CR141" i="1"/>
  <c r="CR144" i="1" s="1"/>
  <c r="CR142" i="1"/>
  <c r="CR145" i="1" s="1"/>
  <c r="CS70" i="1" l="1"/>
  <c r="CS72" i="1" l="1"/>
  <c r="CS79" i="1" l="1"/>
  <c r="CS75" i="1"/>
  <c r="CS265" i="1"/>
  <c r="CS74" i="1"/>
  <c r="CS73" i="1"/>
  <c r="CS276" i="1" s="1"/>
  <c r="CS258" i="1"/>
  <c r="CS97" i="1" l="1"/>
  <c r="CS224" i="1"/>
  <c r="CS226" i="1" s="1"/>
  <c r="CS230" i="1" s="1"/>
  <c r="CS244" i="1" s="1"/>
  <c r="CS150" i="1"/>
  <c r="CS151" i="1" l="1"/>
  <c r="CS100" i="1"/>
  <c r="CS101" i="1" l="1"/>
  <c r="CS109" i="1"/>
  <c r="CS110" i="1"/>
  <c r="CS116" i="1"/>
  <c r="CS160" i="1"/>
  <c r="CS86" i="1" s="1"/>
  <c r="CS123" i="1"/>
  <c r="CS125" i="1" s="1"/>
  <c r="CS238" i="1"/>
  <c r="CS236" i="1" s="1"/>
  <c r="CS241" i="1" s="1"/>
  <c r="CS85" i="1"/>
  <c r="CS191" i="1" l="1"/>
  <c r="CS192" i="1" s="1"/>
  <c r="CS139" i="1"/>
  <c r="CS113" i="1"/>
  <c r="CS138" i="1"/>
  <c r="CS112" i="1"/>
  <c r="CS277" i="1" l="1"/>
  <c r="CS279" i="1"/>
  <c r="CS275" i="1"/>
  <c r="CT240" i="1"/>
  <c r="CS196" i="1"/>
  <c r="CS199" i="1"/>
  <c r="CS242" i="1"/>
  <c r="CT67" i="1" l="1"/>
  <c r="CT283" i="1" s="1"/>
  <c r="CS140" i="1"/>
  <c r="CS197" i="1"/>
  <c r="CS142" i="1" l="1"/>
  <c r="CS145" i="1" s="1"/>
  <c r="CS141" i="1"/>
  <c r="CS144" i="1" s="1"/>
  <c r="CT69" i="1"/>
  <c r="AC67" i="1"/>
  <c r="AC68" i="1" l="1"/>
  <c r="AC283" i="1"/>
  <c r="AC69" i="1"/>
  <c r="CT70" i="1"/>
  <c r="AC70" i="1" s="1"/>
  <c r="AC71" i="1" l="1"/>
  <c r="CT72" i="1"/>
  <c r="CT75" i="1" s="1"/>
  <c r="AC72" i="1"/>
  <c r="CT74" i="1" l="1"/>
  <c r="CT79" i="1"/>
  <c r="CT265" i="1"/>
  <c r="CT258" i="1"/>
  <c r="CT73" i="1"/>
  <c r="CT276" i="1" s="1"/>
  <c r="AC74" i="1"/>
  <c r="AC73" i="1"/>
  <c r="AC276" i="1" s="1"/>
  <c r="AC92" i="1"/>
  <c r="AC79" i="1"/>
  <c r="CT150" i="1" l="1"/>
  <c r="CT97" i="1"/>
  <c r="CT100" i="1" s="1"/>
  <c r="CT103" i="1" s="1"/>
  <c r="CT224" i="1"/>
  <c r="CT226" i="1" s="1"/>
  <c r="CT230" i="1" s="1"/>
  <c r="CT244" i="1" s="1"/>
  <c r="AC97" i="1"/>
  <c r="AC82" i="1"/>
  <c r="AC83" i="1" s="1"/>
  <c r="AC224" i="1"/>
  <c r="AC226" i="1" s="1"/>
  <c r="AC230" i="1" s="1"/>
  <c r="AC244" i="1" s="1"/>
  <c r="CT151" i="1" l="1"/>
  <c r="AC150" i="1"/>
  <c r="AC151" i="1" s="1"/>
  <c r="AC160" i="1" s="1"/>
  <c r="AC86" i="1" s="1"/>
  <c r="CT101" i="1"/>
  <c r="AC99" i="1"/>
  <c r="AC100" i="1"/>
  <c r="AC101" i="1" s="1"/>
  <c r="CT116" i="1"/>
  <c r="CT109" i="1"/>
  <c r="CT110" i="1"/>
  <c r="CT160" i="1" l="1"/>
  <c r="CT86" i="1" s="1"/>
  <c r="CT123" i="1"/>
  <c r="CT125" i="1" s="1"/>
  <c r="CT238" i="1"/>
  <c r="CT236" i="1" s="1"/>
  <c r="CT241" i="1" s="1"/>
  <c r="CT191" i="1" s="1"/>
  <c r="CT85" i="1"/>
  <c r="AC85" i="1"/>
  <c r="AC238" i="1"/>
  <c r="AC236" i="1" s="1"/>
  <c r="AC241" i="1" s="1"/>
  <c r="AC123" i="1"/>
  <c r="AC125" i="1" s="1"/>
  <c r="AC206" i="1"/>
  <c r="CT138" i="1"/>
  <c r="CT112" i="1"/>
  <c r="AC109" i="1"/>
  <c r="AC134" i="1" s="1"/>
  <c r="AC116" i="1"/>
  <c r="AB120" i="1"/>
  <c r="CT139" i="1"/>
  <c r="CT113" i="1"/>
  <c r="AC110" i="1"/>
  <c r="AC135" i="1" s="1"/>
  <c r="AC117" i="1" l="1"/>
  <c r="AC112" i="1"/>
  <c r="AC126" i="1"/>
  <c r="AC138" i="1"/>
  <c r="CT192" i="1"/>
  <c r="AC191" i="1"/>
  <c r="AC192" i="1" s="1"/>
  <c r="AC127" i="1"/>
  <c r="AC139" i="1"/>
  <c r="AC118" i="1"/>
  <c r="AC113" i="1"/>
  <c r="CT277" i="1" l="1"/>
  <c r="CT279" i="1"/>
  <c r="CT275" i="1"/>
  <c r="AC279" i="1"/>
  <c r="AC277" i="1"/>
  <c r="AC275" i="1"/>
  <c r="CU240" i="1"/>
  <c r="CT196" i="1"/>
  <c r="CT199" i="1"/>
  <c r="CT242" i="1"/>
  <c r="AD240" i="1"/>
  <c r="AC199" i="1"/>
  <c r="AC140" i="1" s="1"/>
  <c r="AC141" i="1" s="1"/>
  <c r="AC144" i="1" s="1"/>
  <c r="AC196" i="1"/>
  <c r="AC242" i="1"/>
  <c r="AC142" i="1" l="1"/>
  <c r="AC145" i="1" s="1"/>
  <c r="AC197" i="1"/>
  <c r="CT197" i="1"/>
  <c r="CT140" i="1"/>
  <c r="CU67" i="1"/>
  <c r="CU283" i="1" s="1"/>
  <c r="CU69" i="1" l="1"/>
  <c r="CT141" i="1"/>
  <c r="CT144" i="1" s="1"/>
  <c r="CT142" i="1"/>
  <c r="CT145" i="1" s="1"/>
  <c r="CU70" i="1" l="1"/>
  <c r="CU72" i="1" s="1"/>
  <c r="CU73" i="1" l="1"/>
  <c r="CU276" i="1" s="1"/>
  <c r="CU74" i="1"/>
  <c r="CU75" i="1"/>
  <c r="CU79" i="1"/>
  <c r="CU265" i="1"/>
  <c r="CU258" i="1"/>
  <c r="CU224" i="1" l="1"/>
  <c r="CU226" i="1" s="1"/>
  <c r="CU230" i="1" s="1"/>
  <c r="CU244" i="1" s="1"/>
  <c r="CU97" i="1"/>
  <c r="CU150" i="1"/>
  <c r="CU151" i="1" l="1"/>
  <c r="CU100" i="1"/>
  <c r="CU101" i="1" l="1"/>
  <c r="CU116" i="1"/>
  <c r="CU110" i="1"/>
  <c r="CU109" i="1"/>
  <c r="CU160" i="1"/>
  <c r="CU86" i="1" s="1"/>
  <c r="CU238" i="1"/>
  <c r="CU236" i="1" s="1"/>
  <c r="CU241" i="1" s="1"/>
  <c r="CU123" i="1"/>
  <c r="CU125" i="1" s="1"/>
  <c r="CU85" i="1"/>
  <c r="CU191" i="1" l="1"/>
  <c r="CU192" i="1" s="1"/>
  <c r="CU138" i="1"/>
  <c r="CU112" i="1"/>
  <c r="CU139" i="1"/>
  <c r="CU113" i="1"/>
  <c r="CU279" i="1" l="1"/>
  <c r="CU275" i="1"/>
  <c r="CU277" i="1"/>
  <c r="CU196" i="1"/>
  <c r="CU199" i="1"/>
  <c r="CV240" i="1"/>
  <c r="CU242" i="1"/>
  <c r="CU197" i="1" l="1"/>
  <c r="CV67" i="1"/>
  <c r="CV283" i="1" s="1"/>
  <c r="CU140" i="1"/>
  <c r="CU141" i="1" l="1"/>
  <c r="CU144" i="1" s="1"/>
  <c r="CU142" i="1"/>
  <c r="CU145" i="1" s="1"/>
  <c r="CV69" i="1"/>
  <c r="CV70" i="1" l="1"/>
  <c r="CV72" i="1" l="1"/>
  <c r="CV79" i="1" l="1"/>
  <c r="CV265" i="1"/>
  <c r="CV73" i="1"/>
  <c r="CV276" i="1" s="1"/>
  <c r="CV75" i="1"/>
  <c r="CV74" i="1"/>
  <c r="CV258" i="1"/>
  <c r="CV224" i="1" l="1"/>
  <c r="CV226" i="1" s="1"/>
  <c r="CV230" i="1" s="1"/>
  <c r="CV244" i="1" s="1"/>
  <c r="CV97" i="1"/>
  <c r="CV150" i="1"/>
  <c r="CV151" i="1" l="1"/>
  <c r="CV100" i="1"/>
  <c r="CV101" i="1" l="1"/>
  <c r="CV109" i="1"/>
  <c r="CV110" i="1"/>
  <c r="CV116" i="1"/>
  <c r="CV123" i="1"/>
  <c r="CV125" i="1" s="1"/>
  <c r="CV160" i="1"/>
  <c r="CV86" i="1" s="1"/>
  <c r="CV238" i="1"/>
  <c r="CV236" i="1" s="1"/>
  <c r="CV241" i="1" s="1"/>
  <c r="CV85" i="1"/>
  <c r="CV191" i="1" l="1"/>
  <c r="CV192" i="1" s="1"/>
  <c r="CV139" i="1"/>
  <c r="CV113" i="1"/>
  <c r="CV138" i="1"/>
  <c r="CV112" i="1"/>
  <c r="CV277" i="1" l="1"/>
  <c r="CV275" i="1"/>
  <c r="CV279" i="1"/>
  <c r="CV199" i="1"/>
  <c r="CW240" i="1"/>
  <c r="CV196" i="1"/>
  <c r="CV242" i="1"/>
  <c r="CV197" i="1" l="1"/>
  <c r="CV140" i="1"/>
  <c r="CW67" i="1"/>
  <c r="CW283" i="1" s="1"/>
  <c r="CW69" i="1" l="1"/>
  <c r="CV142" i="1"/>
  <c r="CV145" i="1" s="1"/>
  <c r="CV141" i="1"/>
  <c r="CV144" i="1" s="1"/>
  <c r="CW70" i="1" l="1"/>
  <c r="CW72" i="1" l="1"/>
  <c r="CW73" i="1" l="1"/>
  <c r="CW276" i="1" s="1"/>
  <c r="CW75" i="1"/>
  <c r="CW79" i="1"/>
  <c r="CW74" i="1"/>
  <c r="CW265" i="1"/>
  <c r="CW258" i="1"/>
  <c r="CW224" i="1" l="1"/>
  <c r="CW226" i="1" s="1"/>
  <c r="CW230" i="1" s="1"/>
  <c r="CW244" i="1" s="1"/>
  <c r="CW97" i="1"/>
  <c r="CW150" i="1"/>
  <c r="CW151" i="1" l="1"/>
  <c r="CW100" i="1"/>
  <c r="CW101" i="1" l="1"/>
  <c r="CW116" i="1"/>
  <c r="CW110" i="1"/>
  <c r="CW109" i="1"/>
  <c r="CW238" i="1"/>
  <c r="CW236" i="1" s="1"/>
  <c r="CW241" i="1" s="1"/>
  <c r="CW160" i="1"/>
  <c r="CW86" i="1" s="1"/>
  <c r="CW123" i="1"/>
  <c r="CW125" i="1" s="1"/>
  <c r="CW85" i="1"/>
  <c r="CW191" i="1" l="1"/>
  <c r="CW192" i="1" s="1"/>
  <c r="CW138" i="1"/>
  <c r="CW112" i="1"/>
  <c r="CW139" i="1"/>
  <c r="CW113" i="1"/>
  <c r="CW277" i="1" l="1"/>
  <c r="CW275" i="1"/>
  <c r="CW279" i="1"/>
  <c r="CW196" i="1"/>
  <c r="CX240" i="1"/>
  <c r="CW199" i="1"/>
  <c r="CW242" i="1"/>
  <c r="CX67" i="1" l="1"/>
  <c r="CX283" i="1" s="1"/>
  <c r="CW140" i="1"/>
  <c r="CW197" i="1"/>
  <c r="CW141" i="1" l="1"/>
  <c r="CW144" i="1" s="1"/>
  <c r="CW142" i="1"/>
  <c r="CW145" i="1" s="1"/>
  <c r="CX69" i="1"/>
  <c r="AD67" i="1"/>
  <c r="AD68" i="1" l="1"/>
  <c r="AD283" i="1"/>
  <c r="AD69" i="1"/>
  <c r="CX70" i="1"/>
  <c r="AD70" i="1" s="1"/>
  <c r="AD71" i="1" l="1"/>
  <c r="CX72" i="1"/>
  <c r="CX258" i="1" s="1"/>
  <c r="AD72" i="1"/>
  <c r="CX75" i="1" l="1"/>
  <c r="CX265" i="1"/>
  <c r="CX79" i="1"/>
  <c r="CX73" i="1"/>
  <c r="CX276" i="1" s="1"/>
  <c r="CX74" i="1"/>
  <c r="AD74" i="1"/>
  <c r="AD92" i="1"/>
  <c r="AD79" i="1"/>
  <c r="AD73" i="1"/>
  <c r="AD276" i="1" s="1"/>
  <c r="CX97" i="1" l="1"/>
  <c r="CX100" i="1" s="1"/>
  <c r="CX224" i="1"/>
  <c r="CX226" i="1" s="1"/>
  <c r="CX230" i="1" s="1"/>
  <c r="CX244" i="1" s="1"/>
  <c r="CX150" i="1"/>
  <c r="AD97" i="1"/>
  <c r="AD82" i="1"/>
  <c r="AD83" i="1" s="1"/>
  <c r="AD224" i="1"/>
  <c r="AD226" i="1" s="1"/>
  <c r="AD230" i="1" s="1"/>
  <c r="AD244" i="1" s="1"/>
  <c r="AD150" i="1" l="1"/>
  <c r="AD151" i="1" s="1"/>
  <c r="CX151" i="1"/>
  <c r="CX238" i="1" s="1"/>
  <c r="CX236" i="1" s="1"/>
  <c r="CX241" i="1" s="1"/>
  <c r="CX101" i="1"/>
  <c r="CX109" i="1"/>
  <c r="CX116" i="1"/>
  <c r="CX110" i="1"/>
  <c r="AD99" i="1"/>
  <c r="AD100" i="1"/>
  <c r="AD101" i="1" s="1"/>
  <c r="AD123" i="1" l="1"/>
  <c r="AD125" i="1" s="1"/>
  <c r="AD206" i="1"/>
  <c r="AD160" i="1"/>
  <c r="AD86" i="1" s="1"/>
  <c r="AD85" i="1"/>
  <c r="AD238" i="1"/>
  <c r="AD236" i="1" s="1"/>
  <c r="AD241" i="1" s="1"/>
  <c r="CX160" i="1"/>
  <c r="CX86" i="1" s="1"/>
  <c r="CX123" i="1"/>
  <c r="CX125" i="1" s="1"/>
  <c r="CX85" i="1"/>
  <c r="CX191" i="1"/>
  <c r="CX113" i="1"/>
  <c r="CX139" i="1"/>
  <c r="AD110" i="1"/>
  <c r="AD135" i="1" s="1"/>
  <c r="AD116" i="1"/>
  <c r="AC120" i="1"/>
  <c r="CX138" i="1"/>
  <c r="CX112" i="1"/>
  <c r="AD109" i="1"/>
  <c r="AD134" i="1" s="1"/>
  <c r="AD139" i="1" l="1"/>
  <c r="AD113" i="1"/>
  <c r="AD127" i="1"/>
  <c r="AD118" i="1"/>
  <c r="AD126" i="1"/>
  <c r="AD138" i="1"/>
  <c r="AD117" i="1"/>
  <c r="AD112" i="1"/>
  <c r="CX192" i="1"/>
  <c r="AD191" i="1"/>
  <c r="AD192" i="1" s="1"/>
  <c r="AD279" i="1" l="1"/>
  <c r="AD277" i="1"/>
  <c r="AD275" i="1"/>
  <c r="CX279" i="1"/>
  <c r="CX277" i="1"/>
  <c r="CX275" i="1"/>
  <c r="AE240" i="1"/>
  <c r="AD196" i="1"/>
  <c r="AD199" i="1"/>
  <c r="AD140" i="1" s="1"/>
  <c r="AD142" i="1" s="1"/>
  <c r="AD145" i="1" s="1"/>
  <c r="AD242" i="1"/>
  <c r="CY240" i="1"/>
  <c r="CX196" i="1"/>
  <c r="CX199" i="1"/>
  <c r="CX242" i="1"/>
  <c r="AD141" i="1" l="1"/>
  <c r="AD144" i="1" s="1"/>
  <c r="AD197" i="1"/>
  <c r="CX140" i="1"/>
  <c r="CY67" i="1"/>
  <c r="CY283" i="1" s="1"/>
  <c r="CX197" i="1"/>
  <c r="CY69" i="1" l="1"/>
  <c r="CX141" i="1"/>
  <c r="CX144" i="1" s="1"/>
  <c r="CX142" i="1"/>
  <c r="CX145" i="1" s="1"/>
  <c r="CY70" i="1" l="1"/>
  <c r="CY72" i="1" l="1"/>
  <c r="CY73" i="1" l="1"/>
  <c r="CY276" i="1" s="1"/>
  <c r="CY265" i="1"/>
  <c r="CY74" i="1"/>
  <c r="CY75" i="1"/>
  <c r="CY79" i="1"/>
  <c r="CY258" i="1"/>
  <c r="CY97" i="1" l="1"/>
  <c r="CY224" i="1"/>
  <c r="CY226" i="1" s="1"/>
  <c r="CY230" i="1" s="1"/>
  <c r="CY244" i="1" s="1"/>
  <c r="CY150" i="1"/>
  <c r="CY151" i="1" l="1"/>
  <c r="CY100" i="1"/>
  <c r="CY101" i="1" s="1"/>
  <c r="CY109" i="1" l="1"/>
  <c r="CY116" i="1"/>
  <c r="CY110" i="1"/>
  <c r="CY123" i="1"/>
  <c r="CY125" i="1" s="1"/>
  <c r="CY160" i="1"/>
  <c r="CY86" i="1" s="1"/>
  <c r="CY238" i="1"/>
  <c r="CY236" i="1" s="1"/>
  <c r="CY241" i="1" s="1"/>
  <c r="CY85" i="1"/>
  <c r="CY191" i="1" l="1"/>
  <c r="CY192" i="1" s="1"/>
  <c r="CY139" i="1"/>
  <c r="CY113" i="1"/>
  <c r="CY112" i="1"/>
  <c r="CY138" i="1"/>
  <c r="CY242" i="1" l="1"/>
  <c r="CY279" i="1"/>
  <c r="CY277" i="1"/>
  <c r="CY275" i="1"/>
  <c r="CZ240" i="1"/>
  <c r="CY196" i="1"/>
  <c r="CY199" i="1"/>
  <c r="CY197" i="1" l="1"/>
  <c r="CZ67" i="1"/>
  <c r="CZ283" i="1" s="1"/>
  <c r="CY140" i="1"/>
  <c r="CY142" i="1" l="1"/>
  <c r="CY145" i="1" s="1"/>
  <c r="CY141" i="1"/>
  <c r="CY144" i="1" s="1"/>
  <c r="CZ69" i="1"/>
  <c r="CZ70" i="1" l="1"/>
  <c r="CZ72" i="1" l="1"/>
  <c r="CZ265" i="1" l="1"/>
  <c r="CZ74" i="1"/>
  <c r="CZ73" i="1"/>
  <c r="CZ276" i="1" s="1"/>
  <c r="CZ75" i="1"/>
  <c r="CZ79" i="1"/>
  <c r="CZ258" i="1"/>
  <c r="CZ224" i="1" l="1"/>
  <c r="CZ226" i="1" s="1"/>
  <c r="CZ230" i="1" s="1"/>
  <c r="CZ244" i="1" s="1"/>
  <c r="CZ97" i="1"/>
  <c r="CZ150" i="1"/>
  <c r="CZ151" i="1" l="1"/>
  <c r="CZ100" i="1"/>
  <c r="CZ101" i="1" s="1"/>
  <c r="CZ116" i="1" l="1"/>
  <c r="CZ110" i="1"/>
  <c r="CZ109" i="1"/>
  <c r="CZ160" i="1"/>
  <c r="CZ86" i="1" s="1"/>
  <c r="CZ238" i="1"/>
  <c r="CZ236" i="1" s="1"/>
  <c r="CZ241" i="1" s="1"/>
  <c r="CZ123" i="1"/>
  <c r="CZ125" i="1" s="1"/>
  <c r="CZ85" i="1"/>
  <c r="CZ191" i="1" l="1"/>
  <c r="CZ192" i="1" s="1"/>
  <c r="CZ138" i="1"/>
  <c r="CZ112" i="1"/>
  <c r="CZ113" i="1"/>
  <c r="CZ139" i="1"/>
  <c r="CZ277" i="1" l="1"/>
  <c r="CZ275" i="1"/>
  <c r="CZ279" i="1"/>
  <c r="CZ196" i="1"/>
  <c r="CZ199" i="1"/>
  <c r="DA240" i="1"/>
  <c r="CZ242" i="1"/>
  <c r="CZ140" i="1" l="1"/>
  <c r="DA67" i="1"/>
  <c r="DA283" i="1" s="1"/>
  <c r="CZ197" i="1"/>
  <c r="DA69" i="1" l="1"/>
  <c r="CZ141" i="1"/>
  <c r="CZ144" i="1" s="1"/>
  <c r="CZ142" i="1"/>
  <c r="CZ145" i="1" s="1"/>
  <c r="DA70" i="1" l="1"/>
  <c r="DA72" i="1" l="1"/>
  <c r="DA265" i="1" l="1"/>
  <c r="DA79" i="1"/>
  <c r="DA74" i="1"/>
  <c r="DA75" i="1"/>
  <c r="DA73" i="1"/>
  <c r="DA276" i="1" s="1"/>
  <c r="DA258" i="1"/>
  <c r="DA97" i="1" l="1"/>
  <c r="DA224" i="1"/>
  <c r="DA226" i="1" s="1"/>
  <c r="DA230" i="1" s="1"/>
  <c r="DA244" i="1" s="1"/>
  <c r="DA150" i="1"/>
  <c r="DA151" i="1" l="1"/>
  <c r="DA100" i="1"/>
  <c r="DA101" i="1" s="1"/>
  <c r="DA110" i="1" l="1"/>
  <c r="DA109" i="1"/>
  <c r="DA116" i="1"/>
  <c r="DA160" i="1"/>
  <c r="DA86" i="1" s="1"/>
  <c r="DA238" i="1"/>
  <c r="DA236" i="1" s="1"/>
  <c r="DA241" i="1" s="1"/>
  <c r="DA123" i="1"/>
  <c r="DA125" i="1" s="1"/>
  <c r="DA85" i="1"/>
  <c r="DA191" i="1" l="1"/>
  <c r="DA192" i="1" s="1"/>
  <c r="DA138" i="1"/>
  <c r="DA112" i="1"/>
  <c r="DA113" i="1"/>
  <c r="DA139" i="1"/>
  <c r="DA242" i="1" l="1"/>
  <c r="DA279" i="1"/>
  <c r="DA275" i="1"/>
  <c r="DA277" i="1"/>
  <c r="DA199" i="1"/>
  <c r="DB240" i="1"/>
  <c r="DA196" i="1"/>
  <c r="DA197" i="1" l="1"/>
  <c r="DA140" i="1"/>
  <c r="DB67" i="1"/>
  <c r="DB283" i="1" s="1"/>
  <c r="DA142" i="1" l="1"/>
  <c r="DA145" i="1" s="1"/>
  <c r="DA141" i="1"/>
  <c r="DA144" i="1" s="1"/>
  <c r="DB69" i="1"/>
  <c r="AE67" i="1"/>
  <c r="AE68" i="1" l="1"/>
  <c r="AE283" i="1"/>
  <c r="AE69" i="1"/>
  <c r="DB70" i="1"/>
  <c r="AE70" i="1" s="1"/>
  <c r="AE71" i="1" l="1"/>
  <c r="DB72" i="1"/>
  <c r="AE72" i="1"/>
  <c r="AE74" i="1" s="1"/>
  <c r="AE73" i="1" l="1"/>
  <c r="AE276" i="1" s="1"/>
  <c r="AE79" i="1"/>
  <c r="AE92" i="1"/>
  <c r="DB74" i="1"/>
  <c r="DB75" i="1"/>
  <c r="DB265" i="1"/>
  <c r="DB73" i="1"/>
  <c r="DB276" i="1" s="1"/>
  <c r="DB79" i="1"/>
  <c r="DB258" i="1"/>
  <c r="AE82" i="1" l="1"/>
  <c r="AE83" i="1" s="1"/>
  <c r="AE97" i="1"/>
  <c r="AE224" i="1"/>
  <c r="AE226" i="1" s="1"/>
  <c r="AE230" i="1" s="1"/>
  <c r="AE244" i="1" s="1"/>
  <c r="DB224" i="1"/>
  <c r="DB226" i="1" s="1"/>
  <c r="DB230" i="1" s="1"/>
  <c r="DB244" i="1" s="1"/>
  <c r="DB97" i="1"/>
  <c r="DB100" i="1" s="1"/>
  <c r="DB101" i="1" s="1"/>
  <c r="DB150" i="1"/>
  <c r="AE150" i="1" l="1"/>
  <c r="AE151" i="1" s="1"/>
  <c r="DB151" i="1"/>
  <c r="DB110" i="1"/>
  <c r="DB109" i="1"/>
  <c r="DB116" i="1"/>
  <c r="AE100" i="1"/>
  <c r="AE101" i="1" s="1"/>
  <c r="AE99" i="1"/>
  <c r="DB138" i="1" l="1"/>
  <c r="DB112" i="1"/>
  <c r="AE109" i="1"/>
  <c r="AE134" i="1" s="1"/>
  <c r="AE116" i="1"/>
  <c r="AD120" i="1"/>
  <c r="DB139" i="1"/>
  <c r="DB113" i="1"/>
  <c r="AE110" i="1"/>
  <c r="AE135" i="1" s="1"/>
  <c r="DB238" i="1"/>
  <c r="DB236" i="1" s="1"/>
  <c r="DB241" i="1" s="1"/>
  <c r="DB160" i="1"/>
  <c r="DB86" i="1" s="1"/>
  <c r="DB123" i="1"/>
  <c r="DB125" i="1" s="1"/>
  <c r="DB85" i="1"/>
  <c r="AE238" i="1"/>
  <c r="AE236" i="1" s="1"/>
  <c r="AE241" i="1" s="1"/>
  <c r="AE160" i="1"/>
  <c r="AE86" i="1" s="1"/>
  <c r="AE123" i="1"/>
  <c r="AE125" i="1" s="1"/>
  <c r="AE206" i="1"/>
  <c r="AE85" i="1"/>
  <c r="AE118" i="1" l="1"/>
  <c r="AE113" i="1"/>
  <c r="AE127" i="1"/>
  <c r="AE139" i="1"/>
  <c r="AE117" i="1"/>
  <c r="AE112" i="1"/>
  <c r="AE138" i="1"/>
  <c r="AE126" i="1"/>
  <c r="DB191" i="1"/>
  <c r="AE191" i="1" l="1"/>
  <c r="AE192" i="1" s="1"/>
  <c r="DB192" i="1"/>
  <c r="DB275" i="1" l="1"/>
  <c r="DB279" i="1"/>
  <c r="DB277" i="1"/>
  <c r="AE277" i="1"/>
  <c r="AE275" i="1"/>
  <c r="AE279" i="1"/>
  <c r="DB196" i="1"/>
  <c r="DB199" i="1"/>
  <c r="DB140" i="1" s="1"/>
  <c r="DB242" i="1"/>
  <c r="AE199" i="1"/>
  <c r="AE140" i="1" s="1"/>
  <c r="AE196" i="1"/>
  <c r="AE242" i="1"/>
  <c r="AE197" i="1" l="1"/>
  <c r="AE142" i="1"/>
  <c r="AE145" i="1" s="1"/>
  <c r="AE141" i="1"/>
  <c r="AE144" i="1" s="1"/>
  <c r="DB141" i="1"/>
  <c r="DB144" i="1" s="1"/>
  <c r="DB142" i="1"/>
  <c r="DB145" i="1" s="1"/>
  <c r="DB19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<sst xmlns="http://schemas.openxmlformats.org/spreadsheetml/2006/main" count="688" uniqueCount="548">
  <si>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</si>
  <si>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</si>
  <si>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</si>
  <si>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</si>
  <si>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</si>
  <si>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</si>
  <si>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</si>
  <si>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</si>
  <si>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</si>
  <si>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</si>
  <si>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</si>
  <si>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</si>
  <si>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</si>
  <si>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</si>
  <si>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</si>
  <si>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</si>
  <si>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</si>
  <si>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</si>
  <si>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</si>
  <si>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</si>
  <si>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</si>
  <si>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</si>
  <si>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</si>
  <si>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</si>
  <si>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</si>
  <si>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</si>
  <si>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</si>
  <si>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</si>
  <si>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</si>
  <si>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</si>
  <si>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</si>
  <si>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</si>
  <si>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</si>
  <si>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</si>
  <si>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</si>
  <si>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</si>
  <si>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</si>
  <si>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</si>
  <si>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</si>
  <si>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</si>
  <si>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</si>
  <si>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</si>
  <si>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</si>
  <si>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</si>
  <si>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</si>
  <si>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</si>
  <si>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</si>
  <si>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</si>
  <si>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</si>
  <si>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</si>
  <si>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</si>
  <si>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</si>
  <si>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</si>
  <si>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</si>
  <si>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</si>
  <si>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</si>
  <si>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</si>
  <si>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</si>
  <si>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</si>
  <si>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</si>
  <si>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</si>
  <si>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</si>
  <si>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</si>
  <si>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</si>
  <si>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</si>
  <si>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</si>
  <si>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</si>
  <si>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</si>
  <si>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</si>
  <si>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</si>
  <si>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</si>
  <si>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</si>
  <si>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</si>
  <si>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</si>
  <si>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</si>
  <si>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</si>
  <si>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</si>
  <si>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</si>
  <si>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</si>
  <si>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</si>
  <si>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</si>
  <si>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</si>
  <si>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</si>
  <si>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</si>
  <si>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</si>
  <si>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</si>
  <si>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</si>
  <si>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</si>
  <si>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</si>
  <si>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</si>
  <si>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</si>
  <si>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</si>
  <si>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</si>
  <si>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</si>
  <si>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</si>
  <si>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</si>
  <si>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</si>
  <si>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</si>
  <si>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</si>
  <si>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</si>
  <si>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</si>
  <si>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</si>
  <si>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</si>
  <si>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</si>
  <si>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</si>
  <si>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</si>
  <si>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</si>
  <si>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</si>
  <si>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</si>
  <si>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</si>
  <si>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</si>
  <si>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</si>
  <si>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</si>
  <si>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</si>
  <si>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</si>
  <si>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</si>
  <si>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</si>
  <si>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</si>
  <si>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</si>
  <si>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</si>
  <si>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</si>
  <si>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</si>
  <si>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</si>
  <si>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</si>
  <si>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</si>
  <si>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</si>
  <si>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</si>
  <si>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</si>
  <si>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</si>
  <si>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</si>
  <si>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</si>
  <si>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</si>
  <si>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</si>
  <si>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</si>
  <si>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</si>
  <si>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</si>
  <si>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</si>
  <si>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</si>
  <si>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</si>
  <si>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</si>
  <si>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</si>
  <si>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</si>
  <si>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</si>
  <si>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</si>
  <si>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</si>
  <si>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</si>
  <si>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</si>
  <si>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</si>
  <si>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</si>
  <si>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</si>
  <si>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</si>
  <si>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</si>
  <si>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</si>
  <si>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</si>
  <si>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</si>
  <si>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</si>
  <si>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</si>
  <si>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</si>
  <si>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</si>
  <si>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</si>
  <si>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</si>
  <si>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</si>
  <si>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</si>
  <si>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</si>
  <si>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</si>
  <si>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</si>
  <si>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</si>
  <si>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</si>
  <si>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</si>
  <si>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</si>
  <si>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</si>
  <si>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</si>
  <si>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</si>
  <si>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</si>
  <si>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</si>
  <si>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</si>
  <si>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</si>
  <si>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</si>
  <si>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</si>
  <si>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</si>
  <si>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</si>
  <si>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</si>
  <si>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</si>
  <si>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</si>
  <si>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</si>
  <si>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</si>
  <si>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</si>
  <si>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</si>
  <si>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</si>
  <si>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</si>
  <si>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</si>
  <si>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</si>
  <si>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</si>
  <si>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</si>
  <si>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</si>
  <si>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</si>
  <si>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</si>
  <si>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</si>
  <si>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</si>
  <si>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</si>
  <si>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</si>
  <si>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</si>
  <si>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</si>
  <si>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</si>
  <si>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</si>
  <si>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</si>
  <si>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</si>
  <si>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</si>
  <si>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</si>
  <si>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</si>
  <si>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</si>
  <si>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</si>
  <si>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</si>
  <si>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</si>
  <si>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</si>
  <si>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</si>
  <si>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</si>
  <si>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</si>
  <si>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</si>
  <si>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</si>
  <si>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</si>
  <si>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</si>
  <si>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</si>
  <si>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</si>
  <si>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</si>
  <si>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</si>
  <si>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</si>
  <si>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</si>
  <si>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</si>
  <si>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</si>
  <si>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</si>
  <si>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</si>
  <si>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</si>
  <si>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</si>
  <si>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</si>
  <si>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</si>
  <si>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</si>
  <si>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</si>
  <si>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</si>
  <si>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</si>
  <si>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</si>
  <si>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</si>
  <si>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</si>
  <si>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</si>
  <si>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</si>
  <si>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</si>
  <si>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</si>
  <si>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</si>
  <si>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</si>
  <si>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</si>
  <si>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</si>
  <si>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</si>
  <si>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</si>
  <si>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</si>
  <si>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</si>
  <si>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</si>
  <si>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</si>
  <si>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</si>
  <si>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</si>
  <si>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</si>
  <si>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</si>
  <si>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</si>
  <si>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</si>
  <si>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</si>
  <si>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</si>
  <si>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</si>
  <si>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</si>
  <si>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</si>
  <si>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</si>
  <si>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</si>
  <si>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</si>
  <si>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</si>
  <si>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</si>
  <si>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</si>
  <si>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</si>
  <si>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</si>
  <si>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</si>
  <si>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</si>
  <si>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</si>
  <si>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</si>
  <si>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</si>
  <si>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</si>
  <si>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</si>
  <si>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</si>
  <si>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</si>
  <si>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</si>
  <si>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</si>
  <si>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</si>
  <si>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</si>
  <si>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</si>
  <si>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</si>
  <si>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</si>
  <si>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</si>
  <si>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</si>
  <si>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</si>
  <si>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</si>
  <si>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</si>
  <si>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</si>
  <si>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</si>
  <si>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</si>
  <si>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</si>
  <si>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</si>
  <si>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</si>
  <si>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</si>
  <si>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</si>
  <si>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</si>
  <si>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</si>
  <si>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</si>
  <si>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</si>
  <si>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</si>
  <si>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</si>
  <si>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</si>
  <si>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</si>
  <si>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</si>
  <si>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</si>
  <si>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</si>
  <si>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</si>
  <si>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</si>
  <si>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</si>
  <si>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</si>
  <si>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</si>
  <si>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</si>
  <si>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</si>
  <si>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</si>
  <si>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</si>
  <si>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</si>
  <si>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</si>
  <si>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</si>
  <si>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</si>
  <si>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</si>
  <si>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</si>
  <si>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</si>
  <si>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</si>
  <si>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</si>
  <si>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</si>
  <si>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</si>
  <si>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</si>
  <si>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</si>
  <si>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</si>
  <si>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</si>
  <si>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</si>
  <si>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</si>
  <si>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</si>
  <si>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</si>
  <si>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</si>
  <si>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</si>
  <si>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</si>
  <si>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</si>
  <si>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</si>
  <si>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</si>
  <si>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</si>
  <si>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</si>
  <si>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</si>
  <si>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</si>
  <si>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</si>
  <si>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</si>
  <si>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</si>
  <si>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</si>
  <si>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</si>
  <si>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</si>
  <si>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</si>
  <si>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</si>
  <si>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</si>
  <si>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</si>
  <si>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</si>
  <si>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</si>
  <si>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</si>
  <si>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</si>
  <si>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</si>
  <si>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</si>
  <si>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</si>
  <si>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</si>
  <si>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</si>
  <si>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</si>
  <si>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</si>
  <si>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</si>
  <si>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</si>
  <si>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</si>
  <si>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</si>
  <si>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</si>
  <si>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</si>
  <si>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</si>
  <si>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</si>
  <si>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</si>
  <si>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</si>
  <si>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</si>
  <si>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</si>
  <si>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</si>
  <si>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</si>
  <si>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</si>
  <si>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</si>
  <si>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</si>
  <si>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</si>
  <si>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</si>
  <si>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</si>
  <si>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</si>
  <si>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</si>
  <si>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</si>
  <si>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</si>
  <si>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</si>
  <si>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</si>
  <si>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</si>
  <si>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</si>
  <si>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</si>
  <si>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</si>
  <si>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</si>
  <si>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</si>
  <si>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</si>
  <si>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</si>
  <si>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</si>
  <si>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</si>
  <si>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</si>
  <si>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</si>
  <si>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</si>
  <si>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</si>
  <si>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</si>
  <si>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</si>
  <si>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</si>
  <si>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</si>
  <si>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</si>
  <si>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</si>
  <si>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</si>
  <si>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</si>
  <si>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</si>
  <si>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</si>
  <si>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</si>
  <si>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</si>
  <si>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</si>
  <si>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</si>
  <si>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</si>
  <si>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</si>
  <si>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</si>
  <si>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</si>
  <si>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</si>
  <si>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</si>
  <si>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</si>
  <si>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</si>
  <si>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</si>
  <si>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</si>
  <si>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</si>
  <si>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</si>
  <si>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</si>
  <si>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</si>
  <si>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</si>
  <si>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</si>
  <si>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</si>
  <si>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</si>
  <si>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</si>
  <si>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</si>
  <si>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</si>
  <si>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</si>
  <si>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</si>
  <si>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</si>
  <si>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</si>
  <si>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</si>
  <si>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</si>
  <si>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</si>
  <si>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</si>
  <si>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</si>
  <si>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</si>
  <si>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</si>
  <si>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</si>
  <si>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</si>
  <si>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</si>
  <si>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</si>
  <si>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</si>
  <si>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</si>
  <si>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</si>
  <si>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</si>
  <si>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</si>
  <si>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</si>
  <si>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</si>
  <si>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</si>
  <si>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</si>
  <si>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</si>
  <si>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</si>
  <si>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</si>
  <si>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</si>
  <si>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</si>
  <si>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</si>
  <si>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</si>
  <si>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</si>
  <si>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</si>
  <si>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</si>
  <si>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</si>
  <si>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</si>
  <si>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</si>
  <si>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</si>
  <si>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</si>
  <si>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</si>
  <si>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</si>
  <si>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</si>
  <si>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</si>
  <si>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</si>
  <si>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</si>
  <si>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</si>
  <si>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</si>
  <si>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</si>
  <si>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</si>
  <si>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</si>
  <si>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</si>
  <si>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</si>
  <si>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</si>
  <si>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</si>
  <si>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</si>
  <si>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</si>
  <si>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</si>
  <si>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</si>
  <si>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</si>
  <si>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</si>
  <si>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</si>
  <si>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</si>
  <si>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</si>
  <si>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</si>
  <si>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</si>
  <si>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DATE</t>
  </si>
  <si>
    <t>ADJHIGH</t>
  </si>
  <si>
    <t>ADJCLOSE</t>
  </si>
  <si>
    <t>ADJLOW</t>
  </si>
  <si>
    <t>ADJOPEN</t>
  </si>
  <si>
    <t>CLOSE</t>
  </si>
  <si>
    <t>VOLUME</t>
  </si>
  <si>
    <t>REVENUE BREAKUP</t>
  </si>
  <si>
    <t>Total Revenues</t>
  </si>
  <si>
    <t>Total EBIT</t>
  </si>
  <si>
    <t>Other Exp + Interest</t>
  </si>
  <si>
    <t>Sales Growth</t>
  </si>
  <si>
    <t>PBIT Margins</t>
  </si>
  <si>
    <t>PBIT Growth</t>
  </si>
  <si>
    <t xml:space="preserve"> </t>
  </si>
  <si>
    <t>Revenue- Chemicals</t>
  </si>
  <si>
    <t>Revenue- Packaging Films</t>
  </si>
  <si>
    <t>Revenue- Techincal Textile</t>
  </si>
  <si>
    <t>Revenue- Others</t>
  </si>
  <si>
    <t>EBIT- Chemicals</t>
  </si>
  <si>
    <t>EBIT- Packaging Films</t>
  </si>
  <si>
    <t>EBIT- Techincal Textile</t>
  </si>
  <si>
    <t>EBIT- Others</t>
  </si>
  <si>
    <t>Chemicals- Growth %</t>
  </si>
  <si>
    <t>Packaging Films- Growth %</t>
  </si>
  <si>
    <t>Techincal Textile- Growth %</t>
  </si>
  <si>
    <t>Chemicals- PBIT Margins %</t>
  </si>
  <si>
    <t>Packaging Films- PBIT Margins %</t>
  </si>
  <si>
    <t>Techincal Textile- PBIT Margins %</t>
  </si>
  <si>
    <t>Chemicals- PBIT Growth %</t>
  </si>
  <si>
    <t>Packaging Films- PBIT Growth %</t>
  </si>
  <si>
    <t>Techincal Textile- PBIT Growth %</t>
  </si>
  <si>
    <t>SRF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</si>
</sst>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  <numFmt numFmtId="167" formatCode="0.0%"/>
    <numFmt numFmtId="168" formatCode="dd\-mmm\-yyyy"/>
    <numFmt numFmtId="169" formatCode="_(* #,##0.0_);_(* \(#,##0.0\);_(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i/>
      <sz val="9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  <xf numFmtId="0" fontId="14" fillId="0" borderId="0"/>
    <xf numFmtId="43" fontId="24" fillId="0" borderId="0" applyFont="0" applyFill="0" applyBorder="0" applyAlignment="0" applyProtection="0"/>
    <xf numFmtId="43" fontId="25" fillId="0" borderId="0" applyFont="0" applyFill="0" applyBorder="0" applyAlignment="0" applyProtection="0"/>
  </cellStyleXfs>
  <cellXfs count="202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6" fontId="4" fillId="6" borderId="0" xfId="2" applyNumberFormat="1" applyFont="1" applyFill="1" applyBorder="1"/>
    <xf numFmtId="2" fontId="9" fillId="7" borderId="0" xfId="0" applyNumberFormat="1" applyFont="1" applyFill="1"/>
    <xf numFmtId="166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7" fontId="9" fillId="0" borderId="0" xfId="1" applyNumberFormat="1" applyFont="1"/>
    <xf numFmtId="167" fontId="9" fillId="0" borderId="0" xfId="1" applyNumberFormat="1" applyFont="1" applyBorder="1"/>
    <xf numFmtId="167" fontId="9" fillId="7" borderId="0" xfId="1" applyNumberFormat="1" applyFont="1" applyFill="1" applyBorder="1"/>
    <xf numFmtId="167" fontId="4" fillId="0" borderId="0" xfId="1" applyNumberFormat="1" applyFont="1"/>
    <xf numFmtId="167" fontId="4" fillId="7" borderId="0" xfId="1" applyNumberFormat="1" applyFont="1" applyFill="1"/>
    <xf numFmtId="167" fontId="3" fillId="0" borderId="0" xfId="1" applyNumberFormat="1" applyFont="1" applyAlignment="1">
      <alignment vertical="center" wrapText="1"/>
    </xf>
    <xf numFmtId="167" fontId="3" fillId="0" borderId="0" xfId="1" applyNumberFormat="1" applyFont="1"/>
    <xf numFmtId="167" fontId="4" fillId="0" borderId="0" xfId="1" applyNumberFormat="1" applyFont="1" applyBorder="1"/>
    <xf numFmtId="167" fontId="7" fillId="0" borderId="0" xfId="1" applyNumberFormat="1" applyFont="1"/>
    <xf numFmtId="167" fontId="7" fillId="7" borderId="0" xfId="1" applyNumberFormat="1" applyFont="1" applyFill="1"/>
    <xf numFmtId="167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7" fontId="4" fillId="6" borderId="0" xfId="1" applyNumberFormat="1" applyFont="1" applyFill="1" applyBorder="1"/>
    <xf numFmtId="167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5" fontId="7" fillId="4" borderId="0" xfId="0" applyNumberFormat="1" applyFont="1" applyFill="1"/>
    <xf numFmtId="165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7" fontId="9" fillId="4" borderId="0" xfId="1" applyNumberFormat="1" applyFont="1" applyFill="1"/>
    <xf numFmtId="167" fontId="9" fillId="7" borderId="0" xfId="1" applyNumberFormat="1" applyFont="1" applyFill="1"/>
    <xf numFmtId="167" fontId="4" fillId="4" borderId="0" xfId="1" applyNumberFormat="1" applyFont="1" applyFill="1"/>
    <xf numFmtId="167" fontId="7" fillId="4" borderId="0" xfId="1" applyNumberFormat="1" applyFont="1" applyFill="1"/>
    <xf numFmtId="167" fontId="11" fillId="0" borderId="0" xfId="1" applyNumberFormat="1" applyFont="1"/>
    <xf numFmtId="167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7" fontId="9" fillId="3" borderId="0" xfId="1" applyNumberFormat="1" applyFont="1" applyFill="1"/>
    <xf numFmtId="167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7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/>
    <xf numFmtId="43" fontId="5" fillId="0" borderId="0" xfId="2" applyFont="1" applyFill="1" applyBorder="1"/>
    <xf numFmtId="43" fontId="5" fillId="0" borderId="1" xfId="2" applyFont="1" applyFill="1" applyBorder="1"/>
    <xf numFmtId="167" fontId="9" fillId="0" borderId="0" xfId="1" applyNumberFormat="1" applyFont="1" applyFill="1" applyBorder="1"/>
    <xf numFmtId="43" fontId="2" fillId="0" borderId="0" xfId="2" applyFont="1" applyFill="1"/>
    <xf numFmtId="167" fontId="4" fillId="0" borderId="0" xfId="1" applyNumberFormat="1" applyFont="1" applyFill="1"/>
    <xf numFmtId="43" fontId="5" fillId="0" borderId="0" xfId="2" applyFont="1" applyFill="1"/>
    <xf numFmtId="167" fontId="4" fillId="0" borderId="0" xfId="1" applyNumberFormat="1" applyFont="1" applyFill="1" applyBorder="1"/>
    <xf numFmtId="167" fontId="7" fillId="0" borderId="0" xfId="1" applyNumberFormat="1" applyFont="1" applyFill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7" fontId="9" fillId="0" borderId="0" xfId="2" applyNumberFormat="1" applyFont="1" applyFill="1"/>
    <xf numFmtId="167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168" fontId="0" fillId="0" borderId="0" xfId="0" applyNumberFormat="1"/>
    <xf numFmtId="168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6" fontId="4" fillId="6" borderId="0" xfId="2" applyNumberFormat="1" applyFont="1" applyFill="1"/>
    <xf numFmtId="166" fontId="4" fillId="7" borderId="0" xfId="2" applyNumberFormat="1" applyFont="1" applyFill="1"/>
    <xf numFmtId="166" fontId="4" fillId="0" borderId="0" xfId="2" applyNumberFormat="1" applyFont="1"/>
    <xf numFmtId="9" fontId="7" fillId="4" borderId="0" xfId="0" applyNumberFormat="1" applyFont="1" applyFill="1"/>
    <xf numFmtId="167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21" fillId="2" borderId="0" xfId="5" applyFont="1" applyFill="1"/>
    <xf numFmtId="0" fontId="22" fillId="2" borderId="0" xfId="5" applyFont="1" applyFill="1"/>
    <xf numFmtId="1" fontId="23" fillId="2" borderId="0" xfId="5" applyNumberFormat="1" applyFont="1" applyFill="1"/>
    <xf numFmtId="165" fontId="23" fillId="2" borderId="0" xfId="5" applyNumberFormat="1" applyFont="1" applyFill="1"/>
    <xf numFmtId="43" fontId="23" fillId="2" borderId="0" xfId="6" applyFont="1" applyFill="1"/>
    <xf numFmtId="1" fontId="21" fillId="2" borderId="0" xfId="5" applyNumberFormat="1" applyFont="1" applyFill="1"/>
    <xf numFmtId="43" fontId="21" fillId="2" borderId="0" xfId="6" applyFont="1" applyFill="1"/>
    <xf numFmtId="43" fontId="21" fillId="2" borderId="0" xfId="7" applyFont="1" applyFill="1"/>
    <xf numFmtId="169" fontId="23" fillId="2" borderId="0" xfId="5" applyNumberFormat="1" applyFont="1" applyFill="1"/>
    <xf numFmtId="17" fontId="23" fillId="2" borderId="0" xfId="5" applyNumberFormat="1" applyFont="1" applyFill="1"/>
    <xf numFmtId="43" fontId="23" fillId="2" borderId="0" xfId="7" applyFont="1" applyFill="1"/>
    <xf numFmtId="43" fontId="23" fillId="2" borderId="0" xfId="6" applyFont="1" applyFill="1" applyBorder="1"/>
    <xf numFmtId="43" fontId="21" fillId="2" borderId="0" xfId="5" applyNumberFormat="1" applyFont="1" applyFill="1"/>
    <xf numFmtId="43" fontId="23" fillId="2" borderId="0" xfId="2" applyFont="1" applyFill="1"/>
    <xf numFmtId="10" fontId="22" fillId="2" borderId="0" xfId="5" applyNumberFormat="1" applyFont="1" applyFill="1"/>
    <xf numFmtId="10" fontId="26" fillId="2" borderId="0" xfId="5" applyNumberFormat="1" applyFont="1" applyFill="1"/>
    <xf numFmtId="9" fontId="23" fillId="2" borderId="0" xfId="5" applyNumberFormat="1" applyFont="1" applyFill="1"/>
    <xf numFmtId="43" fontId="21" fillId="2" borderId="0" xfId="6" applyFont="1" applyFill="1" applyBorder="1"/>
    <xf numFmtId="164" fontId="21" fillId="2" borderId="0" xfId="5" applyNumberFormat="1" applyFont="1" applyFill="1"/>
    <xf numFmtId="17" fontId="21" fillId="2" borderId="0" xfId="5" applyNumberFormat="1" applyFont="1" applyFill="1"/>
    <xf numFmtId="0" fontId="26" fillId="2" borderId="0" xfId="5" applyFont="1" applyFill="1"/>
    <xf numFmtId="9" fontId="20" fillId="2" borderId="0" xfId="1" applyFont="1" applyFill="1" applyAlignment="1">
      <alignment horizontal="center"/>
    </xf>
    <xf numFmtId="17" fontId="18" fillId="0" borderId="0" xfId="2" applyNumberFormat="1" applyFont="1" applyFill="1" applyAlignment="1">
      <alignment horizontal="center"/>
    </xf>
    <xf numFmtId="14" fontId="5" fillId="0" borderId="0" xfId="0" applyNumberFormat="1" applyFont="1" applyAlignment="1">
      <alignment horizontal="center"/>
    </xf>
  </cellXfs>
  <cellStyles count="8">
    <cellStyle name="Comma" xfId="2" builtinId="3"/>
    <cellStyle name="Comma 3" xfId="7" xr:uid="{F01EBFD5-5ECD-445F-88F2-E83A60DFB7EB}"/>
    <cellStyle name="Comma 5" xfId="6" xr:uid="{956E9B92-1537-46DC-AA22-251C04B9777C}"/>
    <cellStyle name="Normal" xfId="0" builtinId="0"/>
    <cellStyle name="Normal 2" xfId="3" xr:uid="{00000000-0005-0000-0000-000002000000}"/>
    <cellStyle name="Normal 23" xfId="4" xr:uid="{96E2C96E-37F9-4700-815B-A62CFE08C09E}"/>
    <cellStyle name="Normal 84" xfId="5" xr:uid="{D7C147A1-5DF3-4D0F-BC04-E0407597C22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85"/>
  <sheetViews>
    <sheetView tabSelected="1" zoomScaleNormal="100" workbookViewId="0">
      <pane xSplit="1" ySplit="1" topLeftCell="CG79" activePane="bottomRight" state="frozen"/>
      <selection pane="topRight" activeCell="B1" sqref="B1"/>
      <selection pane="bottomLeft" activeCell="A2" sqref="A2"/>
      <selection pane="bottomRight" activeCell="CL100" sqref="CL100:CP100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90" width="11.140625" style="2"/>
    <col min="91" max="106" width="11.140625" style="24"/>
    <col min="107" max="108" width="11.140625" style="2"/>
    <col min="109" max="109" width="11.140625" style="121"/>
    <col min="110" max="16384" width="11.140625" style="2"/>
  </cols>
  <sheetData>
    <row r="1" spans="1:110" s="81" customFormat="1" x14ac:dyDescent="0.2">
      <c r="A1" s="78" t="str">
        <f>+'Annual Raw'!C4</f>
        <v>SRF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79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2" t="s">
        <v>445</v>
      </c>
      <c r="DF1" s="201">
        <v>46112</v>
      </c>
    </row>
    <row r="2" spans="1:110" s="109" customFormat="1" x14ac:dyDescent="0.2">
      <c r="A2" s="145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200">
        <v>46112</v>
      </c>
    </row>
    <row r="3" spans="1:110" s="152" customFormat="1" x14ac:dyDescent="0.2">
      <c r="A3" s="149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1"/>
      <c r="AB3" s="151"/>
      <c r="AC3" s="151"/>
      <c r="AD3" s="151"/>
      <c r="AE3" s="151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1"/>
      <c r="CN3" s="151"/>
      <c r="CO3" s="151"/>
      <c r="CP3" s="151"/>
      <c r="CQ3" s="151"/>
      <c r="CR3" s="151"/>
      <c r="CS3" s="151"/>
      <c r="CT3" s="151"/>
      <c r="CU3" s="151"/>
      <c r="CV3" s="151"/>
      <c r="CW3" s="151"/>
      <c r="CX3" s="151"/>
      <c r="CY3" s="151"/>
      <c r="CZ3" s="151"/>
      <c r="DA3" s="151"/>
      <c r="DB3" s="151"/>
      <c r="DE3" s="153"/>
    </row>
    <row r="4" spans="1:110" s="152" customFormat="1" x14ac:dyDescent="0.2">
      <c r="A4" s="178" t="s">
        <v>522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1"/>
      <c r="AB4" s="151"/>
      <c r="AC4" s="151"/>
      <c r="AD4" s="151"/>
      <c r="AE4" s="151"/>
      <c r="AI4" s="150"/>
      <c r="AJ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  <c r="BM4" s="150"/>
      <c r="BN4" s="150"/>
      <c r="BO4" s="150"/>
      <c r="BP4" s="150"/>
      <c r="BQ4" s="150"/>
      <c r="BR4" s="150"/>
      <c r="BS4" s="150"/>
      <c r="BT4" s="150"/>
      <c r="BU4" s="150"/>
      <c r="BV4" s="150"/>
      <c r="BW4" s="150"/>
      <c r="BX4" s="150"/>
      <c r="BY4" s="150"/>
      <c r="BZ4" s="150"/>
      <c r="CA4" s="150"/>
      <c r="CB4" s="150"/>
      <c r="CC4" s="150"/>
      <c r="CD4" s="150"/>
      <c r="CE4" s="150"/>
      <c r="CF4" s="150"/>
      <c r="CG4" s="150"/>
      <c r="CH4" s="150"/>
      <c r="CI4" s="150"/>
      <c r="CJ4" s="150"/>
      <c r="CK4" s="150"/>
      <c r="CL4" s="150"/>
      <c r="CM4" s="151"/>
      <c r="CN4" s="151"/>
      <c r="CO4" s="151"/>
      <c r="CP4" s="151"/>
      <c r="CQ4" s="151"/>
      <c r="CR4" s="151"/>
      <c r="CS4" s="151"/>
      <c r="CT4" s="151"/>
      <c r="CU4" s="151"/>
      <c r="CV4" s="151"/>
      <c r="CW4" s="151"/>
      <c r="CX4" s="151"/>
      <c r="CY4" s="151"/>
      <c r="CZ4" s="151"/>
      <c r="DA4" s="151"/>
      <c r="DB4" s="151"/>
      <c r="DE4" s="153"/>
    </row>
    <row r="5" spans="1:110" s="152" customFormat="1" x14ac:dyDescent="0.2">
      <c r="A5" s="179" t="s">
        <v>530</v>
      </c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89">
        <f>SUM(AU5:AX5)</f>
        <v>1594.3</v>
      </c>
      <c r="R5" s="189">
        <f>SUM(AY5:BB5)</f>
        <v>1696.3</v>
      </c>
      <c r="S5" s="189">
        <f>SUM(BC5:BF5)</f>
        <v>1611.3000000000002</v>
      </c>
      <c r="T5" s="189">
        <f>SUM(BG5:BJ5)</f>
        <v>2445.4</v>
      </c>
      <c r="U5" s="189">
        <f>SUM(BK5:BN5)</f>
        <v>2974.97</v>
      </c>
      <c r="V5" s="189">
        <f>SUM(BO5:BR5)</f>
        <v>3644.5</v>
      </c>
      <c r="W5" s="189">
        <f>SUM(BS5:BV5)</f>
        <v>5215.91</v>
      </c>
      <c r="X5" s="189">
        <f>+SUM(BW5:BZ5)</f>
        <v>7411.28</v>
      </c>
      <c r="Y5" s="189">
        <f>+SUM(CA5:CD5)</f>
        <v>6297.02</v>
      </c>
      <c r="Z5" s="182">
        <f>SUM(CE5:CH5)</f>
        <v>6690.75</v>
      </c>
      <c r="AA5" s="151"/>
      <c r="AB5" s="151"/>
      <c r="AC5" s="151"/>
      <c r="AD5" s="151"/>
      <c r="AE5" s="151"/>
      <c r="AI5" s="150"/>
      <c r="AJ5" s="150"/>
      <c r="AK5" s="150"/>
      <c r="AL5" s="150"/>
      <c r="AM5" s="150"/>
      <c r="AN5" s="150"/>
      <c r="AO5" s="150"/>
      <c r="AP5" s="150"/>
      <c r="AQ5" s="150"/>
      <c r="AR5" s="180">
        <v>319.60000000000002</v>
      </c>
      <c r="AS5" s="180">
        <v>306.60000000000002</v>
      </c>
      <c r="AT5" s="180">
        <v>316.7</v>
      </c>
      <c r="AU5" s="180">
        <v>378.2</v>
      </c>
      <c r="AV5" s="180">
        <v>385.2</v>
      </c>
      <c r="AW5" s="180">
        <v>398.9</v>
      </c>
      <c r="AX5" s="180">
        <v>432</v>
      </c>
      <c r="AY5" s="180">
        <v>421.4</v>
      </c>
      <c r="AZ5" s="180">
        <v>386.4</v>
      </c>
      <c r="BA5" s="180">
        <v>382.2</v>
      </c>
      <c r="BB5" s="180">
        <v>506.3</v>
      </c>
      <c r="BC5" s="180">
        <v>356.7</v>
      </c>
      <c r="BD5" s="180">
        <v>346.2</v>
      </c>
      <c r="BE5" s="180">
        <v>401.8</v>
      </c>
      <c r="BF5" s="180">
        <v>506.6</v>
      </c>
      <c r="BG5" s="180">
        <v>477.4</v>
      </c>
      <c r="BH5" s="180">
        <v>542</v>
      </c>
      <c r="BI5" s="180">
        <v>586</v>
      </c>
      <c r="BJ5" s="180">
        <v>840</v>
      </c>
      <c r="BK5" s="180">
        <v>603.20000000000005</v>
      </c>
      <c r="BL5" s="180">
        <v>678</v>
      </c>
      <c r="BM5" s="180">
        <v>811.9</v>
      </c>
      <c r="BN5" s="180">
        <v>881.87</v>
      </c>
      <c r="BO5" s="180">
        <v>705</v>
      </c>
      <c r="BP5" s="180">
        <v>881</v>
      </c>
      <c r="BQ5" s="181">
        <v>905.9</v>
      </c>
      <c r="BR5" s="181">
        <v>1152.5999999999999</v>
      </c>
      <c r="BS5" s="181">
        <v>1113.6600000000001</v>
      </c>
      <c r="BT5" s="181">
        <v>1101.25</v>
      </c>
      <c r="BU5" s="181">
        <v>1428</v>
      </c>
      <c r="BV5" s="181">
        <v>1573</v>
      </c>
      <c r="BW5" s="181">
        <v>1722.5</v>
      </c>
      <c r="BX5" s="182">
        <v>1830.16</v>
      </c>
      <c r="BY5" s="182">
        <v>1756.62</v>
      </c>
      <c r="BZ5" s="182">
        <v>2102</v>
      </c>
      <c r="CA5" s="182">
        <v>1660.54</v>
      </c>
      <c r="CB5" s="182">
        <v>1426.3</v>
      </c>
      <c r="CC5" s="182">
        <v>1394.13</v>
      </c>
      <c r="CD5" s="182">
        <v>1816.05</v>
      </c>
      <c r="CE5" s="182">
        <v>1482</v>
      </c>
      <c r="CF5" s="182">
        <v>1357.79</v>
      </c>
      <c r="CG5" s="182">
        <v>1495.65</v>
      </c>
      <c r="CH5" s="182">
        <v>2355.31</v>
      </c>
      <c r="CI5" s="182">
        <v>1838.95</v>
      </c>
      <c r="CJ5" s="182">
        <v>1666.88</v>
      </c>
      <c r="CK5" s="182">
        <v>1824.81</v>
      </c>
      <c r="CL5" s="182">
        <v>2448.33</v>
      </c>
      <c r="CM5" s="151"/>
      <c r="CN5" s="151"/>
      <c r="CO5" s="151"/>
      <c r="CP5" s="151"/>
      <c r="CQ5" s="151"/>
      <c r="CR5" s="151"/>
      <c r="CS5" s="151"/>
      <c r="CT5" s="151"/>
      <c r="CU5" s="151"/>
      <c r="CV5" s="151"/>
      <c r="CW5" s="151"/>
      <c r="CX5" s="151"/>
      <c r="CY5" s="151"/>
      <c r="CZ5" s="151"/>
      <c r="DA5" s="151"/>
      <c r="DB5" s="151"/>
      <c r="DE5" s="153"/>
    </row>
    <row r="6" spans="1:110" s="152" customFormat="1" x14ac:dyDescent="0.2">
      <c r="A6" s="179" t="s">
        <v>531</v>
      </c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89">
        <f>SUM(AU6:AX6)</f>
        <v>1332.1</v>
      </c>
      <c r="R6" s="189">
        <f t="shared" ref="R6:R8" si="33">SUM(AY6:BB6)</f>
        <v>1396.8000000000002</v>
      </c>
      <c r="S6" s="189">
        <f t="shared" ref="S6:S8" si="34">SUM(BC6:BF6)</f>
        <v>1782.4</v>
      </c>
      <c r="T6" s="189">
        <f t="shared" ref="T6:T8" si="35">SUM(BG6:BJ6)</f>
        <v>2653.3999999999996</v>
      </c>
      <c r="U6" s="189">
        <f t="shared" ref="U6:U8" si="36">SUM(BK6:BN6)</f>
        <v>2604.1000000000004</v>
      </c>
      <c r="V6" s="189">
        <f t="shared" ref="V6:V8" si="37">SUM(BO6:BR6)</f>
        <v>3291.4900000000002</v>
      </c>
      <c r="W6" s="189">
        <f t="shared" ref="W6:W8" si="38">SUM(BS6:BV6)</f>
        <v>4623.58</v>
      </c>
      <c r="X6" s="189">
        <f t="shared" ref="X6:X8" si="39">+SUM(BW6:BZ6)</f>
        <v>5182.7</v>
      </c>
      <c r="Y6" s="189">
        <f t="shared" ref="Y6:Y8" si="40">+SUM(CA6:CD6)</f>
        <v>4489.34</v>
      </c>
      <c r="Z6" s="182">
        <f t="shared" ref="Z6:Z8" si="41">SUM(CE6:CH6)</f>
        <v>5553.7999999999993</v>
      </c>
      <c r="AA6" s="151"/>
      <c r="AB6" s="151"/>
      <c r="AC6" s="151"/>
      <c r="AD6" s="151"/>
      <c r="AE6" s="151"/>
      <c r="AI6" s="150"/>
      <c r="AJ6" s="150"/>
      <c r="AK6" s="150"/>
      <c r="AL6" s="150"/>
      <c r="AM6" s="150"/>
      <c r="AN6" s="150"/>
      <c r="AO6" s="150"/>
      <c r="AP6" s="150"/>
      <c r="AQ6" s="150"/>
      <c r="AR6" s="180">
        <v>353.8</v>
      </c>
      <c r="AS6" s="180">
        <v>306.2</v>
      </c>
      <c r="AT6" s="180">
        <v>284.8</v>
      </c>
      <c r="AU6" s="180">
        <v>352.7</v>
      </c>
      <c r="AV6" s="180">
        <v>356.1</v>
      </c>
      <c r="AW6" s="180">
        <v>336</v>
      </c>
      <c r="AX6" s="180">
        <v>287.3</v>
      </c>
      <c r="AY6" s="180">
        <v>334.3</v>
      </c>
      <c r="AZ6" s="180">
        <v>349.4</v>
      </c>
      <c r="BA6" s="180">
        <v>335.2</v>
      </c>
      <c r="BB6" s="180">
        <v>377.9</v>
      </c>
      <c r="BC6" s="180">
        <v>414.8</v>
      </c>
      <c r="BD6" s="180">
        <v>410.7</v>
      </c>
      <c r="BE6" s="180">
        <v>430.2</v>
      </c>
      <c r="BF6" s="180">
        <v>526.70000000000005</v>
      </c>
      <c r="BG6" s="180">
        <v>631.79999999999995</v>
      </c>
      <c r="BH6" s="180">
        <v>695.9</v>
      </c>
      <c r="BI6" s="180">
        <v>702.6</v>
      </c>
      <c r="BJ6" s="180">
        <v>623.1</v>
      </c>
      <c r="BK6" s="180">
        <v>701.7</v>
      </c>
      <c r="BL6" s="180">
        <v>662.7</v>
      </c>
      <c r="BM6" s="180">
        <v>638.20000000000005</v>
      </c>
      <c r="BN6" s="180">
        <v>601.5</v>
      </c>
      <c r="BO6" s="180">
        <v>677</v>
      </c>
      <c r="BP6" s="180">
        <v>833</v>
      </c>
      <c r="BQ6" s="181">
        <v>801.97</v>
      </c>
      <c r="BR6" s="181">
        <v>979.52</v>
      </c>
      <c r="BS6" s="181">
        <v>1041.28</v>
      </c>
      <c r="BT6" s="181">
        <v>916.30000000000007</v>
      </c>
      <c r="BU6" s="181">
        <v>1276</v>
      </c>
      <c r="BV6" s="181">
        <v>1390</v>
      </c>
      <c r="BW6" s="181">
        <v>1496</v>
      </c>
      <c r="BX6" s="182">
        <v>1331.02</v>
      </c>
      <c r="BY6" s="182">
        <v>1202.68</v>
      </c>
      <c r="BZ6" s="182">
        <v>1153</v>
      </c>
      <c r="CA6" s="182">
        <v>1094.81</v>
      </c>
      <c r="CB6" s="182">
        <v>1121.51</v>
      </c>
      <c r="CC6" s="182">
        <v>1090.6500000000001</v>
      </c>
      <c r="CD6" s="182">
        <v>1182.3699999999999</v>
      </c>
      <c r="CE6" s="182">
        <v>1336.3</v>
      </c>
      <c r="CF6" s="182">
        <v>1420.59</v>
      </c>
      <c r="CG6" s="182">
        <v>1384.75</v>
      </c>
      <c r="CH6" s="182">
        <v>1412.16</v>
      </c>
      <c r="CI6" s="182">
        <v>1418.2</v>
      </c>
      <c r="CJ6" s="182">
        <v>1408.14</v>
      </c>
      <c r="CK6" s="182">
        <v>1342.28</v>
      </c>
      <c r="CL6" s="182">
        <v>1595.61</v>
      </c>
      <c r="CM6" s="151"/>
      <c r="CN6" s="151"/>
      <c r="CO6" s="151"/>
      <c r="CP6" s="151"/>
      <c r="CQ6" s="151"/>
      <c r="CR6" s="151"/>
      <c r="CS6" s="151"/>
      <c r="CT6" s="151"/>
      <c r="CU6" s="151"/>
      <c r="CV6" s="151"/>
      <c r="CW6" s="151"/>
      <c r="CX6" s="151"/>
      <c r="CY6" s="151"/>
      <c r="CZ6" s="151"/>
      <c r="DA6" s="151"/>
      <c r="DB6" s="151"/>
      <c r="DE6" s="153"/>
    </row>
    <row r="7" spans="1:110" s="152" customFormat="1" x14ac:dyDescent="0.2">
      <c r="A7" s="179" t="s">
        <v>532</v>
      </c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89">
        <f t="shared" ref="Q7:Q8" si="42">SUM(AU7:AX7)</f>
        <v>1823.6999999999998</v>
      </c>
      <c r="R7" s="189">
        <f t="shared" si="33"/>
        <v>1967.6000000000001</v>
      </c>
      <c r="S7" s="189">
        <f t="shared" si="34"/>
        <v>1838.9</v>
      </c>
      <c r="T7" s="189">
        <f t="shared" si="35"/>
        <v>1890.7</v>
      </c>
      <c r="U7" s="189">
        <f t="shared" si="36"/>
        <v>1357.58</v>
      </c>
      <c r="V7" s="189">
        <f t="shared" si="37"/>
        <v>1240</v>
      </c>
      <c r="W7" s="189">
        <f t="shared" si="38"/>
        <v>1876.53</v>
      </c>
      <c r="X7" s="189">
        <f t="shared" si="39"/>
        <v>1894.16</v>
      </c>
      <c r="Y7" s="189">
        <f t="shared" si="40"/>
        <v>1898.0099999999998</v>
      </c>
      <c r="Z7" s="182">
        <f t="shared" si="41"/>
        <v>2029.05</v>
      </c>
      <c r="AA7" s="151"/>
      <c r="AB7" s="151"/>
      <c r="AC7" s="151"/>
      <c r="AD7" s="151"/>
      <c r="AE7" s="151"/>
      <c r="AI7" s="150"/>
      <c r="AJ7" s="150"/>
      <c r="AK7" s="150"/>
      <c r="AL7" s="150"/>
      <c r="AM7" s="150"/>
      <c r="AN7" s="150"/>
      <c r="AO7" s="150"/>
      <c r="AP7" s="150"/>
      <c r="AQ7" s="150"/>
      <c r="AR7" s="180">
        <v>518.4</v>
      </c>
      <c r="AS7" s="180" t="s">
        <v>529</v>
      </c>
      <c r="AT7" s="180">
        <v>482.1</v>
      </c>
      <c r="AU7" s="180">
        <v>492.4</v>
      </c>
      <c r="AV7" s="180">
        <v>502.4</v>
      </c>
      <c r="AW7" s="180">
        <v>431.9</v>
      </c>
      <c r="AX7" s="180">
        <v>397</v>
      </c>
      <c r="AY7" s="180">
        <v>464.7</v>
      </c>
      <c r="AZ7" s="180">
        <v>480.5</v>
      </c>
      <c r="BA7" s="180">
        <v>489.2</v>
      </c>
      <c r="BB7" s="180">
        <v>533.20000000000005</v>
      </c>
      <c r="BC7" s="180">
        <v>507.3</v>
      </c>
      <c r="BD7" s="180">
        <v>417.2</v>
      </c>
      <c r="BE7" s="180">
        <v>452.2</v>
      </c>
      <c r="BF7" s="180">
        <v>462.2</v>
      </c>
      <c r="BG7" s="180">
        <v>501.4</v>
      </c>
      <c r="BH7" s="180">
        <v>453.5</v>
      </c>
      <c r="BI7" s="180">
        <v>454.3</v>
      </c>
      <c r="BJ7" s="180">
        <v>481.5</v>
      </c>
      <c r="BK7" s="180">
        <v>382.1</v>
      </c>
      <c r="BL7" s="180">
        <v>323</v>
      </c>
      <c r="BM7" s="180">
        <v>335.7</v>
      </c>
      <c r="BN7" s="180">
        <v>316.77999999999997</v>
      </c>
      <c r="BO7" s="180">
        <v>140.44</v>
      </c>
      <c r="BP7" s="180">
        <v>332</v>
      </c>
      <c r="BQ7" s="181">
        <v>366.97</v>
      </c>
      <c r="BR7" s="181">
        <v>400.59</v>
      </c>
      <c r="BS7" s="181">
        <v>492.93</v>
      </c>
      <c r="BT7" s="181">
        <v>348.6</v>
      </c>
      <c r="BU7" s="181">
        <v>538</v>
      </c>
      <c r="BV7" s="181">
        <v>497</v>
      </c>
      <c r="BW7" s="181">
        <v>571</v>
      </c>
      <c r="BX7" s="182">
        <v>466.22</v>
      </c>
      <c r="BY7" s="182">
        <v>425.94</v>
      </c>
      <c r="BZ7" s="182">
        <v>431</v>
      </c>
      <c r="CA7" s="182">
        <v>464.65</v>
      </c>
      <c r="CB7" s="182">
        <v>506.15</v>
      </c>
      <c r="CC7" s="182">
        <v>458.36</v>
      </c>
      <c r="CD7" s="182">
        <v>468.85</v>
      </c>
      <c r="CE7" s="182">
        <v>525.29</v>
      </c>
      <c r="CF7" s="182">
        <v>535.53</v>
      </c>
      <c r="CG7" s="182">
        <v>509.79</v>
      </c>
      <c r="CH7" s="182">
        <v>458.44</v>
      </c>
      <c r="CI7" s="182">
        <v>466.55</v>
      </c>
      <c r="CJ7" s="182">
        <v>474.34</v>
      </c>
      <c r="CK7" s="182">
        <v>453.58</v>
      </c>
      <c r="CL7" s="182">
        <v>482.53</v>
      </c>
      <c r="CM7" s="151"/>
      <c r="CN7" s="151"/>
      <c r="CO7" s="151"/>
      <c r="CP7" s="151"/>
      <c r="CQ7" s="151"/>
      <c r="CR7" s="151"/>
      <c r="CS7" s="151"/>
      <c r="CT7" s="151"/>
      <c r="CU7" s="151"/>
      <c r="CV7" s="151"/>
      <c r="CW7" s="151"/>
      <c r="CX7" s="151"/>
      <c r="CY7" s="151"/>
      <c r="CZ7" s="151"/>
      <c r="DA7" s="151"/>
      <c r="DB7" s="151"/>
      <c r="DE7" s="153"/>
    </row>
    <row r="8" spans="1:110" s="152" customFormat="1" x14ac:dyDescent="0.2">
      <c r="A8" s="179" t="s">
        <v>533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89">
        <f t="shared" si="42"/>
        <v>-157.35999999999945</v>
      </c>
      <c r="R8" s="189">
        <f t="shared" si="33"/>
        <v>-238.89999999999986</v>
      </c>
      <c r="S8" s="189">
        <f t="shared" si="34"/>
        <v>356.43999999999983</v>
      </c>
      <c r="T8" s="189">
        <f t="shared" si="35"/>
        <v>322.49</v>
      </c>
      <c r="U8" s="189">
        <f t="shared" si="36"/>
        <v>337.91000000000008</v>
      </c>
      <c r="V8" s="189">
        <f t="shared" si="37"/>
        <v>224.04999999999973</v>
      </c>
      <c r="W8" s="189">
        <f t="shared" si="38"/>
        <v>308.74750000000017</v>
      </c>
      <c r="X8" s="189">
        <f t="shared" si="39"/>
        <v>392.32</v>
      </c>
      <c r="Y8" s="189">
        <f t="shared" si="40"/>
        <v>465.29999999999995</v>
      </c>
      <c r="Z8" s="182">
        <f t="shared" si="41"/>
        <v>427.54</v>
      </c>
      <c r="AA8" s="151"/>
      <c r="AB8" s="151"/>
      <c r="AC8" s="151"/>
      <c r="AD8" s="151"/>
      <c r="AE8" s="151"/>
      <c r="AI8" s="150"/>
      <c r="AJ8" s="150"/>
      <c r="AK8" s="150"/>
      <c r="AL8" s="150"/>
      <c r="AM8" s="150"/>
      <c r="AN8" s="150"/>
      <c r="AO8" s="150"/>
      <c r="AP8" s="150"/>
      <c r="AQ8" s="150"/>
      <c r="AR8" s="180">
        <v>-2.3300000000001546</v>
      </c>
      <c r="AS8" s="180">
        <v>-2.1500000000000909</v>
      </c>
      <c r="AT8" s="180">
        <v>-2.2400000000000091</v>
      </c>
      <c r="AU8" s="180">
        <v>-1.9299999999998363</v>
      </c>
      <c r="AV8" s="180">
        <v>-80.879999999999654</v>
      </c>
      <c r="AW8" s="180">
        <v>-71.210000000000036</v>
      </c>
      <c r="AX8" s="180">
        <v>-3.3399999999999181</v>
      </c>
      <c r="AY8" s="180">
        <v>-1.1900000000000546</v>
      </c>
      <c r="AZ8" s="180">
        <v>-72.499999999999773</v>
      </c>
      <c r="BA8" s="180">
        <v>-73.619999999999891</v>
      </c>
      <c r="BB8" s="180">
        <v>-91.590000000000146</v>
      </c>
      <c r="BC8" s="180">
        <v>14.480000000000018</v>
      </c>
      <c r="BD8" s="180">
        <v>112.33000000000015</v>
      </c>
      <c r="BE8" s="180">
        <v>112.8599999999999</v>
      </c>
      <c r="BF8" s="180">
        <v>116.76999999999975</v>
      </c>
      <c r="BG8" s="180">
        <v>65.630000000000109</v>
      </c>
      <c r="BH8" s="180">
        <v>63.549999999999955</v>
      </c>
      <c r="BI8" s="180">
        <v>65.880000000000109</v>
      </c>
      <c r="BJ8" s="180">
        <v>127.42999999999984</v>
      </c>
      <c r="BK8" s="180">
        <v>141.43999999999983</v>
      </c>
      <c r="BL8" s="180">
        <v>74.100000000000136</v>
      </c>
      <c r="BM8" s="180">
        <v>64.690000000000055</v>
      </c>
      <c r="BN8" s="180">
        <v>57.680000000000064</v>
      </c>
      <c r="BO8" s="180">
        <v>22.710000000000036</v>
      </c>
      <c r="BP8" s="180">
        <v>54.829999999999927</v>
      </c>
      <c r="BQ8" s="180">
        <v>71.569999999999709</v>
      </c>
      <c r="BR8" s="180">
        <v>74.940000000000055</v>
      </c>
      <c r="BS8" s="180">
        <v>51.5300000000002</v>
      </c>
      <c r="BT8" s="181">
        <v>63.217499999999973</v>
      </c>
      <c r="BU8" s="181">
        <v>104</v>
      </c>
      <c r="BV8" s="181">
        <v>90</v>
      </c>
      <c r="BW8" s="181">
        <v>105.6</v>
      </c>
      <c r="BX8" s="182">
        <v>100.38</v>
      </c>
      <c r="BY8" s="182">
        <v>92.34</v>
      </c>
      <c r="BZ8" s="182">
        <v>94</v>
      </c>
      <c r="CA8" s="182">
        <v>118.71</v>
      </c>
      <c r="CB8" s="182">
        <v>126.86</v>
      </c>
      <c r="CC8" s="182">
        <v>113.57</v>
      </c>
      <c r="CD8" s="182">
        <v>106.16</v>
      </c>
      <c r="CE8" s="182">
        <v>126.16</v>
      </c>
      <c r="CF8" s="182">
        <v>112.81</v>
      </c>
      <c r="CG8" s="182">
        <v>101.14</v>
      </c>
      <c r="CH8" s="182">
        <v>87.43</v>
      </c>
      <c r="CI8" s="182">
        <v>94.92</v>
      </c>
      <c r="CJ8" s="182">
        <v>90.83</v>
      </c>
      <c r="CK8" s="182">
        <v>91.92</v>
      </c>
      <c r="CL8" s="182">
        <v>88.71</v>
      </c>
      <c r="CM8" s="151"/>
      <c r="CN8" s="151"/>
      <c r="CO8" s="151"/>
      <c r="CP8" s="151"/>
      <c r="CQ8" s="151"/>
      <c r="CR8" s="151"/>
      <c r="CS8" s="151"/>
      <c r="CT8" s="151"/>
      <c r="CU8" s="151"/>
      <c r="CV8" s="151"/>
      <c r="CW8" s="151"/>
      <c r="CX8" s="151"/>
      <c r="CY8" s="151"/>
      <c r="CZ8" s="151"/>
      <c r="DA8" s="151"/>
      <c r="DB8" s="151"/>
      <c r="DE8" s="153"/>
    </row>
    <row r="9" spans="1:110" s="152" customFormat="1" x14ac:dyDescent="0.2">
      <c r="A9" s="178" t="s">
        <v>523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96">
        <f>SUM(Q5:Q8)</f>
        <v>4592.74</v>
      </c>
      <c r="R9" s="196">
        <f t="shared" ref="R9:X9" si="43">SUM(R5:R8)</f>
        <v>4821.8000000000011</v>
      </c>
      <c r="S9" s="196">
        <f t="shared" si="43"/>
        <v>5589.04</v>
      </c>
      <c r="T9" s="196">
        <f t="shared" si="43"/>
        <v>7311.9899999999989</v>
      </c>
      <c r="U9" s="196">
        <f t="shared" si="43"/>
        <v>7274.5599999999995</v>
      </c>
      <c r="V9" s="196">
        <f t="shared" si="43"/>
        <v>8400.0399999999991</v>
      </c>
      <c r="W9" s="196">
        <f t="shared" si="43"/>
        <v>12024.7675</v>
      </c>
      <c r="X9" s="196">
        <f t="shared" si="43"/>
        <v>14880.46</v>
      </c>
      <c r="Y9" s="195">
        <f t="shared" ref="Y9" si="44">+SUM(CG9:CJ9)</f>
        <v>15263.480000000001</v>
      </c>
      <c r="Z9" s="184">
        <f t="shared" ref="Z9" si="45">SUM(CK9:CN9)</f>
        <v>8327.77</v>
      </c>
      <c r="AA9" s="151"/>
      <c r="AB9" s="151"/>
      <c r="AC9" s="151"/>
      <c r="AD9" s="151"/>
      <c r="AE9" s="151"/>
      <c r="AI9" s="150"/>
      <c r="AJ9" s="150"/>
      <c r="AK9" s="150"/>
      <c r="AL9" s="150"/>
      <c r="AM9" s="150"/>
      <c r="AN9" s="150"/>
      <c r="AO9" s="150"/>
      <c r="AP9" s="150"/>
      <c r="AQ9" s="150"/>
      <c r="AR9" s="183">
        <f>SUM(AR5:AR8)</f>
        <v>1189.47</v>
      </c>
      <c r="AS9" s="183">
        <f t="shared" ref="AS9:CL9" si="46">SUM(AS5:AS8)</f>
        <v>610.64999999999986</v>
      </c>
      <c r="AT9" s="183">
        <f t="shared" si="46"/>
        <v>1081.3599999999999</v>
      </c>
      <c r="AU9" s="183">
        <f t="shared" si="46"/>
        <v>1221.3700000000001</v>
      </c>
      <c r="AV9" s="183">
        <f t="shared" si="46"/>
        <v>1162.8200000000002</v>
      </c>
      <c r="AW9" s="183">
        <f t="shared" si="46"/>
        <v>1095.5899999999999</v>
      </c>
      <c r="AX9" s="183">
        <f t="shared" si="46"/>
        <v>1112.96</v>
      </c>
      <c r="AY9" s="183">
        <f t="shared" si="46"/>
        <v>1219.21</v>
      </c>
      <c r="AZ9" s="183">
        <f t="shared" si="46"/>
        <v>1143.8000000000002</v>
      </c>
      <c r="BA9" s="183">
        <f t="shared" si="46"/>
        <v>1132.98</v>
      </c>
      <c r="BB9" s="183">
        <f t="shared" si="46"/>
        <v>1325.81</v>
      </c>
      <c r="BC9" s="183">
        <f t="shared" si="46"/>
        <v>1293.28</v>
      </c>
      <c r="BD9" s="183">
        <f t="shared" si="46"/>
        <v>1286.43</v>
      </c>
      <c r="BE9" s="183">
        <f t="shared" si="46"/>
        <v>1397.06</v>
      </c>
      <c r="BF9" s="183">
        <f t="shared" si="46"/>
        <v>1612.27</v>
      </c>
      <c r="BG9" s="183">
        <f t="shared" si="46"/>
        <v>1676.23</v>
      </c>
      <c r="BH9" s="183">
        <f t="shared" si="46"/>
        <v>1754.95</v>
      </c>
      <c r="BI9" s="183">
        <f t="shared" si="46"/>
        <v>1808.78</v>
      </c>
      <c r="BJ9" s="183">
        <f t="shared" si="46"/>
        <v>2072.0299999999997</v>
      </c>
      <c r="BK9" s="183">
        <f t="shared" si="46"/>
        <v>1828.4399999999998</v>
      </c>
      <c r="BL9" s="183">
        <f t="shared" si="46"/>
        <v>1737.8000000000002</v>
      </c>
      <c r="BM9" s="183">
        <f t="shared" si="46"/>
        <v>1850.49</v>
      </c>
      <c r="BN9" s="183">
        <f t="shared" si="46"/>
        <v>1857.83</v>
      </c>
      <c r="BO9" s="183">
        <f t="shared" si="46"/>
        <v>1545.15</v>
      </c>
      <c r="BP9" s="183">
        <f t="shared" si="46"/>
        <v>2100.83</v>
      </c>
      <c r="BQ9" s="183">
        <f t="shared" si="46"/>
        <v>2146.41</v>
      </c>
      <c r="BR9" s="183">
        <f t="shared" si="46"/>
        <v>2607.65</v>
      </c>
      <c r="BS9" s="183">
        <f t="shared" si="46"/>
        <v>2699.4</v>
      </c>
      <c r="BT9" s="183">
        <f t="shared" si="46"/>
        <v>2429.3675000000003</v>
      </c>
      <c r="BU9" s="183">
        <f t="shared" si="46"/>
        <v>3346</v>
      </c>
      <c r="BV9" s="183">
        <f t="shared" si="46"/>
        <v>3550</v>
      </c>
      <c r="BW9" s="183">
        <f t="shared" si="46"/>
        <v>3895.1</v>
      </c>
      <c r="BX9" s="183">
        <f t="shared" si="46"/>
        <v>3727.7800000000007</v>
      </c>
      <c r="BY9" s="183">
        <f t="shared" si="46"/>
        <v>3477.5800000000004</v>
      </c>
      <c r="BZ9" s="183">
        <f t="shared" si="46"/>
        <v>3780</v>
      </c>
      <c r="CA9" s="184">
        <f t="shared" si="46"/>
        <v>3338.71</v>
      </c>
      <c r="CB9" s="184">
        <f t="shared" si="46"/>
        <v>3180.82</v>
      </c>
      <c r="CC9" s="185">
        <f t="shared" si="46"/>
        <v>3056.7100000000005</v>
      </c>
      <c r="CD9" s="185">
        <f t="shared" si="46"/>
        <v>3573.43</v>
      </c>
      <c r="CE9" s="185">
        <f t="shared" si="46"/>
        <v>3469.75</v>
      </c>
      <c r="CF9" s="185">
        <f t="shared" si="46"/>
        <v>3426.72</v>
      </c>
      <c r="CG9" s="185">
        <f t="shared" si="46"/>
        <v>3491.33</v>
      </c>
      <c r="CH9" s="185">
        <f t="shared" si="46"/>
        <v>4313.34</v>
      </c>
      <c r="CI9" s="185">
        <f t="shared" si="46"/>
        <v>3818.6200000000003</v>
      </c>
      <c r="CJ9" s="185">
        <f t="shared" si="46"/>
        <v>3640.1900000000005</v>
      </c>
      <c r="CK9" s="185">
        <f t="shared" si="46"/>
        <v>3712.59</v>
      </c>
      <c r="CL9" s="185">
        <f t="shared" si="46"/>
        <v>4615.1799999999994</v>
      </c>
      <c r="CM9" s="151"/>
      <c r="CN9" s="151"/>
      <c r="CO9" s="151"/>
      <c r="CP9" s="151"/>
      <c r="CQ9" s="151"/>
      <c r="CR9" s="151"/>
      <c r="CS9" s="151"/>
      <c r="CT9" s="151"/>
      <c r="CU9" s="151"/>
      <c r="CV9" s="151"/>
      <c r="CW9" s="151"/>
      <c r="CX9" s="151"/>
      <c r="CY9" s="151"/>
      <c r="CZ9" s="151"/>
      <c r="DA9" s="151"/>
      <c r="DB9" s="151"/>
      <c r="DE9" s="153"/>
    </row>
    <row r="10" spans="1:110" s="152" customFormat="1" x14ac:dyDescent="0.2">
      <c r="A10" s="178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97"/>
      <c r="R10" s="197"/>
      <c r="S10" s="197"/>
      <c r="T10" s="197"/>
      <c r="U10" s="197"/>
      <c r="V10" s="197"/>
      <c r="W10" s="197"/>
      <c r="X10" s="197"/>
      <c r="Y10" s="197"/>
      <c r="Z10" s="197"/>
      <c r="AA10" s="151"/>
      <c r="AB10" s="151"/>
      <c r="AC10" s="151"/>
      <c r="AD10" s="151"/>
      <c r="AE10" s="151"/>
      <c r="AI10" s="150"/>
      <c r="AJ10" s="150"/>
      <c r="AK10" s="150"/>
      <c r="AL10" s="150"/>
      <c r="AM10" s="150"/>
      <c r="AN10" s="150"/>
      <c r="AO10" s="150"/>
      <c r="AP10" s="150"/>
      <c r="AQ10" s="150"/>
      <c r="AR10" s="180"/>
      <c r="AS10" s="180"/>
      <c r="AT10" s="180"/>
      <c r="AU10" s="180"/>
      <c r="AV10" s="180"/>
      <c r="AW10" s="180"/>
      <c r="AX10" s="180"/>
      <c r="AY10" s="180"/>
      <c r="AZ10" s="180"/>
      <c r="BA10" s="180"/>
      <c r="BB10" s="180"/>
      <c r="BC10" s="180"/>
      <c r="BD10" s="180"/>
      <c r="BE10" s="180"/>
      <c r="BF10" s="180"/>
      <c r="BG10" s="180"/>
      <c r="BH10" s="180"/>
      <c r="BI10" s="180"/>
      <c r="BJ10" s="180"/>
      <c r="BK10" s="180"/>
      <c r="BL10" s="180"/>
      <c r="BM10" s="180"/>
      <c r="BN10" s="180"/>
      <c r="BO10" s="180"/>
      <c r="BP10" s="180"/>
      <c r="BQ10" s="180"/>
      <c r="BR10" s="186"/>
      <c r="BS10" s="186"/>
      <c r="BT10" s="180"/>
      <c r="BU10" s="180"/>
      <c r="BV10" s="180"/>
      <c r="BW10" s="180"/>
      <c r="BX10" s="182"/>
      <c r="BY10" s="182"/>
      <c r="BZ10" s="182"/>
      <c r="CA10" s="182"/>
      <c r="CB10" s="180"/>
      <c r="CC10" s="180"/>
      <c r="CD10" s="180"/>
      <c r="CE10" s="180"/>
      <c r="CF10" s="180"/>
      <c r="CG10" s="180"/>
      <c r="CH10" s="180"/>
      <c r="CI10" s="180"/>
      <c r="CJ10" s="180"/>
      <c r="CK10" s="180"/>
      <c r="CL10" s="180"/>
      <c r="CM10" s="151"/>
      <c r="CN10" s="151"/>
      <c r="CO10" s="151"/>
      <c r="CP10" s="151"/>
      <c r="CQ10" s="151"/>
      <c r="CR10" s="151"/>
      <c r="CS10" s="151"/>
      <c r="CT10" s="151"/>
      <c r="CU10" s="151"/>
      <c r="CV10" s="151"/>
      <c r="CW10" s="151"/>
      <c r="CX10" s="151"/>
      <c r="CY10" s="151"/>
      <c r="CZ10" s="151"/>
      <c r="DA10" s="151"/>
      <c r="DB10" s="151"/>
      <c r="DE10" s="153"/>
    </row>
    <row r="11" spans="1:110" s="152" customFormat="1" x14ac:dyDescent="0.2">
      <c r="A11" s="179" t="s">
        <v>534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89">
        <f>SUM(AU11:AX11)</f>
        <v>389.5</v>
      </c>
      <c r="R11" s="189">
        <f t="shared" ref="R11:R14" si="47">SUM(AY11:BB11)</f>
        <v>324.60000000000002</v>
      </c>
      <c r="S11" s="189">
        <f t="shared" ref="S11:S14" si="48">SUM(BC11:BF11)</f>
        <v>269.39999999999998</v>
      </c>
      <c r="T11" s="189">
        <f t="shared" ref="T11:T14" si="49">SUM(BG11:BJ11)</f>
        <v>384.29999999999995</v>
      </c>
      <c r="U11" s="189">
        <f t="shared" ref="U11:U14" si="50">SUM(BK11:BN11)</f>
        <v>511.5</v>
      </c>
      <c r="V11" s="189">
        <f t="shared" ref="V11:V14" si="51">SUM(BO11:BR11)</f>
        <v>728.14</v>
      </c>
      <c r="W11" s="189">
        <f t="shared" ref="W11:W14" si="52">SUM(BS11:BV11)</f>
        <v>1365.6529253991343</v>
      </c>
      <c r="X11" s="189">
        <f t="shared" ref="X11:X14" si="53">+SUM(BW11:BZ11)</f>
        <v>2340.41</v>
      </c>
      <c r="Y11" s="189">
        <f t="shared" ref="Y11:Y14" si="54">+SUM(CA11:CD11)</f>
        <v>1627.38</v>
      </c>
      <c r="Z11" s="182">
        <f t="shared" ref="Z11:Z14" si="55">SUM(CE11:CH11)</f>
        <v>1664.8</v>
      </c>
      <c r="AA11" s="151"/>
      <c r="AB11" s="151"/>
      <c r="AC11" s="151"/>
      <c r="AD11" s="151"/>
      <c r="AE11" s="151"/>
      <c r="AI11" s="150"/>
      <c r="AJ11" s="150"/>
      <c r="AK11" s="150"/>
      <c r="AL11" s="150"/>
      <c r="AM11" s="150"/>
      <c r="AN11" s="150"/>
      <c r="AO11" s="150"/>
      <c r="AP11" s="150"/>
      <c r="AQ11" s="150"/>
      <c r="AR11" s="180">
        <v>85.7</v>
      </c>
      <c r="AS11" s="180">
        <v>74.599999999999994</v>
      </c>
      <c r="AT11" s="180">
        <v>61.1</v>
      </c>
      <c r="AU11" s="180">
        <v>94.5</v>
      </c>
      <c r="AV11" s="180">
        <v>85.7</v>
      </c>
      <c r="AW11" s="180">
        <v>105.3</v>
      </c>
      <c r="AX11" s="180">
        <v>104</v>
      </c>
      <c r="AY11" s="180">
        <v>111.6</v>
      </c>
      <c r="AZ11" s="180">
        <v>67.599999999999994</v>
      </c>
      <c r="BA11" s="180">
        <v>61.3</v>
      </c>
      <c r="BB11" s="180">
        <v>84.1</v>
      </c>
      <c r="BC11" s="180">
        <v>59.4</v>
      </c>
      <c r="BD11" s="180">
        <v>44.3</v>
      </c>
      <c r="BE11" s="180">
        <v>73.3</v>
      </c>
      <c r="BF11" s="180">
        <v>92.4</v>
      </c>
      <c r="BG11" s="180">
        <v>78.7</v>
      </c>
      <c r="BH11" s="180">
        <v>63</v>
      </c>
      <c r="BI11" s="180">
        <v>76.599999999999994</v>
      </c>
      <c r="BJ11" s="180">
        <v>166</v>
      </c>
      <c r="BK11" s="180">
        <v>78.7</v>
      </c>
      <c r="BL11" s="180">
        <v>130.80000000000001</v>
      </c>
      <c r="BM11" s="180">
        <v>143.1</v>
      </c>
      <c r="BN11" s="180">
        <v>158.9</v>
      </c>
      <c r="BO11" s="180">
        <v>88.56</v>
      </c>
      <c r="BP11" s="180">
        <v>174.44</v>
      </c>
      <c r="BQ11" s="180">
        <v>189.94</v>
      </c>
      <c r="BR11" s="180">
        <v>275.2</v>
      </c>
      <c r="BS11" s="180">
        <v>222.29</v>
      </c>
      <c r="BT11" s="180">
        <v>219.81292539913437</v>
      </c>
      <c r="BU11" s="180">
        <v>419.24</v>
      </c>
      <c r="BV11" s="180">
        <v>504.31</v>
      </c>
      <c r="BW11" s="180">
        <v>520.20000000000005</v>
      </c>
      <c r="BX11" s="182">
        <v>517.28</v>
      </c>
      <c r="BY11" s="182">
        <v>563.92999999999995</v>
      </c>
      <c r="BZ11" s="182">
        <v>739</v>
      </c>
      <c r="CA11" s="182">
        <v>460.07</v>
      </c>
      <c r="CB11" s="182">
        <v>347.77</v>
      </c>
      <c r="CC11" s="182">
        <v>321.85000000000002</v>
      </c>
      <c r="CD11" s="182">
        <v>497.69</v>
      </c>
      <c r="CE11" s="182">
        <v>306.41000000000003</v>
      </c>
      <c r="CF11" s="182">
        <v>246.14</v>
      </c>
      <c r="CG11" s="182">
        <v>363.76</v>
      </c>
      <c r="CH11" s="182">
        <v>748.49</v>
      </c>
      <c r="CI11" s="182">
        <v>502.92</v>
      </c>
      <c r="CJ11" s="182">
        <v>481.31</v>
      </c>
      <c r="CK11" s="182">
        <v>495.99</v>
      </c>
      <c r="CL11" s="182">
        <v>782.64</v>
      </c>
      <c r="CM11" s="151"/>
      <c r="CN11" s="151"/>
      <c r="CO11" s="151"/>
      <c r="CP11" s="151"/>
      <c r="CQ11" s="151"/>
      <c r="CR11" s="151"/>
      <c r="CS11" s="151"/>
      <c r="CT11" s="151"/>
      <c r="CU11" s="151"/>
      <c r="CV11" s="151"/>
      <c r="CW11" s="151"/>
      <c r="CX11" s="151"/>
      <c r="CY11" s="151"/>
      <c r="CZ11" s="151"/>
      <c r="DA11" s="151"/>
      <c r="DB11" s="151"/>
      <c r="DE11" s="153"/>
    </row>
    <row r="12" spans="1:110" s="152" customFormat="1" x14ac:dyDescent="0.2">
      <c r="A12" s="179" t="s">
        <v>535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89">
        <f t="shared" ref="Q12:Q14" si="56">SUM(AU12:AX12)</f>
        <v>193.1</v>
      </c>
      <c r="R12" s="189">
        <f t="shared" si="47"/>
        <v>196.3</v>
      </c>
      <c r="S12" s="189">
        <f t="shared" si="48"/>
        <v>229.7</v>
      </c>
      <c r="T12" s="189">
        <f t="shared" si="49"/>
        <v>411.49999999999994</v>
      </c>
      <c r="U12" s="189">
        <f t="shared" si="50"/>
        <v>555.63</v>
      </c>
      <c r="V12" s="189">
        <f t="shared" si="51"/>
        <v>897.87</v>
      </c>
      <c r="W12" s="189">
        <f t="shared" si="52"/>
        <v>980.07567417825771</v>
      </c>
      <c r="X12" s="189">
        <f t="shared" si="53"/>
        <v>557.05999999999995</v>
      </c>
      <c r="Y12" s="189">
        <f t="shared" si="54"/>
        <v>206.5</v>
      </c>
      <c r="Z12" s="182">
        <f t="shared" si="55"/>
        <v>364.53</v>
      </c>
      <c r="AA12" s="151"/>
      <c r="AB12" s="151"/>
      <c r="AC12" s="151"/>
      <c r="AD12" s="151"/>
      <c r="AE12" s="151"/>
      <c r="AI12" s="150"/>
      <c r="AJ12" s="150"/>
      <c r="AK12" s="150"/>
      <c r="AL12" s="150"/>
      <c r="AM12" s="150"/>
      <c r="AN12" s="150"/>
      <c r="AO12" s="150"/>
      <c r="AP12" s="150"/>
      <c r="AQ12" s="150"/>
      <c r="AR12" s="180">
        <v>23.8</v>
      </c>
      <c r="AS12" s="180">
        <v>20.399999999999999</v>
      </c>
      <c r="AT12" s="180">
        <v>5.9</v>
      </c>
      <c r="AU12" s="180">
        <v>60.4</v>
      </c>
      <c r="AV12" s="180">
        <v>49</v>
      </c>
      <c r="AW12" s="180">
        <v>43.1</v>
      </c>
      <c r="AX12" s="180">
        <v>40.6</v>
      </c>
      <c r="AY12" s="180">
        <v>59.6</v>
      </c>
      <c r="AZ12" s="180">
        <v>52.7</v>
      </c>
      <c r="BA12" s="180">
        <v>47.4</v>
      </c>
      <c r="BB12" s="180">
        <v>36.6</v>
      </c>
      <c r="BC12" s="180">
        <v>45</v>
      </c>
      <c r="BD12" s="180">
        <v>49.5</v>
      </c>
      <c r="BE12" s="180">
        <v>62.9</v>
      </c>
      <c r="BF12" s="180">
        <v>72.3</v>
      </c>
      <c r="BG12" s="180">
        <v>97.3</v>
      </c>
      <c r="BH12" s="180">
        <v>120.4</v>
      </c>
      <c r="BI12" s="180">
        <v>88.1</v>
      </c>
      <c r="BJ12" s="180">
        <v>105.7</v>
      </c>
      <c r="BK12" s="180">
        <v>145.6</v>
      </c>
      <c r="BL12" s="180">
        <v>129.9</v>
      </c>
      <c r="BM12" s="180">
        <v>149.4</v>
      </c>
      <c r="BN12" s="180">
        <v>130.72999999999999</v>
      </c>
      <c r="BO12" s="180">
        <v>220.74</v>
      </c>
      <c r="BP12" s="180">
        <v>246.15</v>
      </c>
      <c r="BQ12" s="180">
        <v>212.4</v>
      </c>
      <c r="BR12" s="180">
        <v>218.58</v>
      </c>
      <c r="BS12" s="180">
        <v>236.79</v>
      </c>
      <c r="BT12" s="180">
        <v>213.24567417825781</v>
      </c>
      <c r="BU12" s="180">
        <v>254.21</v>
      </c>
      <c r="BV12" s="180">
        <v>275.83</v>
      </c>
      <c r="BW12" s="180">
        <v>296</v>
      </c>
      <c r="BX12" s="182">
        <v>101.44</v>
      </c>
      <c r="BY12" s="182">
        <v>118.62</v>
      </c>
      <c r="BZ12" s="182">
        <v>41</v>
      </c>
      <c r="CA12" s="182">
        <v>51.3</v>
      </c>
      <c r="CB12" s="182">
        <v>77.260000000000005</v>
      </c>
      <c r="CC12" s="182">
        <v>44.87</v>
      </c>
      <c r="CD12" s="182">
        <v>33.07</v>
      </c>
      <c r="CE12" s="182">
        <v>86.75</v>
      </c>
      <c r="CF12" s="182">
        <v>82.81</v>
      </c>
      <c r="CG12" s="182">
        <v>90.35</v>
      </c>
      <c r="CH12" s="182">
        <v>104.62</v>
      </c>
      <c r="CI12" s="182">
        <v>140.19999999999999</v>
      </c>
      <c r="CJ12" s="182">
        <v>118.95</v>
      </c>
      <c r="CK12" s="182">
        <v>94.79</v>
      </c>
      <c r="CL12" s="182">
        <v>153.61000000000001</v>
      </c>
      <c r="CM12" s="151"/>
      <c r="CN12" s="151"/>
      <c r="CO12" s="151"/>
      <c r="CP12" s="151"/>
      <c r="CQ12" s="151"/>
      <c r="CR12" s="151"/>
      <c r="CS12" s="151"/>
      <c r="CT12" s="151"/>
      <c r="CU12" s="151"/>
      <c r="CV12" s="151"/>
      <c r="CW12" s="151"/>
      <c r="CX12" s="151"/>
      <c r="CY12" s="151"/>
      <c r="CZ12" s="151"/>
      <c r="DA12" s="151"/>
      <c r="DB12" s="151"/>
      <c r="DE12" s="153"/>
    </row>
    <row r="13" spans="1:110" s="152" customFormat="1" x14ac:dyDescent="0.2">
      <c r="A13" s="179" t="s">
        <v>536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89">
        <f t="shared" si="56"/>
        <v>173.4</v>
      </c>
      <c r="R13" s="189">
        <f t="shared" si="47"/>
        <v>245</v>
      </c>
      <c r="S13" s="189">
        <f t="shared" si="48"/>
        <v>252.90000000000003</v>
      </c>
      <c r="T13" s="189">
        <f t="shared" si="49"/>
        <v>270.7</v>
      </c>
      <c r="U13" s="189">
        <f t="shared" si="50"/>
        <v>150.80000000000001</v>
      </c>
      <c r="V13" s="189">
        <f t="shared" si="51"/>
        <v>176.72000000000003</v>
      </c>
      <c r="W13" s="189">
        <f t="shared" si="52"/>
        <v>433.14846996530952</v>
      </c>
      <c r="X13" s="189">
        <f t="shared" si="53"/>
        <v>261.13</v>
      </c>
      <c r="Y13" s="189">
        <f t="shared" si="54"/>
        <v>274.21999999999997</v>
      </c>
      <c r="Z13" s="182">
        <f t="shared" si="55"/>
        <v>238.05</v>
      </c>
      <c r="AA13" s="151"/>
      <c r="AB13" s="151"/>
      <c r="AC13" s="151"/>
      <c r="AD13" s="151"/>
      <c r="AE13" s="151"/>
      <c r="AI13" s="150"/>
      <c r="AJ13" s="150"/>
      <c r="AK13" s="150"/>
      <c r="AL13" s="150"/>
      <c r="AM13" s="150"/>
      <c r="AN13" s="150"/>
      <c r="AO13" s="150"/>
      <c r="AP13" s="150"/>
      <c r="AQ13" s="150"/>
      <c r="AR13" s="180">
        <v>64.8</v>
      </c>
      <c r="AS13" s="180">
        <v>42.4</v>
      </c>
      <c r="AT13" s="180">
        <v>46.3</v>
      </c>
      <c r="AU13" s="180">
        <v>56.6</v>
      </c>
      <c r="AV13" s="180">
        <v>46.2</v>
      </c>
      <c r="AW13" s="180">
        <v>21.3</v>
      </c>
      <c r="AX13" s="180">
        <v>49.3</v>
      </c>
      <c r="AY13" s="180">
        <v>67.3</v>
      </c>
      <c r="AZ13" s="180">
        <v>61</v>
      </c>
      <c r="BA13" s="180">
        <v>63.1</v>
      </c>
      <c r="BB13" s="180">
        <v>53.6</v>
      </c>
      <c r="BC13" s="180">
        <v>59.1</v>
      </c>
      <c r="BD13" s="180">
        <v>50.7</v>
      </c>
      <c r="BE13" s="180">
        <v>76.3</v>
      </c>
      <c r="BF13" s="180">
        <v>66.8</v>
      </c>
      <c r="BG13" s="180">
        <v>72.099999999999994</v>
      </c>
      <c r="BH13" s="180">
        <v>69.5</v>
      </c>
      <c r="BI13" s="180">
        <v>72.8</v>
      </c>
      <c r="BJ13" s="180">
        <v>56.3</v>
      </c>
      <c r="BK13" s="180">
        <v>56.9</v>
      </c>
      <c r="BL13" s="180">
        <v>20.9</v>
      </c>
      <c r="BM13" s="180">
        <v>36.5</v>
      </c>
      <c r="BN13" s="180">
        <v>36.5</v>
      </c>
      <c r="BO13" s="180">
        <v>-14.2</v>
      </c>
      <c r="BP13" s="180">
        <v>50.2</v>
      </c>
      <c r="BQ13" s="180">
        <v>67.930000000000007</v>
      </c>
      <c r="BR13" s="180">
        <v>72.790000000000006</v>
      </c>
      <c r="BS13" s="180">
        <v>133.68</v>
      </c>
      <c r="BT13" s="180">
        <v>94.538469965309488</v>
      </c>
      <c r="BU13" s="180">
        <v>113.51</v>
      </c>
      <c r="BV13" s="180">
        <v>91.42</v>
      </c>
      <c r="BW13" s="180">
        <v>116</v>
      </c>
      <c r="BX13" s="182">
        <v>62.93</v>
      </c>
      <c r="BY13" s="182">
        <v>34.200000000000003</v>
      </c>
      <c r="BZ13" s="182">
        <v>48</v>
      </c>
      <c r="CA13" s="182">
        <v>60.65</v>
      </c>
      <c r="CB13" s="182">
        <v>74.95</v>
      </c>
      <c r="CC13" s="182">
        <v>68.8</v>
      </c>
      <c r="CD13" s="182">
        <v>69.819999999999993</v>
      </c>
      <c r="CE13" s="182">
        <v>67.7</v>
      </c>
      <c r="CF13" s="182">
        <v>71.34</v>
      </c>
      <c r="CG13" s="182">
        <v>58.91</v>
      </c>
      <c r="CH13" s="182">
        <v>40.1</v>
      </c>
      <c r="CI13" s="182">
        <v>37.64</v>
      </c>
      <c r="CJ13" s="182">
        <v>42.3</v>
      </c>
      <c r="CK13" s="182">
        <v>44.94</v>
      </c>
      <c r="CL13" s="182">
        <v>65.2</v>
      </c>
      <c r="CM13" s="151"/>
      <c r="CN13" s="151"/>
      <c r="CO13" s="151"/>
      <c r="CP13" s="151"/>
      <c r="CQ13" s="151"/>
      <c r="CR13" s="151"/>
      <c r="CS13" s="151"/>
      <c r="CT13" s="151"/>
      <c r="CU13" s="151"/>
      <c r="CV13" s="151"/>
      <c r="CW13" s="151"/>
      <c r="CX13" s="151"/>
      <c r="CY13" s="151"/>
      <c r="CZ13" s="151"/>
      <c r="DA13" s="151"/>
      <c r="DB13" s="151"/>
      <c r="DE13" s="153"/>
    </row>
    <row r="14" spans="1:110" s="152" customFormat="1" x14ac:dyDescent="0.2">
      <c r="A14" s="179" t="s">
        <v>537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89">
        <f t="shared" si="56"/>
        <v>-34.679999999999865</v>
      </c>
      <c r="R14" s="189">
        <f t="shared" si="47"/>
        <v>-2.4899999999998954</v>
      </c>
      <c r="S14" s="189">
        <f t="shared" si="48"/>
        <v>-46.439999999999941</v>
      </c>
      <c r="T14" s="189">
        <f t="shared" si="49"/>
        <v>-52.930000000000121</v>
      </c>
      <c r="U14" s="189">
        <f t="shared" si="50"/>
        <v>-67.670000000000414</v>
      </c>
      <c r="V14" s="189">
        <f t="shared" si="51"/>
        <v>-34.539999999999452</v>
      </c>
      <c r="W14" s="189">
        <f t="shared" si="52"/>
        <v>10.072930457298476</v>
      </c>
      <c r="X14" s="189">
        <f t="shared" si="53"/>
        <v>34.730000000000004</v>
      </c>
      <c r="Y14" s="189">
        <f t="shared" si="54"/>
        <v>93.02000000000001</v>
      </c>
      <c r="Z14" s="182">
        <f t="shared" si="55"/>
        <v>68.830000000000013</v>
      </c>
      <c r="AA14" s="151"/>
      <c r="AB14" s="151"/>
      <c r="AC14" s="151"/>
      <c r="AD14" s="151"/>
      <c r="AE14" s="151"/>
      <c r="AI14" s="150"/>
      <c r="AJ14" s="150"/>
      <c r="AK14" s="150"/>
      <c r="AL14" s="150"/>
      <c r="AM14" s="150"/>
      <c r="AN14" s="150"/>
      <c r="AO14" s="150"/>
      <c r="AP14" s="150"/>
      <c r="AQ14" s="150"/>
      <c r="AR14" s="180">
        <v>-11.189999999999969</v>
      </c>
      <c r="AS14" s="180">
        <v>-6.0100000000001614</v>
      </c>
      <c r="AT14" s="180">
        <v>-11.19000000000014</v>
      </c>
      <c r="AU14" s="180">
        <v>-11.459999999999923</v>
      </c>
      <c r="AV14" s="180">
        <v>0.98000000000024556</v>
      </c>
      <c r="AW14" s="180">
        <v>-2.6800000000001774</v>
      </c>
      <c r="AX14" s="180">
        <v>-21.52000000000001</v>
      </c>
      <c r="AY14" s="180">
        <v>-5.7499999999998579</v>
      </c>
      <c r="AZ14" s="180">
        <v>-4.629999999999967</v>
      </c>
      <c r="BA14" s="180">
        <v>-5.0000000000000853</v>
      </c>
      <c r="BB14" s="180">
        <v>12.890000000000015</v>
      </c>
      <c r="BC14" s="180">
        <v>-9.8500000000001364</v>
      </c>
      <c r="BD14" s="180">
        <v>4.8800000000001091</v>
      </c>
      <c r="BE14" s="180">
        <v>-15.900000000000063</v>
      </c>
      <c r="BF14" s="180">
        <v>-25.569999999999851</v>
      </c>
      <c r="BG14" s="180">
        <v>-13.530000000000058</v>
      </c>
      <c r="BH14" s="180">
        <v>-20.169999999999987</v>
      </c>
      <c r="BI14" s="180">
        <v>0.47000000000002728</v>
      </c>
      <c r="BJ14" s="180">
        <v>-19.700000000000102</v>
      </c>
      <c r="BK14" s="180">
        <v>5.1799999999998363</v>
      </c>
      <c r="BL14" s="180">
        <v>-17.319999999999993</v>
      </c>
      <c r="BM14" s="180">
        <v>-22.410000000000139</v>
      </c>
      <c r="BN14" s="180">
        <v>-33.120000000000118</v>
      </c>
      <c r="BO14" s="180">
        <v>-16.509999999999764</v>
      </c>
      <c r="BP14" s="180">
        <v>9.7599999999999341</v>
      </c>
      <c r="BQ14" s="180">
        <v>0.9699999999999136</v>
      </c>
      <c r="BR14" s="180">
        <v>-28.759999999999536</v>
      </c>
      <c r="BS14" s="180">
        <v>-30.380000000000109</v>
      </c>
      <c r="BT14" s="180">
        <v>27.882930457298585</v>
      </c>
      <c r="BU14" s="180">
        <v>8.57</v>
      </c>
      <c r="BV14" s="180">
        <v>4</v>
      </c>
      <c r="BW14" s="180">
        <v>7</v>
      </c>
      <c r="BX14" s="182">
        <v>7.59</v>
      </c>
      <c r="BY14" s="182">
        <v>9.14</v>
      </c>
      <c r="BZ14" s="182">
        <v>11</v>
      </c>
      <c r="CA14" s="182">
        <v>23.16</v>
      </c>
      <c r="CB14" s="182">
        <v>33.090000000000003</v>
      </c>
      <c r="CC14" s="182">
        <v>21.21</v>
      </c>
      <c r="CD14" s="182">
        <v>15.56</v>
      </c>
      <c r="CE14" s="182">
        <v>23.57</v>
      </c>
      <c r="CF14" s="182">
        <v>17.190000000000001</v>
      </c>
      <c r="CG14" s="182">
        <v>15.67</v>
      </c>
      <c r="CH14" s="182">
        <v>12.4</v>
      </c>
      <c r="CI14" s="182">
        <v>13.43</v>
      </c>
      <c r="CJ14" s="182">
        <v>7.5</v>
      </c>
      <c r="CK14" s="182">
        <v>16.97</v>
      </c>
      <c r="CL14" s="182">
        <v>9.1300000000000008</v>
      </c>
      <c r="CM14" s="151"/>
      <c r="CN14" s="151"/>
      <c r="CO14" s="151"/>
      <c r="CP14" s="151"/>
      <c r="CQ14" s="151"/>
      <c r="CR14" s="151"/>
      <c r="CS14" s="151"/>
      <c r="CT14" s="151"/>
      <c r="CU14" s="151"/>
      <c r="CV14" s="151"/>
      <c r="CW14" s="151"/>
      <c r="CX14" s="151"/>
      <c r="CY14" s="151"/>
      <c r="CZ14" s="151"/>
      <c r="DA14" s="151"/>
      <c r="DB14" s="151"/>
      <c r="DE14" s="153"/>
    </row>
    <row r="15" spans="1:110" s="152" customFormat="1" x14ac:dyDescent="0.2">
      <c r="A15" s="178" t="s">
        <v>524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96">
        <f>SUM(Q11:Q14)</f>
        <v>721.32000000000016</v>
      </c>
      <c r="R15" s="196">
        <f t="shared" ref="R15:Y15" si="57">SUM(R11:R14)</f>
        <v>763.4100000000002</v>
      </c>
      <c r="S15" s="196">
        <f t="shared" si="57"/>
        <v>705.56000000000006</v>
      </c>
      <c r="T15" s="196">
        <f t="shared" si="57"/>
        <v>1013.5699999999999</v>
      </c>
      <c r="U15" s="196">
        <f t="shared" si="57"/>
        <v>1150.2599999999998</v>
      </c>
      <c r="V15" s="196">
        <f t="shared" si="57"/>
        <v>1768.1900000000005</v>
      </c>
      <c r="W15" s="196">
        <f t="shared" si="57"/>
        <v>2788.95</v>
      </c>
      <c r="X15" s="196">
        <f t="shared" si="57"/>
        <v>3193.33</v>
      </c>
      <c r="Y15" s="196">
        <f t="shared" si="57"/>
        <v>2201.12</v>
      </c>
      <c r="Z15" s="184">
        <f t="shared" ref="Z15:Z17" si="58">SUM(CK15:CN15)</f>
        <v>1663.27</v>
      </c>
      <c r="AA15" s="151"/>
      <c r="AB15" s="151"/>
      <c r="AC15" s="151"/>
      <c r="AD15" s="151"/>
      <c r="AE15" s="151"/>
      <c r="AI15" s="150"/>
      <c r="AJ15" s="150"/>
      <c r="AK15" s="150"/>
      <c r="AL15" s="150"/>
      <c r="AM15" s="150"/>
      <c r="AN15" s="150"/>
      <c r="AO15" s="150"/>
      <c r="AP15" s="150"/>
      <c r="AQ15" s="150"/>
      <c r="AR15" s="183">
        <f>SUM(AR11:AR14)</f>
        <v>163.11000000000004</v>
      </c>
      <c r="AS15" s="183">
        <f t="shared" ref="AS15:BY15" si="59">SUM(AS11:AS14)</f>
        <v>131.38999999999984</v>
      </c>
      <c r="AT15" s="183">
        <f t="shared" si="59"/>
        <v>102.10999999999986</v>
      </c>
      <c r="AU15" s="183">
        <f t="shared" si="59"/>
        <v>200.04000000000008</v>
      </c>
      <c r="AV15" s="183">
        <f t="shared" si="59"/>
        <v>181.88000000000022</v>
      </c>
      <c r="AW15" s="183">
        <f t="shared" si="59"/>
        <v>167.01999999999984</v>
      </c>
      <c r="AX15" s="183">
        <f t="shared" si="59"/>
        <v>172.37999999999997</v>
      </c>
      <c r="AY15" s="183">
        <f t="shared" si="59"/>
        <v>232.75000000000014</v>
      </c>
      <c r="AZ15" s="183">
        <f t="shared" si="59"/>
        <v>176.67000000000004</v>
      </c>
      <c r="BA15" s="183">
        <f t="shared" si="59"/>
        <v>166.7999999999999</v>
      </c>
      <c r="BB15" s="183">
        <f t="shared" si="59"/>
        <v>187.19</v>
      </c>
      <c r="BC15" s="183">
        <f t="shared" si="59"/>
        <v>153.64999999999986</v>
      </c>
      <c r="BD15" s="183">
        <f t="shared" si="59"/>
        <v>149.38000000000011</v>
      </c>
      <c r="BE15" s="183">
        <f t="shared" si="59"/>
        <v>196.59999999999994</v>
      </c>
      <c r="BF15" s="183">
        <f t="shared" si="59"/>
        <v>205.93000000000015</v>
      </c>
      <c r="BG15" s="183">
        <f t="shared" si="59"/>
        <v>234.56999999999994</v>
      </c>
      <c r="BH15" s="183">
        <f t="shared" si="59"/>
        <v>232.73000000000002</v>
      </c>
      <c r="BI15" s="183">
        <f t="shared" si="59"/>
        <v>237.97000000000003</v>
      </c>
      <c r="BJ15" s="183">
        <f t="shared" si="59"/>
        <v>308.2999999999999</v>
      </c>
      <c r="BK15" s="183">
        <f t="shared" si="59"/>
        <v>286.37999999999982</v>
      </c>
      <c r="BL15" s="183">
        <f t="shared" si="59"/>
        <v>264.28000000000003</v>
      </c>
      <c r="BM15" s="183">
        <f t="shared" si="59"/>
        <v>306.58999999999986</v>
      </c>
      <c r="BN15" s="183">
        <f t="shared" si="59"/>
        <v>293.00999999999988</v>
      </c>
      <c r="BO15" s="183">
        <f t="shared" si="59"/>
        <v>278.59000000000026</v>
      </c>
      <c r="BP15" s="183">
        <f t="shared" si="59"/>
        <v>480.54999999999995</v>
      </c>
      <c r="BQ15" s="183">
        <f t="shared" si="59"/>
        <v>471.23999999999995</v>
      </c>
      <c r="BR15" s="183">
        <f t="shared" si="59"/>
        <v>537.8100000000004</v>
      </c>
      <c r="BS15" s="183">
        <f t="shared" si="59"/>
        <v>562.37999999999988</v>
      </c>
      <c r="BT15" s="183">
        <f t="shared" si="59"/>
        <v>555.48000000000025</v>
      </c>
      <c r="BU15" s="183">
        <f t="shared" si="59"/>
        <v>795.53000000000009</v>
      </c>
      <c r="BV15" s="183">
        <f t="shared" si="59"/>
        <v>875.56</v>
      </c>
      <c r="BW15" s="183">
        <f t="shared" si="59"/>
        <v>939.2</v>
      </c>
      <c r="BX15" s="183">
        <f t="shared" si="59"/>
        <v>689.24</v>
      </c>
      <c r="BY15" s="183">
        <f t="shared" si="59"/>
        <v>725.89</v>
      </c>
      <c r="BZ15" s="183">
        <f>SUM(BZ11:BZ14)</f>
        <v>839</v>
      </c>
      <c r="CA15" s="184">
        <f>SUM(CA11:CA14)</f>
        <v>595.17999999999995</v>
      </c>
      <c r="CB15" s="184">
        <f t="shared" ref="CB15:CL15" si="60">SUM(CB11:CB14)</f>
        <v>533.06999999999994</v>
      </c>
      <c r="CC15" s="184">
        <f t="shared" si="60"/>
        <v>456.73</v>
      </c>
      <c r="CD15" s="184">
        <f t="shared" si="60"/>
        <v>616.13999999999987</v>
      </c>
      <c r="CE15" s="184">
        <f t="shared" si="60"/>
        <v>484.43</v>
      </c>
      <c r="CF15" s="184">
        <f t="shared" si="60"/>
        <v>417.47999999999996</v>
      </c>
      <c r="CG15" s="184">
        <f t="shared" si="60"/>
        <v>528.68999999999994</v>
      </c>
      <c r="CH15" s="184">
        <f t="shared" si="60"/>
        <v>905.61</v>
      </c>
      <c r="CI15" s="184">
        <f t="shared" si="60"/>
        <v>694.18999999999994</v>
      </c>
      <c r="CJ15" s="184">
        <f t="shared" si="60"/>
        <v>650.05999999999995</v>
      </c>
      <c r="CK15" s="184">
        <f t="shared" si="60"/>
        <v>652.69000000000005</v>
      </c>
      <c r="CL15" s="184">
        <f t="shared" si="60"/>
        <v>1010.58</v>
      </c>
      <c r="CM15" s="151"/>
      <c r="CN15" s="151"/>
      <c r="CO15" s="151"/>
      <c r="CP15" s="151"/>
      <c r="CQ15" s="151"/>
      <c r="CR15" s="151"/>
      <c r="CS15" s="151"/>
      <c r="CT15" s="151"/>
      <c r="CU15" s="151"/>
      <c r="CV15" s="151"/>
      <c r="CW15" s="151"/>
      <c r="CX15" s="151"/>
      <c r="CY15" s="151"/>
      <c r="CZ15" s="151"/>
      <c r="DA15" s="151"/>
      <c r="DB15" s="151"/>
      <c r="DE15" s="153"/>
    </row>
    <row r="16" spans="1:110" s="152" customFormat="1" x14ac:dyDescent="0.2">
      <c r="A16" s="178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97"/>
      <c r="R16" s="197"/>
      <c r="S16" s="197"/>
      <c r="T16" s="197"/>
      <c r="U16" s="197"/>
      <c r="V16" s="197"/>
      <c r="W16" s="197"/>
      <c r="X16" s="197"/>
      <c r="Y16" s="197"/>
      <c r="Z16" s="197"/>
      <c r="AA16" s="151"/>
      <c r="AB16" s="151"/>
      <c r="AC16" s="151"/>
      <c r="AD16" s="151"/>
      <c r="AE16" s="151"/>
      <c r="AI16" s="150"/>
      <c r="AJ16" s="150"/>
      <c r="AK16" s="150"/>
      <c r="AL16" s="150"/>
      <c r="AM16" s="150"/>
      <c r="AN16" s="150"/>
      <c r="AO16" s="150"/>
      <c r="AP16" s="150"/>
      <c r="AQ16" s="150"/>
      <c r="AR16" s="187"/>
      <c r="AS16" s="187"/>
      <c r="AT16" s="187"/>
      <c r="AU16" s="187"/>
      <c r="AV16" s="187"/>
      <c r="AW16" s="187"/>
      <c r="AX16" s="187"/>
      <c r="AY16" s="187"/>
      <c r="AZ16" s="187"/>
      <c r="BA16" s="187"/>
      <c r="BB16" s="187"/>
      <c r="BC16" s="187"/>
      <c r="BD16" s="187"/>
      <c r="BE16" s="187"/>
      <c r="BF16" s="187"/>
      <c r="BG16" s="187"/>
      <c r="BH16" s="187"/>
      <c r="BI16" s="187"/>
      <c r="BJ16" s="187"/>
      <c r="BK16" s="187"/>
      <c r="BL16" s="187"/>
      <c r="BM16" s="187"/>
      <c r="BN16" s="187"/>
      <c r="BO16" s="187"/>
      <c r="BP16" s="187"/>
      <c r="BQ16" s="187"/>
      <c r="BR16" s="187"/>
      <c r="BS16" s="187"/>
      <c r="BT16" s="187"/>
      <c r="BU16" s="187"/>
      <c r="BV16" s="187"/>
      <c r="BW16" s="187"/>
      <c r="BX16" s="182"/>
      <c r="BY16" s="182"/>
      <c r="BZ16" s="182"/>
      <c r="CA16" s="182"/>
      <c r="CB16" s="187"/>
      <c r="CC16" s="187"/>
      <c r="CD16" s="188"/>
      <c r="CE16" s="188"/>
      <c r="CF16" s="188"/>
      <c r="CG16" s="188"/>
      <c r="CH16" s="188"/>
      <c r="CI16" s="188"/>
      <c r="CJ16" s="188"/>
      <c r="CK16" s="188"/>
      <c r="CL16" s="188"/>
      <c r="CM16" s="151"/>
      <c r="CN16" s="151"/>
      <c r="CO16" s="151"/>
      <c r="CP16" s="151"/>
      <c r="CQ16" s="151"/>
      <c r="CR16" s="151"/>
      <c r="CS16" s="151"/>
      <c r="CT16" s="151"/>
      <c r="CU16" s="151"/>
      <c r="CV16" s="151"/>
      <c r="CW16" s="151"/>
      <c r="CX16" s="151"/>
      <c r="CY16" s="151"/>
      <c r="CZ16" s="151"/>
      <c r="DA16" s="151"/>
      <c r="DB16" s="151"/>
      <c r="DE16" s="153"/>
    </row>
    <row r="17" spans="1:109" s="152" customFormat="1" x14ac:dyDescent="0.2">
      <c r="A17" s="178" t="s">
        <v>525</v>
      </c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89">
        <f>+Q15-Q18</f>
        <v>136.37999999999954</v>
      </c>
      <c r="R17" s="189">
        <f t="shared" ref="R17:Y17" si="61">+R15-R18</f>
        <v>106.21999999999957</v>
      </c>
      <c r="S17" s="189">
        <f t="shared" si="61"/>
        <v>123.88999999999953</v>
      </c>
      <c r="T17" s="189">
        <f t="shared" si="61"/>
        <v>245.14000000000021</v>
      </c>
      <c r="U17" s="189">
        <f t="shared" si="61"/>
        <v>235.5600000000004</v>
      </c>
      <c r="V17" s="189">
        <f t="shared" si="61"/>
        <v>155.54000000000019</v>
      </c>
      <c r="W17" s="189">
        <f t="shared" si="61"/>
        <v>203.39999999999918</v>
      </c>
      <c r="X17" s="189">
        <f t="shared" si="61"/>
        <v>369.34000000000106</v>
      </c>
      <c r="Y17" s="189">
        <f t="shared" si="61"/>
        <v>508.89999999999964</v>
      </c>
      <c r="Z17" s="184">
        <f t="shared" si="58"/>
        <v>454.51</v>
      </c>
      <c r="AA17" s="151"/>
      <c r="AB17" s="151"/>
      <c r="AC17" s="151"/>
      <c r="AD17" s="151"/>
      <c r="AE17" s="151"/>
      <c r="AI17" s="150"/>
      <c r="AJ17" s="150"/>
      <c r="AK17" s="150"/>
      <c r="AL17" s="150"/>
      <c r="AM17" s="150"/>
      <c r="AN17" s="150"/>
      <c r="AO17" s="150"/>
      <c r="AP17" s="150"/>
      <c r="AQ17" s="150"/>
      <c r="AR17" s="189">
        <f>+AR15-AR18</f>
        <v>43.12000000000009</v>
      </c>
      <c r="AS17" s="189">
        <f t="shared" ref="AS17:CB17" si="62">+AS15-AS18</f>
        <v>43.640000000000072</v>
      </c>
      <c r="AT17" s="189">
        <f>+AT15-AT18</f>
        <v>30.439999999999998</v>
      </c>
      <c r="AU17" s="189">
        <f t="shared" si="62"/>
        <v>34.389999999999873</v>
      </c>
      <c r="AV17" s="189">
        <f t="shared" si="62"/>
        <v>43.640000000000299</v>
      </c>
      <c r="AW17" s="189">
        <f t="shared" si="62"/>
        <v>37.679999999999779</v>
      </c>
      <c r="AX17" s="189">
        <f t="shared" si="62"/>
        <v>31.989999999999782</v>
      </c>
      <c r="AY17" s="189">
        <f t="shared" si="62"/>
        <v>28.060000000000116</v>
      </c>
      <c r="AZ17" s="189">
        <f t="shared" si="62"/>
        <v>24.039999999999935</v>
      </c>
      <c r="BA17" s="189">
        <f t="shared" si="62"/>
        <v>31.319999999999936</v>
      </c>
      <c r="BB17" s="189">
        <f t="shared" si="62"/>
        <v>22.799999999999955</v>
      </c>
      <c r="BC17" s="189">
        <f t="shared" si="62"/>
        <v>27.059999999999889</v>
      </c>
      <c r="BD17" s="189">
        <f t="shared" si="62"/>
        <v>30.460000000000122</v>
      </c>
      <c r="BE17" s="189">
        <f t="shared" si="62"/>
        <v>23.870000000000118</v>
      </c>
      <c r="BF17" s="189">
        <f t="shared" si="62"/>
        <v>42.500000000000227</v>
      </c>
      <c r="BG17" s="189">
        <f t="shared" si="62"/>
        <v>58.539999999999907</v>
      </c>
      <c r="BH17" s="189">
        <f t="shared" si="62"/>
        <v>66.329999999999899</v>
      </c>
      <c r="BI17" s="189">
        <f t="shared" si="62"/>
        <v>53.380000000000109</v>
      </c>
      <c r="BJ17" s="189">
        <f t="shared" si="62"/>
        <v>67.090000000000032</v>
      </c>
      <c r="BK17" s="189">
        <f t="shared" si="62"/>
        <v>55.429999999999723</v>
      </c>
      <c r="BL17" s="189">
        <f t="shared" si="62"/>
        <v>59.229999999999933</v>
      </c>
      <c r="BM17" s="189">
        <f t="shared" si="62"/>
        <v>47.529999999999802</v>
      </c>
      <c r="BN17" s="189">
        <f t="shared" si="62"/>
        <v>73.369999999999948</v>
      </c>
      <c r="BO17" s="189">
        <f t="shared" si="62"/>
        <v>52.420000000000215</v>
      </c>
      <c r="BP17" s="189">
        <f t="shared" si="62"/>
        <v>48.480000000000359</v>
      </c>
      <c r="BQ17" s="189">
        <f t="shared" si="62"/>
        <v>28.489999999999952</v>
      </c>
      <c r="BR17" s="189">
        <f t="shared" si="62"/>
        <v>26.150000000000318</v>
      </c>
      <c r="BS17" s="189">
        <f t="shared" si="62"/>
        <v>27.469999999999573</v>
      </c>
      <c r="BT17" s="189">
        <f t="shared" si="62"/>
        <v>23.059999999999832</v>
      </c>
      <c r="BU17" s="189">
        <f t="shared" si="62"/>
        <v>65.250000000000114</v>
      </c>
      <c r="BV17" s="189">
        <f t="shared" si="62"/>
        <v>87.619999999999663</v>
      </c>
      <c r="BW17" s="189">
        <f t="shared" si="62"/>
        <v>97.610000000000241</v>
      </c>
      <c r="BX17" s="189">
        <f t="shared" si="62"/>
        <v>71.159999999999627</v>
      </c>
      <c r="BY17" s="189">
        <f t="shared" si="62"/>
        <v>94.960000000000036</v>
      </c>
      <c r="BZ17" s="189">
        <f>+BZ15-BZ18</f>
        <v>105.60999999999979</v>
      </c>
      <c r="CA17" s="189">
        <f t="shared" si="62"/>
        <v>109.41000000000042</v>
      </c>
      <c r="CB17" s="189">
        <f t="shared" si="62"/>
        <v>118.26000000000062</v>
      </c>
      <c r="CC17" s="189">
        <f>67.37+41.04</f>
        <v>108.41</v>
      </c>
      <c r="CD17" s="189">
        <f>90+82.82</f>
        <v>172.82</v>
      </c>
      <c r="CE17" s="189">
        <f>96.54+43.91</f>
        <v>140.44999999999999</v>
      </c>
      <c r="CF17" s="189">
        <f>93.78+40.04</f>
        <v>133.82</v>
      </c>
      <c r="CG17" s="189">
        <f>96.25+63.74</f>
        <v>159.99</v>
      </c>
      <c r="CH17" s="189">
        <f>89.39+108.86</f>
        <v>198.25</v>
      </c>
      <c r="CI17" s="189">
        <f>38.47+79.9</f>
        <v>118.37</v>
      </c>
      <c r="CJ17" s="189">
        <f>70.68+62.33</f>
        <v>133.01</v>
      </c>
      <c r="CK17" s="189">
        <f>65.5+62.28+73.24</f>
        <v>201.01999999999998</v>
      </c>
      <c r="CL17" s="189">
        <f>61.96+179.82+11.71</f>
        <v>253.49</v>
      </c>
      <c r="CM17" s="151"/>
      <c r="CN17" s="151"/>
      <c r="CO17" s="151"/>
      <c r="CP17" s="151"/>
      <c r="CQ17" s="151"/>
      <c r="CR17" s="151"/>
      <c r="CS17" s="151"/>
      <c r="CT17" s="151"/>
      <c r="CU17" s="151"/>
      <c r="CV17" s="151"/>
      <c r="CW17" s="151"/>
      <c r="CX17" s="151"/>
      <c r="CY17" s="151"/>
      <c r="CZ17" s="151"/>
      <c r="DA17" s="151"/>
      <c r="DB17" s="151"/>
      <c r="DE17" s="153"/>
    </row>
    <row r="18" spans="1:109" s="152" customFormat="1" x14ac:dyDescent="0.2">
      <c r="A18" s="178" t="s">
        <v>20</v>
      </c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90">
        <f>+Q69</f>
        <v>584.94000000000062</v>
      </c>
      <c r="R18" s="190">
        <f t="shared" ref="R18:Z18" si="63">+R69</f>
        <v>657.19000000000062</v>
      </c>
      <c r="S18" s="190">
        <f t="shared" si="63"/>
        <v>581.67000000000053</v>
      </c>
      <c r="T18" s="190">
        <f t="shared" si="63"/>
        <v>768.42999999999972</v>
      </c>
      <c r="U18" s="190">
        <f t="shared" si="63"/>
        <v>914.69999999999936</v>
      </c>
      <c r="V18" s="190">
        <f t="shared" si="63"/>
        <v>1612.6500000000003</v>
      </c>
      <c r="W18" s="190">
        <f t="shared" si="63"/>
        <v>2585.5500000000006</v>
      </c>
      <c r="X18" s="190">
        <f t="shared" si="63"/>
        <v>2823.9899999999989</v>
      </c>
      <c r="Y18" s="190">
        <f t="shared" si="63"/>
        <v>1692.2200000000003</v>
      </c>
      <c r="Z18" s="190">
        <f t="shared" si="63"/>
        <v>1703.6999999999985</v>
      </c>
      <c r="AA18" s="151"/>
      <c r="AB18" s="151"/>
      <c r="AC18" s="151"/>
      <c r="AD18" s="151"/>
      <c r="AE18" s="151"/>
      <c r="AI18" s="150"/>
      <c r="AJ18" s="150"/>
      <c r="AK18" s="150"/>
      <c r="AL18" s="150"/>
      <c r="AM18" s="150"/>
      <c r="AN18" s="150"/>
      <c r="AO18" s="150"/>
      <c r="AP18" s="150"/>
      <c r="AQ18" s="150"/>
      <c r="AR18" s="190">
        <f>AR69</f>
        <v>119.98999999999995</v>
      </c>
      <c r="AS18" s="190">
        <f t="shared" ref="AS18:CL18" si="64">AS69</f>
        <v>87.749999999999773</v>
      </c>
      <c r="AT18" s="190">
        <f t="shared" si="64"/>
        <v>71.66999999999986</v>
      </c>
      <c r="AU18" s="190">
        <f t="shared" si="64"/>
        <v>165.6500000000002</v>
      </c>
      <c r="AV18" s="190">
        <f t="shared" si="64"/>
        <v>138.23999999999992</v>
      </c>
      <c r="AW18" s="190">
        <f t="shared" si="64"/>
        <v>129.34000000000006</v>
      </c>
      <c r="AX18" s="190">
        <f t="shared" si="64"/>
        <v>140.39000000000019</v>
      </c>
      <c r="AY18" s="190">
        <f t="shared" si="64"/>
        <v>204.69000000000003</v>
      </c>
      <c r="AZ18" s="190">
        <f t="shared" si="64"/>
        <v>152.63000000000011</v>
      </c>
      <c r="BA18" s="190">
        <f t="shared" si="64"/>
        <v>135.47999999999996</v>
      </c>
      <c r="BB18" s="190">
        <f t="shared" si="64"/>
        <v>164.39000000000004</v>
      </c>
      <c r="BC18" s="190">
        <f t="shared" si="64"/>
        <v>126.58999999999997</v>
      </c>
      <c r="BD18" s="190">
        <f t="shared" si="64"/>
        <v>118.91999999999999</v>
      </c>
      <c r="BE18" s="190">
        <f t="shared" si="64"/>
        <v>172.72999999999982</v>
      </c>
      <c r="BF18" s="190">
        <f t="shared" si="64"/>
        <v>163.42999999999992</v>
      </c>
      <c r="BG18" s="190">
        <f t="shared" si="64"/>
        <v>176.03000000000003</v>
      </c>
      <c r="BH18" s="190">
        <f t="shared" si="64"/>
        <v>166.40000000000012</v>
      </c>
      <c r="BI18" s="190">
        <f t="shared" si="64"/>
        <v>184.58999999999992</v>
      </c>
      <c r="BJ18" s="190">
        <f t="shared" si="64"/>
        <v>241.20999999999987</v>
      </c>
      <c r="BK18" s="190">
        <f t="shared" si="64"/>
        <v>230.9500000000001</v>
      </c>
      <c r="BL18" s="190">
        <f t="shared" si="64"/>
        <v>205.0500000000001</v>
      </c>
      <c r="BM18" s="190">
        <f t="shared" si="64"/>
        <v>259.06000000000006</v>
      </c>
      <c r="BN18" s="190">
        <f t="shared" si="64"/>
        <v>219.63999999999993</v>
      </c>
      <c r="BO18" s="190">
        <f t="shared" si="64"/>
        <v>226.17000000000004</v>
      </c>
      <c r="BP18" s="190">
        <f t="shared" si="64"/>
        <v>432.0699999999996</v>
      </c>
      <c r="BQ18" s="190">
        <f t="shared" si="64"/>
        <v>442.75</v>
      </c>
      <c r="BR18" s="190">
        <f t="shared" si="64"/>
        <v>511.66000000000008</v>
      </c>
      <c r="BS18" s="190">
        <f t="shared" si="64"/>
        <v>534.91000000000031</v>
      </c>
      <c r="BT18" s="190">
        <f t="shared" si="64"/>
        <v>532.42000000000041</v>
      </c>
      <c r="BU18" s="190">
        <f t="shared" si="64"/>
        <v>730.28</v>
      </c>
      <c r="BV18" s="190">
        <f t="shared" si="64"/>
        <v>787.94000000000028</v>
      </c>
      <c r="BW18" s="190">
        <f t="shared" si="64"/>
        <v>841.5899999999998</v>
      </c>
      <c r="BX18" s="190">
        <f t="shared" si="64"/>
        <v>618.08000000000038</v>
      </c>
      <c r="BY18" s="190">
        <f t="shared" si="64"/>
        <v>630.92999999999995</v>
      </c>
      <c r="BZ18" s="190">
        <f t="shared" si="64"/>
        <v>733.39000000000021</v>
      </c>
      <c r="CA18" s="190">
        <f t="shared" si="64"/>
        <v>485.76999999999953</v>
      </c>
      <c r="CB18" s="190">
        <f t="shared" si="64"/>
        <v>414.80999999999932</v>
      </c>
      <c r="CC18" s="190">
        <f t="shared" si="64"/>
        <v>348.32000000000016</v>
      </c>
      <c r="CD18" s="190">
        <f t="shared" si="64"/>
        <v>443.32000000000016</v>
      </c>
      <c r="CE18" s="190">
        <f t="shared" si="64"/>
        <v>343.98000000000008</v>
      </c>
      <c r="CF18" s="190">
        <f t="shared" si="64"/>
        <v>283.65999999999997</v>
      </c>
      <c r="CG18" s="190">
        <f t="shared" si="64"/>
        <v>368.70000000000039</v>
      </c>
      <c r="CH18" s="190">
        <f t="shared" si="64"/>
        <v>707.36000000000035</v>
      </c>
      <c r="CI18" s="190">
        <f t="shared" si="64"/>
        <v>575.81999999999982</v>
      </c>
      <c r="CJ18" s="190">
        <f t="shared" si="64"/>
        <v>517.04999999999995</v>
      </c>
      <c r="CK18" s="190">
        <f t="shared" si="64"/>
        <v>524.91000000000031</v>
      </c>
      <c r="CL18" s="190">
        <f t="shared" si="64"/>
        <v>768.81000000000006</v>
      </c>
      <c r="CM18" s="151"/>
      <c r="CN18" s="151"/>
      <c r="CO18" s="151"/>
      <c r="CP18" s="151"/>
      <c r="CQ18" s="151"/>
      <c r="CR18" s="151"/>
      <c r="CS18" s="151"/>
      <c r="CT18" s="151"/>
      <c r="CU18" s="151"/>
      <c r="CV18" s="151"/>
      <c r="CW18" s="151"/>
      <c r="CX18" s="151"/>
      <c r="CY18" s="151"/>
      <c r="CZ18" s="151"/>
      <c r="DA18" s="151"/>
      <c r="DB18" s="151"/>
      <c r="DE18" s="153"/>
    </row>
    <row r="19" spans="1:109" s="152" customFormat="1" x14ac:dyDescent="0.2">
      <c r="A19" s="178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97"/>
      <c r="R19" s="197"/>
      <c r="S19" s="197"/>
      <c r="T19" s="197"/>
      <c r="U19" s="197"/>
      <c r="V19" s="197"/>
      <c r="W19" s="197"/>
      <c r="X19" s="197"/>
      <c r="Y19" s="197"/>
      <c r="Z19" s="197"/>
      <c r="AA19" s="151"/>
      <c r="AB19" s="151"/>
      <c r="AC19" s="151"/>
      <c r="AD19" s="151"/>
      <c r="AE19" s="151"/>
      <c r="AI19" s="150"/>
      <c r="AJ19" s="150"/>
      <c r="AK19" s="150"/>
      <c r="AL19" s="150"/>
      <c r="AM19" s="150"/>
      <c r="AN19" s="150"/>
      <c r="AO19" s="150"/>
      <c r="AP19" s="150"/>
      <c r="AQ19" s="150"/>
      <c r="AR19" s="187"/>
      <c r="AS19" s="187"/>
      <c r="AT19" s="187"/>
      <c r="AU19" s="187"/>
      <c r="AV19" s="187"/>
      <c r="AW19" s="187"/>
      <c r="AX19" s="187"/>
      <c r="AY19" s="187"/>
      <c r="AZ19" s="187"/>
      <c r="BA19" s="187"/>
      <c r="BB19" s="187"/>
      <c r="BC19" s="187"/>
      <c r="BD19" s="187"/>
      <c r="BE19" s="187"/>
      <c r="BF19" s="187"/>
      <c r="BG19" s="187"/>
      <c r="BH19" s="187"/>
      <c r="BI19" s="187"/>
      <c r="BJ19" s="187"/>
      <c r="BK19" s="187"/>
      <c r="BL19" s="187"/>
      <c r="BM19" s="187"/>
      <c r="BN19" s="187"/>
      <c r="BO19" s="187"/>
      <c r="BP19" s="187"/>
      <c r="BQ19" s="187"/>
      <c r="BR19" s="187"/>
      <c r="BS19" s="187"/>
      <c r="BT19" s="187"/>
      <c r="BU19" s="187"/>
      <c r="BV19" s="187"/>
      <c r="BW19" s="187"/>
      <c r="BX19" s="182"/>
      <c r="BY19" s="182"/>
      <c r="BZ19" s="182"/>
      <c r="CA19" s="187"/>
      <c r="CB19" s="187"/>
      <c r="CC19" s="184"/>
      <c r="CD19" s="187"/>
      <c r="CE19" s="187"/>
      <c r="CF19" s="187"/>
      <c r="CG19" s="187"/>
      <c r="CH19" s="187"/>
      <c r="CI19" s="187"/>
      <c r="CJ19" s="187"/>
      <c r="CK19" s="187"/>
      <c r="CL19" s="187"/>
      <c r="CM19" s="151"/>
      <c r="CN19" s="151"/>
      <c r="CO19" s="151"/>
      <c r="CP19" s="151"/>
      <c r="CQ19" s="151"/>
      <c r="CR19" s="151"/>
      <c r="CS19" s="151"/>
      <c r="CT19" s="151"/>
      <c r="CU19" s="151"/>
      <c r="CV19" s="151"/>
      <c r="CW19" s="151"/>
      <c r="CX19" s="151"/>
      <c r="CY19" s="151"/>
      <c r="CZ19" s="151"/>
      <c r="DA19" s="151"/>
      <c r="DB19" s="151"/>
      <c r="DE19" s="153"/>
    </row>
    <row r="20" spans="1:109" s="152" customFormat="1" x14ac:dyDescent="0.2">
      <c r="A20" s="178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97"/>
      <c r="R20" s="197"/>
      <c r="S20" s="197"/>
      <c r="T20" s="197"/>
      <c r="U20" s="197"/>
      <c r="V20" s="197"/>
      <c r="W20" s="197"/>
      <c r="X20" s="197"/>
      <c r="Y20" s="197"/>
      <c r="Z20" s="197"/>
      <c r="AA20" s="151"/>
      <c r="AB20" s="151"/>
      <c r="AC20" s="151"/>
      <c r="AD20" s="151"/>
      <c r="AE20" s="151"/>
      <c r="AI20" s="150"/>
      <c r="AJ20" s="150"/>
      <c r="AK20" s="150"/>
      <c r="AL20" s="150"/>
      <c r="AM20" s="150"/>
      <c r="AN20" s="150"/>
      <c r="AO20" s="150"/>
      <c r="AP20" s="150"/>
      <c r="AQ20" s="150"/>
      <c r="AR20" s="187"/>
      <c r="AS20" s="187"/>
      <c r="AT20" s="187"/>
      <c r="AU20" s="187"/>
      <c r="AV20" s="187"/>
      <c r="AW20" s="187"/>
      <c r="AX20" s="187"/>
      <c r="AY20" s="187"/>
      <c r="AZ20" s="187"/>
      <c r="BA20" s="187"/>
      <c r="BB20" s="187"/>
      <c r="BC20" s="187"/>
      <c r="BD20" s="187"/>
      <c r="BE20" s="187"/>
      <c r="BF20" s="187"/>
      <c r="BG20" s="187"/>
      <c r="BH20" s="187"/>
      <c r="BI20" s="187"/>
      <c r="BJ20" s="187"/>
      <c r="BK20" s="187"/>
      <c r="BL20" s="187"/>
      <c r="BM20" s="187"/>
      <c r="BN20" s="187"/>
      <c r="BO20" s="187"/>
      <c r="BP20" s="187"/>
      <c r="BQ20" s="187"/>
      <c r="BR20" s="187"/>
      <c r="BS20" s="187"/>
      <c r="BT20" s="187"/>
      <c r="BU20" s="187"/>
      <c r="BV20" s="187"/>
      <c r="BW20" s="187"/>
      <c r="BX20" s="182"/>
      <c r="BY20" s="182"/>
      <c r="BZ20" s="182"/>
      <c r="CA20" s="187"/>
      <c r="CB20" s="187"/>
      <c r="CC20" s="187"/>
      <c r="CD20" s="187"/>
      <c r="CE20" s="187"/>
      <c r="CF20" s="187"/>
      <c r="CG20" s="187"/>
      <c r="CH20" s="187"/>
      <c r="CI20" s="191"/>
      <c r="CJ20" s="191"/>
      <c r="CK20" s="191"/>
      <c r="CL20" s="191"/>
      <c r="CM20" s="151"/>
      <c r="CN20" s="151"/>
      <c r="CO20" s="151"/>
      <c r="CP20" s="151"/>
      <c r="CQ20" s="151"/>
      <c r="CR20" s="151"/>
      <c r="CS20" s="151"/>
      <c r="CT20" s="151"/>
      <c r="CU20" s="151"/>
      <c r="CV20" s="151"/>
      <c r="CW20" s="151"/>
      <c r="CX20" s="151"/>
      <c r="CY20" s="151"/>
      <c r="CZ20" s="151"/>
      <c r="DA20" s="151"/>
      <c r="DB20" s="151"/>
      <c r="DE20" s="153"/>
    </row>
    <row r="21" spans="1:109" s="152" customFormat="1" x14ac:dyDescent="0.2">
      <c r="A21" s="178" t="s">
        <v>526</v>
      </c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97"/>
      <c r="R21" s="197"/>
      <c r="S21" s="197"/>
      <c r="T21" s="197"/>
      <c r="U21" s="197"/>
      <c r="V21" s="197"/>
      <c r="W21" s="197"/>
      <c r="X21" s="197"/>
      <c r="Y21" s="197"/>
      <c r="Z21" s="197"/>
      <c r="AA21" s="151"/>
      <c r="AB21" s="151"/>
      <c r="AC21" s="151"/>
      <c r="AD21" s="151"/>
      <c r="AE21" s="151"/>
      <c r="AI21" s="150"/>
      <c r="AJ21" s="150"/>
      <c r="AK21" s="150"/>
      <c r="AL21" s="150"/>
      <c r="AM21" s="150"/>
      <c r="AN21" s="150"/>
      <c r="AO21" s="150"/>
      <c r="AP21" s="150"/>
      <c r="AQ21" s="150"/>
      <c r="AR21" s="187"/>
      <c r="AS21" s="187"/>
      <c r="AT21" s="187"/>
      <c r="AU21" s="187"/>
      <c r="AV21" s="187"/>
      <c r="AW21" s="187"/>
      <c r="AX21" s="187"/>
      <c r="AY21" s="187"/>
      <c r="AZ21" s="187"/>
      <c r="BA21" s="187"/>
      <c r="BB21" s="187"/>
      <c r="BC21" s="187"/>
      <c r="BD21" s="187"/>
      <c r="BE21" s="187"/>
      <c r="BF21" s="187"/>
      <c r="BG21" s="187"/>
      <c r="BH21" s="187"/>
      <c r="BI21" s="187"/>
      <c r="BJ21" s="187"/>
      <c r="BK21" s="187"/>
      <c r="BL21" s="187"/>
      <c r="BM21" s="187"/>
      <c r="BN21" s="187"/>
      <c r="BO21" s="187"/>
      <c r="BP21" s="187"/>
      <c r="BQ21" s="187"/>
      <c r="BR21" s="187"/>
      <c r="BS21" s="187"/>
      <c r="BT21" s="187"/>
      <c r="BU21" s="187"/>
      <c r="BV21" s="187"/>
      <c r="BW21" s="187"/>
      <c r="BX21" s="182"/>
      <c r="BY21" s="182"/>
      <c r="BZ21" s="182"/>
      <c r="CA21" s="187"/>
      <c r="CB21" s="187"/>
      <c r="CC21" s="187"/>
      <c r="CD21" s="187"/>
      <c r="CE21" s="187"/>
      <c r="CF21" s="187"/>
      <c r="CG21" s="187"/>
      <c r="CH21" s="187"/>
      <c r="CI21" s="191"/>
      <c r="CJ21" s="191"/>
      <c r="CK21" s="191"/>
      <c r="CL21" s="191"/>
      <c r="CM21" s="151"/>
      <c r="CN21" s="151"/>
      <c r="CO21" s="151"/>
      <c r="CP21" s="151"/>
      <c r="CQ21" s="151"/>
      <c r="CR21" s="151"/>
      <c r="CS21" s="151"/>
      <c r="CT21" s="151"/>
      <c r="CU21" s="151"/>
      <c r="CV21" s="151"/>
      <c r="CW21" s="151"/>
      <c r="CX21" s="151"/>
      <c r="CY21" s="151"/>
      <c r="CZ21" s="151"/>
      <c r="DA21" s="151"/>
      <c r="DB21" s="151"/>
      <c r="DE21" s="153"/>
    </row>
    <row r="22" spans="1:109" s="152" customFormat="1" x14ac:dyDescent="0.2">
      <c r="A22" s="179" t="s">
        <v>538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98"/>
      <c r="R22" s="193">
        <f t="shared" ref="R22:Z22" si="65">+R5/Q5-1</f>
        <v>6.3977921344790856E-2</v>
      </c>
      <c r="S22" s="193">
        <f t="shared" si="65"/>
        <v>-5.0109060897246871E-2</v>
      </c>
      <c r="T22" s="193">
        <f t="shared" si="65"/>
        <v>0.51765655061130755</v>
      </c>
      <c r="U22" s="193">
        <f t="shared" si="65"/>
        <v>0.21655761838554</v>
      </c>
      <c r="V22" s="193">
        <f t="shared" si="65"/>
        <v>0.22505437029617115</v>
      </c>
      <c r="W22" s="193">
        <f t="shared" si="65"/>
        <v>0.43117300041157902</v>
      </c>
      <c r="X22" s="193">
        <f t="shared" si="65"/>
        <v>0.42089875017015244</v>
      </c>
      <c r="Y22" s="193">
        <f t="shared" si="65"/>
        <v>-0.15034649885040097</v>
      </c>
      <c r="Z22" s="193">
        <f t="shared" si="65"/>
        <v>6.2526401377159369E-2</v>
      </c>
      <c r="AA22" s="151"/>
      <c r="AB22" s="151"/>
      <c r="AC22" s="151"/>
      <c r="AD22" s="151"/>
      <c r="AE22" s="151"/>
      <c r="AI22" s="150"/>
      <c r="AJ22" s="150"/>
      <c r="AK22" s="150"/>
      <c r="AL22" s="150"/>
      <c r="AM22" s="150"/>
      <c r="AN22" s="150"/>
      <c r="AO22" s="150"/>
      <c r="AP22" s="150"/>
      <c r="AQ22" s="150"/>
      <c r="AR22" s="192"/>
      <c r="AS22" s="192"/>
      <c r="AT22" s="192"/>
      <c r="AU22" s="192"/>
      <c r="AV22" s="192">
        <f t="shared" ref="AV22:BE24" si="66">+AV5/AR5-1</f>
        <v>0.20525657071339154</v>
      </c>
      <c r="AW22" s="192">
        <f t="shared" si="66"/>
        <v>0.30104370515329393</v>
      </c>
      <c r="AX22" s="192">
        <f t="shared" si="66"/>
        <v>0.36406694032207132</v>
      </c>
      <c r="AY22" s="192">
        <f t="shared" si="66"/>
        <v>0.11422527763088319</v>
      </c>
      <c r="AZ22" s="192">
        <f t="shared" si="66"/>
        <v>3.1152647975076775E-3</v>
      </c>
      <c r="BA22" s="192">
        <f t="shared" si="66"/>
        <v>-4.1865129105038812E-2</v>
      </c>
      <c r="BB22" s="192">
        <f t="shared" si="66"/>
        <v>0.17199074074074083</v>
      </c>
      <c r="BC22" s="192">
        <f t="shared" si="66"/>
        <v>-0.15353583293782624</v>
      </c>
      <c r="BD22" s="192">
        <f t="shared" si="66"/>
        <v>-0.10403726708074534</v>
      </c>
      <c r="BE22" s="192">
        <f t="shared" si="66"/>
        <v>5.1282051282051322E-2</v>
      </c>
      <c r="BF22" s="192">
        <f t="shared" ref="BF22:BO24" si="67">+BF5/BB5-1</f>
        <v>5.9253407070913866E-4</v>
      </c>
      <c r="BG22" s="192">
        <f t="shared" si="67"/>
        <v>0.33837959069245871</v>
      </c>
      <c r="BH22" s="192">
        <f t="shared" si="67"/>
        <v>0.56556903523974578</v>
      </c>
      <c r="BI22" s="192">
        <f t="shared" si="67"/>
        <v>0.45843703334992525</v>
      </c>
      <c r="BJ22" s="192">
        <f t="shared" si="67"/>
        <v>0.65811290959336755</v>
      </c>
      <c r="BK22" s="192">
        <f t="shared" si="67"/>
        <v>0.26351068286552182</v>
      </c>
      <c r="BL22" s="192">
        <f t="shared" si="67"/>
        <v>0.25092250922509218</v>
      </c>
      <c r="BM22" s="192">
        <f t="shared" si="67"/>
        <v>0.38549488054607495</v>
      </c>
      <c r="BN22" s="192">
        <f t="shared" si="67"/>
        <v>4.9845238095238109E-2</v>
      </c>
      <c r="BO22" s="192">
        <f t="shared" si="67"/>
        <v>0.16876657824933683</v>
      </c>
      <c r="BP22" s="192">
        <f t="shared" ref="BP22:BY24" si="68">+BP5/BL5-1</f>
        <v>0.29941002949852513</v>
      </c>
      <c r="BQ22" s="192">
        <f t="shared" si="68"/>
        <v>0.11577780514841729</v>
      </c>
      <c r="BR22" s="192">
        <f t="shared" si="68"/>
        <v>0.30699536212820466</v>
      </c>
      <c r="BS22" s="192">
        <f t="shared" si="68"/>
        <v>0.57965957446808525</v>
      </c>
      <c r="BT22" s="192">
        <f t="shared" si="68"/>
        <v>0.25</v>
      </c>
      <c r="BU22" s="192">
        <f t="shared" si="68"/>
        <v>0.57633292857931351</v>
      </c>
      <c r="BV22" s="192">
        <f t="shared" si="68"/>
        <v>0.36474058650008678</v>
      </c>
      <c r="BW22" s="192">
        <f t="shared" si="68"/>
        <v>0.54670186591958037</v>
      </c>
      <c r="BX22" s="192">
        <f t="shared" si="68"/>
        <v>0.66189330306469918</v>
      </c>
      <c r="BY22" s="192">
        <f t="shared" si="68"/>
        <v>0.23012605042016809</v>
      </c>
      <c r="BZ22" s="192">
        <f t="shared" ref="BZ22:CI24" si="69">+BZ5/BV5-1</f>
        <v>0.33630006357279085</v>
      </c>
      <c r="CA22" s="192">
        <f t="shared" si="69"/>
        <v>-3.597097242380265E-2</v>
      </c>
      <c r="CB22" s="192">
        <f t="shared" si="69"/>
        <v>-0.2206692311054772</v>
      </c>
      <c r="CC22" s="192">
        <f t="shared" si="69"/>
        <v>-0.20635652560030049</v>
      </c>
      <c r="CD22" s="192">
        <f t="shared" si="69"/>
        <v>-0.13603710751665088</v>
      </c>
      <c r="CE22" s="192">
        <f t="shared" si="69"/>
        <v>-0.1075192407289195</v>
      </c>
      <c r="CF22" s="192">
        <f t="shared" si="69"/>
        <v>-4.8033373063170459E-2</v>
      </c>
      <c r="CG22" s="192">
        <f t="shared" si="69"/>
        <v>7.2819607927524732E-2</v>
      </c>
      <c r="CH22" s="192">
        <f t="shared" si="69"/>
        <v>0.29694116351422051</v>
      </c>
      <c r="CI22" s="192">
        <f t="shared" si="69"/>
        <v>0.24085695006747643</v>
      </c>
      <c r="CJ22" s="192">
        <f t="shared" ref="CJ22:CL24" si="70">+CJ5/CF5-1</f>
        <v>0.22764197703621347</v>
      </c>
      <c r="CK22" s="192">
        <f t="shared" si="70"/>
        <v>0.2200782268578878</v>
      </c>
      <c r="CL22" s="192">
        <f t="shared" si="70"/>
        <v>3.9493739677579631E-2</v>
      </c>
      <c r="CM22" s="151"/>
      <c r="CN22" s="151"/>
      <c r="CO22" s="151"/>
      <c r="CP22" s="151"/>
      <c r="CQ22" s="151"/>
      <c r="CR22" s="151"/>
      <c r="CS22" s="151"/>
      <c r="CT22" s="151"/>
      <c r="CU22" s="151"/>
      <c r="CV22" s="151"/>
      <c r="CW22" s="151"/>
      <c r="CX22" s="151"/>
      <c r="CY22" s="151"/>
      <c r="CZ22" s="151"/>
      <c r="DA22" s="151"/>
      <c r="DB22" s="151"/>
      <c r="DE22" s="153"/>
    </row>
    <row r="23" spans="1:109" s="152" customFormat="1" x14ac:dyDescent="0.2">
      <c r="A23" s="179" t="s">
        <v>539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93"/>
      <c r="R23" s="193">
        <f t="shared" ref="R23:Z23" si="71">+R6/Q6-1</f>
        <v>4.8569927182644079E-2</v>
      </c>
      <c r="S23" s="193">
        <f t="shared" si="71"/>
        <v>0.27605956471935844</v>
      </c>
      <c r="T23" s="193">
        <f t="shared" si="71"/>
        <v>0.48866696588868908</v>
      </c>
      <c r="U23" s="193">
        <f t="shared" si="71"/>
        <v>-1.8579935177507778E-2</v>
      </c>
      <c r="V23" s="193">
        <f t="shared" si="71"/>
        <v>0.26396451749164762</v>
      </c>
      <c r="W23" s="193">
        <f t="shared" si="71"/>
        <v>0.40470729061914201</v>
      </c>
      <c r="X23" s="193">
        <f t="shared" si="71"/>
        <v>0.12092793895639309</v>
      </c>
      <c r="Y23" s="193">
        <f t="shared" si="71"/>
        <v>-0.13378354911532597</v>
      </c>
      <c r="Z23" s="193">
        <f t="shared" si="71"/>
        <v>0.23710835000245001</v>
      </c>
      <c r="AA23" s="151"/>
      <c r="AB23" s="151"/>
      <c r="AC23" s="151"/>
      <c r="AD23" s="151"/>
      <c r="AE23" s="151"/>
      <c r="AI23" s="150"/>
      <c r="AJ23" s="150"/>
      <c r="AK23" s="150"/>
      <c r="AL23" s="150"/>
      <c r="AM23" s="150"/>
      <c r="AN23" s="150"/>
      <c r="AO23" s="150"/>
      <c r="AP23" s="150"/>
      <c r="AQ23" s="150"/>
      <c r="AR23" s="192"/>
      <c r="AS23" s="192"/>
      <c r="AT23" s="192"/>
      <c r="AU23" s="192"/>
      <c r="AV23" s="192">
        <f t="shared" si="66"/>
        <v>6.5008479366874816E-3</v>
      </c>
      <c r="AW23" s="192">
        <f t="shared" si="66"/>
        <v>9.7322011757021487E-2</v>
      </c>
      <c r="AX23" s="192">
        <f t="shared" si="66"/>
        <v>8.7780898876403946E-3</v>
      </c>
      <c r="AY23" s="192">
        <f t="shared" si="66"/>
        <v>-5.2168982137794084E-2</v>
      </c>
      <c r="AZ23" s="192">
        <f t="shared" si="66"/>
        <v>-1.8814939623701288E-2</v>
      </c>
      <c r="BA23" s="192">
        <f t="shared" si="66"/>
        <v>-2.3809523809523725E-3</v>
      </c>
      <c r="BB23" s="192">
        <f t="shared" si="66"/>
        <v>0.31534980856247818</v>
      </c>
      <c r="BC23" s="192">
        <f t="shared" si="66"/>
        <v>0.24080167514208783</v>
      </c>
      <c r="BD23" s="192">
        <f t="shared" si="66"/>
        <v>0.1754436176302232</v>
      </c>
      <c r="BE23" s="192">
        <f t="shared" si="66"/>
        <v>0.28341288782816232</v>
      </c>
      <c r="BF23" s="192">
        <f t="shared" si="67"/>
        <v>0.39375496163006107</v>
      </c>
      <c r="BG23" s="192">
        <f t="shared" si="67"/>
        <v>0.52314368370298925</v>
      </c>
      <c r="BH23" s="192">
        <f t="shared" si="67"/>
        <v>0.69442415388361334</v>
      </c>
      <c r="BI23" s="192">
        <f t="shared" si="67"/>
        <v>0.63319386331938632</v>
      </c>
      <c r="BJ23" s="192">
        <f t="shared" si="67"/>
        <v>0.18302639073476357</v>
      </c>
      <c r="BK23" s="192">
        <f t="shared" si="67"/>
        <v>0.11063627730294412</v>
      </c>
      <c r="BL23" s="192">
        <f t="shared" si="67"/>
        <v>-4.7708004023566453E-2</v>
      </c>
      <c r="BM23" s="192">
        <f t="shared" si="67"/>
        <v>-9.1659550241958376E-2</v>
      </c>
      <c r="BN23" s="192">
        <f t="shared" si="67"/>
        <v>-3.4665382763601427E-2</v>
      </c>
      <c r="BO23" s="192">
        <f t="shared" si="67"/>
        <v>-3.520022801767142E-2</v>
      </c>
      <c r="BP23" s="192">
        <f t="shared" si="68"/>
        <v>0.25697902519993954</v>
      </c>
      <c r="BQ23" s="192">
        <f t="shared" si="68"/>
        <v>0.25661234722657467</v>
      </c>
      <c r="BR23" s="192">
        <f t="shared" si="68"/>
        <v>0.62846217788861169</v>
      </c>
      <c r="BS23" s="192">
        <f t="shared" si="68"/>
        <v>0.53807976366321997</v>
      </c>
      <c r="BT23" s="192">
        <f t="shared" si="68"/>
        <v>0.10000000000000009</v>
      </c>
      <c r="BU23" s="192">
        <f t="shared" si="68"/>
        <v>0.5910819606718456</v>
      </c>
      <c r="BV23" s="192">
        <f t="shared" si="68"/>
        <v>0.4190623979091801</v>
      </c>
      <c r="BW23" s="192">
        <f t="shared" si="68"/>
        <v>0.43669330055316546</v>
      </c>
      <c r="BX23" s="192">
        <f t="shared" si="68"/>
        <v>0.45260285932554822</v>
      </c>
      <c r="BY23" s="192">
        <f t="shared" si="68"/>
        <v>-5.746081504702194E-2</v>
      </c>
      <c r="BZ23" s="192">
        <f t="shared" si="69"/>
        <v>-0.17050359712230212</v>
      </c>
      <c r="CA23" s="192">
        <f t="shared" si="69"/>
        <v>-0.26817513368983958</v>
      </c>
      <c r="CB23" s="192">
        <f t="shared" si="69"/>
        <v>-0.15740559871376836</v>
      </c>
      <c r="CC23" s="192">
        <f t="shared" si="69"/>
        <v>-9.3150297668540216E-2</v>
      </c>
      <c r="CD23" s="192">
        <f t="shared" si="69"/>
        <v>2.5472679965307776E-2</v>
      </c>
      <c r="CE23" s="192">
        <f t="shared" si="69"/>
        <v>0.22057708643508911</v>
      </c>
      <c r="CF23" s="192">
        <f t="shared" si="69"/>
        <v>0.26667617765334239</v>
      </c>
      <c r="CG23" s="192">
        <f t="shared" si="69"/>
        <v>0.26965570989776722</v>
      </c>
      <c r="CH23" s="192">
        <f t="shared" si="69"/>
        <v>0.19434694723309986</v>
      </c>
      <c r="CI23" s="192">
        <f t="shared" si="69"/>
        <v>6.1288632792037889E-2</v>
      </c>
      <c r="CJ23" s="192">
        <f t="shared" si="70"/>
        <v>-8.7639642683672303E-3</v>
      </c>
      <c r="CK23" s="192">
        <f t="shared" si="70"/>
        <v>-3.0669795992056326E-2</v>
      </c>
      <c r="CL23" s="192">
        <f t="shared" si="70"/>
        <v>0.12990737593473822</v>
      </c>
      <c r="CM23" s="151"/>
      <c r="CN23" s="151"/>
      <c r="CO23" s="151"/>
      <c r="CP23" s="151"/>
      <c r="CQ23" s="151"/>
      <c r="CR23" s="151"/>
      <c r="CS23" s="151"/>
      <c r="CT23" s="151"/>
      <c r="CU23" s="151"/>
      <c r="CV23" s="151"/>
      <c r="CW23" s="151"/>
      <c r="CX23" s="151"/>
      <c r="CY23" s="151"/>
      <c r="CZ23" s="151"/>
      <c r="DA23" s="151"/>
      <c r="DB23" s="151"/>
      <c r="DE23" s="153"/>
    </row>
    <row r="24" spans="1:109" s="152" customFormat="1" x14ac:dyDescent="0.2">
      <c r="A24" s="179" t="s">
        <v>540</v>
      </c>
      <c r="B24" s="150"/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93"/>
      <c r="R24" s="193">
        <f t="shared" ref="R24:Z24" si="72">+R7/Q7-1</f>
        <v>7.8905521741514661E-2</v>
      </c>
      <c r="S24" s="193">
        <f t="shared" si="72"/>
        <v>-6.540963610489936E-2</v>
      </c>
      <c r="T24" s="193">
        <f t="shared" si="72"/>
        <v>2.8169014084507005E-2</v>
      </c>
      <c r="U24" s="193">
        <f t="shared" si="72"/>
        <v>-0.28196964087375054</v>
      </c>
      <c r="V24" s="193">
        <f t="shared" si="72"/>
        <v>-8.6609997200901567E-2</v>
      </c>
      <c r="W24" s="193">
        <f t="shared" si="72"/>
        <v>0.51333064516129023</v>
      </c>
      <c r="X24" s="193">
        <f t="shared" si="72"/>
        <v>9.3950003463840748E-3</v>
      </c>
      <c r="Y24" s="193">
        <f t="shared" si="72"/>
        <v>2.0325632470328259E-3</v>
      </c>
      <c r="Z24" s="193">
        <f t="shared" si="72"/>
        <v>6.9040732135236427E-2</v>
      </c>
      <c r="AA24" s="151"/>
      <c r="AB24" s="151"/>
      <c r="AC24" s="151"/>
      <c r="AD24" s="151"/>
      <c r="AE24" s="151"/>
      <c r="AI24" s="150"/>
      <c r="AJ24" s="150"/>
      <c r="AK24" s="150"/>
      <c r="AL24" s="150"/>
      <c r="AM24" s="150"/>
      <c r="AN24" s="150"/>
      <c r="AO24" s="150"/>
      <c r="AP24" s="150"/>
      <c r="AQ24" s="150"/>
      <c r="AR24" s="192"/>
      <c r="AS24" s="192"/>
      <c r="AT24" s="192"/>
      <c r="AU24" s="192"/>
      <c r="AV24" s="192">
        <f t="shared" si="66"/>
        <v>-3.0864197530864224E-2</v>
      </c>
      <c r="AW24" s="192" t="e">
        <f t="shared" si="66"/>
        <v>#VALUE!</v>
      </c>
      <c r="AX24" s="192">
        <f t="shared" si="66"/>
        <v>-0.17651939431653185</v>
      </c>
      <c r="AY24" s="192">
        <f t="shared" si="66"/>
        <v>-5.6255077173030021E-2</v>
      </c>
      <c r="AZ24" s="192">
        <f t="shared" si="66"/>
        <v>-4.3590764331210119E-2</v>
      </c>
      <c r="BA24" s="192">
        <f t="shared" si="66"/>
        <v>0.13266959944431589</v>
      </c>
      <c r="BB24" s="192">
        <f t="shared" si="66"/>
        <v>0.3430730478589421</v>
      </c>
      <c r="BC24" s="192">
        <f t="shared" si="66"/>
        <v>9.1672046481600988E-2</v>
      </c>
      <c r="BD24" s="192">
        <f t="shared" si="66"/>
        <v>-0.13173777315296564</v>
      </c>
      <c r="BE24" s="192">
        <f t="shared" si="66"/>
        <v>-7.5633687653311577E-2</v>
      </c>
      <c r="BF24" s="192">
        <f t="shared" si="67"/>
        <v>-0.13315828957239317</v>
      </c>
      <c r="BG24" s="192">
        <f t="shared" si="67"/>
        <v>-1.1630199093238813E-2</v>
      </c>
      <c r="BH24" s="192">
        <f t="shared" si="67"/>
        <v>8.7008628954937661E-2</v>
      </c>
      <c r="BI24" s="192">
        <f t="shared" si="67"/>
        <v>4.6439628482972672E-3</v>
      </c>
      <c r="BJ24" s="192">
        <f t="shared" si="67"/>
        <v>4.1756815231501543E-2</v>
      </c>
      <c r="BK24" s="192">
        <f t="shared" si="67"/>
        <v>-0.23793378540087751</v>
      </c>
      <c r="BL24" s="192">
        <f t="shared" si="67"/>
        <v>-0.28776185226019846</v>
      </c>
      <c r="BM24" s="192">
        <f t="shared" si="67"/>
        <v>-0.26106097292537978</v>
      </c>
      <c r="BN24" s="192">
        <f t="shared" si="67"/>
        <v>-0.34209761163032193</v>
      </c>
      <c r="BO24" s="192">
        <f t="shared" si="67"/>
        <v>-0.63245223763412728</v>
      </c>
      <c r="BP24" s="192">
        <f t="shared" si="68"/>
        <v>2.7863777089783381E-2</v>
      </c>
      <c r="BQ24" s="192">
        <f t="shared" si="68"/>
        <v>9.3148644623175514E-2</v>
      </c>
      <c r="BR24" s="192">
        <f t="shared" si="68"/>
        <v>0.2645684702317066</v>
      </c>
      <c r="BS24" s="192">
        <f t="shared" si="68"/>
        <v>2.5098974651096553</v>
      </c>
      <c r="BT24" s="192">
        <f t="shared" si="68"/>
        <v>5.0000000000000044E-2</v>
      </c>
      <c r="BU24" s="192">
        <f t="shared" si="68"/>
        <v>0.46605989590429719</v>
      </c>
      <c r="BV24" s="192">
        <f t="shared" si="68"/>
        <v>0.24067001173269431</v>
      </c>
      <c r="BW24" s="192">
        <f t="shared" si="68"/>
        <v>0.15837948593106521</v>
      </c>
      <c r="BX24" s="192">
        <f t="shared" si="68"/>
        <v>0.33740676993689034</v>
      </c>
      <c r="BY24" s="192">
        <f t="shared" si="68"/>
        <v>-0.20828996282527878</v>
      </c>
      <c r="BZ24" s="192">
        <f t="shared" si="69"/>
        <v>-0.13279678068410461</v>
      </c>
      <c r="CA24" s="192">
        <f t="shared" si="69"/>
        <v>-0.18625218914185648</v>
      </c>
      <c r="CB24" s="192">
        <f t="shared" si="69"/>
        <v>8.5646261421646219E-2</v>
      </c>
      <c r="CC24" s="192">
        <f t="shared" si="69"/>
        <v>7.6114006667605816E-2</v>
      </c>
      <c r="CD24" s="192">
        <f t="shared" si="69"/>
        <v>8.7819025522041905E-2</v>
      </c>
      <c r="CE24" s="192">
        <f t="shared" si="69"/>
        <v>0.13050683310018285</v>
      </c>
      <c r="CF24" s="192">
        <f t="shared" si="69"/>
        <v>5.8046033784451279E-2</v>
      </c>
      <c r="CG24" s="192">
        <f t="shared" si="69"/>
        <v>0.11220438083602402</v>
      </c>
      <c r="CH24" s="192">
        <f t="shared" si="69"/>
        <v>-2.2203263303828602E-2</v>
      </c>
      <c r="CI24" s="192">
        <f t="shared" si="69"/>
        <v>-0.11182394486854874</v>
      </c>
      <c r="CJ24" s="192">
        <f t="shared" si="70"/>
        <v>-0.11426063899314698</v>
      </c>
      <c r="CK24" s="192">
        <f t="shared" si="70"/>
        <v>-0.11026108789893885</v>
      </c>
      <c r="CL24" s="192">
        <f t="shared" si="70"/>
        <v>5.2547770700636987E-2</v>
      </c>
      <c r="CM24" s="151"/>
      <c r="CN24" s="151"/>
      <c r="CO24" s="151"/>
      <c r="CP24" s="151"/>
      <c r="CQ24" s="151"/>
      <c r="CR24" s="151"/>
      <c r="CS24" s="151"/>
      <c r="CT24" s="151"/>
      <c r="CU24" s="151"/>
      <c r="CV24" s="151"/>
      <c r="CW24" s="151"/>
      <c r="CX24" s="151"/>
      <c r="CY24" s="151"/>
      <c r="CZ24" s="151"/>
      <c r="DA24" s="151"/>
      <c r="DB24" s="151"/>
      <c r="DE24" s="153"/>
    </row>
    <row r="25" spans="1:109" s="152" customFormat="1" x14ac:dyDescent="0.2">
      <c r="A25" s="178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97"/>
      <c r="R25" s="197"/>
      <c r="S25" s="197"/>
      <c r="T25" s="197"/>
      <c r="U25" s="197"/>
      <c r="V25" s="197"/>
      <c r="W25" s="197"/>
      <c r="X25" s="197"/>
      <c r="Y25" s="197"/>
      <c r="Z25" s="197"/>
      <c r="AA25" s="151"/>
      <c r="AB25" s="151"/>
      <c r="AC25" s="151"/>
      <c r="AD25" s="151"/>
      <c r="AE25" s="151"/>
      <c r="AI25" s="150"/>
      <c r="AJ25" s="150"/>
      <c r="AK25" s="150"/>
      <c r="AL25" s="150"/>
      <c r="AM25" s="150"/>
      <c r="AN25" s="150"/>
      <c r="AO25" s="150"/>
      <c r="AP25" s="150"/>
      <c r="AQ25" s="150"/>
      <c r="AR25" s="193"/>
      <c r="AS25" s="193"/>
      <c r="AT25" s="193"/>
      <c r="AU25" s="193"/>
      <c r="AV25" s="193"/>
      <c r="AW25" s="193"/>
      <c r="AX25" s="193"/>
      <c r="AY25" s="193"/>
      <c r="AZ25" s="193"/>
      <c r="BA25" s="193"/>
      <c r="BB25" s="193"/>
      <c r="BC25" s="193"/>
      <c r="BD25" s="193"/>
      <c r="BE25" s="193"/>
      <c r="BF25" s="193"/>
      <c r="BG25" s="193"/>
      <c r="BH25" s="193"/>
      <c r="BI25" s="193"/>
      <c r="BJ25" s="193"/>
      <c r="BK25" s="193"/>
      <c r="BL25" s="193"/>
      <c r="BM25" s="193"/>
      <c r="BN25" s="193"/>
      <c r="BO25" s="193"/>
      <c r="BP25" s="193"/>
      <c r="BQ25" s="193"/>
      <c r="BR25" s="193"/>
      <c r="BS25" s="193"/>
      <c r="BT25" s="193"/>
      <c r="BU25" s="193"/>
      <c r="BV25" s="193"/>
      <c r="BW25" s="193"/>
      <c r="BX25" s="193"/>
      <c r="BY25" s="193"/>
      <c r="BZ25" s="193"/>
      <c r="CA25" s="193"/>
      <c r="CB25" s="193"/>
      <c r="CC25" s="193"/>
      <c r="CD25" s="193"/>
      <c r="CE25" s="193"/>
      <c r="CF25" s="193"/>
      <c r="CG25" s="193"/>
      <c r="CH25" s="193"/>
      <c r="CI25" s="193"/>
      <c r="CJ25" s="193"/>
      <c r="CK25" s="193"/>
      <c r="CL25" s="193"/>
      <c r="CM25" s="151"/>
      <c r="CN25" s="151"/>
      <c r="CO25" s="151"/>
      <c r="CP25" s="151"/>
      <c r="CQ25" s="151"/>
      <c r="CR25" s="151"/>
      <c r="CS25" s="151"/>
      <c r="CT25" s="151"/>
      <c r="CU25" s="151"/>
      <c r="CV25" s="151"/>
      <c r="CW25" s="151"/>
      <c r="CX25" s="151"/>
      <c r="CY25" s="151"/>
      <c r="CZ25" s="151"/>
      <c r="DA25" s="151"/>
      <c r="DB25" s="151"/>
      <c r="DE25" s="153"/>
    </row>
    <row r="26" spans="1:109" s="152" customFormat="1" x14ac:dyDescent="0.2">
      <c r="A26" s="178" t="s">
        <v>527</v>
      </c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93">
        <f t="shared" ref="Q26:Z26" si="73">+Q15/Q9</f>
        <v>0.15705657189390215</v>
      </c>
      <c r="R26" s="193">
        <f t="shared" si="73"/>
        <v>0.15832469202372559</v>
      </c>
      <c r="S26" s="193">
        <f t="shared" si="73"/>
        <v>0.12623992671371112</v>
      </c>
      <c r="T26" s="193">
        <f t="shared" si="73"/>
        <v>0.13861753093207185</v>
      </c>
      <c r="U26" s="193">
        <f t="shared" si="73"/>
        <v>0.15812090353230984</v>
      </c>
      <c r="V26" s="193">
        <f t="shared" si="73"/>
        <v>0.21049780715329935</v>
      </c>
      <c r="W26" s="193">
        <f t="shared" si="73"/>
        <v>0.23193379830420835</v>
      </c>
      <c r="X26" s="193">
        <f t="shared" si="73"/>
        <v>0.21459887664763053</v>
      </c>
      <c r="Y26" s="193">
        <f t="shared" si="73"/>
        <v>0.14420826705312287</v>
      </c>
      <c r="Z26" s="193">
        <f t="shared" si="73"/>
        <v>0.19972573690195572</v>
      </c>
      <c r="AA26" s="151"/>
      <c r="AB26" s="151"/>
      <c r="AC26" s="151"/>
      <c r="AD26" s="151"/>
      <c r="AE26" s="151"/>
      <c r="AI26" s="150"/>
      <c r="AJ26" s="150"/>
      <c r="AK26" s="150"/>
      <c r="AL26" s="150"/>
      <c r="AM26" s="150"/>
      <c r="AN26" s="150"/>
      <c r="AO26" s="150"/>
      <c r="AP26" s="150"/>
      <c r="AQ26" s="150"/>
      <c r="AR26" s="193">
        <f t="shared" ref="AR26:CK26" si="74">+AR15/AR9</f>
        <v>0.13712830083986988</v>
      </c>
      <c r="AS26" s="193">
        <f t="shared" si="74"/>
        <v>0.21516416932776528</v>
      </c>
      <c r="AT26" s="193">
        <f t="shared" si="74"/>
        <v>9.4427387733964516E-2</v>
      </c>
      <c r="AU26" s="193">
        <f t="shared" si="74"/>
        <v>0.16378329253215657</v>
      </c>
      <c r="AV26" s="193">
        <f t="shared" si="74"/>
        <v>0.15641285839596858</v>
      </c>
      <c r="AW26" s="193">
        <f t="shared" si="74"/>
        <v>0.15244753968181515</v>
      </c>
      <c r="AX26" s="193">
        <f t="shared" si="74"/>
        <v>0.15488427257044274</v>
      </c>
      <c r="AY26" s="193">
        <f t="shared" si="74"/>
        <v>0.19090230559132565</v>
      </c>
      <c r="AZ26" s="193">
        <f t="shared" si="74"/>
        <v>0.15445882147228537</v>
      </c>
      <c r="BA26" s="193">
        <f t="shared" si="74"/>
        <v>0.14722236932690771</v>
      </c>
      <c r="BB26" s="193">
        <f t="shared" si="74"/>
        <v>0.14118915983436542</v>
      </c>
      <c r="BC26" s="193">
        <f t="shared" si="74"/>
        <v>0.11880644562662368</v>
      </c>
      <c r="BD26" s="193">
        <f t="shared" si="74"/>
        <v>0.11611980441998407</v>
      </c>
      <c r="BE26" s="193">
        <f t="shared" si="74"/>
        <v>0.14072409202181721</v>
      </c>
      <c r="BF26" s="193">
        <f t="shared" si="74"/>
        <v>0.12772674552029137</v>
      </c>
      <c r="BG26" s="193">
        <f t="shared" si="74"/>
        <v>0.13993902984673937</v>
      </c>
      <c r="BH26" s="193">
        <f t="shared" si="74"/>
        <v>0.13261346477107611</v>
      </c>
      <c r="BI26" s="193">
        <f t="shared" si="74"/>
        <v>0.13156381649509616</v>
      </c>
      <c r="BJ26" s="193">
        <f t="shared" si="74"/>
        <v>0.148791281979508</v>
      </c>
      <c r="BK26" s="193">
        <f t="shared" si="74"/>
        <v>0.15662531994487094</v>
      </c>
      <c r="BL26" s="193">
        <f t="shared" si="74"/>
        <v>0.15207733916446081</v>
      </c>
      <c r="BM26" s="193">
        <f t="shared" si="74"/>
        <v>0.16568044139660298</v>
      </c>
      <c r="BN26" s="193">
        <f t="shared" si="74"/>
        <v>0.15771626036827907</v>
      </c>
      <c r="BO26" s="193">
        <f t="shared" si="74"/>
        <v>0.18029964728343542</v>
      </c>
      <c r="BP26" s="193">
        <f t="shared" si="74"/>
        <v>0.22874292541519303</v>
      </c>
      <c r="BQ26" s="193">
        <f t="shared" si="74"/>
        <v>0.21954798943351922</v>
      </c>
      <c r="BR26" s="193">
        <f t="shared" si="74"/>
        <v>0.20624316913696256</v>
      </c>
      <c r="BS26" s="193">
        <f t="shared" si="74"/>
        <v>0.20833518559679923</v>
      </c>
      <c r="BT26" s="193">
        <f t="shared" si="74"/>
        <v>0.22865210800753702</v>
      </c>
      <c r="BU26" s="193">
        <f t="shared" si="74"/>
        <v>0.23775552898983865</v>
      </c>
      <c r="BV26" s="193">
        <f t="shared" si="74"/>
        <v>0.24663661971830986</v>
      </c>
      <c r="BW26" s="193">
        <f t="shared" si="74"/>
        <v>0.2411234628122513</v>
      </c>
      <c r="BX26" s="193">
        <f t="shared" si="74"/>
        <v>0.18489288530975537</v>
      </c>
      <c r="BY26" s="193">
        <f t="shared" si="74"/>
        <v>0.20873423472644767</v>
      </c>
      <c r="BZ26" s="193">
        <f t="shared" si="74"/>
        <v>0.22195767195767196</v>
      </c>
      <c r="CA26" s="193">
        <f t="shared" si="74"/>
        <v>0.17826645620613948</v>
      </c>
      <c r="CB26" s="193">
        <f t="shared" si="74"/>
        <v>0.16758886073402454</v>
      </c>
      <c r="CC26" s="193">
        <f t="shared" si="74"/>
        <v>0.14941881958052938</v>
      </c>
      <c r="CD26" s="193">
        <f t="shared" si="74"/>
        <v>0.17242257438931219</v>
      </c>
      <c r="CE26" s="193">
        <f t="shared" si="74"/>
        <v>0.13961524605519129</v>
      </c>
      <c r="CF26" s="193">
        <f t="shared" si="74"/>
        <v>0.12183078862585796</v>
      </c>
      <c r="CG26" s="193">
        <f t="shared" si="74"/>
        <v>0.15142939796581817</v>
      </c>
      <c r="CH26" s="193">
        <f t="shared" si="74"/>
        <v>0.20995562603458109</v>
      </c>
      <c r="CI26" s="193">
        <f t="shared" si="74"/>
        <v>0.18179080400773051</v>
      </c>
      <c r="CJ26" s="193">
        <f t="shared" si="74"/>
        <v>0.17857859067795909</v>
      </c>
      <c r="CK26" s="193">
        <f t="shared" si="74"/>
        <v>0.17580449228166861</v>
      </c>
      <c r="CL26" s="193">
        <f t="shared" ref="CL26" si="75">+CL15/CL9</f>
        <v>0.21896870761270421</v>
      </c>
      <c r="CM26" s="151"/>
      <c r="CN26" s="151"/>
      <c r="CO26" s="151"/>
      <c r="CP26" s="151"/>
      <c r="CQ26" s="151"/>
      <c r="CR26" s="151"/>
      <c r="CS26" s="151"/>
      <c r="CT26" s="151"/>
      <c r="CU26" s="151"/>
      <c r="CV26" s="151"/>
      <c r="CW26" s="151"/>
      <c r="CX26" s="151"/>
      <c r="CY26" s="151"/>
      <c r="CZ26" s="151"/>
      <c r="DA26" s="151"/>
      <c r="DB26" s="151"/>
      <c r="DE26" s="153"/>
    </row>
    <row r="27" spans="1:109" s="152" customFormat="1" x14ac:dyDescent="0.2">
      <c r="A27" s="179" t="s">
        <v>541</v>
      </c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93">
        <f t="shared" ref="Q27:Z27" si="76">+Q11/Q5</f>
        <v>0.24430784670388259</v>
      </c>
      <c r="R27" s="193">
        <f t="shared" si="76"/>
        <v>0.19135766079113367</v>
      </c>
      <c r="S27" s="193">
        <f t="shared" si="76"/>
        <v>0.16719419102587968</v>
      </c>
      <c r="T27" s="193">
        <f t="shared" si="76"/>
        <v>0.15715220413838224</v>
      </c>
      <c r="U27" s="193">
        <f t="shared" si="76"/>
        <v>0.17193450690259063</v>
      </c>
      <c r="V27" s="193">
        <f t="shared" si="76"/>
        <v>0.19979146659349706</v>
      </c>
      <c r="W27" s="193">
        <f t="shared" si="76"/>
        <v>0.26182448036855205</v>
      </c>
      <c r="X27" s="193">
        <f t="shared" si="76"/>
        <v>0.31579025485476192</v>
      </c>
      <c r="Y27" s="193">
        <f t="shared" si="76"/>
        <v>0.25843653029528252</v>
      </c>
      <c r="Z27" s="193">
        <f t="shared" si="76"/>
        <v>0.24882113365467248</v>
      </c>
      <c r="AA27" s="151"/>
      <c r="AB27" s="151"/>
      <c r="AC27" s="151"/>
      <c r="AD27" s="151"/>
      <c r="AE27" s="151"/>
      <c r="AI27" s="150"/>
      <c r="AJ27" s="150"/>
      <c r="AK27" s="150"/>
      <c r="AL27" s="150"/>
      <c r="AM27" s="150"/>
      <c r="AN27" s="150"/>
      <c r="AO27" s="150"/>
      <c r="AP27" s="150"/>
      <c r="AQ27" s="150"/>
      <c r="AR27" s="192">
        <f t="shared" ref="AR27:CK27" si="77">+AR11/AR5</f>
        <v>0.26814768460575716</v>
      </c>
      <c r="AS27" s="192">
        <f t="shared" si="77"/>
        <v>0.24331376386170903</v>
      </c>
      <c r="AT27" s="192">
        <f t="shared" si="77"/>
        <v>0.19292706030944112</v>
      </c>
      <c r="AU27" s="192">
        <f t="shared" si="77"/>
        <v>0.24986779481755686</v>
      </c>
      <c r="AV27" s="192">
        <f t="shared" si="77"/>
        <v>0.22248182762201454</v>
      </c>
      <c r="AW27" s="192">
        <f t="shared" si="77"/>
        <v>0.2639759338179995</v>
      </c>
      <c r="AX27" s="192">
        <f t="shared" si="77"/>
        <v>0.24074074074074073</v>
      </c>
      <c r="AY27" s="192">
        <f t="shared" si="77"/>
        <v>0.26483151400094923</v>
      </c>
      <c r="AZ27" s="192">
        <f t="shared" si="77"/>
        <v>0.17494824016563146</v>
      </c>
      <c r="BA27" s="192">
        <f t="shared" si="77"/>
        <v>0.16038723181580325</v>
      </c>
      <c r="BB27" s="192">
        <f t="shared" si="77"/>
        <v>0.16610705115544142</v>
      </c>
      <c r="BC27" s="192">
        <f t="shared" si="77"/>
        <v>0.16652649285113541</v>
      </c>
      <c r="BD27" s="192">
        <f t="shared" si="77"/>
        <v>0.12796071634893125</v>
      </c>
      <c r="BE27" s="192">
        <f t="shared" si="77"/>
        <v>0.18242906918865107</v>
      </c>
      <c r="BF27" s="192">
        <f t="shared" si="77"/>
        <v>0.18239242005527043</v>
      </c>
      <c r="BG27" s="192">
        <f t="shared" si="77"/>
        <v>0.16485127775450356</v>
      </c>
      <c r="BH27" s="192">
        <f t="shared" si="77"/>
        <v>0.11623616236162361</v>
      </c>
      <c r="BI27" s="192">
        <f t="shared" si="77"/>
        <v>0.13071672354948805</v>
      </c>
      <c r="BJ27" s="192">
        <f t="shared" si="77"/>
        <v>0.19761904761904761</v>
      </c>
      <c r="BK27" s="192">
        <f t="shared" si="77"/>
        <v>0.1304708222811671</v>
      </c>
      <c r="BL27" s="192">
        <f t="shared" si="77"/>
        <v>0.1929203539823009</v>
      </c>
      <c r="BM27" s="192">
        <f t="shared" si="77"/>
        <v>0.1762532331567927</v>
      </c>
      <c r="BN27" s="192">
        <f t="shared" si="77"/>
        <v>0.18018528808100967</v>
      </c>
      <c r="BO27" s="192">
        <f t="shared" si="77"/>
        <v>0.12561702127659574</v>
      </c>
      <c r="BP27" s="192">
        <f t="shared" si="77"/>
        <v>0.19800227014755958</v>
      </c>
      <c r="BQ27" s="192">
        <f t="shared" si="77"/>
        <v>0.20966994149464621</v>
      </c>
      <c r="BR27" s="192">
        <f t="shared" si="77"/>
        <v>0.23876453236161721</v>
      </c>
      <c r="BS27" s="192">
        <f t="shared" si="77"/>
        <v>0.1996031104645942</v>
      </c>
      <c r="BT27" s="192">
        <f t="shared" si="77"/>
        <v>0.1996031104645942</v>
      </c>
      <c r="BU27" s="192">
        <f t="shared" si="77"/>
        <v>0.2935854341736695</v>
      </c>
      <c r="BV27" s="192">
        <f t="shared" si="77"/>
        <v>0.3206039415130324</v>
      </c>
      <c r="BW27" s="192">
        <f t="shared" si="77"/>
        <v>0.30200290275761976</v>
      </c>
      <c r="BX27" s="192">
        <f t="shared" si="77"/>
        <v>0.28264195480176596</v>
      </c>
      <c r="BY27" s="192">
        <f t="shared" si="77"/>
        <v>0.32103129874417913</v>
      </c>
      <c r="BZ27" s="192">
        <f t="shared" si="77"/>
        <v>0.35156993339676501</v>
      </c>
      <c r="CA27" s="192">
        <f t="shared" si="77"/>
        <v>0.27706047430353981</v>
      </c>
      <c r="CB27" s="192">
        <f t="shared" si="77"/>
        <v>0.2438266844282409</v>
      </c>
      <c r="CC27" s="192">
        <f t="shared" si="77"/>
        <v>0.23086082359607785</v>
      </c>
      <c r="CD27" s="192">
        <f t="shared" si="77"/>
        <v>0.27405082459183394</v>
      </c>
      <c r="CE27" s="192">
        <f t="shared" si="77"/>
        <v>0.2067543859649123</v>
      </c>
      <c r="CF27" s="192">
        <f t="shared" si="77"/>
        <v>0.18127987391275527</v>
      </c>
      <c r="CG27" s="192">
        <f t="shared" si="77"/>
        <v>0.24321198141276365</v>
      </c>
      <c r="CH27" s="192">
        <f t="shared" si="77"/>
        <v>0.31778831661225065</v>
      </c>
      <c r="CI27" s="192">
        <f t="shared" si="77"/>
        <v>0.27348215014002558</v>
      </c>
      <c r="CJ27" s="192">
        <f t="shared" si="77"/>
        <v>0.28874904012286423</v>
      </c>
      <c r="CK27" s="192">
        <f t="shared" si="77"/>
        <v>0.27180363983099609</v>
      </c>
      <c r="CL27" s="192">
        <f t="shared" ref="CL27" si="78">+CL11/CL5</f>
        <v>0.31966279055519475</v>
      </c>
      <c r="CM27" s="151"/>
      <c r="CN27" s="151"/>
      <c r="CO27" s="151"/>
      <c r="CP27" s="151"/>
      <c r="CQ27" s="151"/>
      <c r="CR27" s="151"/>
      <c r="CS27" s="151"/>
      <c r="CT27" s="151"/>
      <c r="CU27" s="151"/>
      <c r="CV27" s="151"/>
      <c r="CW27" s="151"/>
      <c r="CX27" s="151"/>
      <c r="CY27" s="151"/>
      <c r="CZ27" s="151"/>
      <c r="DA27" s="151"/>
      <c r="DB27" s="151"/>
      <c r="DE27" s="153"/>
    </row>
    <row r="28" spans="1:109" s="152" customFormat="1" x14ac:dyDescent="0.2">
      <c r="A28" s="179" t="s">
        <v>542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93">
        <f t="shared" ref="Q28:Z28" si="79">+Q12/Q6</f>
        <v>0.14495908715561895</v>
      </c>
      <c r="R28" s="193">
        <f t="shared" si="79"/>
        <v>0.14053550973654066</v>
      </c>
      <c r="S28" s="193">
        <f t="shared" si="79"/>
        <v>0.12887118491921004</v>
      </c>
      <c r="T28" s="193">
        <f t="shared" si="79"/>
        <v>0.15508404311449461</v>
      </c>
      <c r="U28" s="193">
        <f t="shared" si="79"/>
        <v>0.21336738220498441</v>
      </c>
      <c r="V28" s="193">
        <f t="shared" si="79"/>
        <v>0.27278527353873167</v>
      </c>
      <c r="W28" s="193">
        <f t="shared" si="79"/>
        <v>0.21197333541936286</v>
      </c>
      <c r="X28" s="193">
        <f t="shared" si="79"/>
        <v>0.10748451579292646</v>
      </c>
      <c r="Y28" s="193">
        <f t="shared" si="79"/>
        <v>4.5997852691041445E-2</v>
      </c>
      <c r="Z28" s="193">
        <f t="shared" si="79"/>
        <v>6.5636141020562505E-2</v>
      </c>
      <c r="AA28" s="151"/>
      <c r="AB28" s="151"/>
      <c r="AC28" s="151"/>
      <c r="AD28" s="151"/>
      <c r="AE28" s="151"/>
      <c r="AI28" s="150"/>
      <c r="AJ28" s="150"/>
      <c r="AK28" s="150"/>
      <c r="AL28" s="150"/>
      <c r="AM28" s="150"/>
      <c r="AN28" s="150"/>
      <c r="AO28" s="150"/>
      <c r="AP28" s="150"/>
      <c r="AQ28" s="150"/>
      <c r="AR28" s="192">
        <f t="shared" ref="AR28:CK28" si="80">+AR12/AR6</f>
        <v>6.7269643866591289E-2</v>
      </c>
      <c r="AS28" s="192">
        <f t="shared" si="80"/>
        <v>6.6623122142390592E-2</v>
      </c>
      <c r="AT28" s="192">
        <f t="shared" si="80"/>
        <v>2.0716292134831463E-2</v>
      </c>
      <c r="AU28" s="192">
        <f t="shared" si="80"/>
        <v>0.17125035440884603</v>
      </c>
      <c r="AV28" s="192">
        <f t="shared" si="80"/>
        <v>0.13760179724796404</v>
      </c>
      <c r="AW28" s="192">
        <f t="shared" si="80"/>
        <v>0.12827380952380954</v>
      </c>
      <c r="AX28" s="192">
        <f t="shared" si="80"/>
        <v>0.14131569787678386</v>
      </c>
      <c r="AY28" s="192">
        <f t="shared" si="80"/>
        <v>0.1782829793598564</v>
      </c>
      <c r="AZ28" s="192">
        <f t="shared" si="80"/>
        <v>0.15082999427590157</v>
      </c>
      <c r="BA28" s="192">
        <f t="shared" si="80"/>
        <v>0.14140811455847255</v>
      </c>
      <c r="BB28" s="192">
        <f t="shared" si="80"/>
        <v>9.6851018788039173E-2</v>
      </c>
      <c r="BC28" s="192">
        <f t="shared" si="80"/>
        <v>0.10848601735776277</v>
      </c>
      <c r="BD28" s="192">
        <f t="shared" si="80"/>
        <v>0.12052593133674215</v>
      </c>
      <c r="BE28" s="192">
        <f t="shared" si="80"/>
        <v>0.14621106462110647</v>
      </c>
      <c r="BF28" s="192">
        <f t="shared" si="80"/>
        <v>0.1372697930510727</v>
      </c>
      <c r="BG28" s="192">
        <f t="shared" si="80"/>
        <v>0.15400443178220957</v>
      </c>
      <c r="BH28" s="192">
        <f t="shared" si="80"/>
        <v>0.17301336398907891</v>
      </c>
      <c r="BI28" s="192">
        <f t="shared" si="80"/>
        <v>0.12539140335895246</v>
      </c>
      <c r="BJ28" s="192">
        <f t="shared" si="80"/>
        <v>0.16963569250521585</v>
      </c>
      <c r="BK28" s="192">
        <f t="shared" si="80"/>
        <v>0.20749608094627331</v>
      </c>
      <c r="BL28" s="192">
        <f t="shared" si="80"/>
        <v>0.19601629696695336</v>
      </c>
      <c r="BM28" s="192">
        <f t="shared" si="80"/>
        <v>0.23409589470385458</v>
      </c>
      <c r="BN28" s="192">
        <f t="shared" si="80"/>
        <v>0.21733998337489607</v>
      </c>
      <c r="BO28" s="192">
        <f t="shared" si="80"/>
        <v>0.32605612998522898</v>
      </c>
      <c r="BP28" s="192">
        <f t="shared" si="80"/>
        <v>0.29549819927971188</v>
      </c>
      <c r="BQ28" s="192">
        <f t="shared" si="80"/>
        <v>0.26484781226230408</v>
      </c>
      <c r="BR28" s="192">
        <f t="shared" si="80"/>
        <v>0.22315011434171841</v>
      </c>
      <c r="BS28" s="192">
        <f t="shared" si="80"/>
        <v>0.22740281192378611</v>
      </c>
      <c r="BT28" s="192">
        <f t="shared" si="80"/>
        <v>0.23272473445188016</v>
      </c>
      <c r="BU28" s="192">
        <f t="shared" si="80"/>
        <v>0.1992241379310345</v>
      </c>
      <c r="BV28" s="192">
        <f t="shared" si="80"/>
        <v>0.1984388489208633</v>
      </c>
      <c r="BW28" s="192">
        <f t="shared" si="80"/>
        <v>0.19786096256684493</v>
      </c>
      <c r="BX28" s="192">
        <f t="shared" si="80"/>
        <v>7.6212228215954678E-2</v>
      </c>
      <c r="BY28" s="192">
        <f t="shared" si="80"/>
        <v>9.8629726943160273E-2</v>
      </c>
      <c r="BZ28" s="192">
        <f t="shared" si="80"/>
        <v>3.5559410234171723E-2</v>
      </c>
      <c r="CA28" s="192">
        <f t="shared" si="80"/>
        <v>4.685744558416529E-2</v>
      </c>
      <c r="CB28" s="192">
        <f t="shared" si="80"/>
        <v>6.8889265365444805E-2</v>
      </c>
      <c r="CC28" s="192">
        <f t="shared" si="80"/>
        <v>4.1140604226837199E-2</v>
      </c>
      <c r="CD28" s="192">
        <f t="shared" si="80"/>
        <v>2.7969248204876649E-2</v>
      </c>
      <c r="CE28" s="192">
        <f t="shared" si="80"/>
        <v>6.4918057322457534E-2</v>
      </c>
      <c r="CF28" s="192">
        <f t="shared" si="80"/>
        <v>5.8292681209919824E-2</v>
      </c>
      <c r="CG28" s="192">
        <f t="shared" si="80"/>
        <v>6.5246434374435808E-2</v>
      </c>
      <c r="CH28" s="192">
        <f t="shared" si="80"/>
        <v>7.4085089508271015E-2</v>
      </c>
      <c r="CI28" s="192">
        <f t="shared" si="80"/>
        <v>9.8857706952474964E-2</v>
      </c>
      <c r="CJ28" s="192">
        <f t="shared" si="80"/>
        <v>8.4473134773531036E-2</v>
      </c>
      <c r="CK28" s="192">
        <f t="shared" si="80"/>
        <v>7.0618648866108413E-2</v>
      </c>
      <c r="CL28" s="192">
        <f t="shared" ref="CL28" si="81">+CL12/CL6</f>
        <v>9.6270391887742002E-2</v>
      </c>
      <c r="CM28" s="151"/>
      <c r="CN28" s="151"/>
      <c r="CO28" s="151"/>
      <c r="CP28" s="151"/>
      <c r="CQ28" s="151"/>
      <c r="CR28" s="151"/>
      <c r="CS28" s="151"/>
      <c r="CT28" s="151"/>
      <c r="CU28" s="151"/>
      <c r="CV28" s="151"/>
      <c r="CW28" s="151"/>
      <c r="CX28" s="151"/>
      <c r="CY28" s="151"/>
      <c r="CZ28" s="151"/>
      <c r="DA28" s="151"/>
      <c r="DB28" s="151"/>
      <c r="DE28" s="153"/>
    </row>
    <row r="29" spans="1:109" s="152" customFormat="1" x14ac:dyDescent="0.2">
      <c r="A29" s="179" t="s">
        <v>543</v>
      </c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93">
        <f t="shared" ref="Q29:Z29" si="82">+Q13/Q7</f>
        <v>9.5081427866425414E-2</v>
      </c>
      <c r="R29" s="193">
        <f t="shared" si="82"/>
        <v>0.12451717828826997</v>
      </c>
      <c r="S29" s="193">
        <f t="shared" si="82"/>
        <v>0.13752786992223612</v>
      </c>
      <c r="T29" s="193">
        <f t="shared" si="82"/>
        <v>0.14317448564023905</v>
      </c>
      <c r="U29" s="193">
        <f t="shared" si="82"/>
        <v>0.11108001001782584</v>
      </c>
      <c r="V29" s="193">
        <f t="shared" si="82"/>
        <v>0.14251612903225808</v>
      </c>
      <c r="W29" s="193">
        <f t="shared" si="82"/>
        <v>0.23082416479635792</v>
      </c>
      <c r="X29" s="193">
        <f t="shared" si="82"/>
        <v>0.1378605819994087</v>
      </c>
      <c r="Y29" s="193">
        <f t="shared" si="82"/>
        <v>0.14447763710412484</v>
      </c>
      <c r="Z29" s="193">
        <f t="shared" si="82"/>
        <v>0.11732091372809937</v>
      </c>
      <c r="AA29" s="151"/>
      <c r="AB29" s="151"/>
      <c r="AC29" s="151"/>
      <c r="AD29" s="151"/>
      <c r="AE29" s="151"/>
      <c r="AI29" s="150"/>
      <c r="AJ29" s="150"/>
      <c r="AK29" s="150"/>
      <c r="AL29" s="150"/>
      <c r="AM29" s="150"/>
      <c r="AN29" s="150"/>
      <c r="AO29" s="150"/>
      <c r="AP29" s="150"/>
      <c r="AQ29" s="150"/>
      <c r="AR29" s="192">
        <f t="shared" ref="AR29:CK29" si="83">+AR13/AR7</f>
        <v>0.125</v>
      </c>
      <c r="AS29" s="192" t="e">
        <f t="shared" si="83"/>
        <v>#VALUE!</v>
      </c>
      <c r="AT29" s="192">
        <f t="shared" si="83"/>
        <v>9.6038166355527893E-2</v>
      </c>
      <c r="AU29" s="192">
        <f t="shared" si="83"/>
        <v>0.11494719740048742</v>
      </c>
      <c r="AV29" s="192">
        <f t="shared" si="83"/>
        <v>9.1958598726114657E-2</v>
      </c>
      <c r="AW29" s="192">
        <f t="shared" si="83"/>
        <v>4.9316971521185464E-2</v>
      </c>
      <c r="AX29" s="192">
        <f t="shared" si="83"/>
        <v>0.12418136020151133</v>
      </c>
      <c r="AY29" s="192">
        <f t="shared" si="83"/>
        <v>0.14482461803313965</v>
      </c>
      <c r="AZ29" s="192">
        <f t="shared" si="83"/>
        <v>0.12695109261186263</v>
      </c>
      <c r="BA29" s="192">
        <f t="shared" si="83"/>
        <v>0.12898609975470157</v>
      </c>
      <c r="BB29" s="192">
        <f t="shared" si="83"/>
        <v>0.1005251312828207</v>
      </c>
      <c r="BC29" s="192">
        <f t="shared" si="83"/>
        <v>0.11649911295091661</v>
      </c>
      <c r="BD29" s="192">
        <f t="shared" si="83"/>
        <v>0.12152444870565678</v>
      </c>
      <c r="BE29" s="192">
        <f t="shared" si="83"/>
        <v>0.16873065015479877</v>
      </c>
      <c r="BF29" s="192">
        <f t="shared" si="83"/>
        <v>0.14452617914322805</v>
      </c>
      <c r="BG29" s="192">
        <f t="shared" si="83"/>
        <v>0.14379736737136017</v>
      </c>
      <c r="BH29" s="192">
        <f t="shared" si="83"/>
        <v>0.15325248070562295</v>
      </c>
      <c r="BI29" s="192">
        <f t="shared" si="83"/>
        <v>0.16024653312788906</v>
      </c>
      <c r="BJ29" s="192">
        <f t="shared" si="83"/>
        <v>0.11692627206645897</v>
      </c>
      <c r="BK29" s="192">
        <f t="shared" si="83"/>
        <v>0.14891389688563203</v>
      </c>
      <c r="BL29" s="192">
        <f t="shared" si="83"/>
        <v>6.4705882352941169E-2</v>
      </c>
      <c r="BM29" s="192">
        <f t="shared" si="83"/>
        <v>0.1087280309800417</v>
      </c>
      <c r="BN29" s="192">
        <f t="shared" si="83"/>
        <v>0.11522192057579393</v>
      </c>
      <c r="BO29" s="192">
        <f t="shared" si="83"/>
        <v>-0.10111079464540017</v>
      </c>
      <c r="BP29" s="192">
        <f t="shared" si="83"/>
        <v>0.15120481927710844</v>
      </c>
      <c r="BQ29" s="192">
        <f t="shared" si="83"/>
        <v>0.18511049949587161</v>
      </c>
      <c r="BR29" s="192">
        <f t="shared" si="83"/>
        <v>0.18170698220125317</v>
      </c>
      <c r="BS29" s="192">
        <f t="shared" si="83"/>
        <v>0.27119469295843224</v>
      </c>
      <c r="BT29" s="192">
        <f t="shared" si="83"/>
        <v>0.27119469295843224</v>
      </c>
      <c r="BU29" s="192">
        <f t="shared" si="83"/>
        <v>0.21098513011152417</v>
      </c>
      <c r="BV29" s="192">
        <f t="shared" si="83"/>
        <v>0.18394366197183099</v>
      </c>
      <c r="BW29" s="192">
        <f t="shared" si="83"/>
        <v>0.20315236427320491</v>
      </c>
      <c r="BX29" s="192">
        <f t="shared" si="83"/>
        <v>0.13497919437175582</v>
      </c>
      <c r="BY29" s="192">
        <f t="shared" si="83"/>
        <v>8.029299901394564E-2</v>
      </c>
      <c r="BZ29" s="192">
        <f t="shared" si="83"/>
        <v>0.11136890951276102</v>
      </c>
      <c r="CA29" s="192">
        <f t="shared" si="83"/>
        <v>0.13052835467556226</v>
      </c>
      <c r="CB29" s="192">
        <f t="shared" si="83"/>
        <v>0.1480786328163588</v>
      </c>
      <c r="CC29" s="192">
        <f t="shared" si="83"/>
        <v>0.1501003577973645</v>
      </c>
      <c r="CD29" s="192">
        <f t="shared" si="83"/>
        <v>0.14891756425295935</v>
      </c>
      <c r="CE29" s="192">
        <f t="shared" si="83"/>
        <v>0.12888118943821508</v>
      </c>
      <c r="CF29" s="192">
        <f t="shared" si="83"/>
        <v>0.13321382555599126</v>
      </c>
      <c r="CG29" s="192">
        <f t="shared" si="83"/>
        <v>0.11555738637478176</v>
      </c>
      <c r="CH29" s="192">
        <f t="shared" si="83"/>
        <v>8.7470552307826549E-2</v>
      </c>
      <c r="CI29" s="192">
        <f t="shared" si="83"/>
        <v>8.0677312185189157E-2</v>
      </c>
      <c r="CJ29" s="192">
        <f t="shared" si="83"/>
        <v>8.9176540034574356E-2</v>
      </c>
      <c r="CK29" s="192">
        <f t="shared" si="83"/>
        <v>9.9078442612108117E-2</v>
      </c>
      <c r="CL29" s="192">
        <f t="shared" ref="CL29" si="84">+CL13/CL7</f>
        <v>0.13512113236482706</v>
      </c>
      <c r="CM29" s="151"/>
      <c r="CN29" s="151"/>
      <c r="CO29" s="151"/>
      <c r="CP29" s="151"/>
      <c r="CQ29" s="151"/>
      <c r="CR29" s="151"/>
      <c r="CS29" s="151"/>
      <c r="CT29" s="151"/>
      <c r="CU29" s="151"/>
      <c r="CV29" s="151"/>
      <c r="CW29" s="151"/>
      <c r="CX29" s="151"/>
      <c r="CY29" s="151"/>
      <c r="CZ29" s="151"/>
      <c r="DA29" s="151"/>
      <c r="DB29" s="151"/>
      <c r="DE29" s="153"/>
    </row>
    <row r="30" spans="1:109" s="152" customFormat="1" x14ac:dyDescent="0.2">
      <c r="A30" s="178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  <c r="AA30" s="151"/>
      <c r="AB30" s="151"/>
      <c r="AC30" s="151"/>
      <c r="AD30" s="151"/>
      <c r="AE30" s="151"/>
      <c r="AI30" s="150"/>
      <c r="AJ30" s="150"/>
      <c r="AK30" s="150"/>
      <c r="AL30" s="150"/>
      <c r="AM30" s="150"/>
      <c r="AN30" s="150"/>
      <c r="AO30" s="150"/>
      <c r="AP30" s="150"/>
      <c r="AQ30" s="150"/>
      <c r="AR30" s="187"/>
      <c r="AS30" s="187"/>
      <c r="AT30" s="187"/>
      <c r="AU30" s="187"/>
      <c r="AV30" s="187"/>
      <c r="AW30" s="187"/>
      <c r="AX30" s="187"/>
      <c r="AY30" s="187"/>
      <c r="AZ30" s="187"/>
      <c r="BA30" s="187"/>
      <c r="BB30" s="187"/>
      <c r="BC30" s="187"/>
      <c r="BD30" s="187"/>
      <c r="BE30" s="187"/>
      <c r="BF30" s="187"/>
      <c r="BG30" s="187"/>
      <c r="BH30" s="187"/>
      <c r="BI30" s="187"/>
      <c r="BJ30" s="187"/>
      <c r="BK30" s="187"/>
      <c r="BL30" s="187"/>
      <c r="BM30" s="187"/>
      <c r="BN30" s="187"/>
      <c r="BO30" s="187"/>
      <c r="BP30" s="187"/>
      <c r="BQ30" s="187"/>
      <c r="BR30" s="187"/>
      <c r="BS30" s="187"/>
      <c r="BT30" s="187"/>
      <c r="BU30" s="187"/>
      <c r="BV30" s="187"/>
      <c r="BW30" s="187"/>
      <c r="BX30" s="182"/>
      <c r="BY30" s="182"/>
      <c r="BZ30" s="182"/>
      <c r="CA30" s="182"/>
      <c r="CB30" s="182"/>
      <c r="CC30" s="182"/>
      <c r="CD30" s="182"/>
      <c r="CE30" s="182"/>
      <c r="CF30" s="182"/>
      <c r="CG30" s="182"/>
      <c r="CH30" s="182"/>
      <c r="CI30" s="182"/>
      <c r="CJ30" s="182"/>
      <c r="CK30" s="182"/>
      <c r="CL30" s="182"/>
      <c r="CM30" s="151"/>
      <c r="CN30" s="151"/>
      <c r="CO30" s="151"/>
      <c r="CP30" s="151"/>
      <c r="CQ30" s="151"/>
      <c r="CR30" s="151"/>
      <c r="CS30" s="151"/>
      <c r="CT30" s="151"/>
      <c r="CU30" s="151"/>
      <c r="CV30" s="151"/>
      <c r="CW30" s="151"/>
      <c r="CX30" s="151"/>
      <c r="CY30" s="151"/>
      <c r="CZ30" s="151"/>
      <c r="DA30" s="151"/>
      <c r="DB30" s="151"/>
      <c r="DE30" s="153"/>
    </row>
    <row r="31" spans="1:109" s="152" customFormat="1" x14ac:dyDescent="0.2">
      <c r="A31" s="178" t="s">
        <v>528</v>
      </c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1"/>
      <c r="AB31" s="151"/>
      <c r="AC31" s="151"/>
      <c r="AD31" s="151"/>
      <c r="AE31" s="151"/>
      <c r="AI31" s="150"/>
      <c r="AJ31" s="150"/>
      <c r="AK31" s="150"/>
      <c r="AL31" s="150"/>
      <c r="AM31" s="150"/>
      <c r="AN31" s="150"/>
      <c r="AO31" s="150"/>
      <c r="AP31" s="150"/>
      <c r="AQ31" s="150"/>
      <c r="AR31" s="187"/>
      <c r="AS31" s="187"/>
      <c r="AT31" s="187"/>
      <c r="AU31" s="187"/>
      <c r="AV31" s="187"/>
      <c r="AW31" s="187"/>
      <c r="AX31" s="187"/>
      <c r="AY31" s="187"/>
      <c r="AZ31" s="187"/>
      <c r="BA31" s="187"/>
      <c r="BB31" s="187"/>
      <c r="BC31" s="187"/>
      <c r="BD31" s="187"/>
      <c r="BE31" s="187"/>
      <c r="BF31" s="187"/>
      <c r="BG31" s="187"/>
      <c r="BH31" s="187"/>
      <c r="BI31" s="187"/>
      <c r="BJ31" s="187"/>
      <c r="BK31" s="187"/>
      <c r="BL31" s="187"/>
      <c r="BM31" s="187"/>
      <c r="BN31" s="187"/>
      <c r="BO31" s="187"/>
      <c r="BP31" s="187"/>
      <c r="BQ31" s="187"/>
      <c r="BR31" s="187"/>
      <c r="BS31" s="187"/>
      <c r="BT31" s="187"/>
      <c r="BU31" s="187"/>
      <c r="BV31" s="187"/>
      <c r="BW31" s="187"/>
      <c r="BX31" s="182"/>
      <c r="BY31" s="182"/>
      <c r="BZ31" s="182"/>
      <c r="CA31" s="182"/>
      <c r="CB31" s="182"/>
      <c r="CC31" s="182"/>
      <c r="CD31" s="182"/>
      <c r="CE31" s="182"/>
      <c r="CF31" s="182"/>
      <c r="CG31" s="182"/>
      <c r="CH31" s="182"/>
      <c r="CI31" s="182"/>
      <c r="CJ31" s="182"/>
      <c r="CK31" s="182"/>
      <c r="CL31" s="182"/>
      <c r="CM31" s="151"/>
      <c r="CN31" s="151"/>
      <c r="CO31" s="151"/>
      <c r="CP31" s="151"/>
      <c r="CQ31" s="151"/>
      <c r="CR31" s="151"/>
      <c r="CS31" s="151"/>
      <c r="CT31" s="151"/>
      <c r="CU31" s="151"/>
      <c r="CV31" s="151"/>
      <c r="CW31" s="151"/>
      <c r="CX31" s="151"/>
      <c r="CY31" s="151"/>
      <c r="CZ31" s="151"/>
      <c r="DA31" s="151"/>
      <c r="DB31" s="151"/>
      <c r="DE31" s="153"/>
    </row>
    <row r="32" spans="1:109" s="152" customFormat="1" x14ac:dyDescent="0.2">
      <c r="A32" s="179" t="s">
        <v>544</v>
      </c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99">
        <f t="shared" ref="R32:Z32" si="85">R11/Q11-1</f>
        <v>-0.16662387676508339</v>
      </c>
      <c r="S32" s="199">
        <f t="shared" si="85"/>
        <v>-0.17005545286506485</v>
      </c>
      <c r="T32" s="199">
        <f t="shared" si="85"/>
        <v>0.42650334075723828</v>
      </c>
      <c r="U32" s="199">
        <f t="shared" si="85"/>
        <v>0.33099141295862622</v>
      </c>
      <c r="V32" s="199">
        <f t="shared" si="85"/>
        <v>0.42353861192570874</v>
      </c>
      <c r="W32" s="199">
        <f t="shared" si="85"/>
        <v>0.87553619551066331</v>
      </c>
      <c r="X32" s="199">
        <f t="shared" si="85"/>
        <v>0.71376632852448707</v>
      </c>
      <c r="Y32" s="199">
        <f t="shared" si="85"/>
        <v>-0.30466029456377297</v>
      </c>
      <c r="Z32" s="199">
        <f t="shared" si="85"/>
        <v>2.2994014919686778E-2</v>
      </c>
      <c r="AA32" s="151"/>
      <c r="AB32" s="151"/>
      <c r="AC32" s="151"/>
      <c r="AD32" s="151"/>
      <c r="AE32" s="151"/>
      <c r="AI32" s="150"/>
      <c r="AJ32" s="150"/>
      <c r="AK32" s="150"/>
      <c r="AL32" s="150"/>
      <c r="AM32" s="150"/>
      <c r="AN32" s="150"/>
      <c r="AO32" s="150"/>
      <c r="AP32" s="150"/>
      <c r="AQ32" s="150"/>
      <c r="AR32" s="187"/>
      <c r="AS32" s="187"/>
      <c r="AT32" s="187"/>
      <c r="AU32" s="187"/>
      <c r="AV32" s="187"/>
      <c r="AW32" s="187"/>
      <c r="AX32" s="187"/>
      <c r="AY32" s="187"/>
      <c r="AZ32" s="187"/>
      <c r="BA32" s="187"/>
      <c r="BB32" s="187"/>
      <c r="BC32" s="187"/>
      <c r="BD32" s="187"/>
      <c r="BE32" s="187"/>
      <c r="BF32" s="187"/>
      <c r="BG32" s="187"/>
      <c r="BH32" s="187"/>
      <c r="BI32" s="187"/>
      <c r="BJ32" s="187"/>
      <c r="BK32" s="187"/>
      <c r="BL32" s="187"/>
      <c r="BM32" s="187"/>
      <c r="BN32" s="187"/>
      <c r="BO32" s="187"/>
      <c r="BP32" s="194">
        <f t="shared" ref="BP32:BY34" si="86">BP11/BL11-1</f>
        <v>0.33363914373088677</v>
      </c>
      <c r="BQ32" s="194">
        <f t="shared" si="86"/>
        <v>0.32732354996505952</v>
      </c>
      <c r="BR32" s="194">
        <f t="shared" si="86"/>
        <v>0.73190685966016344</v>
      </c>
      <c r="BS32" s="194">
        <f t="shared" si="86"/>
        <v>1.5100496838301716</v>
      </c>
      <c r="BT32" s="194">
        <f t="shared" si="86"/>
        <v>0.260106199261261</v>
      </c>
      <c r="BU32" s="194">
        <f t="shared" si="86"/>
        <v>1.2072233336843214</v>
      </c>
      <c r="BV32" s="194">
        <f t="shared" si="86"/>
        <v>0.83252180232558137</v>
      </c>
      <c r="BW32" s="194">
        <f t="shared" si="86"/>
        <v>1.3401862431958254</v>
      </c>
      <c r="BX32" s="194">
        <f t="shared" si="86"/>
        <v>1.3532738079925353</v>
      </c>
      <c r="BY32" s="194">
        <f t="shared" si="86"/>
        <v>0.34512451101994079</v>
      </c>
      <c r="BZ32" s="194">
        <f t="shared" ref="BZ32:CI34" si="87">BZ11/BV11-1</f>
        <v>0.46536852332890488</v>
      </c>
      <c r="CA32" s="194">
        <f t="shared" si="87"/>
        <v>-0.11559015763168023</v>
      </c>
      <c r="CB32" s="194">
        <f t="shared" si="87"/>
        <v>-0.32769486545004645</v>
      </c>
      <c r="CC32" s="194">
        <f t="shared" si="87"/>
        <v>-0.42927313673682899</v>
      </c>
      <c r="CD32" s="194">
        <f t="shared" si="87"/>
        <v>-0.32653585926928286</v>
      </c>
      <c r="CE32" s="194">
        <f t="shared" si="87"/>
        <v>-0.33399265329189032</v>
      </c>
      <c r="CF32" s="194">
        <f t="shared" si="87"/>
        <v>-0.29223337263133675</v>
      </c>
      <c r="CG32" s="194">
        <f t="shared" si="87"/>
        <v>0.13021593910206608</v>
      </c>
      <c r="CH32" s="194">
        <f t="shared" si="87"/>
        <v>0.50392814804396324</v>
      </c>
      <c r="CI32" s="194">
        <f t="shared" si="87"/>
        <v>0.6413302437909989</v>
      </c>
      <c r="CJ32" s="194">
        <f t="shared" ref="CJ32:CL34" si="88">CJ11/CF11-1</f>
        <v>0.95543186804257751</v>
      </c>
      <c r="CK32" s="194">
        <f t="shared" si="88"/>
        <v>0.36350890697162974</v>
      </c>
      <c r="CL32" s="194">
        <f t="shared" si="88"/>
        <v>4.5625192053333929E-2</v>
      </c>
      <c r="CM32" s="151"/>
      <c r="CN32" s="151"/>
      <c r="CO32" s="151"/>
      <c r="CP32" s="151"/>
      <c r="CQ32" s="151"/>
      <c r="CR32" s="151"/>
      <c r="CS32" s="151"/>
      <c r="CT32" s="151"/>
      <c r="CU32" s="151"/>
      <c r="CV32" s="151"/>
      <c r="CW32" s="151"/>
      <c r="CX32" s="151"/>
      <c r="CY32" s="151"/>
      <c r="CZ32" s="151"/>
      <c r="DA32" s="151"/>
      <c r="DB32" s="151"/>
      <c r="DE32" s="153"/>
    </row>
    <row r="33" spans="1:110" s="152" customFormat="1" x14ac:dyDescent="0.2">
      <c r="A33" s="179" t="s">
        <v>545</v>
      </c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99">
        <f t="shared" ref="R33:Z33" si="89">R12/Q12-1</f>
        <v>1.6571724495080264E-2</v>
      </c>
      <c r="S33" s="199">
        <f t="shared" si="89"/>
        <v>0.17014773306164033</v>
      </c>
      <c r="T33" s="199">
        <f t="shared" si="89"/>
        <v>0.79146713104048749</v>
      </c>
      <c r="U33" s="199">
        <f t="shared" si="89"/>
        <v>0.35025516403402213</v>
      </c>
      <c r="V33" s="199">
        <f t="shared" si="89"/>
        <v>0.61594946277198859</v>
      </c>
      <c r="W33" s="199">
        <f t="shared" si="89"/>
        <v>9.1556321269513186E-2</v>
      </c>
      <c r="X33" s="199">
        <f t="shared" si="89"/>
        <v>-0.43161531841195255</v>
      </c>
      <c r="Y33" s="199">
        <f t="shared" si="89"/>
        <v>-0.62930384518723292</v>
      </c>
      <c r="Z33" s="199">
        <f t="shared" si="89"/>
        <v>0.76527845036319597</v>
      </c>
      <c r="AA33" s="151"/>
      <c r="AB33" s="151"/>
      <c r="AC33" s="151"/>
      <c r="AD33" s="151"/>
      <c r="AE33" s="151"/>
      <c r="AI33" s="150"/>
      <c r="AJ33" s="150"/>
      <c r="AK33" s="150"/>
      <c r="AL33" s="150"/>
      <c r="AM33" s="150"/>
      <c r="AN33" s="150"/>
      <c r="AO33" s="150"/>
      <c r="AP33" s="150"/>
      <c r="AQ33" s="150"/>
      <c r="AR33" s="187"/>
      <c r="AS33" s="187"/>
      <c r="AT33" s="187"/>
      <c r="AU33" s="187"/>
      <c r="AV33" s="187"/>
      <c r="AW33" s="187"/>
      <c r="AX33" s="187"/>
      <c r="AY33" s="187"/>
      <c r="AZ33" s="187"/>
      <c r="BA33" s="187"/>
      <c r="BB33" s="187"/>
      <c r="BC33" s="187"/>
      <c r="BD33" s="187"/>
      <c r="BE33" s="187"/>
      <c r="BF33" s="187"/>
      <c r="BG33" s="187"/>
      <c r="BH33" s="187"/>
      <c r="BI33" s="187"/>
      <c r="BJ33" s="187"/>
      <c r="BK33" s="187"/>
      <c r="BL33" s="187"/>
      <c r="BM33" s="187"/>
      <c r="BN33" s="187"/>
      <c r="BO33" s="187"/>
      <c r="BP33" s="194">
        <f t="shared" si="86"/>
        <v>0.89491916859122389</v>
      </c>
      <c r="BQ33" s="194">
        <f t="shared" si="86"/>
        <v>0.42168674698795172</v>
      </c>
      <c r="BR33" s="194">
        <f t="shared" si="86"/>
        <v>0.67199571636196764</v>
      </c>
      <c r="BS33" s="194">
        <f t="shared" si="86"/>
        <v>7.2709975536830562E-2</v>
      </c>
      <c r="BT33" s="194">
        <f t="shared" si="86"/>
        <v>-0.13367591233695786</v>
      </c>
      <c r="BU33" s="194">
        <f t="shared" si="86"/>
        <v>0.19684557438794736</v>
      </c>
      <c r="BV33" s="194">
        <f t="shared" si="86"/>
        <v>0.26191783328758333</v>
      </c>
      <c r="BW33" s="194">
        <f t="shared" si="86"/>
        <v>0.25005278939144393</v>
      </c>
      <c r="BX33" s="194">
        <f t="shared" si="86"/>
        <v>-0.52430453564463142</v>
      </c>
      <c r="BY33" s="194">
        <f t="shared" si="86"/>
        <v>-0.53337791589630612</v>
      </c>
      <c r="BZ33" s="194">
        <f t="shared" si="87"/>
        <v>-0.85135772033498891</v>
      </c>
      <c r="CA33" s="194">
        <f t="shared" si="87"/>
        <v>-0.82668918918918921</v>
      </c>
      <c r="CB33" s="194">
        <f t="shared" si="87"/>
        <v>-0.23836750788643524</v>
      </c>
      <c r="CC33" s="194">
        <f t="shared" si="87"/>
        <v>-0.6217332658910808</v>
      </c>
      <c r="CD33" s="194">
        <f t="shared" si="87"/>
        <v>-0.19341463414634141</v>
      </c>
      <c r="CE33" s="194">
        <f t="shared" si="87"/>
        <v>0.69103313840155955</v>
      </c>
      <c r="CF33" s="194">
        <f t="shared" si="87"/>
        <v>7.1835361118301799E-2</v>
      </c>
      <c r="CG33" s="194">
        <f t="shared" si="87"/>
        <v>1.0135948295074662</v>
      </c>
      <c r="CH33" s="194">
        <f t="shared" si="87"/>
        <v>2.1635923798004235</v>
      </c>
      <c r="CI33" s="194">
        <f t="shared" si="87"/>
        <v>0.61613832853025929</v>
      </c>
      <c r="CJ33" s="194">
        <f t="shared" si="88"/>
        <v>0.43642072213500782</v>
      </c>
      <c r="CK33" s="194">
        <f t="shared" si="88"/>
        <v>4.914222468179319E-2</v>
      </c>
      <c r="CL33" s="194">
        <f t="shared" si="88"/>
        <v>0.4682661059070925</v>
      </c>
      <c r="CM33" s="151"/>
      <c r="CN33" s="151"/>
      <c r="CO33" s="151"/>
      <c r="CP33" s="151"/>
      <c r="CQ33" s="151"/>
      <c r="CR33" s="151"/>
      <c r="CS33" s="151"/>
      <c r="CT33" s="151"/>
      <c r="CU33" s="151"/>
      <c r="CV33" s="151"/>
      <c r="CW33" s="151"/>
      <c r="CX33" s="151"/>
      <c r="CY33" s="151"/>
      <c r="CZ33" s="151"/>
      <c r="DA33" s="151"/>
      <c r="DB33" s="151"/>
      <c r="DE33" s="153"/>
    </row>
    <row r="34" spans="1:110" s="152" customFormat="1" x14ac:dyDescent="0.2">
      <c r="A34" s="179" t="s">
        <v>546</v>
      </c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99">
        <f t="shared" ref="R34:Z34" si="90">R13/Q13-1</f>
        <v>0.41291810841983856</v>
      </c>
      <c r="S34" s="199">
        <f t="shared" si="90"/>
        <v>3.2244897959183838E-2</v>
      </c>
      <c r="T34" s="199">
        <f t="shared" si="90"/>
        <v>7.0383550810596995E-2</v>
      </c>
      <c r="U34" s="199">
        <f t="shared" si="90"/>
        <v>-0.4429257480605836</v>
      </c>
      <c r="V34" s="199">
        <f t="shared" si="90"/>
        <v>0.17188328912466844</v>
      </c>
      <c r="W34" s="199">
        <f t="shared" si="90"/>
        <v>1.4510438544890758</v>
      </c>
      <c r="X34" s="199">
        <f t="shared" si="90"/>
        <v>-0.39713512084917746</v>
      </c>
      <c r="Y34" s="199">
        <f t="shared" si="90"/>
        <v>5.0128288591889003E-2</v>
      </c>
      <c r="Z34" s="199">
        <f t="shared" si="90"/>
        <v>-0.13190139304208282</v>
      </c>
      <c r="AA34" s="151"/>
      <c r="AB34" s="151"/>
      <c r="AC34" s="151"/>
      <c r="AD34" s="151"/>
      <c r="AE34" s="151"/>
      <c r="AI34" s="150"/>
      <c r="AJ34" s="150"/>
      <c r="AK34" s="150"/>
      <c r="AL34" s="150"/>
      <c r="AM34" s="150"/>
      <c r="AN34" s="150"/>
      <c r="AO34" s="150"/>
      <c r="AP34" s="150"/>
      <c r="AQ34" s="150"/>
      <c r="AR34" s="187"/>
      <c r="AS34" s="187"/>
      <c r="AT34" s="187"/>
      <c r="AU34" s="187"/>
      <c r="AV34" s="187"/>
      <c r="AW34" s="187"/>
      <c r="AX34" s="187"/>
      <c r="AY34" s="187"/>
      <c r="AZ34" s="187"/>
      <c r="BA34" s="187"/>
      <c r="BB34" s="187"/>
      <c r="BC34" s="187"/>
      <c r="BD34" s="187"/>
      <c r="BE34" s="187"/>
      <c r="BF34" s="187"/>
      <c r="BG34" s="187"/>
      <c r="BH34" s="187"/>
      <c r="BI34" s="187"/>
      <c r="BJ34" s="187"/>
      <c r="BK34" s="187"/>
      <c r="BL34" s="187"/>
      <c r="BM34" s="187"/>
      <c r="BN34" s="187"/>
      <c r="BO34" s="187"/>
      <c r="BP34" s="194">
        <f t="shared" si="86"/>
        <v>1.4019138755980864</v>
      </c>
      <c r="BQ34" s="194">
        <f t="shared" si="86"/>
        <v>0.86109589041095913</v>
      </c>
      <c r="BR34" s="194">
        <f t="shared" si="86"/>
        <v>0.99424657534246585</v>
      </c>
      <c r="BS34" s="194">
        <f t="shared" si="86"/>
        <v>-10.414084507042254</v>
      </c>
      <c r="BT34" s="194">
        <f t="shared" si="86"/>
        <v>0.8832364534922208</v>
      </c>
      <c r="BU34" s="194">
        <f t="shared" si="86"/>
        <v>0.67098483733254821</v>
      </c>
      <c r="BV34" s="194">
        <f t="shared" si="86"/>
        <v>0.25594175024041754</v>
      </c>
      <c r="BW34" s="194">
        <f t="shared" si="86"/>
        <v>-0.13225613405146619</v>
      </c>
      <c r="BX34" s="194">
        <f t="shared" si="86"/>
        <v>-0.33434505526594716</v>
      </c>
      <c r="BY34" s="194">
        <f t="shared" si="86"/>
        <v>-0.69870495991542592</v>
      </c>
      <c r="BZ34" s="194">
        <f t="shared" si="87"/>
        <v>-0.4749507766353096</v>
      </c>
      <c r="CA34" s="194">
        <f t="shared" si="87"/>
        <v>-0.47715517241379313</v>
      </c>
      <c r="CB34" s="194">
        <f t="shared" si="87"/>
        <v>0.19100587954870507</v>
      </c>
      <c r="CC34" s="194">
        <f t="shared" si="87"/>
        <v>1.0116959064327484</v>
      </c>
      <c r="CD34" s="194">
        <f t="shared" si="87"/>
        <v>0.45458333333333312</v>
      </c>
      <c r="CE34" s="194">
        <f t="shared" si="87"/>
        <v>0.11624072547403141</v>
      </c>
      <c r="CF34" s="194">
        <f t="shared" si="87"/>
        <v>-4.8165443629086035E-2</v>
      </c>
      <c r="CG34" s="194">
        <f t="shared" si="87"/>
        <v>-0.14375000000000004</v>
      </c>
      <c r="CH34" s="194">
        <f t="shared" si="87"/>
        <v>-0.4256659982812947</v>
      </c>
      <c r="CI34" s="194">
        <f t="shared" si="87"/>
        <v>-0.44401772525849337</v>
      </c>
      <c r="CJ34" s="194">
        <f t="shared" si="88"/>
        <v>-0.4070647603027755</v>
      </c>
      <c r="CK34" s="194">
        <f t="shared" si="88"/>
        <v>-0.23714140213885593</v>
      </c>
      <c r="CL34" s="194">
        <f t="shared" si="88"/>
        <v>0.62593516209476308</v>
      </c>
      <c r="CM34" s="151"/>
      <c r="CN34" s="151"/>
      <c r="CO34" s="151"/>
      <c r="CP34" s="151"/>
      <c r="CQ34" s="151"/>
      <c r="CR34" s="151"/>
      <c r="CS34" s="151"/>
      <c r="CT34" s="151"/>
      <c r="CU34" s="151"/>
      <c r="CV34" s="151"/>
      <c r="CW34" s="151"/>
      <c r="CX34" s="151"/>
      <c r="CY34" s="151"/>
      <c r="CZ34" s="151"/>
      <c r="DA34" s="151"/>
      <c r="DB34" s="151"/>
      <c r="DE34" s="153"/>
    </row>
    <row r="35" spans="1:110" s="152" customFormat="1" x14ac:dyDescent="0.2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  <c r="AA35" s="151"/>
      <c r="AB35" s="151"/>
      <c r="AC35" s="151"/>
      <c r="AD35" s="151"/>
      <c r="AE35" s="151"/>
      <c r="AI35" s="150"/>
      <c r="AJ35" s="150"/>
      <c r="AK35" s="150"/>
      <c r="AL35" s="150"/>
      <c r="AM35" s="150"/>
      <c r="AN35" s="150"/>
      <c r="AO35" s="150"/>
      <c r="AP35" s="150"/>
      <c r="AQ35" s="150"/>
      <c r="AR35" s="150"/>
      <c r="AS35" s="150"/>
      <c r="AT35" s="150"/>
      <c r="AU35" s="150"/>
      <c r="AV35" s="150"/>
      <c r="AW35" s="150"/>
      <c r="AX35" s="150"/>
      <c r="AY35" s="150"/>
      <c r="AZ35" s="150"/>
      <c r="BA35" s="150"/>
      <c r="BB35" s="150"/>
      <c r="BC35" s="150"/>
      <c r="BD35" s="150"/>
      <c r="BE35" s="150"/>
      <c r="BF35" s="150"/>
      <c r="BG35" s="150"/>
      <c r="BH35" s="150"/>
      <c r="BI35" s="150"/>
      <c r="BJ35" s="150"/>
      <c r="BK35" s="150"/>
      <c r="BL35" s="150"/>
      <c r="BM35" s="150"/>
      <c r="BN35" s="150"/>
      <c r="BO35" s="150"/>
      <c r="BP35" s="150"/>
      <c r="BQ35" s="150"/>
      <c r="BR35" s="150"/>
      <c r="BS35" s="150"/>
      <c r="BT35" s="150"/>
      <c r="BU35" s="150"/>
      <c r="BV35" s="150"/>
      <c r="BW35" s="150"/>
      <c r="BX35" s="150"/>
      <c r="BY35" s="150"/>
      <c r="BZ35" s="150"/>
      <c r="CA35" s="150"/>
      <c r="CB35" s="150"/>
      <c r="CC35" s="150"/>
      <c r="CD35" s="150"/>
      <c r="CE35" s="150"/>
      <c r="CF35" s="150"/>
      <c r="CG35" s="150"/>
      <c r="CH35" s="150"/>
      <c r="CI35" s="150"/>
      <c r="CJ35" s="150"/>
      <c r="CK35" s="150"/>
      <c r="CL35" s="150"/>
      <c r="CM35" s="151"/>
      <c r="CN35" s="151"/>
      <c r="CO35" s="151"/>
      <c r="CP35" s="151"/>
      <c r="CQ35" s="151"/>
      <c r="CR35" s="151"/>
      <c r="CS35" s="151"/>
      <c r="CT35" s="151"/>
      <c r="CU35" s="151"/>
      <c r="CV35" s="151"/>
      <c r="CW35" s="151"/>
      <c r="CX35" s="151"/>
      <c r="CY35" s="151"/>
      <c r="CZ35" s="151"/>
      <c r="DA35" s="151"/>
      <c r="DB35" s="151"/>
      <c r="DE35" s="153"/>
    </row>
    <row r="36" spans="1:110" s="152" customFormat="1" x14ac:dyDescent="0.2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1"/>
      <c r="AB36" s="151"/>
      <c r="AC36" s="151"/>
      <c r="AD36" s="151"/>
      <c r="AE36" s="151"/>
      <c r="AI36" s="150"/>
      <c r="AJ36" s="150"/>
      <c r="AK36" s="150"/>
      <c r="AL36" s="150"/>
      <c r="AM36" s="150"/>
      <c r="AN36" s="150"/>
      <c r="AO36" s="150"/>
      <c r="AP36" s="150"/>
      <c r="AQ36" s="150"/>
      <c r="AR36" s="150"/>
      <c r="AS36" s="150"/>
      <c r="AT36" s="150"/>
      <c r="AU36" s="150"/>
      <c r="AV36" s="150"/>
      <c r="AW36" s="150"/>
      <c r="AX36" s="150"/>
      <c r="AY36" s="150"/>
      <c r="AZ36" s="150"/>
      <c r="BA36" s="150"/>
      <c r="BB36" s="150"/>
      <c r="BC36" s="150"/>
      <c r="BD36" s="150"/>
      <c r="BE36" s="150"/>
      <c r="BF36" s="150"/>
      <c r="BG36" s="150"/>
      <c r="BH36" s="150"/>
      <c r="BI36" s="150"/>
      <c r="BJ36" s="150"/>
      <c r="BK36" s="150"/>
      <c r="BL36" s="150"/>
      <c r="BM36" s="150"/>
      <c r="BN36" s="150"/>
      <c r="BO36" s="150"/>
      <c r="BP36" s="150"/>
      <c r="BQ36" s="150"/>
      <c r="BR36" s="150"/>
      <c r="BS36" s="150"/>
      <c r="BT36" s="150"/>
      <c r="BU36" s="150"/>
      <c r="BV36" s="150"/>
      <c r="BW36" s="150"/>
      <c r="BX36" s="150"/>
      <c r="BY36" s="150"/>
      <c r="BZ36" s="150"/>
      <c r="CA36" s="150"/>
      <c r="CB36" s="150"/>
      <c r="CC36" s="150"/>
      <c r="CD36" s="150"/>
      <c r="CE36" s="150"/>
      <c r="CF36" s="150"/>
      <c r="CG36" s="150"/>
      <c r="CH36" s="150"/>
      <c r="CI36" s="150"/>
      <c r="CJ36" s="150"/>
      <c r="CK36" s="150"/>
      <c r="CL36" s="150"/>
      <c r="CM36" s="151"/>
      <c r="CN36" s="151"/>
      <c r="CO36" s="151"/>
      <c r="CP36" s="151"/>
      <c r="CQ36" s="151"/>
      <c r="CR36" s="151"/>
      <c r="CS36" s="151"/>
      <c r="CT36" s="151"/>
      <c r="CU36" s="151"/>
      <c r="CV36" s="151"/>
      <c r="CW36" s="151"/>
      <c r="CX36" s="151"/>
      <c r="CY36" s="151"/>
      <c r="CZ36" s="151"/>
      <c r="DA36" s="151"/>
      <c r="DB36" s="151"/>
      <c r="DE36" s="153"/>
    </row>
    <row r="37" spans="1:110" s="106" customFormat="1" x14ac:dyDescent="0.2">
      <c r="A37" s="145" t="s">
        <v>500</v>
      </c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5"/>
      <c r="AB37" s="105"/>
      <c r="AC37" s="105"/>
      <c r="AD37" s="105"/>
      <c r="AE37" s="105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104"/>
      <c r="BX37" s="104"/>
      <c r="BY37" s="104"/>
      <c r="BZ37" s="104"/>
      <c r="CA37" s="104"/>
      <c r="CB37" s="104"/>
      <c r="CC37" s="104"/>
      <c r="CD37" s="104"/>
      <c r="CE37" s="104"/>
      <c r="CF37" s="104"/>
      <c r="CG37" s="104"/>
      <c r="CH37" s="104"/>
      <c r="CI37" s="104"/>
      <c r="CJ37" s="104"/>
      <c r="CK37" s="104"/>
      <c r="CL37" s="104"/>
      <c r="CM37" s="105"/>
      <c r="CN37" s="105"/>
      <c r="CO37" s="105"/>
      <c r="CP37" s="105"/>
      <c r="CQ37" s="105"/>
      <c r="CR37" s="105"/>
      <c r="CS37" s="105"/>
      <c r="CT37" s="105"/>
      <c r="CU37" s="105"/>
      <c r="CV37" s="105"/>
      <c r="CW37" s="105"/>
      <c r="CX37" s="105"/>
      <c r="CY37" s="105"/>
      <c r="CZ37" s="105"/>
      <c r="DA37" s="105"/>
      <c r="DB37" s="105"/>
      <c r="DE37" s="117"/>
    </row>
    <row r="38" spans="1:110" s="106" customFormat="1" x14ac:dyDescent="0.2">
      <c r="A38" s="145" t="s">
        <v>485</v>
      </c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05"/>
      <c r="AC38" s="105"/>
      <c r="AD38" s="105"/>
      <c r="AE38" s="105"/>
      <c r="AI38" s="117"/>
      <c r="AJ38" s="117"/>
      <c r="AK38" s="117"/>
      <c r="AL38" s="117"/>
      <c r="AM38" s="117"/>
      <c r="AN38" s="117"/>
      <c r="AO38" s="117"/>
      <c r="AP38" s="117"/>
      <c r="AQ38" s="117"/>
      <c r="AR38" s="117"/>
      <c r="AS38" s="117"/>
      <c r="AT38" s="117"/>
      <c r="AU38" s="117"/>
      <c r="AV38" s="117"/>
      <c r="AW38" s="117"/>
      <c r="AX38" s="117"/>
      <c r="AY38" s="117"/>
      <c r="AZ38" s="117"/>
      <c r="BA38" s="117"/>
      <c r="BB38" s="117"/>
      <c r="BC38" s="117"/>
      <c r="BD38" s="117"/>
      <c r="BE38" s="117"/>
      <c r="BF38" s="117"/>
      <c r="BG38" s="117"/>
      <c r="BH38" s="117"/>
      <c r="BI38" s="117"/>
      <c r="BJ38" s="117"/>
      <c r="BK38" s="117"/>
      <c r="BL38" s="117"/>
      <c r="BM38" s="117"/>
      <c r="BN38" s="117"/>
      <c r="BO38" s="117"/>
      <c r="BP38" s="117"/>
      <c r="BQ38" s="117"/>
      <c r="BR38" s="117"/>
      <c r="BS38" s="117"/>
      <c r="BT38" s="117"/>
      <c r="BU38" s="117"/>
      <c r="BV38" s="117"/>
      <c r="BW38" s="117"/>
      <c r="BX38" s="117"/>
      <c r="BY38" s="117"/>
      <c r="BZ38" s="117"/>
      <c r="CA38" s="117"/>
      <c r="CB38" s="117"/>
      <c r="CC38" s="117"/>
      <c r="CD38" s="117"/>
      <c r="CE38" s="117"/>
      <c r="CF38" s="117"/>
      <c r="CG38" s="117"/>
      <c r="CH38" s="117"/>
      <c r="CI38" s="117"/>
      <c r="CJ38" s="154"/>
      <c r="CK38" s="154"/>
      <c r="CL38" s="154"/>
      <c r="CM38" s="105"/>
      <c r="CN38" s="105"/>
      <c r="CO38" s="105"/>
      <c r="CP38" s="105"/>
      <c r="CQ38" s="105"/>
      <c r="CR38" s="105"/>
      <c r="CS38" s="105"/>
      <c r="CT38" s="105"/>
      <c r="CU38" s="105"/>
      <c r="CV38" s="105"/>
      <c r="CW38" s="105"/>
      <c r="CX38" s="105"/>
      <c r="CY38" s="105"/>
      <c r="CZ38" s="105"/>
      <c r="DA38" s="105"/>
      <c r="DB38" s="105"/>
      <c r="DE38" s="117"/>
    </row>
    <row r="39" spans="1:110" s="25" customFormat="1" outlineLevel="1" x14ac:dyDescent="0.2">
      <c r="A39" s="25" t="s">
        <v>430</v>
      </c>
      <c r="B39" s="25">
        <f>'Annual Raw'!C6</f>
        <v>815.95240000000001</v>
      </c>
      <c r="C39" s="25">
        <f>'Annual Raw'!D6</f>
        <v>971.02829999999994</v>
      </c>
      <c r="D39" s="25">
        <f>'Annual Raw'!E6</f>
        <v>1121.5823</v>
      </c>
      <c r="E39" s="25">
        <f>'Annual Raw'!F6</f>
        <v>1021.1653</v>
      </c>
      <c r="F39" s="25">
        <f>'Annual Raw'!G6</f>
        <v>1249.6859999999999</v>
      </c>
      <c r="G39" s="25">
        <f>'Annual Raw'!H6</f>
        <v>1513.7455</v>
      </c>
      <c r="H39" s="25">
        <f>'Annual Raw'!I6</f>
        <v>2047.4395</v>
      </c>
      <c r="I39" s="25">
        <f>'Annual Raw'!J6</f>
        <v>1853.2281</v>
      </c>
      <c r="J39" s="25">
        <f>'Annual Raw'!K6</f>
        <v>2180.8802000000001</v>
      </c>
      <c r="K39" s="25">
        <f>'Annual Raw'!L6</f>
        <v>2661.9231</v>
      </c>
      <c r="L39" s="25">
        <f>'Annual Raw'!M6</f>
        <v>3754.8382999999999</v>
      </c>
      <c r="M39" s="25">
        <f>'Annual Raw'!N6</f>
        <v>4261.4804999999997</v>
      </c>
      <c r="N39" s="25">
        <f>'Annual Raw'!O6</f>
        <v>4065.7584000000002</v>
      </c>
      <c r="O39" s="25">
        <f>'Annual Raw'!P6</f>
        <v>4319.8558999999996</v>
      </c>
      <c r="P39" s="25">
        <f>'Annual Raw'!Q6</f>
        <v>4866.58</v>
      </c>
      <c r="Q39" s="25">
        <f>'Annual Raw'!R6</f>
        <v>4898.2700000000004</v>
      </c>
      <c r="R39" s="25">
        <f>'Annual Raw'!S6</f>
        <v>5136.59</v>
      </c>
      <c r="S39" s="25">
        <f>'Annual Raw'!T6</f>
        <v>5791.15</v>
      </c>
      <c r="T39" s="25">
        <f>'Annual Raw'!U6</f>
        <v>6969.72</v>
      </c>
      <c r="U39" s="25">
        <f>'Annual Raw'!V6</f>
        <v>7309.88</v>
      </c>
      <c r="V39" s="25">
        <f>'Annual Raw'!W6</f>
        <v>8543.34</v>
      </c>
      <c r="W39" s="25">
        <f>'Annual Raw'!X6</f>
        <v>12542.01</v>
      </c>
      <c r="X39" s="25">
        <f>'Annual Raw'!Y6</f>
        <v>15072.56</v>
      </c>
      <c r="Y39" s="25">
        <f>'Annual Raw'!Z6</f>
        <v>13431.32</v>
      </c>
      <c r="Z39" s="25">
        <f>'Annual Raw'!AA6</f>
        <v>14931.71</v>
      </c>
      <c r="AA39" s="25">
        <f>'Annual Raw'!AB6</f>
        <v>16079.36</v>
      </c>
      <c r="AB39" s="17">
        <f>+SUM(CM39:CP39)</f>
        <v>18170.077911743207</v>
      </c>
      <c r="AC39" s="17">
        <f>+SUM(CQ39:CT39)</f>
        <v>21171.341530552818</v>
      </c>
      <c r="AD39" s="17">
        <f>+SUM(CU39:CX39)</f>
        <v>24702.894853632497</v>
      </c>
      <c r="AE39" s="17">
        <f>+SUM(CY39:DB39)</f>
        <v>28831.509537231992</v>
      </c>
      <c r="AI39" s="25">
        <f>'QTR Raw'!C6+'QTR Raw'!C8</f>
        <v>811.77</v>
      </c>
      <c r="AJ39" s="25">
        <f>'QTR Raw'!D6+'QTR Raw'!D8</f>
        <v>803.74</v>
      </c>
      <c r="AK39" s="25">
        <f>'QTR Raw'!E6+'QTR Raw'!E8</f>
        <v>888.89</v>
      </c>
      <c r="AL39" s="25">
        <f>'QTR Raw'!F6+'QTR Raw'!F8</f>
        <v>818.15</v>
      </c>
      <c r="AM39" s="25">
        <f>'QTR Raw'!G6+'QTR Raw'!G8</f>
        <v>824.91</v>
      </c>
      <c r="AN39" s="25">
        <f>'QTR Raw'!H6+'QTR Raw'!H8</f>
        <v>843.8900000000001</v>
      </c>
      <c r="AO39" s="25">
        <f>'QTR Raw'!I6+'QTR Raw'!I8</f>
        <v>861.57</v>
      </c>
      <c r="AP39" s="25">
        <f>'QTR Raw'!J6+'QTR Raw'!J8</f>
        <v>886.78</v>
      </c>
      <c r="AQ39" s="25">
        <f>'QTR Raw'!K6+'QTR Raw'!K8</f>
        <v>1155.8700000000001</v>
      </c>
      <c r="AR39" s="25">
        <f>'QTR Raw'!L6+'QTR Raw'!L8</f>
        <v>1189.47</v>
      </c>
      <c r="AS39" s="25">
        <f>'QTR Raw'!M6+'QTR Raw'!M8</f>
        <v>1113.1499999999999</v>
      </c>
      <c r="AT39" s="25">
        <f>'QTR Raw'!N6+'QTR Raw'!N8</f>
        <v>1081.3599999999999</v>
      </c>
      <c r="AU39" s="25">
        <f>'QTR Raw'!O6+'QTR Raw'!O8</f>
        <v>1221.3700000000001</v>
      </c>
      <c r="AV39" s="25">
        <f>'QTR Raw'!P6+'QTR Raw'!P8</f>
        <v>1241.71</v>
      </c>
      <c r="AW39" s="25">
        <f>'QTR Raw'!Q6+'QTR Raw'!Q8</f>
        <v>1165.21</v>
      </c>
      <c r="AX39" s="25">
        <f>'QTR Raw'!R6+'QTR Raw'!R8</f>
        <v>1183.3400000000001</v>
      </c>
      <c r="AY39" s="25">
        <f>'QTR Raw'!S6+'QTR Raw'!S8</f>
        <v>1299.3500000000001</v>
      </c>
      <c r="AZ39" s="25">
        <f>'QTR Raw'!T6+'QTR Raw'!T8</f>
        <v>1215.3500000000001</v>
      </c>
      <c r="BA39" s="25">
        <f>'QTR Raw'!U6+'QTR Raw'!U8</f>
        <v>1205.45</v>
      </c>
      <c r="BB39" s="25">
        <f>'QTR Raw'!V6+'QTR Raw'!V8</f>
        <v>1416.44</v>
      </c>
      <c r="BC39" s="25">
        <f>'QTR Raw'!W6+'QTR Raw'!W8</f>
        <v>1389.11</v>
      </c>
      <c r="BD39" s="25">
        <f>'QTR Raw'!X6+'QTR Raw'!X8</f>
        <v>1286.43</v>
      </c>
      <c r="BE39" s="25">
        <f>'QTR Raw'!Y6+'QTR Raw'!Y8</f>
        <v>1397.06</v>
      </c>
      <c r="BF39" s="25">
        <f>'QTR Raw'!Z6+'QTR Raw'!Z8</f>
        <v>1612.27</v>
      </c>
      <c r="BG39" s="25">
        <f>'QTR Raw'!AA6+'QTR Raw'!AA8</f>
        <v>1676.23</v>
      </c>
      <c r="BH39" s="25">
        <f>'QTR Raw'!AB6+'QTR Raw'!AB8</f>
        <v>1754.95</v>
      </c>
      <c r="BI39" s="25">
        <f>'QTR Raw'!AC6+'QTR Raw'!AC8</f>
        <v>1808.78</v>
      </c>
      <c r="BJ39" s="25">
        <f>'QTR Raw'!AD6+'QTR Raw'!AD8</f>
        <v>1936.97</v>
      </c>
      <c r="BK39" s="25">
        <f>'QTR Raw'!AE6+'QTR Raw'!AE8</f>
        <v>1763.29</v>
      </c>
      <c r="BL39" s="25">
        <f>'QTR Raw'!AF6+'QTR Raw'!AF8</f>
        <v>1737.8000000000002</v>
      </c>
      <c r="BM39" s="25">
        <f>'QTR Raw'!AG6+'QTR Raw'!AG8</f>
        <v>1850.49</v>
      </c>
      <c r="BN39" s="25">
        <f>'QTR Raw'!AH6+'QTR Raw'!AH8</f>
        <v>1857.83</v>
      </c>
      <c r="BO39" s="25">
        <f>'QTR Raw'!AI6+'QTR Raw'!AI8</f>
        <v>1545.1499999999999</v>
      </c>
      <c r="BP39" s="25">
        <f>'QTR Raw'!AJ6+'QTR Raw'!AJ8</f>
        <v>2100.83</v>
      </c>
      <c r="BQ39" s="25">
        <f>'QTR Raw'!AK6+'QTR Raw'!AK8</f>
        <v>2146.41</v>
      </c>
      <c r="BR39" s="25">
        <f>'QTR Raw'!AL6+'QTR Raw'!AL8</f>
        <v>2607.65</v>
      </c>
      <c r="BS39" s="25">
        <f>'QTR Raw'!AM6+'QTR Raw'!AM8</f>
        <v>2699.4</v>
      </c>
      <c r="BT39" s="25">
        <f>'QTR Raw'!AN6+'QTR Raw'!AN8</f>
        <v>2838.9700000000003</v>
      </c>
      <c r="BU39" s="25">
        <f>'QTR Raw'!AO6+'QTR Raw'!AO8</f>
        <v>3345.87</v>
      </c>
      <c r="BV39" s="25">
        <f>'QTR Raw'!AP6+'QTR Raw'!AP8</f>
        <v>3549.42</v>
      </c>
      <c r="BW39" s="25">
        <f>'QTR Raw'!AQ6+'QTR Raw'!AQ8</f>
        <v>3894.72</v>
      </c>
      <c r="BX39" s="25">
        <f>'QTR Raw'!AR6+'QTR Raw'!AR8</f>
        <v>3727.78</v>
      </c>
      <c r="BY39" s="25">
        <f>'QTR Raw'!AS6+'QTR Raw'!AS8</f>
        <v>3469.66</v>
      </c>
      <c r="BZ39" s="25">
        <f>'QTR Raw'!AT6+'QTR Raw'!AT8</f>
        <v>3778.09</v>
      </c>
      <c r="CA39" s="25">
        <f>'QTR Raw'!AU6+'QTR Raw'!AU8</f>
        <v>3338.3799999999997</v>
      </c>
      <c r="CB39" s="25">
        <f>'QTR Raw'!AV6+'QTR Raw'!AV8</f>
        <v>3177.3599999999997</v>
      </c>
      <c r="CC39" s="25">
        <f>'QTR Raw'!AW6+'QTR Raw'!AW8</f>
        <v>3053.0400000000004</v>
      </c>
      <c r="CD39" s="25">
        <f>'QTR Raw'!AX6+'QTR Raw'!AX8</f>
        <v>3569.7400000000002</v>
      </c>
      <c r="CE39" s="25">
        <f>'QTR Raw'!AY6+'QTR Raw'!AY8</f>
        <v>3464.12</v>
      </c>
      <c r="CF39" s="25">
        <f>'QTR Raw'!AZ6+'QTR Raw'!AZ8</f>
        <v>3424.2999999999997</v>
      </c>
      <c r="CG39" s="25">
        <f>'QTR Raw'!BA6+'QTR Raw'!BA8</f>
        <v>3491.31</v>
      </c>
      <c r="CH39" s="25">
        <f>'QTR Raw'!BB6+'QTR Raw'!BB8</f>
        <v>4313.34</v>
      </c>
      <c r="CI39" s="25">
        <f>'QTR Raw'!BC6+'QTR Raw'!BC8</f>
        <v>3818.62</v>
      </c>
      <c r="CJ39" s="25">
        <f>'QTR Raw'!BD6+'QTR Raw'!BD8</f>
        <v>3640.19</v>
      </c>
      <c r="CK39" s="25">
        <f>'QTR Raw'!BE6+'QTR Raw'!BE8</f>
        <v>3712.53</v>
      </c>
      <c r="CL39" s="25">
        <f>'QTR Raw'!BF6+'QTR Raw'!BF8</f>
        <v>4615.17</v>
      </c>
      <c r="CM39" s="17">
        <f t="shared" ref="CM39:DB39" si="91">+CI41+(CM42*CI41)</f>
        <v>4304.800605450193</v>
      </c>
      <c r="CN39" s="17">
        <f t="shared" si="91"/>
        <v>4100.7488192449109</v>
      </c>
      <c r="CO39" s="17">
        <f t="shared" si="91"/>
        <v>4295.965916086906</v>
      </c>
      <c r="CP39" s="17">
        <f t="shared" si="91"/>
        <v>5468.562570961195</v>
      </c>
      <c r="CQ39" s="17">
        <f t="shared" si="91"/>
        <v>4977.8379904444555</v>
      </c>
      <c r="CR39" s="17">
        <f t="shared" si="91"/>
        <v>4770.4517186040312</v>
      </c>
      <c r="CS39" s="17">
        <f t="shared" si="91"/>
        <v>5025.627619726527</v>
      </c>
      <c r="CT39" s="17">
        <f t="shared" si="91"/>
        <v>6397.4242017778024</v>
      </c>
      <c r="CU39" s="17">
        <f t="shared" si="91"/>
        <v>5798.3860941774319</v>
      </c>
      <c r="CV39" s="17">
        <f t="shared" si="91"/>
        <v>5566.9448475705622</v>
      </c>
      <c r="CW39" s="17">
        <f t="shared" si="91"/>
        <v>5869.313723240939</v>
      </c>
      <c r="CX39" s="17">
        <f t="shared" si="91"/>
        <v>7468.2501886435657</v>
      </c>
      <c r="CY39" s="17">
        <f t="shared" si="91"/>
        <v>6765.3609537331613</v>
      </c>
      <c r="CZ39" s="17">
        <f t="shared" si="91"/>
        <v>6498.0035406063862</v>
      </c>
      <c r="DA39" s="17">
        <f t="shared" si="91"/>
        <v>6851.3593630930473</v>
      </c>
      <c r="DB39" s="17">
        <f t="shared" si="91"/>
        <v>8716.7856797993973</v>
      </c>
      <c r="DE39" s="17">
        <v>4747.8367962375723</v>
      </c>
      <c r="DF39" s="25">
        <v>0</v>
      </c>
    </row>
    <row r="40" spans="1:110" s="92" customFormat="1" outlineLevel="1" x14ac:dyDescent="0.2">
      <c r="A40" s="92" t="s">
        <v>109</v>
      </c>
      <c r="B40" s="92">
        <f>'Annual Raw'!C7+'Annual Raw'!C8+'Annual Raw'!C9</f>
        <v>123.0879</v>
      </c>
      <c r="C40" s="92">
        <f>'Annual Raw'!D7+'Annual Raw'!D8+'Annual Raw'!D9</f>
        <v>266.10579999999999</v>
      </c>
      <c r="D40" s="92">
        <f>'Annual Raw'!E7+'Annual Raw'!E8+'Annual Raw'!E9</f>
        <v>317.27379999999999</v>
      </c>
      <c r="E40" s="92">
        <f>'Annual Raw'!F7+'Annual Raw'!F8+'Annual Raw'!F9</f>
        <v>115.0732</v>
      </c>
      <c r="F40" s="92">
        <f>'Annual Raw'!G7+'Annual Raw'!G8+'Annual Raw'!G9</f>
        <v>103.29559999999999</v>
      </c>
      <c r="G40" s="92">
        <f>'Annual Raw'!H7+'Annual Raw'!H8+'Annual Raw'!H9</f>
        <v>141.0401</v>
      </c>
      <c r="H40" s="92">
        <f>'Annual Raw'!I7+'Annual Raw'!I8+'Annual Raw'!I9</f>
        <v>160.9247</v>
      </c>
      <c r="I40" s="92">
        <f>'Annual Raw'!J7+'Annual Raw'!J8+'Annual Raw'!J9</f>
        <v>169.7004</v>
      </c>
      <c r="J40" s="92">
        <f>'Annual Raw'!K7+'Annual Raw'!K8+'Annual Raw'!K9</f>
        <v>157.87479999999999</v>
      </c>
      <c r="K40" s="92">
        <f>'Annual Raw'!L7+'Annual Raw'!L8+'Annual Raw'!L9</f>
        <v>163.2448</v>
      </c>
      <c r="L40" s="92">
        <f>'Annual Raw'!M7+'Annual Raw'!M8+'Annual Raw'!M9</f>
        <v>281.29640000000001</v>
      </c>
      <c r="M40" s="92">
        <f>'Annual Raw'!N7+'Annual Raw'!N8+'Annual Raw'!N9</f>
        <v>260.47699999999998</v>
      </c>
      <c r="N40" s="92">
        <f>'Annual Raw'!O7+'Annual Raw'!O8+'Annual Raw'!O9</f>
        <v>282.81330000000003</v>
      </c>
      <c r="O40" s="92">
        <f>'Annual Raw'!P7+'Annual Raw'!P8+'Annual Raw'!P9</f>
        <v>301.79559999999998</v>
      </c>
      <c r="P40" s="92">
        <f>'Annual Raw'!Q7+'Annual Raw'!Q8+'Annual Raw'!Q9</f>
        <v>326.73</v>
      </c>
      <c r="Q40" s="92">
        <f>'Annual Raw'!R7+'Annual Raw'!R8+'Annual Raw'!R9</f>
        <v>305.55</v>
      </c>
      <c r="R40" s="92">
        <f>'Annual Raw'!S7+'Annual Raw'!S8+'Annual Raw'!S9</f>
        <v>314.79000000000002</v>
      </c>
      <c r="S40" s="92">
        <f>'Annual Raw'!T7+'Annual Raw'!T8+'Annual Raw'!T9</f>
        <v>202.11</v>
      </c>
      <c r="T40" s="92">
        <f>'Annual Raw'!U7+'Annual Raw'!U8+'Annual Raw'!U9</f>
        <v>-129.87</v>
      </c>
      <c r="U40" s="92">
        <f>'Annual Raw'!V7+'Annual Raw'!V8+'Annual Raw'!V9</f>
        <v>100.47</v>
      </c>
      <c r="V40" s="92">
        <f>'Annual Raw'!W7+'Annual Raw'!W8+'Annual Raw'!W9</f>
        <v>143.30000000000001</v>
      </c>
      <c r="W40" s="92">
        <f>'Annual Raw'!X7+'Annual Raw'!X8+'Annual Raw'!X9</f>
        <v>108.35</v>
      </c>
      <c r="X40" s="92">
        <f>'Annual Raw'!Y7+'Annual Raw'!Y8+'Annual Raw'!Y9</f>
        <v>202.31</v>
      </c>
      <c r="Y40" s="92">
        <f>'Annual Raw'!Z7+'Annual Raw'!Z8+'Annual Raw'!Z9</f>
        <v>292.8</v>
      </c>
      <c r="Z40" s="92">
        <f>'Annual Raw'!AA7+'Annual Raw'!AA8+'Annual Raw'!AA9</f>
        <v>238.64</v>
      </c>
      <c r="AA40" s="92">
        <f>'Annual Raw'!AB7+'Annual Raw'!AB8+'Annual Raw'!AB9</f>
        <v>292.85000000000002</v>
      </c>
      <c r="AB40" s="76">
        <f>+SUM(CM40:CP40)</f>
        <v>0</v>
      </c>
      <c r="AC40" s="76">
        <f>+SUM(CQ40:CT40)</f>
        <v>0</v>
      </c>
      <c r="AD40" s="76">
        <f>+SUM(CU40:CX40)</f>
        <v>0</v>
      </c>
      <c r="AE40" s="76">
        <f>+SUM(CY40:DB40)</f>
        <v>0</v>
      </c>
      <c r="AI40" s="92">
        <f>+'QTR Raw'!C20+'QTR Raw'!C19+'QTR Raw'!C13+'QTR Raw'!C7</f>
        <v>45.72</v>
      </c>
      <c r="AJ40" s="92">
        <f>+'QTR Raw'!D20+'QTR Raw'!D19+'QTR Raw'!D13+'QTR Raw'!D7</f>
        <v>0</v>
      </c>
      <c r="AK40" s="92">
        <f>+'QTR Raw'!E20+'QTR Raw'!E19+'QTR Raw'!E13+'QTR Raw'!E7</f>
        <v>20.309999999999999</v>
      </c>
      <c r="AL40" s="92">
        <f>+'QTR Raw'!F20+'QTR Raw'!F19+'QTR Raw'!F13+'QTR Raw'!F7</f>
        <v>0</v>
      </c>
      <c r="AM40" s="92">
        <f>+'QTR Raw'!G20+'QTR Raw'!G19+'QTR Raw'!G13+'QTR Raw'!G7</f>
        <v>16.38</v>
      </c>
      <c r="AN40" s="92">
        <f>+'QTR Raw'!H20+'QTR Raw'!H19+'QTR Raw'!H13+'QTR Raw'!H7</f>
        <v>6.54</v>
      </c>
      <c r="AO40" s="92">
        <f>+'QTR Raw'!I20+'QTR Raw'!I19+'QTR Raw'!I13+'QTR Raw'!I7</f>
        <v>0</v>
      </c>
      <c r="AP40" s="92">
        <f>+'QTR Raw'!J20+'QTR Raw'!J19+'QTR Raw'!J13+'QTR Raw'!J7</f>
        <v>0</v>
      </c>
      <c r="AQ40" s="92">
        <f>+'QTR Raw'!K20+'QTR Raw'!K19+'QTR Raw'!K13+'QTR Raw'!K7</f>
        <v>0.22</v>
      </c>
      <c r="AR40" s="92">
        <f>+'QTR Raw'!L20+'QTR Raw'!L19+'QTR Raw'!L13+'QTR Raw'!L7</f>
        <v>5.64</v>
      </c>
      <c r="AS40" s="92">
        <f>+'QTR Raw'!M20+'QTR Raw'!M19+'QTR Raw'!M13+'QTR Raw'!M7</f>
        <v>6.74</v>
      </c>
      <c r="AT40" s="92">
        <f>+'QTR Raw'!N20+'QTR Raw'!N19+'QTR Raw'!N13+'QTR Raw'!N7</f>
        <v>0</v>
      </c>
      <c r="AU40" s="92">
        <f>+'QTR Raw'!O20+'QTR Raw'!O19+'QTR Raw'!O13+'QTR Raw'!O7</f>
        <v>0</v>
      </c>
      <c r="AV40" s="92">
        <f>+'QTR Raw'!P20+'QTR Raw'!P19+'QTR Raw'!P13+'QTR Raw'!P7</f>
        <v>89.18</v>
      </c>
      <c r="AW40" s="92">
        <f>+'QTR Raw'!Q20+'QTR Raw'!Q19+'QTR Raw'!Q13+'QTR Raw'!Q7</f>
        <v>76.100000000000009</v>
      </c>
      <c r="AX40" s="92">
        <f>+'QTR Raw'!R20+'QTR Raw'!R19+'QTR Raw'!R13+'QTR Raw'!R7</f>
        <v>70.38</v>
      </c>
      <c r="AY40" s="92">
        <f>+'QTR Raw'!S20+'QTR Raw'!S19+'QTR Raw'!S13+'QTR Raw'!S7</f>
        <v>80.14</v>
      </c>
      <c r="AZ40" s="92">
        <f>+'QTR Raw'!T20+'QTR Raw'!T19+'QTR Raw'!T13+'QTR Raw'!T7</f>
        <v>71.55</v>
      </c>
      <c r="BA40" s="92">
        <f>+'QTR Raw'!U20+'QTR Raw'!U19+'QTR Raw'!U13+'QTR Raw'!U7</f>
        <v>76.92</v>
      </c>
      <c r="BB40" s="92">
        <f>+'QTR Raw'!V20+'QTR Raw'!V19+'QTR Raw'!V13+'QTR Raw'!V7</f>
        <v>90.63</v>
      </c>
      <c r="BC40" s="92">
        <f>+'QTR Raw'!W20+'QTR Raw'!W19+'QTR Raw'!W13+'QTR Raw'!W7</f>
        <v>95.83</v>
      </c>
      <c r="BD40" s="92">
        <f>+'QTR Raw'!X20+'QTR Raw'!X19+'QTR Raw'!X13+'QTR Raw'!X7</f>
        <v>0</v>
      </c>
      <c r="BE40" s="92">
        <f>+'QTR Raw'!Y20+'QTR Raw'!Y19+'QTR Raw'!Y13+'QTR Raw'!Y7</f>
        <v>0</v>
      </c>
      <c r="BF40" s="92">
        <f>+'QTR Raw'!Z20+'QTR Raw'!Z19+'QTR Raw'!Z13+'QTR Raw'!Z7</f>
        <v>0</v>
      </c>
      <c r="BG40" s="92">
        <f>+'QTR Raw'!AA20+'QTR Raw'!AA19+'QTR Raw'!AA13+'QTR Raw'!AA7</f>
        <v>14.36</v>
      </c>
      <c r="BH40" s="92">
        <f>+'QTR Raw'!AB20+'QTR Raw'!AB19+'QTR Raw'!AB13+'QTR Raw'!AB7</f>
        <v>17.23</v>
      </c>
      <c r="BI40" s="92">
        <f>+'QTR Raw'!AC20+'QTR Raw'!AC19+'QTR Raw'!AC13+'QTR Raw'!AC7</f>
        <v>0</v>
      </c>
      <c r="BJ40" s="92">
        <f>+'QTR Raw'!AD20+'QTR Raw'!AD19+'QTR Raw'!AD13+'QTR Raw'!AD7</f>
        <v>1.64</v>
      </c>
      <c r="BK40" s="92">
        <f>+'QTR Raw'!AE20+'QTR Raw'!AE19+'QTR Raw'!AE13+'QTR Raw'!AE7</f>
        <v>0</v>
      </c>
      <c r="BL40" s="92">
        <f>+'QTR Raw'!AF20+'QTR Raw'!AF19+'QTR Raw'!AF13+'QTR Raw'!AF7</f>
        <v>4.21</v>
      </c>
      <c r="BM40" s="92">
        <f>+'QTR Raw'!AG20+'QTR Raw'!AG19+'QTR Raw'!AG13+'QTR Raw'!AG7</f>
        <v>0</v>
      </c>
      <c r="BN40" s="92">
        <f>+'QTR Raw'!AH20+'QTR Raw'!AH19+'QTR Raw'!AH13+'QTR Raw'!AH7</f>
        <v>27.08</v>
      </c>
      <c r="BO40" s="92">
        <f>+'QTR Raw'!AI20+'QTR Raw'!AI19+'QTR Raw'!AI13+'QTR Raw'!AI7</f>
        <v>9.09</v>
      </c>
      <c r="BP40" s="92">
        <f>+'QTR Raw'!AJ20+'QTR Raw'!AJ19+'QTR Raw'!AJ13+'QTR Raw'!AJ7</f>
        <v>9.59</v>
      </c>
      <c r="BQ40" s="92">
        <f>+'QTR Raw'!AK20+'QTR Raw'!AK19+'QTR Raw'!AK13+'QTR Raw'!AK7</f>
        <v>0</v>
      </c>
      <c r="BR40" s="92">
        <f>+'QTR Raw'!AL20+'QTR Raw'!AL19+'QTR Raw'!AL13+'QTR Raw'!AL7</f>
        <v>0</v>
      </c>
      <c r="BS40" s="92">
        <f>+'QTR Raw'!AM20+'QTR Raw'!AM19+'QTR Raw'!AM13+'QTR Raw'!AM7</f>
        <v>0</v>
      </c>
      <c r="BT40" s="92">
        <f>+'QTR Raw'!AN20+'QTR Raw'!AN19+'QTR Raw'!AN13+'QTR Raw'!AN7</f>
        <v>0</v>
      </c>
      <c r="BU40" s="92">
        <f>+'QTR Raw'!AO20+'QTR Raw'!AO19+'QTR Raw'!AO13+'QTR Raw'!AO7</f>
        <v>0</v>
      </c>
      <c r="BV40" s="92">
        <f>+'QTR Raw'!AP20+'QTR Raw'!AP19+'QTR Raw'!AP13+'QTR Raw'!AP7</f>
        <v>0</v>
      </c>
      <c r="BW40" s="92">
        <f>+'QTR Raw'!AQ20+'QTR Raw'!AQ19+'QTR Raw'!AQ13+'QTR Raw'!AQ7</f>
        <v>24.87</v>
      </c>
      <c r="BX40" s="92">
        <f>+'QTR Raw'!AR20+'QTR Raw'!AR19+'QTR Raw'!AR13+'QTR Raw'!AR7</f>
        <v>36.08</v>
      </c>
      <c r="BY40" s="92">
        <f>+'QTR Raw'!AS20+'QTR Raw'!AS19+'QTR Raw'!AS13+'QTR Raw'!AS7</f>
        <v>15.04</v>
      </c>
      <c r="BZ40" s="92">
        <f>+'QTR Raw'!AT20+'QTR Raw'!AT19+'QTR Raw'!AT13+'QTR Raw'!AT7</f>
        <v>28.01</v>
      </c>
      <c r="CA40" s="92">
        <f>+'QTR Raw'!AU20+'QTR Raw'!AU19+'QTR Raw'!AU13+'QTR Raw'!AU7</f>
        <v>23.73</v>
      </c>
      <c r="CB40" s="92">
        <f>+'QTR Raw'!AV20+'QTR Raw'!AV19+'QTR Raw'!AV13+'QTR Raw'!AV7</f>
        <v>19.11</v>
      </c>
      <c r="CC40" s="92">
        <f>+'QTR Raw'!AW20+'QTR Raw'!AW19+'QTR Raw'!AW13+'QTR Raw'!AW7</f>
        <v>18.079999999999998</v>
      </c>
      <c r="CD40" s="92">
        <f>+'QTR Raw'!AX20+'QTR Raw'!AX19+'QTR Raw'!AX13+'QTR Raw'!AX7</f>
        <v>15.79</v>
      </c>
      <c r="CE40" s="92">
        <f>+'QTR Raw'!AY20+'QTR Raw'!AY19+'QTR Raw'!AY13+'QTR Raw'!AY7</f>
        <v>17.239999999999998</v>
      </c>
      <c r="CF40" s="92">
        <f>+'QTR Raw'!AZ20+'QTR Raw'!AZ19+'QTR Raw'!AZ13+'QTR Raw'!AZ7</f>
        <v>22.59</v>
      </c>
      <c r="CG40" s="92">
        <f>+'QTR Raw'!BA20+'QTR Raw'!BA19+'QTR Raw'!BA13+'QTR Raw'!BA7</f>
        <v>34.22</v>
      </c>
      <c r="CH40" s="92">
        <f>+'QTR Raw'!BB20+'QTR Raw'!BB19+'QTR Raw'!BB13+'QTR Raw'!BB7</f>
        <v>45.12</v>
      </c>
      <c r="CI40" s="92">
        <f>+'QTR Raw'!BC20+'QTR Raw'!BC19+'QTR Raw'!BC13+'QTR Raw'!BC7</f>
        <v>0</v>
      </c>
      <c r="CJ40" s="92">
        <f>+'QTR Raw'!BD20+'QTR Raw'!BD19+'QTR Raw'!BD13+'QTR Raw'!BD7</f>
        <v>30.63</v>
      </c>
      <c r="CK40" s="92">
        <f>+'QTR Raw'!BE20+'QTR Raw'!BE19+'QTR Raw'!BE13+'QTR Raw'!BE7</f>
        <v>40.200000000000003</v>
      </c>
      <c r="CL40" s="92">
        <f>+'QTR Raw'!BF20+'QTR Raw'!BF19+'QTR Raw'!BF13+'QTR Raw'!BF7</f>
        <v>126.2</v>
      </c>
      <c r="CM40" s="74"/>
      <c r="CN40" s="74"/>
      <c r="CO40" s="74"/>
      <c r="CP40" s="74"/>
      <c r="CQ40" s="74"/>
      <c r="CR40" s="74"/>
      <c r="CS40" s="74"/>
      <c r="CT40" s="74"/>
      <c r="CU40" s="74"/>
      <c r="CV40" s="74"/>
      <c r="CW40" s="74"/>
      <c r="CX40" s="74"/>
      <c r="CY40" s="74"/>
      <c r="CZ40" s="74"/>
      <c r="DA40" s="74"/>
      <c r="DB40" s="74"/>
      <c r="DE40" s="74"/>
      <c r="DF40" s="92">
        <v>0</v>
      </c>
    </row>
    <row r="41" spans="1:110" s="26" customFormat="1" x14ac:dyDescent="0.2">
      <c r="A41" s="26" t="s">
        <v>431</v>
      </c>
      <c r="B41" s="26">
        <f>+B39-B40</f>
        <v>692.86450000000002</v>
      </c>
      <c r="C41" s="26">
        <f>+C39-C40</f>
        <v>704.9224999999999</v>
      </c>
      <c r="D41" s="26">
        <f t="shared" ref="D41:U41" si="92">+D39-D40</f>
        <v>804.30850000000009</v>
      </c>
      <c r="E41" s="26">
        <f t="shared" si="92"/>
        <v>906.09209999999996</v>
      </c>
      <c r="F41" s="26">
        <f t="shared" si="92"/>
        <v>1146.3904</v>
      </c>
      <c r="G41" s="26">
        <f t="shared" si="92"/>
        <v>1372.7054000000001</v>
      </c>
      <c r="H41" s="26">
        <f t="shared" si="92"/>
        <v>1886.5147999999999</v>
      </c>
      <c r="I41" s="26">
        <f t="shared" si="92"/>
        <v>1683.5277000000001</v>
      </c>
      <c r="J41" s="26">
        <f t="shared" si="92"/>
        <v>2023.0054</v>
      </c>
      <c r="K41" s="26">
        <f t="shared" si="92"/>
        <v>2498.6783</v>
      </c>
      <c r="L41" s="26">
        <f t="shared" si="92"/>
        <v>3473.5418999999997</v>
      </c>
      <c r="M41" s="26">
        <f t="shared" si="92"/>
        <v>4001.0034999999998</v>
      </c>
      <c r="N41" s="26">
        <f t="shared" si="92"/>
        <v>3782.9450999999999</v>
      </c>
      <c r="O41" s="26">
        <f t="shared" si="92"/>
        <v>4018.0602999999996</v>
      </c>
      <c r="P41" s="26">
        <f t="shared" si="92"/>
        <v>4539.8500000000004</v>
      </c>
      <c r="Q41" s="26">
        <f t="shared" si="92"/>
        <v>4592.72</v>
      </c>
      <c r="R41" s="26">
        <f t="shared" si="92"/>
        <v>4821.8</v>
      </c>
      <c r="S41" s="26">
        <f t="shared" si="92"/>
        <v>5589.04</v>
      </c>
      <c r="T41" s="26">
        <f t="shared" si="92"/>
        <v>7099.59</v>
      </c>
      <c r="U41" s="26">
        <f t="shared" si="92"/>
        <v>7209.41</v>
      </c>
      <c r="V41" s="26">
        <f>+V39-V40</f>
        <v>8400.0400000000009</v>
      </c>
      <c r="W41" s="26">
        <f>+W39-W40</f>
        <v>12433.66</v>
      </c>
      <c r="X41" s="26">
        <f>+X39-X40</f>
        <v>14870.25</v>
      </c>
      <c r="Y41" s="26">
        <f>+Y39-Y40</f>
        <v>13138.52</v>
      </c>
      <c r="Z41" s="26">
        <f>+Z39-Z40</f>
        <v>14693.07</v>
      </c>
      <c r="AA41" s="26">
        <f>+AA39-AA40</f>
        <v>15786.51</v>
      </c>
      <c r="AB41" s="27">
        <f t="shared" ref="AB41:AD41" si="93">+AB39-AB40</f>
        <v>18170.077911743207</v>
      </c>
      <c r="AC41" s="27">
        <f t="shared" si="93"/>
        <v>21171.341530552818</v>
      </c>
      <c r="AD41" s="27">
        <f t="shared" si="93"/>
        <v>24702.894853632497</v>
      </c>
      <c r="AE41" s="27">
        <f t="shared" ref="AE41" si="94">+AE39-AE40</f>
        <v>28831.509537231992</v>
      </c>
      <c r="AI41" s="26">
        <f t="shared" ref="AI41" si="95">+AI39-AI40</f>
        <v>766.05</v>
      </c>
      <c r="AJ41" s="26">
        <f t="shared" ref="AJ41" si="96">+AJ39-AJ40</f>
        <v>803.74</v>
      </c>
      <c r="AK41" s="26">
        <f t="shared" ref="AK41:AM41" si="97">+AK39-AK40</f>
        <v>868.58</v>
      </c>
      <c r="AL41" s="26">
        <f t="shared" si="97"/>
        <v>818.15</v>
      </c>
      <c r="AM41" s="26">
        <f t="shared" si="97"/>
        <v>808.53</v>
      </c>
      <c r="AN41" s="26">
        <f t="shared" ref="AN41:AO41" si="98">+AN39-AN40</f>
        <v>837.35000000000014</v>
      </c>
      <c r="AO41" s="26">
        <f t="shared" si="98"/>
        <v>861.57</v>
      </c>
      <c r="AP41" s="26">
        <f t="shared" ref="AP41:AW41" si="99">+AP39-AP40</f>
        <v>886.78</v>
      </c>
      <c r="AQ41" s="26">
        <f t="shared" si="99"/>
        <v>1155.6500000000001</v>
      </c>
      <c r="AR41" s="26">
        <f t="shared" si="99"/>
        <v>1183.83</v>
      </c>
      <c r="AS41" s="26">
        <f t="shared" si="99"/>
        <v>1106.4099999999999</v>
      </c>
      <c r="AT41" s="26">
        <f t="shared" si="99"/>
        <v>1081.3599999999999</v>
      </c>
      <c r="AU41" s="26">
        <f t="shared" si="99"/>
        <v>1221.3700000000001</v>
      </c>
      <c r="AV41" s="26">
        <f t="shared" si="99"/>
        <v>1152.53</v>
      </c>
      <c r="AW41" s="26">
        <f t="shared" si="99"/>
        <v>1089.1100000000001</v>
      </c>
      <c r="AX41" s="26">
        <f t="shared" ref="AX41:CF41" si="100">+AX39-AX40</f>
        <v>1112.96</v>
      </c>
      <c r="AY41" s="26">
        <f t="shared" si="100"/>
        <v>1219.21</v>
      </c>
      <c r="AZ41" s="26">
        <f t="shared" si="100"/>
        <v>1143.8000000000002</v>
      </c>
      <c r="BA41" s="26">
        <f t="shared" si="100"/>
        <v>1128.53</v>
      </c>
      <c r="BB41" s="26">
        <f t="shared" si="100"/>
        <v>1325.81</v>
      </c>
      <c r="BC41" s="26">
        <f t="shared" si="100"/>
        <v>1293.28</v>
      </c>
      <c r="BD41" s="26">
        <f t="shared" si="100"/>
        <v>1286.43</v>
      </c>
      <c r="BE41" s="26">
        <f t="shared" si="100"/>
        <v>1397.06</v>
      </c>
      <c r="BF41" s="26">
        <f t="shared" si="100"/>
        <v>1612.27</v>
      </c>
      <c r="BG41" s="26">
        <f t="shared" si="100"/>
        <v>1661.8700000000001</v>
      </c>
      <c r="BH41" s="26">
        <f t="shared" si="100"/>
        <v>1737.72</v>
      </c>
      <c r="BI41" s="26">
        <f t="shared" si="100"/>
        <v>1808.78</v>
      </c>
      <c r="BJ41" s="26">
        <f t="shared" si="100"/>
        <v>1935.33</v>
      </c>
      <c r="BK41" s="26">
        <f t="shared" si="100"/>
        <v>1763.29</v>
      </c>
      <c r="BL41" s="26">
        <f t="shared" si="100"/>
        <v>1733.5900000000001</v>
      </c>
      <c r="BM41" s="26">
        <f t="shared" si="100"/>
        <v>1850.49</v>
      </c>
      <c r="BN41" s="26">
        <f t="shared" si="100"/>
        <v>1830.75</v>
      </c>
      <c r="BO41" s="26">
        <f t="shared" si="100"/>
        <v>1536.06</v>
      </c>
      <c r="BP41" s="26">
        <f t="shared" si="100"/>
        <v>2091.2399999999998</v>
      </c>
      <c r="BQ41" s="26">
        <f t="shared" si="100"/>
        <v>2146.41</v>
      </c>
      <c r="BR41" s="26">
        <f t="shared" si="100"/>
        <v>2607.65</v>
      </c>
      <c r="BS41" s="26">
        <f t="shared" si="100"/>
        <v>2699.4</v>
      </c>
      <c r="BT41" s="26">
        <f t="shared" si="100"/>
        <v>2838.9700000000003</v>
      </c>
      <c r="BU41" s="26">
        <f t="shared" si="100"/>
        <v>3345.87</v>
      </c>
      <c r="BV41" s="26">
        <f t="shared" si="100"/>
        <v>3549.42</v>
      </c>
      <c r="BW41" s="26">
        <f t="shared" si="100"/>
        <v>3869.85</v>
      </c>
      <c r="BX41" s="26">
        <f t="shared" si="100"/>
        <v>3691.7000000000003</v>
      </c>
      <c r="BY41" s="26">
        <f t="shared" si="100"/>
        <v>3454.62</v>
      </c>
      <c r="BZ41" s="26">
        <f t="shared" si="100"/>
        <v>3750.08</v>
      </c>
      <c r="CA41" s="26">
        <f t="shared" si="100"/>
        <v>3314.6499999999996</v>
      </c>
      <c r="CB41" s="26">
        <f t="shared" si="100"/>
        <v>3158.2499999999995</v>
      </c>
      <c r="CC41" s="26">
        <f t="shared" si="100"/>
        <v>3034.9600000000005</v>
      </c>
      <c r="CD41" s="26">
        <f t="shared" si="100"/>
        <v>3553.9500000000003</v>
      </c>
      <c r="CE41" s="26">
        <f t="shared" si="100"/>
        <v>3446.88</v>
      </c>
      <c r="CF41" s="26">
        <f t="shared" si="100"/>
        <v>3401.7099999999996</v>
      </c>
      <c r="CG41" s="26">
        <f t="shared" ref="CG41:CH41" si="101">+CG39-CG40</f>
        <v>3457.09</v>
      </c>
      <c r="CH41" s="26">
        <f t="shared" si="101"/>
        <v>4268.22</v>
      </c>
      <c r="CI41" s="26">
        <f t="shared" ref="CI41:CJ41" si="102">+CI39-CI40</f>
        <v>3818.62</v>
      </c>
      <c r="CJ41" s="26">
        <f t="shared" si="102"/>
        <v>3609.56</v>
      </c>
      <c r="CK41" s="26">
        <f t="shared" ref="CK41:CL41" si="103">+CK39-CK40</f>
        <v>3672.3300000000004</v>
      </c>
      <c r="CL41" s="26">
        <f t="shared" si="103"/>
        <v>4488.97</v>
      </c>
      <c r="CM41" s="27">
        <f t="shared" ref="CM41:DB41" si="104">+CM39-CM40</f>
        <v>4304.800605450193</v>
      </c>
      <c r="CN41" s="27">
        <f t="shared" si="104"/>
        <v>4100.7488192449109</v>
      </c>
      <c r="CO41" s="27">
        <f t="shared" si="104"/>
        <v>4295.965916086906</v>
      </c>
      <c r="CP41" s="27">
        <f t="shared" si="104"/>
        <v>5468.562570961195</v>
      </c>
      <c r="CQ41" s="27">
        <f t="shared" si="104"/>
        <v>4977.8379904444555</v>
      </c>
      <c r="CR41" s="27">
        <f t="shared" si="104"/>
        <v>4770.4517186040312</v>
      </c>
      <c r="CS41" s="27">
        <f t="shared" si="104"/>
        <v>5025.627619726527</v>
      </c>
      <c r="CT41" s="27">
        <f t="shared" si="104"/>
        <v>6397.4242017778024</v>
      </c>
      <c r="CU41" s="27">
        <f t="shared" si="104"/>
        <v>5798.3860941774319</v>
      </c>
      <c r="CV41" s="27">
        <f t="shared" si="104"/>
        <v>5566.9448475705622</v>
      </c>
      <c r="CW41" s="27">
        <f t="shared" si="104"/>
        <v>5869.313723240939</v>
      </c>
      <c r="CX41" s="27">
        <f t="shared" si="104"/>
        <v>7468.2501886435657</v>
      </c>
      <c r="CY41" s="27">
        <f t="shared" si="104"/>
        <v>6765.3609537331613</v>
      </c>
      <c r="CZ41" s="27">
        <f t="shared" si="104"/>
        <v>6498.0035406063862</v>
      </c>
      <c r="DA41" s="27">
        <f t="shared" si="104"/>
        <v>6851.3593630930473</v>
      </c>
      <c r="DB41" s="27">
        <f t="shared" si="104"/>
        <v>8716.7856797993973</v>
      </c>
      <c r="DE41" s="27">
        <v>4747.8367962375723</v>
      </c>
      <c r="DF41" s="26">
        <v>0</v>
      </c>
    </row>
    <row r="42" spans="1:110" s="39" customFormat="1" x14ac:dyDescent="0.2">
      <c r="A42" s="39" t="s">
        <v>484</v>
      </c>
      <c r="C42" s="39">
        <f t="shared" ref="C42" si="105">C41/B41-1</f>
        <v>1.7403114173117462E-2</v>
      </c>
      <c r="D42" s="39">
        <f t="shared" ref="D42" si="106">D41/C41-1</f>
        <v>0.14098854838652497</v>
      </c>
      <c r="E42" s="39">
        <f t="shared" ref="E42" si="107">E41/D41-1</f>
        <v>0.1265479601421593</v>
      </c>
      <c r="F42" s="39">
        <f t="shared" ref="F42:R42" si="108">F41/E41-1</f>
        <v>0.2652029523268109</v>
      </c>
      <c r="G42" s="39">
        <f t="shared" si="108"/>
        <v>0.19741529587128448</v>
      </c>
      <c r="H42" s="39">
        <f t="shared" si="108"/>
        <v>0.37430420248947804</v>
      </c>
      <c r="I42" s="39">
        <f t="shared" si="108"/>
        <v>-0.10759899683797858</v>
      </c>
      <c r="J42" s="39">
        <f t="shared" si="108"/>
        <v>0.20164663759319179</v>
      </c>
      <c r="K42" s="39">
        <f>K41/J41-1</f>
        <v>0.23513179945046114</v>
      </c>
      <c r="L42" s="39">
        <f t="shared" si="108"/>
        <v>0.39015170540361255</v>
      </c>
      <c r="M42" s="39">
        <f t="shared" si="108"/>
        <v>0.15185122712928845</v>
      </c>
      <c r="N42" s="39">
        <f t="shared" si="108"/>
        <v>-5.4500927079918826E-2</v>
      </c>
      <c r="O42" s="39">
        <f t="shared" si="108"/>
        <v>6.2151364554563493E-2</v>
      </c>
      <c r="P42" s="39">
        <f t="shared" si="108"/>
        <v>0.1298610924281054</v>
      </c>
      <c r="Q42" s="39">
        <f t="shared" si="108"/>
        <v>1.1645759221119656E-2</v>
      </c>
      <c r="R42" s="39">
        <f t="shared" si="108"/>
        <v>4.9878938842341736E-2</v>
      </c>
      <c r="S42" s="39">
        <f t="shared" ref="S42:AA42" si="109">S41/R41-1</f>
        <v>0.15911900120287026</v>
      </c>
      <c r="T42" s="39">
        <f t="shared" si="109"/>
        <v>0.27027002848431936</v>
      </c>
      <c r="U42" s="39">
        <f t="shared" si="109"/>
        <v>1.5468498885146786E-2</v>
      </c>
      <c r="V42" s="39">
        <f t="shared" si="109"/>
        <v>0.16514943663905934</v>
      </c>
      <c r="W42" s="39">
        <f t="shared" si="109"/>
        <v>0.48019057052109249</v>
      </c>
      <c r="X42" s="39">
        <f t="shared" si="109"/>
        <v>0.19596723732191479</v>
      </c>
      <c r="Y42" s="39">
        <f t="shared" si="109"/>
        <v>-0.11645601116322857</v>
      </c>
      <c r="Z42" s="39">
        <f t="shared" si="109"/>
        <v>0.11832002386874629</v>
      </c>
      <c r="AA42" s="39">
        <f t="shared" si="109"/>
        <v>7.4418756597498081E-2</v>
      </c>
      <c r="AB42" s="40">
        <f t="shared" ref="AB42" si="110">AB41/AA41-1</f>
        <v>0.1509876414573712</v>
      </c>
      <c r="AC42" s="40">
        <f t="shared" ref="AC42" si="111">AC41/AB41-1</f>
        <v>0.16517615573183164</v>
      </c>
      <c r="AD42" s="40">
        <f t="shared" ref="AD42" si="112">AD41/AC41-1</f>
        <v>0.16680819767529709</v>
      </c>
      <c r="AE42" s="40">
        <f t="shared" ref="AE42" si="113">AE41/AD41-1</f>
        <v>0.16713080422606397</v>
      </c>
      <c r="AM42" s="39">
        <f t="shared" ref="AM42:CI42" si="114">+IF(AI41&lt;0,1-AM41/AI41,AM41/AI41-1)</f>
        <v>5.545329939298993E-2</v>
      </c>
      <c r="AN42" s="39">
        <f t="shared" si="114"/>
        <v>4.1817005499291016E-2</v>
      </c>
      <c r="AO42" s="39">
        <f t="shared" si="114"/>
        <v>-8.0706440396969281E-3</v>
      </c>
      <c r="AP42" s="39">
        <f t="shared" si="114"/>
        <v>8.3884373281183144E-2</v>
      </c>
      <c r="AQ42" s="39">
        <f t="shared" si="114"/>
        <v>0.42932235043845024</v>
      </c>
      <c r="AR42" s="39">
        <f t="shared" si="114"/>
        <v>0.41378157281901196</v>
      </c>
      <c r="AS42" s="39">
        <f t="shared" si="114"/>
        <v>0.28417888273732816</v>
      </c>
      <c r="AT42" s="39">
        <f t="shared" si="114"/>
        <v>0.21942308126028998</v>
      </c>
      <c r="AU42" s="39">
        <f t="shared" si="114"/>
        <v>5.6868429022628009E-2</v>
      </c>
      <c r="AV42" s="39">
        <f t="shared" si="114"/>
        <v>-2.6439607038172719E-2</v>
      </c>
      <c r="AW42" s="39">
        <f t="shared" si="114"/>
        <v>-1.5636156578483273E-2</v>
      </c>
      <c r="AX42" s="39">
        <f t="shared" si="114"/>
        <v>2.9222460605164091E-2</v>
      </c>
      <c r="AY42" s="39">
        <f t="shared" si="114"/>
        <v>-1.768505858175673E-3</v>
      </c>
      <c r="AZ42" s="39">
        <f t="shared" si="114"/>
        <v>-7.5746401395189178E-3</v>
      </c>
      <c r="BA42" s="39">
        <f t="shared" si="114"/>
        <v>3.6194691078035968E-2</v>
      </c>
      <c r="BB42" s="39">
        <f t="shared" si="114"/>
        <v>0.19124676538240348</v>
      </c>
      <c r="BC42" s="39">
        <f t="shared" si="114"/>
        <v>6.0752454458214755E-2</v>
      </c>
      <c r="BD42" s="39">
        <f t="shared" si="114"/>
        <v>0.12469837384158056</v>
      </c>
      <c r="BE42" s="39">
        <f t="shared" si="114"/>
        <v>0.23794670943616913</v>
      </c>
      <c r="BF42" s="39">
        <f t="shared" si="114"/>
        <v>0.21606414192078804</v>
      </c>
      <c r="BG42" s="39">
        <f t="shared" si="114"/>
        <v>0.28500402078436227</v>
      </c>
      <c r="BH42" s="39">
        <f t="shared" si="114"/>
        <v>0.35080805018539674</v>
      </c>
      <c r="BI42" s="39">
        <f t="shared" si="114"/>
        <v>0.29470459393297355</v>
      </c>
      <c r="BJ42" s="39">
        <f t="shared" si="114"/>
        <v>0.20037586756560621</v>
      </c>
      <c r="BK42" s="39">
        <f t="shared" si="114"/>
        <v>6.1027637540842505E-2</v>
      </c>
      <c r="BL42" s="39">
        <f t="shared" si="114"/>
        <v>-2.3766774854405703E-3</v>
      </c>
      <c r="BM42" s="39">
        <f t="shared" si="114"/>
        <v>2.3059741925496757E-2</v>
      </c>
      <c r="BN42" s="39">
        <f t="shared" si="114"/>
        <v>-5.4037295965029153E-2</v>
      </c>
      <c r="BO42" s="39">
        <f t="shared" si="114"/>
        <v>-0.12886706100527989</v>
      </c>
      <c r="BP42" s="39">
        <f t="shared" si="114"/>
        <v>0.20630598930542954</v>
      </c>
      <c r="BQ42" s="39">
        <f t="shared" si="114"/>
        <v>0.15991440105053245</v>
      </c>
      <c r="BR42" s="39">
        <f t="shared" si="114"/>
        <v>0.42436160043697946</v>
      </c>
      <c r="BS42" s="39">
        <f t="shared" si="114"/>
        <v>0.75735322838951613</v>
      </c>
      <c r="BT42" s="39">
        <f t="shared" si="114"/>
        <v>0.35755341328589774</v>
      </c>
      <c r="BU42" s="39">
        <f t="shared" si="114"/>
        <v>0.55882147399611459</v>
      </c>
      <c r="BV42" s="39">
        <f t="shared" si="114"/>
        <v>0.36115659693593849</v>
      </c>
      <c r="BW42" s="39">
        <f t="shared" si="114"/>
        <v>0.43359635474549885</v>
      </c>
      <c r="BX42" s="39">
        <f t="shared" si="114"/>
        <v>0.3003659778018084</v>
      </c>
      <c r="BY42" s="39">
        <f t="shared" si="114"/>
        <v>3.250275713043238E-2</v>
      </c>
      <c r="BZ42" s="39">
        <f t="shared" si="114"/>
        <v>5.6533180068856215E-2</v>
      </c>
      <c r="CA42" s="39">
        <f t="shared" si="114"/>
        <v>-0.14346809307854314</v>
      </c>
      <c r="CB42" s="39">
        <f t="shared" si="114"/>
        <v>-0.14449982392935523</v>
      </c>
      <c r="CC42" s="39">
        <f t="shared" si="114"/>
        <v>-0.12147790495047195</v>
      </c>
      <c r="CD42" s="39">
        <f t="shared" si="114"/>
        <v>-5.2300217595357856E-2</v>
      </c>
      <c r="CE42" s="39">
        <f t="shared" si="114"/>
        <v>3.9892598011856517E-2</v>
      </c>
      <c r="CF42" s="39">
        <f t="shared" si="114"/>
        <v>7.7086994379798934E-2</v>
      </c>
      <c r="CG42" s="39">
        <f t="shared" si="114"/>
        <v>0.13908914779766435</v>
      </c>
      <c r="CH42" s="39">
        <f t="shared" si="114"/>
        <v>0.20097919216646254</v>
      </c>
      <c r="CI42" s="39">
        <f t="shared" si="114"/>
        <v>0.10784825697442324</v>
      </c>
      <c r="CJ42" s="39">
        <f>+IF(CF41&lt;0,1-CJ41/CF41,CJ41/CF41-1)</f>
        <v>6.1101622419312829E-2</v>
      </c>
      <c r="CK42" s="39">
        <f>+IF(CG41&lt;0,1-CK41/CG41,CK41/CG41-1)</f>
        <v>6.226045604829511E-2</v>
      </c>
      <c r="CL42" s="39">
        <f>+IF(CH41&lt;0,1-CL41/CH41,CL41/CH41-1)</f>
        <v>5.171945213695639E-2</v>
      </c>
      <c r="CM42" s="40">
        <f>+AVERAGE(CI42:CL42)*1.8</f>
        <v>0.1273184044105444</v>
      </c>
      <c r="CN42" s="40">
        <f t="shared" ref="CN42:CP42" si="115">+AVERAGE(CJ42:CM42)*1.8</f>
        <v>0.13607997075679895</v>
      </c>
      <c r="CO42" s="40">
        <f t="shared" si="115"/>
        <v>0.16982022750866768</v>
      </c>
      <c r="CP42" s="40">
        <f t="shared" si="115"/>
        <v>0.21822212466583532</v>
      </c>
      <c r="CQ42" s="40">
        <f>+AVERAGE(CM42:CP42)*0.96</f>
        <v>0.1563457745620431</v>
      </c>
      <c r="CR42" s="40">
        <f t="shared" ref="CR42:CT42" si="116">+AVERAGE(CN42:CQ42)*0.96</f>
        <v>0.16331234339840284</v>
      </c>
      <c r="CS42" s="40">
        <f t="shared" si="116"/>
        <v>0.16984811283238774</v>
      </c>
      <c r="CT42" s="40">
        <f t="shared" si="116"/>
        <v>0.16985480531008054</v>
      </c>
      <c r="CU42" s="40">
        <f t="shared" ref="CU42" si="117">+AVERAGE(CQ42:CT42)</f>
        <v>0.16484025902572857</v>
      </c>
      <c r="CV42" s="40">
        <f t="shared" ref="CV42" si="118">+AVERAGE(CR42:CU42)</f>
        <v>0.16696388014164992</v>
      </c>
      <c r="CW42" s="40">
        <f t="shared" ref="CW42" si="119">+AVERAGE(CS42:CV42)</f>
        <v>0.16787676432746168</v>
      </c>
      <c r="CX42" s="40">
        <f t="shared" ref="CX42" si="120">+AVERAGE(CT42:CW42)</f>
        <v>0.16738392720123019</v>
      </c>
      <c r="CY42" s="40">
        <f t="shared" ref="CY42" si="121">+AVERAGE(CU42:CX42)</f>
        <v>0.16676620767401759</v>
      </c>
      <c r="CZ42" s="40">
        <f t="shared" ref="CZ42" si="122">+AVERAGE(CV42:CY42)</f>
        <v>0.16724769483608984</v>
      </c>
      <c r="DA42" s="40">
        <f t="shared" ref="DA42" si="123">+AVERAGE(CW42:CZ42)</f>
        <v>0.16731864850969982</v>
      </c>
      <c r="DB42" s="40">
        <f t="shared" ref="DB42" si="124">+AVERAGE(CX42:DA42)</f>
        <v>0.16717911955525935</v>
      </c>
      <c r="DE42" s="40">
        <v>0.11236927717820837</v>
      </c>
    </row>
    <row r="43" spans="1:110" s="39" customFormat="1" x14ac:dyDescent="0.2">
      <c r="A43" s="39" t="s">
        <v>446</v>
      </c>
      <c r="AB43" s="40"/>
      <c r="AC43" s="40"/>
      <c r="AD43" s="40"/>
      <c r="AE43" s="40"/>
      <c r="AJ43" s="39">
        <f t="shared" ref="AJ43:AL43" si="125">+IF(AI41&lt;0,1-AJ41/AI41,AJ41/AI41-1)</f>
        <v>4.92004438352589E-2</v>
      </c>
      <c r="AK43" s="39">
        <f t="shared" si="125"/>
        <v>8.0672854405653638E-2</v>
      </c>
      <c r="AL43" s="39">
        <f t="shared" si="125"/>
        <v>-5.8060282299845833E-2</v>
      </c>
      <c r="AM43" s="39">
        <f t="shared" ref="AM43:CI43" si="126">+IF(AL41&lt;0,1-AM41/AL41,AM41/AL41-1)</f>
        <v>-1.1758235042473864E-2</v>
      </c>
      <c r="AN43" s="39">
        <f t="shared" si="126"/>
        <v>3.5644935871272709E-2</v>
      </c>
      <c r="AO43" s="39">
        <f t="shared" si="126"/>
        <v>2.8924583507493828E-2</v>
      </c>
      <c r="AP43" s="39">
        <f t="shared" si="126"/>
        <v>2.9260535998235637E-2</v>
      </c>
      <c r="AQ43" s="39">
        <f t="shared" si="126"/>
        <v>0.30319808746250487</v>
      </c>
      <c r="AR43" s="39">
        <f t="shared" si="126"/>
        <v>2.4384545493877807E-2</v>
      </c>
      <c r="AS43" s="39">
        <f t="shared" si="126"/>
        <v>-6.5397903415186365E-2</v>
      </c>
      <c r="AT43" s="39">
        <f t="shared" si="126"/>
        <v>-2.264079319601231E-2</v>
      </c>
      <c r="AU43" s="39">
        <f t="shared" si="126"/>
        <v>0.12947584523193045</v>
      </c>
      <c r="AV43" s="39">
        <f t="shared" si="126"/>
        <v>-5.6362936702227917E-2</v>
      </c>
      <c r="AW43" s="39">
        <f t="shared" si="126"/>
        <v>-5.5026767199118365E-2</v>
      </c>
      <c r="AX43" s="39">
        <f t="shared" si="126"/>
        <v>2.1898614465021726E-2</v>
      </c>
      <c r="AY43" s="39">
        <f t="shared" si="126"/>
        <v>9.546614433582512E-2</v>
      </c>
      <c r="AZ43" s="39">
        <f t="shared" si="126"/>
        <v>-6.1851526808342938E-2</v>
      </c>
      <c r="BA43" s="39">
        <f t="shared" si="126"/>
        <v>-1.335023605525465E-2</v>
      </c>
      <c r="BB43" s="39">
        <f t="shared" si="126"/>
        <v>0.17481148042143313</v>
      </c>
      <c r="BC43" s="39">
        <f t="shared" si="126"/>
        <v>-2.4535944064383308E-2</v>
      </c>
      <c r="BD43" s="39">
        <f t="shared" si="126"/>
        <v>-5.2966101694914558E-3</v>
      </c>
      <c r="BE43" s="39">
        <f t="shared" si="126"/>
        <v>8.599768351173398E-2</v>
      </c>
      <c r="BF43" s="39">
        <f t="shared" si="126"/>
        <v>0.15404492290953864</v>
      </c>
      <c r="BG43" s="39">
        <f t="shared" si="126"/>
        <v>3.0764077977013971E-2</v>
      </c>
      <c r="BH43" s="39">
        <f t="shared" si="126"/>
        <v>4.5641355822055862E-2</v>
      </c>
      <c r="BI43" s="39">
        <f t="shared" si="126"/>
        <v>4.089266395046387E-2</v>
      </c>
      <c r="BJ43" s="39">
        <f t="shared" si="126"/>
        <v>6.9964285319386477E-2</v>
      </c>
      <c r="BK43" s="39">
        <f t="shared" si="126"/>
        <v>-8.8894400438168097E-2</v>
      </c>
      <c r="BL43" s="39">
        <f t="shared" si="126"/>
        <v>-1.6843514112823033E-2</v>
      </c>
      <c r="BM43" s="39">
        <f t="shared" si="126"/>
        <v>6.7432322521472798E-2</v>
      </c>
      <c r="BN43" s="39">
        <f t="shared" si="126"/>
        <v>-1.0667444838934559E-2</v>
      </c>
      <c r="BO43" s="39">
        <f t="shared" si="126"/>
        <v>-0.16096681687832859</v>
      </c>
      <c r="BP43" s="39">
        <f t="shared" si="126"/>
        <v>0.3614311940939805</v>
      </c>
      <c r="BQ43" s="39">
        <f t="shared" si="126"/>
        <v>2.6381477018419641E-2</v>
      </c>
      <c r="BR43" s="39">
        <f t="shared" si="126"/>
        <v>0.21488904729292169</v>
      </c>
      <c r="BS43" s="39">
        <f t="shared" si="126"/>
        <v>3.5184936628765318E-2</v>
      </c>
      <c r="BT43" s="39">
        <f t="shared" si="126"/>
        <v>5.1704082388678962E-2</v>
      </c>
      <c r="BU43" s="39">
        <f t="shared" si="126"/>
        <v>0.1785506715463705</v>
      </c>
      <c r="BV43" s="39">
        <f t="shared" si="126"/>
        <v>6.0836195070340437E-2</v>
      </c>
      <c r="BW43" s="39">
        <f t="shared" si="126"/>
        <v>9.0276721267136484E-2</v>
      </c>
      <c r="BX43" s="39">
        <f t="shared" si="126"/>
        <v>-4.6035376048167098E-2</v>
      </c>
      <c r="BY43" s="39">
        <f t="shared" si="126"/>
        <v>-6.4219736164910612E-2</v>
      </c>
      <c r="BZ43" s="39">
        <f t="shared" si="126"/>
        <v>8.552604917472828E-2</v>
      </c>
      <c r="CA43" s="39">
        <f t="shared" si="126"/>
        <v>-0.11611218960662184</v>
      </c>
      <c r="CB43" s="39">
        <f t="shared" si="126"/>
        <v>-4.7184468948456182E-2</v>
      </c>
      <c r="CC43" s="39">
        <f t="shared" si="126"/>
        <v>-3.9037441621150637E-2</v>
      </c>
      <c r="CD43" s="39">
        <f t="shared" si="126"/>
        <v>0.17100390120462872</v>
      </c>
      <c r="CE43" s="39">
        <f t="shared" si="126"/>
        <v>-3.0127041742286753E-2</v>
      </c>
      <c r="CF43" s="39">
        <f t="shared" si="126"/>
        <v>-1.3104604744000548E-2</v>
      </c>
      <c r="CG43" s="39">
        <f t="shared" si="126"/>
        <v>1.6280047387931429E-2</v>
      </c>
      <c r="CH43" s="39">
        <f t="shared" si="126"/>
        <v>0.234627967452395</v>
      </c>
      <c r="CI43" s="39">
        <f t="shared" si="126"/>
        <v>-0.10533665087554067</v>
      </c>
      <c r="CJ43" s="39">
        <f>+IF(CI41&lt;0,1-CJ41/CI41,CJ41/CI41-1)</f>
        <v>-5.4747526593376672E-2</v>
      </c>
      <c r="CK43" s="39">
        <f>+IF(CJ41&lt;0,1-CK41/CJ41,CK41/CJ41-1)</f>
        <v>1.738993118274812E-2</v>
      </c>
      <c r="CL43" s="39">
        <f>+IF(CK41&lt;0,1-CL41/CK41,CL41/CK41-1)</f>
        <v>0.22237652934240648</v>
      </c>
      <c r="CM43" s="40">
        <f t="shared" ref="CM43" si="127">+CM41/CL41-1</f>
        <v>-4.102709408835592E-2</v>
      </c>
      <c r="CN43" s="40">
        <f t="shared" ref="CN43" si="128">+CN41/CM41-1</f>
        <v>-4.7400984367763188E-2</v>
      </c>
      <c r="CO43" s="40">
        <f t="shared" ref="CO43" si="129">+CO41/CN41-1</f>
        <v>4.7605231494754374E-2</v>
      </c>
      <c r="CP43" s="40">
        <f t="shared" ref="CP43" si="130">+CP41/CO41-1</f>
        <v>0.2729529697810964</v>
      </c>
      <c r="CQ43" s="40">
        <f t="shared" ref="CQ43" si="131">+CQ41/CP41-1</f>
        <v>-8.9735570206795012E-2</v>
      </c>
      <c r="CR43" s="40">
        <f t="shared" ref="CR43" si="132">+CR41/CQ41-1</f>
        <v>-4.1661916727407933E-2</v>
      </c>
      <c r="CS43" s="40">
        <f t="shared" ref="CS43" si="133">+CS41/CR41-1</f>
        <v>5.3490930455778241E-2</v>
      </c>
      <c r="CT43" s="40">
        <f t="shared" ref="CT43" si="134">+CT41/CS41-1</f>
        <v>0.27296025210198982</v>
      </c>
      <c r="CU43" s="40">
        <f t="shared" ref="CU43" si="135">+CU41/CT41-1</f>
        <v>-9.3637390410018728E-2</v>
      </c>
      <c r="CV43" s="40">
        <f t="shared" ref="CV43" si="136">+CV41/CU41-1</f>
        <v>-3.9914769876962186E-2</v>
      </c>
      <c r="CW43" s="40">
        <f t="shared" ref="CW43" si="137">+CW41/CV41-1</f>
        <v>5.431504783136698E-2</v>
      </c>
      <c r="CX43" s="40">
        <f t="shared" ref="CX43" si="138">+CX41/CW41-1</f>
        <v>0.27242307036191615</v>
      </c>
      <c r="CY43" s="40">
        <f t="shared" ref="CY43" si="139">+CY41/CX41-1</f>
        <v>-9.4116990882179841E-2</v>
      </c>
      <c r="CZ43" s="40">
        <f t="shared" ref="CZ43" si="140">+CZ41/CY41-1</f>
        <v>-3.9518573355534881E-2</v>
      </c>
      <c r="DA43" s="40">
        <f t="shared" ref="DA43" si="141">+DA41/CZ41-1</f>
        <v>5.4379136649975734E-2</v>
      </c>
      <c r="DB43" s="40">
        <f t="shared" ref="DB43" si="142">+DB41/DA41-1</f>
        <v>0.27227097833388259</v>
      </c>
      <c r="DE43" s="40">
        <v>0.29286768788141915</v>
      </c>
    </row>
    <row r="44" spans="1:110" s="23" customFormat="1" outlineLevel="1" x14ac:dyDescent="0.2">
      <c r="A44" s="23" t="s">
        <v>2</v>
      </c>
      <c r="B44" s="23">
        <f>'Annual Raw'!C11</f>
        <v>-8.6134000000000004</v>
      </c>
      <c r="C44" s="23">
        <f>'Annual Raw'!D11</f>
        <v>12.988899999999999</v>
      </c>
      <c r="D44" s="23">
        <f>'Annual Raw'!E11</f>
        <v>-1.1620999999999999</v>
      </c>
      <c r="E44" s="23">
        <f>'Annual Raw'!F11</f>
        <v>-3.3908</v>
      </c>
      <c r="F44" s="23">
        <f>'Annual Raw'!G11</f>
        <v>-24.242100000000001</v>
      </c>
      <c r="G44" s="23">
        <f>'Annual Raw'!H11</f>
        <v>-14.3361</v>
      </c>
      <c r="H44" s="23">
        <f>'Annual Raw'!I11</f>
        <v>-20.2498</v>
      </c>
      <c r="I44" s="23">
        <f>'Annual Raw'!J11</f>
        <v>8.6723999999999997</v>
      </c>
      <c r="J44" s="23">
        <f>'Annual Raw'!K11</f>
        <v>24.953299999999999</v>
      </c>
      <c r="K44" s="23">
        <f>'Annual Raw'!L11</f>
        <v>-17.666799999999999</v>
      </c>
      <c r="L44" s="23">
        <f>'Annual Raw'!M11</f>
        <v>-52.7864</v>
      </c>
      <c r="M44" s="23">
        <f>'Annual Raw'!N11</f>
        <v>7.0000000000000001E-3</v>
      </c>
      <c r="N44" s="23">
        <f>'Annual Raw'!O11</f>
        <v>-20.306899999999999</v>
      </c>
      <c r="O44" s="23">
        <f>'Annual Raw'!P11</f>
        <v>-42.068600000000004</v>
      </c>
      <c r="P44" s="23">
        <f>'Annual Raw'!Q11</f>
        <v>-26.6</v>
      </c>
      <c r="Q44" s="23">
        <f>'Annual Raw'!R11</f>
        <v>16.82</v>
      </c>
      <c r="R44" s="23">
        <f>'Annual Raw'!S11</f>
        <v>-21.43</v>
      </c>
      <c r="S44" s="23">
        <f>'Annual Raw'!T11</f>
        <v>-31.1</v>
      </c>
      <c r="T44" s="23">
        <f>'Annual Raw'!U11</f>
        <v>-74.03</v>
      </c>
      <c r="U44" s="23">
        <f>'Annual Raw'!V11</f>
        <v>-91.82</v>
      </c>
      <c r="V44" s="23">
        <f>'Annual Raw'!W11</f>
        <v>-71.66</v>
      </c>
      <c r="W44" s="23">
        <f>'Annual Raw'!X11</f>
        <v>-279.75</v>
      </c>
      <c r="X44" s="23">
        <f>'Annual Raw'!Y11</f>
        <v>-8.92</v>
      </c>
      <c r="Y44" s="23">
        <f>'Annual Raw'!Z11</f>
        <v>-105.38</v>
      </c>
      <c r="Z44" s="23">
        <f>'Annual Raw'!AA11</f>
        <v>0.1</v>
      </c>
      <c r="AA44" s="23">
        <f>'Annual Raw'!AB11</f>
        <v>-326.12</v>
      </c>
      <c r="AB44" s="76">
        <f>+SUM(CM44:CP44)</f>
        <v>0</v>
      </c>
      <c r="AC44" s="76">
        <f>+SUM(CQ44:CT44)</f>
        <v>0</v>
      </c>
      <c r="AD44" s="76">
        <f>+SUM(CU44:CX44)</f>
        <v>0</v>
      </c>
      <c r="AE44" s="76">
        <f>+SUM(CY44:DB44)</f>
        <v>0</v>
      </c>
      <c r="AI44" s="23">
        <f>'QTR Raw'!C10</f>
        <v>-9.6199999999999992</v>
      </c>
      <c r="AJ44" s="23">
        <f>'QTR Raw'!D10</f>
        <v>-2.71</v>
      </c>
      <c r="AK44" s="23">
        <f>'QTR Raw'!E10</f>
        <v>-20.81</v>
      </c>
      <c r="AL44" s="23">
        <f>'QTR Raw'!F10</f>
        <v>10.64</v>
      </c>
      <c r="AM44" s="23">
        <f>'QTR Raw'!G10</f>
        <v>14.78</v>
      </c>
      <c r="AN44" s="23">
        <f>'QTR Raw'!H10</f>
        <v>-26.98</v>
      </c>
      <c r="AO44" s="23">
        <f>'QTR Raw'!I10</f>
        <v>-3.34</v>
      </c>
      <c r="AP44" s="23">
        <f>'QTR Raw'!J10</f>
        <v>10.78</v>
      </c>
      <c r="AQ44" s="23">
        <f>'QTR Raw'!K10</f>
        <v>6.81</v>
      </c>
      <c r="AR44" s="23">
        <f>'QTR Raw'!L10</f>
        <v>-47.02</v>
      </c>
      <c r="AS44" s="23">
        <f>'QTR Raw'!M10</f>
        <v>-9.26</v>
      </c>
      <c r="AT44" s="23">
        <f>'QTR Raw'!N10</f>
        <v>16.72</v>
      </c>
      <c r="AU44" s="23">
        <f>'QTR Raw'!O10</f>
        <v>20.07</v>
      </c>
      <c r="AV44" s="23">
        <f>'QTR Raw'!P10</f>
        <v>-28.34</v>
      </c>
      <c r="AW44" s="23">
        <f>'QTR Raw'!Q10</f>
        <v>17.239999999999998</v>
      </c>
      <c r="AX44" s="23">
        <f>'QTR Raw'!R10</f>
        <v>8.08</v>
      </c>
      <c r="AY44" s="23">
        <f>'QTR Raw'!S10</f>
        <v>14.42</v>
      </c>
      <c r="AZ44" s="23">
        <f>'QTR Raw'!T10</f>
        <v>-22.03</v>
      </c>
      <c r="BA44" s="23">
        <f>'QTR Raw'!U10</f>
        <v>-34.4</v>
      </c>
      <c r="BB44" s="23">
        <f>'QTR Raw'!V10</f>
        <v>15.54</v>
      </c>
      <c r="BC44" s="23">
        <f>'QTR Raw'!W10</f>
        <v>-21.19</v>
      </c>
      <c r="BD44" s="23">
        <f>'QTR Raw'!X10</f>
        <v>-4.3499999999999996</v>
      </c>
      <c r="BE44" s="23">
        <f>'QTR Raw'!Y10</f>
        <v>-26.25</v>
      </c>
      <c r="BF44" s="23">
        <f>'QTR Raw'!Z10</f>
        <v>20.69</v>
      </c>
      <c r="BG44" s="23">
        <f>'QTR Raw'!AA10</f>
        <v>-38.549999999999997</v>
      </c>
      <c r="BH44" s="23">
        <f>'QTR Raw'!AB10</f>
        <v>10.54</v>
      </c>
      <c r="BI44" s="23">
        <f>'QTR Raw'!AC10</f>
        <v>-72.349999999999994</v>
      </c>
      <c r="BJ44" s="23">
        <f>'QTR Raw'!AD10</f>
        <v>29.73</v>
      </c>
      <c r="BK44" s="23">
        <f>'QTR Raw'!AE10</f>
        <v>-11.64</v>
      </c>
      <c r="BL44" s="23">
        <f>'QTR Raw'!AF10</f>
        <v>-39.61</v>
      </c>
      <c r="BM44" s="23">
        <f>'QTR Raw'!AG10</f>
        <v>-26.79</v>
      </c>
      <c r="BN44" s="23">
        <f>'QTR Raw'!AH10</f>
        <v>-13.78</v>
      </c>
      <c r="BO44" s="23">
        <f>'QTR Raw'!AI10</f>
        <v>47.35</v>
      </c>
      <c r="BP44" s="23">
        <f>'QTR Raw'!AJ10</f>
        <v>-12.24</v>
      </c>
      <c r="BQ44" s="23">
        <f>'QTR Raw'!AK10</f>
        <v>-112.29</v>
      </c>
      <c r="BR44" s="23">
        <f>'QTR Raw'!AL10</f>
        <v>5.52</v>
      </c>
      <c r="BS44" s="23">
        <f>'QTR Raw'!AM10</f>
        <v>8.9700000000000006</v>
      </c>
      <c r="BT44" s="23">
        <f>'QTR Raw'!AN10</f>
        <v>-86.55</v>
      </c>
      <c r="BU44" s="23">
        <f>'QTR Raw'!AO10</f>
        <v>-143.27000000000001</v>
      </c>
      <c r="BV44" s="23">
        <f>'QTR Raw'!AP10</f>
        <v>-58.9</v>
      </c>
      <c r="BW44" s="23">
        <f>'QTR Raw'!AQ10</f>
        <v>-124.32</v>
      </c>
      <c r="BX44" s="23">
        <f>'QTR Raw'!AR10</f>
        <v>104.68</v>
      </c>
      <c r="BY44" s="23">
        <f>'QTR Raw'!AS10</f>
        <v>-91.19</v>
      </c>
      <c r="BZ44" s="23">
        <f>'QTR Raw'!AT10</f>
        <v>101.91</v>
      </c>
      <c r="CA44" s="23">
        <f>'QTR Raw'!AU10</f>
        <v>-57.79</v>
      </c>
      <c r="CB44" s="23">
        <f>'QTR Raw'!AV10</f>
        <v>50.09</v>
      </c>
      <c r="CC44" s="23">
        <f>'QTR Raw'!AW10</f>
        <v>-115.74</v>
      </c>
      <c r="CD44" s="23">
        <f>'QTR Raw'!AX10</f>
        <v>18.059999999999999</v>
      </c>
      <c r="CE44" s="23">
        <f>'QTR Raw'!AY10</f>
        <v>-37.57</v>
      </c>
      <c r="CF44" s="23">
        <f>'QTR Raw'!AZ10</f>
        <v>-85.76</v>
      </c>
      <c r="CG44" s="23">
        <f>'QTR Raw'!BA10</f>
        <v>-82.92</v>
      </c>
      <c r="CH44" s="23">
        <f>'QTR Raw'!BB10</f>
        <v>206.35</v>
      </c>
      <c r="CI44" s="23">
        <f>'QTR Raw'!BC10</f>
        <v>-61.52</v>
      </c>
      <c r="CJ44" s="23">
        <f>'QTR Raw'!BD10</f>
        <v>-252.12</v>
      </c>
      <c r="CK44" s="23">
        <f>'QTR Raw'!BE10</f>
        <v>-134.37</v>
      </c>
      <c r="CL44" s="23">
        <f>'QTR Raw'!BF10</f>
        <v>121.89</v>
      </c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E44" s="24"/>
      <c r="DF44" s="23">
        <v>0</v>
      </c>
    </row>
    <row r="45" spans="1:110" s="23" customFormat="1" outlineLevel="1" x14ac:dyDescent="0.2">
      <c r="A45" s="23" t="s">
        <v>3</v>
      </c>
      <c r="B45" s="23">
        <v>0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76">
        <f>+SUM(CM45:CP45)</f>
        <v>0</v>
      </c>
      <c r="AC45" s="76">
        <f>+SUM(CQ45:CT45)</f>
        <v>0</v>
      </c>
      <c r="AD45" s="76">
        <f>+SUM(CU45:CX45)</f>
        <v>0</v>
      </c>
      <c r="AE45" s="76">
        <f>+SUM(CY45:DB45)</f>
        <v>0</v>
      </c>
      <c r="AI45" s="23">
        <f>'QTR Raw'!C12</f>
        <v>1.71</v>
      </c>
      <c r="AJ45" s="23">
        <f>'QTR Raw'!D12</f>
        <v>0.1</v>
      </c>
      <c r="AK45" s="23">
        <f>'QTR Raw'!E12</f>
        <v>4.32</v>
      </c>
      <c r="AL45" s="23">
        <f>'QTR Raw'!F12</f>
        <v>2.89</v>
      </c>
      <c r="AM45" s="23">
        <f>'QTR Raw'!G12</f>
        <v>4.1900000000000004</v>
      </c>
      <c r="AN45" s="23">
        <f>'QTR Raw'!H12</f>
        <v>5.9</v>
      </c>
      <c r="AO45" s="23">
        <f>'QTR Raw'!I12</f>
        <v>0.88</v>
      </c>
      <c r="AP45" s="23">
        <f>'QTR Raw'!J12</f>
        <v>5.05</v>
      </c>
      <c r="AQ45" s="23">
        <f>'QTR Raw'!K12</f>
        <v>6.96</v>
      </c>
      <c r="AR45" s="23">
        <f>'QTR Raw'!L12</f>
        <v>9.8000000000000007</v>
      </c>
      <c r="AS45" s="23">
        <f>'QTR Raw'!M12</f>
        <v>10.74</v>
      </c>
      <c r="AT45" s="23">
        <f>'QTR Raw'!N12</f>
        <v>8.6199999999999992</v>
      </c>
      <c r="AU45" s="23">
        <f>'QTR Raw'!O12</f>
        <v>6.27</v>
      </c>
      <c r="AV45" s="23">
        <f>'QTR Raw'!P12</f>
        <v>12.66</v>
      </c>
      <c r="AW45" s="23">
        <f>'QTR Raw'!Q12</f>
        <v>6.99</v>
      </c>
      <c r="AX45" s="23">
        <f>'QTR Raw'!R12</f>
        <v>9.1199999999999992</v>
      </c>
      <c r="AY45" s="23">
        <f>'QTR Raw'!S12</f>
        <v>8.15</v>
      </c>
      <c r="AZ45" s="23">
        <f>'QTR Raw'!T12</f>
        <v>17.46</v>
      </c>
      <c r="BA45" s="23">
        <f>'QTR Raw'!U12</f>
        <v>13.07</v>
      </c>
      <c r="BB45" s="23">
        <f>'QTR Raw'!V12</f>
        <v>12.39</v>
      </c>
      <c r="BC45" s="23">
        <f>'QTR Raw'!W12</f>
        <v>12.7</v>
      </c>
      <c r="BD45" s="23">
        <f>'QTR Raw'!X12</f>
        <v>17.559999999999999</v>
      </c>
      <c r="BE45" s="23">
        <f>'QTR Raw'!Y12</f>
        <v>9.57</v>
      </c>
      <c r="BF45" s="23">
        <f>'QTR Raw'!Z12</f>
        <v>7.57</v>
      </c>
      <c r="BG45" s="23">
        <f>'QTR Raw'!AA12</f>
        <v>11.43</v>
      </c>
      <c r="BH45" s="23">
        <f>'QTR Raw'!AB12</f>
        <v>12.39</v>
      </c>
      <c r="BI45" s="23">
        <f>'QTR Raw'!AC12</f>
        <v>11.96</v>
      </c>
      <c r="BJ45" s="23">
        <f>'QTR Raw'!AD12</f>
        <v>12.77</v>
      </c>
      <c r="BK45" s="23">
        <f>'QTR Raw'!AE12</f>
        <v>16.88</v>
      </c>
      <c r="BL45" s="23">
        <f>'QTR Raw'!AF12</f>
        <v>24.5</v>
      </c>
      <c r="BM45" s="23">
        <f>'QTR Raw'!AG12</f>
        <v>31.16</v>
      </c>
      <c r="BN45" s="23">
        <f>'QTR Raw'!AH12</f>
        <v>18.88</v>
      </c>
      <c r="BO45" s="23">
        <f>'QTR Raw'!AI12</f>
        <v>12.1</v>
      </c>
      <c r="BP45" s="23">
        <f>'QTR Raw'!AJ12</f>
        <v>20.65</v>
      </c>
      <c r="BQ45" s="23">
        <f>'QTR Raw'!AK12</f>
        <v>11.3</v>
      </c>
      <c r="BR45" s="23">
        <f>'QTR Raw'!AL12</f>
        <v>18.87</v>
      </c>
      <c r="BS45" s="23">
        <f>'QTR Raw'!AM12</f>
        <v>29.41</v>
      </c>
      <c r="BT45" s="23">
        <f>'QTR Raw'!AN12</f>
        <v>14.41</v>
      </c>
      <c r="BU45" s="23">
        <f>'QTR Raw'!AO12</f>
        <v>44.95</v>
      </c>
      <c r="BV45" s="23">
        <f>'QTR Raw'!AP12</f>
        <v>86.82</v>
      </c>
      <c r="BW45" s="23">
        <f>'QTR Raw'!AQ12</f>
        <v>75.13</v>
      </c>
      <c r="BX45" s="23">
        <f>'QTR Raw'!AR12</f>
        <v>62.58</v>
      </c>
      <c r="BY45" s="23">
        <f>'QTR Raw'!AS12</f>
        <v>132.81</v>
      </c>
      <c r="BZ45" s="23">
        <f>'QTR Raw'!AT12</f>
        <v>6.7</v>
      </c>
      <c r="CA45" s="23">
        <f>'QTR Raw'!AU12</f>
        <v>25.56</v>
      </c>
      <c r="CB45" s="23">
        <f>'QTR Raw'!AV12</f>
        <v>29.31</v>
      </c>
      <c r="CC45" s="23">
        <f>'QTR Raw'!AW12</f>
        <v>39.25</v>
      </c>
      <c r="CD45" s="23">
        <f>'QTR Raw'!AX12</f>
        <v>24.44</v>
      </c>
      <c r="CE45" s="23">
        <f>'QTR Raw'!AY12</f>
        <v>40.130000000000003</v>
      </c>
      <c r="CF45" s="23">
        <f>'QTR Raw'!AZ12</f>
        <v>33.94</v>
      </c>
      <c r="CG45" s="23">
        <f>'QTR Raw'!BA12</f>
        <v>19.559999999999999</v>
      </c>
      <c r="CH45" s="23">
        <f>'QTR Raw'!BB12</f>
        <v>31.23</v>
      </c>
      <c r="CI45" s="23">
        <f>'QTR Raw'!BC12</f>
        <v>41</v>
      </c>
      <c r="CJ45" s="23">
        <f>'QTR Raw'!BD12</f>
        <v>96.02</v>
      </c>
      <c r="CK45" s="23">
        <f>'QTR Raw'!BE12</f>
        <v>80.08</v>
      </c>
      <c r="CL45" s="23">
        <f>'QTR Raw'!BF12</f>
        <v>27.29</v>
      </c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E45" s="24"/>
      <c r="DF45" s="23">
        <v>0</v>
      </c>
    </row>
    <row r="46" spans="1:110" s="23" customFormat="1" outlineLevel="1" x14ac:dyDescent="0.2">
      <c r="A46" s="23" t="s">
        <v>4</v>
      </c>
      <c r="B46" s="23">
        <f>'Annual Raw'!C12</f>
        <v>342.29450000000003</v>
      </c>
      <c r="C46" s="23">
        <f>'Annual Raw'!D12</f>
        <v>346.5197</v>
      </c>
      <c r="D46" s="23">
        <f>'Annual Raw'!E12</f>
        <v>424.05650000000003</v>
      </c>
      <c r="E46" s="23">
        <f>'Annual Raw'!F12</f>
        <v>553.29190000000006</v>
      </c>
      <c r="F46" s="23">
        <f>'Annual Raw'!G12</f>
        <v>757.08</v>
      </c>
      <c r="G46" s="23">
        <f>'Annual Raw'!H12</f>
        <v>809.57830000000001</v>
      </c>
      <c r="H46" s="23">
        <f>'Annual Raw'!I12</f>
        <v>928.23</v>
      </c>
      <c r="I46" s="23">
        <f>'Annual Raw'!J12</f>
        <v>947.67909999999995</v>
      </c>
      <c r="J46" s="23">
        <f>'Annual Raw'!K12</f>
        <v>1066.7484999999999</v>
      </c>
      <c r="K46" s="23">
        <f>'Annual Raw'!L12</f>
        <v>1312.4267</v>
      </c>
      <c r="L46" s="23">
        <f>'Annual Raw'!M12</f>
        <v>1884.5532000000001</v>
      </c>
      <c r="M46" s="23">
        <f>'Annual Raw'!N12</f>
        <v>2312.7761999999998</v>
      </c>
      <c r="N46" s="23">
        <f>'Annual Raw'!O12</f>
        <v>2179.9121</v>
      </c>
      <c r="O46" s="23">
        <f>'Annual Raw'!P12</f>
        <v>2436.9025999999999</v>
      </c>
      <c r="P46" s="23">
        <f>'Annual Raw'!Q12</f>
        <v>2574.71</v>
      </c>
      <c r="Q46" s="23">
        <f>'Annual Raw'!R12</f>
        <v>2313.52</v>
      </c>
      <c r="R46" s="23">
        <f>'Annual Raw'!S12</f>
        <v>2440.2399999999998</v>
      </c>
      <c r="S46" s="23">
        <f>'Annual Raw'!T12</f>
        <v>3063.1</v>
      </c>
      <c r="T46" s="23">
        <f>'Annual Raw'!U12</f>
        <v>4041.16</v>
      </c>
      <c r="U46" s="23">
        <f>'Annual Raw'!V12</f>
        <v>3778.79</v>
      </c>
      <c r="V46" s="23">
        <f>'Annual Raw'!W12</f>
        <v>4090.6</v>
      </c>
      <c r="W46" s="23">
        <f>'Annual Raw'!X12</f>
        <v>6346.69</v>
      </c>
      <c r="X46" s="23">
        <f>'Annual Raw'!Y12</f>
        <v>7402.43</v>
      </c>
      <c r="Y46" s="23">
        <f>'Annual Raw'!Z12</f>
        <v>6814.16</v>
      </c>
      <c r="Z46" s="23">
        <f>'Annual Raw'!AA12</f>
        <v>7699.06</v>
      </c>
      <c r="AA46" s="23">
        <f>'Annual Raw'!AB12</f>
        <v>8123.79</v>
      </c>
      <c r="AB46" s="24">
        <f>+SUM(CM46:CP46)</f>
        <v>9102.7304115117149</v>
      </c>
      <c r="AC46" s="24">
        <f>+SUM(CQ46:CT46)</f>
        <v>10612.888110322961</v>
      </c>
      <c r="AD46" s="24">
        <f>+SUM(CU46:CX46)</f>
        <v>12385.165610019278</v>
      </c>
      <c r="AE46" s="24">
        <f>+SUM(CY46:DB46)</f>
        <v>14455.56417681409</v>
      </c>
      <c r="AI46" s="23">
        <f>'QTR Raw'!C11</f>
        <v>499.78</v>
      </c>
      <c r="AJ46" s="23">
        <f>'QTR Raw'!D11</f>
        <v>493.67</v>
      </c>
      <c r="AK46" s="23">
        <f>'QTR Raw'!E11</f>
        <v>469.24</v>
      </c>
      <c r="AL46" s="23">
        <f>'QTR Raw'!F11</f>
        <v>451.05</v>
      </c>
      <c r="AM46" s="23">
        <f>'QTR Raw'!G11</f>
        <v>474.31</v>
      </c>
      <c r="AN46" s="23">
        <f>'QTR Raw'!H11</f>
        <v>516.75</v>
      </c>
      <c r="AO46" s="23">
        <f>'QTR Raw'!I11</f>
        <v>498</v>
      </c>
      <c r="AP46" s="23">
        <f>'QTR Raw'!J11</f>
        <v>527.78</v>
      </c>
      <c r="AQ46" s="23">
        <f>'QTR Raw'!K11</f>
        <v>653.97</v>
      </c>
      <c r="AR46" s="23">
        <f>'QTR Raw'!L11</f>
        <v>687.21</v>
      </c>
      <c r="AS46" s="23">
        <f>'QTR Raw'!M11</f>
        <v>624.70000000000005</v>
      </c>
      <c r="AT46" s="23">
        <f>'QTR Raw'!N11</f>
        <v>572.71</v>
      </c>
      <c r="AU46" s="23">
        <f>'QTR Raw'!O11</f>
        <v>612.08000000000004</v>
      </c>
      <c r="AV46" s="23">
        <f>'QTR Raw'!P11</f>
        <v>607.02</v>
      </c>
      <c r="AW46" s="23">
        <f>'QTR Raw'!Q11</f>
        <v>536.59</v>
      </c>
      <c r="AX46" s="23">
        <f>'QTR Raw'!R11</f>
        <v>522.79</v>
      </c>
      <c r="AY46" s="23">
        <f>'QTR Raw'!S11</f>
        <v>570.55999999999995</v>
      </c>
      <c r="AZ46" s="23">
        <f>'QTR Raw'!T11</f>
        <v>574.48</v>
      </c>
      <c r="BA46" s="23">
        <f>'QTR Raw'!U11</f>
        <v>578.70000000000005</v>
      </c>
      <c r="BB46" s="23">
        <f>'QTR Raw'!V11</f>
        <v>665.43</v>
      </c>
      <c r="BC46" s="23">
        <f>'QTR Raw'!W11</f>
        <v>711.86</v>
      </c>
      <c r="BD46" s="23">
        <f>'QTR Raw'!X11</f>
        <v>692.74</v>
      </c>
      <c r="BE46" s="23">
        <f>'QTR Raw'!Y11</f>
        <v>751.82</v>
      </c>
      <c r="BF46" s="23">
        <f>'QTR Raw'!Z11</f>
        <v>859.28</v>
      </c>
      <c r="BG46" s="23">
        <f>'QTR Raw'!AA11</f>
        <v>948.44</v>
      </c>
      <c r="BH46" s="23">
        <f>'QTR Raw'!AB11</f>
        <v>977.22</v>
      </c>
      <c r="BI46" s="23">
        <f>'QTR Raw'!AC11</f>
        <v>1085.5999999999999</v>
      </c>
      <c r="BJ46" s="23">
        <f>'QTR Raw'!AD11</f>
        <v>1026.49</v>
      </c>
      <c r="BK46" s="23">
        <f>'QTR Raw'!AE11</f>
        <v>948.08</v>
      </c>
      <c r="BL46" s="23">
        <f>'QTR Raw'!AF11</f>
        <v>898.55</v>
      </c>
      <c r="BM46" s="23">
        <f>'QTR Raw'!AG11</f>
        <v>928.39</v>
      </c>
      <c r="BN46" s="23">
        <f>'QTR Raw'!AH11</f>
        <v>912.37</v>
      </c>
      <c r="BO46" s="23">
        <f>'QTR Raw'!AI11</f>
        <v>682.07</v>
      </c>
      <c r="BP46" s="23">
        <f>'QTR Raw'!AJ11</f>
        <v>946.62</v>
      </c>
      <c r="BQ46" s="23">
        <f>'QTR Raw'!AK11</f>
        <v>1119.6099999999999</v>
      </c>
      <c r="BR46" s="23">
        <f>'QTR Raw'!AL11</f>
        <v>1279.3800000000001</v>
      </c>
      <c r="BS46" s="23">
        <f>'QTR Raw'!AM11</f>
        <v>1293.3599999999999</v>
      </c>
      <c r="BT46" s="23">
        <f>'QTR Raw'!AN11</f>
        <v>1502.22</v>
      </c>
      <c r="BU46" s="23">
        <f>'QTR Raw'!AO11</f>
        <v>1739.73</v>
      </c>
      <c r="BV46" s="23">
        <f>'QTR Raw'!AP11</f>
        <v>1635.79</v>
      </c>
      <c r="BW46" s="23">
        <f>'QTR Raw'!AQ11</f>
        <v>1906.96</v>
      </c>
      <c r="BX46" s="23">
        <f>'QTR Raw'!AR11</f>
        <v>1785.67</v>
      </c>
      <c r="BY46" s="23">
        <f>'QTR Raw'!AS11</f>
        <v>1652.76</v>
      </c>
      <c r="BZ46" s="23">
        <f>'QTR Raw'!AT11</f>
        <v>1779.82</v>
      </c>
      <c r="CA46" s="23">
        <f>'QTR Raw'!AU11</f>
        <v>1732.75</v>
      </c>
      <c r="CB46" s="23">
        <f>'QTR Raw'!AV11</f>
        <v>1540.66</v>
      </c>
      <c r="CC46" s="23">
        <f>'QTR Raw'!AW11</f>
        <v>1631.18</v>
      </c>
      <c r="CD46" s="23">
        <f>'QTR Raw'!AX11</f>
        <v>1791.01</v>
      </c>
      <c r="CE46" s="23">
        <f>'QTR Raw'!AY11</f>
        <v>1824.5</v>
      </c>
      <c r="CF46" s="23">
        <f>'QTR Raw'!AZ11</f>
        <v>1885.87</v>
      </c>
      <c r="CG46" s="23">
        <f>'QTR Raw'!BA11</f>
        <v>1868.97</v>
      </c>
      <c r="CH46" s="23">
        <f>'QTR Raw'!BB11</f>
        <v>1994.86</v>
      </c>
      <c r="CI46" s="23">
        <f>'QTR Raw'!BC11</f>
        <v>1931.22</v>
      </c>
      <c r="CJ46" s="23">
        <f>'QTR Raw'!BD11</f>
        <v>1925.09</v>
      </c>
      <c r="CK46" s="23">
        <f>'QTR Raw'!BE11</f>
        <v>1889.91</v>
      </c>
      <c r="CL46" s="23">
        <f>'QTR Raw'!BF11</f>
        <v>2133.1799999999998</v>
      </c>
      <c r="CM46" s="24">
        <f t="shared" ref="CM46:DB46" si="143">+CM41-CM47</f>
        <v>2151.041718743978</v>
      </c>
      <c r="CN46" s="24">
        <f t="shared" si="143"/>
        <v>2048.383503283806</v>
      </c>
      <c r="CO46" s="24">
        <f t="shared" si="143"/>
        <v>2156.0248394862324</v>
      </c>
      <c r="CP46" s="24">
        <f t="shared" si="143"/>
        <v>2747.2803499976976</v>
      </c>
      <c r="CQ46" s="24">
        <f t="shared" si="143"/>
        <v>2493.2097905008523</v>
      </c>
      <c r="CR46" s="24">
        <f t="shared" si="143"/>
        <v>2390.7422855240125</v>
      </c>
      <c r="CS46" s="24">
        <f t="shared" si="143"/>
        <v>2520.6881744473785</v>
      </c>
      <c r="CT46" s="24">
        <f t="shared" si="143"/>
        <v>3208.2478598507168</v>
      </c>
      <c r="CU46" s="24">
        <f t="shared" si="143"/>
        <v>2906.5508481600282</v>
      </c>
      <c r="CV46" s="24">
        <f t="shared" si="143"/>
        <v>2791.1029205966329</v>
      </c>
      <c r="CW46" s="24">
        <f t="shared" si="143"/>
        <v>2943.0162657218743</v>
      </c>
      <c r="CX46" s="24">
        <f t="shared" si="143"/>
        <v>3744.4955755407436</v>
      </c>
      <c r="CY46" s="24">
        <f t="shared" si="143"/>
        <v>3391.9024823844306</v>
      </c>
      <c r="CZ46" s="24">
        <f t="shared" si="143"/>
        <v>3258.012333254992</v>
      </c>
      <c r="DA46" s="24">
        <f t="shared" si="143"/>
        <v>3435.2076141857888</v>
      </c>
      <c r="DB46" s="24">
        <f t="shared" si="143"/>
        <v>4370.4417469888795</v>
      </c>
      <c r="DE46" s="24">
        <v>2389.7500235316329</v>
      </c>
      <c r="DF46" s="23">
        <v>0</v>
      </c>
    </row>
    <row r="47" spans="1:110" s="31" customFormat="1" x14ac:dyDescent="0.2">
      <c r="A47" s="31" t="s">
        <v>5</v>
      </c>
      <c r="B47" s="31">
        <f t="shared" ref="B47:T47" si="144">B41-B44-B46-B45</f>
        <v>359.18339999999995</v>
      </c>
      <c r="C47" s="31">
        <f t="shared" si="144"/>
        <v>345.41389999999996</v>
      </c>
      <c r="D47" s="31">
        <f t="shared" si="144"/>
        <v>381.41410000000008</v>
      </c>
      <c r="E47" s="31">
        <f t="shared" si="144"/>
        <v>356.19099999999992</v>
      </c>
      <c r="F47" s="31">
        <f t="shared" si="144"/>
        <v>413.5524999999999</v>
      </c>
      <c r="G47" s="31">
        <f t="shared" si="144"/>
        <v>577.46320000000003</v>
      </c>
      <c r="H47" s="31">
        <f t="shared" si="144"/>
        <v>978.53459999999995</v>
      </c>
      <c r="I47" s="31">
        <f t="shared" si="144"/>
        <v>727.17620000000022</v>
      </c>
      <c r="J47" s="31">
        <f t="shared" si="144"/>
        <v>931.30360000000019</v>
      </c>
      <c r="K47" s="31">
        <f t="shared" si="144"/>
        <v>1203.9184</v>
      </c>
      <c r="L47" s="31">
        <f t="shared" si="144"/>
        <v>1641.7750999999996</v>
      </c>
      <c r="M47" s="31">
        <f t="shared" si="144"/>
        <v>1688.2203</v>
      </c>
      <c r="N47" s="31">
        <f t="shared" si="144"/>
        <v>1623.3398999999999</v>
      </c>
      <c r="O47" s="31">
        <f t="shared" si="144"/>
        <v>1623.2262999999998</v>
      </c>
      <c r="P47" s="31">
        <f t="shared" si="144"/>
        <v>1991.7400000000007</v>
      </c>
      <c r="Q47" s="31">
        <f t="shared" si="144"/>
        <v>2262.3800000000006</v>
      </c>
      <c r="R47" s="31">
        <f t="shared" si="144"/>
        <v>2402.9900000000007</v>
      </c>
      <c r="S47" s="31">
        <f t="shared" si="144"/>
        <v>2557.0400000000004</v>
      </c>
      <c r="T47" s="31">
        <f t="shared" si="144"/>
        <v>3132.46</v>
      </c>
      <c r="U47" s="31">
        <f t="shared" ref="U47:Z47" si="145">U41-U44-U46-U45</f>
        <v>3522.4399999999996</v>
      </c>
      <c r="V47" s="31">
        <f t="shared" si="145"/>
        <v>4381.1000000000004</v>
      </c>
      <c r="W47" s="31">
        <f t="shared" si="145"/>
        <v>6366.72</v>
      </c>
      <c r="X47" s="31">
        <f t="shared" si="145"/>
        <v>7476.74</v>
      </c>
      <c r="Y47" s="31">
        <f t="shared" si="145"/>
        <v>6429.74</v>
      </c>
      <c r="Z47" s="31">
        <f t="shared" si="145"/>
        <v>6993.9099999999989</v>
      </c>
      <c r="AA47" s="31">
        <f t="shared" ref="AA47" si="146">AA41-AA44-AA46-AA45</f>
        <v>7988.8400000000011</v>
      </c>
      <c r="AB47" s="32">
        <f t="shared" ref="AA47:AD47" si="147">AB41-AB44-AB46-AB45</f>
        <v>9067.3475002314917</v>
      </c>
      <c r="AC47" s="32">
        <f t="shared" si="147"/>
        <v>10558.453420229856</v>
      </c>
      <c r="AD47" s="32">
        <f t="shared" si="147"/>
        <v>12317.729243613219</v>
      </c>
      <c r="AE47" s="32">
        <f t="shared" ref="AE47" si="148">AE41-AE44-AE46-AE45</f>
        <v>14375.945360417902</v>
      </c>
      <c r="AI47" s="31">
        <f t="shared" ref="AI47" si="149">AI41-AI44-AI46-AI45</f>
        <v>274.18</v>
      </c>
      <c r="AJ47" s="31">
        <f t="shared" ref="AJ47" si="150">AJ41-AJ44-AJ46-AJ45</f>
        <v>312.68</v>
      </c>
      <c r="AK47" s="31">
        <f t="shared" ref="AK47:AM47" si="151">AK41-AK44-AK46-AK45</f>
        <v>415.83</v>
      </c>
      <c r="AL47" s="31">
        <f t="shared" si="151"/>
        <v>353.57</v>
      </c>
      <c r="AM47" s="31">
        <f t="shared" si="151"/>
        <v>315.25</v>
      </c>
      <c r="AN47" s="31">
        <f t="shared" ref="AN47:AO47" si="152">AN41-AN44-AN46-AN45</f>
        <v>341.68000000000018</v>
      </c>
      <c r="AO47" s="31">
        <f t="shared" si="152"/>
        <v>366.03000000000009</v>
      </c>
      <c r="AP47" s="31">
        <f t="shared" ref="AP47:CD47" si="153">AP41-AP44-AP46-AP45</f>
        <v>343.17</v>
      </c>
      <c r="AQ47" s="31">
        <f t="shared" si="153"/>
        <v>487.91000000000014</v>
      </c>
      <c r="AR47" s="31">
        <f t="shared" si="153"/>
        <v>533.83999999999992</v>
      </c>
      <c r="AS47" s="31">
        <f t="shared" si="153"/>
        <v>480.22999999999979</v>
      </c>
      <c r="AT47" s="31">
        <f t="shared" si="153"/>
        <v>483.30999999999983</v>
      </c>
      <c r="AU47" s="31">
        <f t="shared" si="153"/>
        <v>582.95000000000016</v>
      </c>
      <c r="AV47" s="31">
        <f t="shared" si="153"/>
        <v>561.18999999999994</v>
      </c>
      <c r="AW47" s="31">
        <f t="shared" si="153"/>
        <v>528.29000000000008</v>
      </c>
      <c r="AX47" s="31">
        <f t="shared" si="153"/>
        <v>572.97000000000014</v>
      </c>
      <c r="AY47" s="31">
        <f t="shared" si="153"/>
        <v>626.08000000000004</v>
      </c>
      <c r="AZ47" s="31">
        <f t="shared" si="153"/>
        <v>573.8900000000001</v>
      </c>
      <c r="BA47" s="31">
        <f t="shared" si="153"/>
        <v>571.16</v>
      </c>
      <c r="BB47" s="31">
        <f t="shared" si="153"/>
        <v>632.45000000000005</v>
      </c>
      <c r="BC47" s="31">
        <f t="shared" si="153"/>
        <v>589.91</v>
      </c>
      <c r="BD47" s="31">
        <f t="shared" si="153"/>
        <v>580.48</v>
      </c>
      <c r="BE47" s="31">
        <f t="shared" si="153"/>
        <v>661.91999999999985</v>
      </c>
      <c r="BF47" s="31">
        <f t="shared" si="153"/>
        <v>724.7299999999999</v>
      </c>
      <c r="BG47" s="31">
        <f t="shared" si="153"/>
        <v>740.55000000000007</v>
      </c>
      <c r="BH47" s="31">
        <f t="shared" si="153"/>
        <v>737.57</v>
      </c>
      <c r="BI47" s="31">
        <f t="shared" si="153"/>
        <v>783.56999999999994</v>
      </c>
      <c r="BJ47" s="31">
        <f t="shared" si="153"/>
        <v>866.33999999999992</v>
      </c>
      <c r="BK47" s="31">
        <f t="shared" si="153"/>
        <v>809.97</v>
      </c>
      <c r="BL47" s="31">
        <f t="shared" si="153"/>
        <v>850.15000000000009</v>
      </c>
      <c r="BM47" s="31">
        <f t="shared" si="153"/>
        <v>917.73</v>
      </c>
      <c r="BN47" s="31">
        <f t="shared" si="153"/>
        <v>913.28</v>
      </c>
      <c r="BO47" s="31">
        <f t="shared" si="153"/>
        <v>794.54</v>
      </c>
      <c r="BP47" s="31">
        <f t="shared" si="153"/>
        <v>1136.2099999999996</v>
      </c>
      <c r="BQ47" s="31">
        <f t="shared" si="153"/>
        <v>1127.79</v>
      </c>
      <c r="BR47" s="31">
        <f t="shared" si="153"/>
        <v>1303.8800000000001</v>
      </c>
      <c r="BS47" s="31">
        <f t="shared" si="153"/>
        <v>1367.6600000000003</v>
      </c>
      <c r="BT47" s="31">
        <f t="shared" si="153"/>
        <v>1408.8900000000003</v>
      </c>
      <c r="BU47" s="31">
        <f t="shared" si="153"/>
        <v>1704.4599999999998</v>
      </c>
      <c r="BV47" s="31">
        <f t="shared" si="153"/>
        <v>1885.7100000000003</v>
      </c>
      <c r="BW47" s="31">
        <f t="shared" si="153"/>
        <v>2012.08</v>
      </c>
      <c r="BX47" s="31">
        <f t="shared" si="153"/>
        <v>1738.7700000000004</v>
      </c>
      <c r="BY47" s="31">
        <f t="shared" si="153"/>
        <v>1760.24</v>
      </c>
      <c r="BZ47" s="31">
        <f t="shared" si="153"/>
        <v>1861.65</v>
      </c>
      <c r="CA47" s="31">
        <f t="shared" si="153"/>
        <v>1614.1299999999997</v>
      </c>
      <c r="CB47" s="31">
        <f t="shared" si="153"/>
        <v>1538.1899999999994</v>
      </c>
      <c r="CC47" s="31">
        <f t="shared" si="153"/>
        <v>1480.2700000000002</v>
      </c>
      <c r="CD47" s="31">
        <f t="shared" si="153"/>
        <v>1720.4400000000003</v>
      </c>
      <c r="CE47" s="31">
        <f t="shared" ref="CE47:CF47" si="154">CE41-CE44-CE46-CE45</f>
        <v>1619.8200000000002</v>
      </c>
      <c r="CF47" s="31">
        <f t="shared" si="154"/>
        <v>1567.6599999999999</v>
      </c>
      <c r="CG47" s="31">
        <f t="shared" ref="CG47:CH47" si="155">CG41-CG44-CG46-CG45</f>
        <v>1651.4800000000002</v>
      </c>
      <c r="CH47" s="31">
        <f t="shared" si="155"/>
        <v>2035.7800000000002</v>
      </c>
      <c r="CI47" s="31">
        <f t="shared" ref="CI47:CJ47" si="156">CI41-CI44-CI46-CI45</f>
        <v>1907.9199999999998</v>
      </c>
      <c r="CJ47" s="31">
        <f t="shared" si="156"/>
        <v>1840.57</v>
      </c>
      <c r="CK47" s="31">
        <f t="shared" ref="CK47:CL47" si="157">CK41-CK44-CK46-CK45</f>
        <v>1836.7100000000003</v>
      </c>
      <c r="CL47" s="31">
        <f t="shared" si="157"/>
        <v>2206.61</v>
      </c>
      <c r="CM47" s="32">
        <f t="shared" ref="CM47:DB47" si="158">+CM48*CM41</f>
        <v>2153.758886706215</v>
      </c>
      <c r="CN47" s="32">
        <f t="shared" si="158"/>
        <v>2052.3653159611049</v>
      </c>
      <c r="CO47" s="32">
        <f t="shared" si="158"/>
        <v>2139.9410766006736</v>
      </c>
      <c r="CP47" s="32">
        <f t="shared" si="158"/>
        <v>2721.2822209634974</v>
      </c>
      <c r="CQ47" s="32">
        <f t="shared" si="158"/>
        <v>2484.6281999436032</v>
      </c>
      <c r="CR47" s="32">
        <f t="shared" si="158"/>
        <v>2379.7094330800187</v>
      </c>
      <c r="CS47" s="32">
        <f t="shared" si="158"/>
        <v>2504.9394452791485</v>
      </c>
      <c r="CT47" s="32">
        <f t="shared" si="158"/>
        <v>3189.1763419270856</v>
      </c>
      <c r="CU47" s="32">
        <f t="shared" si="158"/>
        <v>2891.8352460174037</v>
      </c>
      <c r="CV47" s="32">
        <f t="shared" si="158"/>
        <v>2775.8419269739293</v>
      </c>
      <c r="CW47" s="32">
        <f t="shared" si="158"/>
        <v>2926.2974575190647</v>
      </c>
      <c r="CX47" s="32">
        <f t="shared" si="158"/>
        <v>3723.7546131028221</v>
      </c>
      <c r="CY47" s="32">
        <f t="shared" si="158"/>
        <v>3373.4584713487307</v>
      </c>
      <c r="CZ47" s="32">
        <f t="shared" si="158"/>
        <v>3239.9912073513942</v>
      </c>
      <c r="DA47" s="32">
        <f t="shared" si="158"/>
        <v>3416.1517489072585</v>
      </c>
      <c r="DB47" s="32">
        <f t="shared" si="158"/>
        <v>4346.3439328105178</v>
      </c>
      <c r="DE47" s="32">
        <v>2358.0867727059394</v>
      </c>
      <c r="DF47" s="31">
        <v>0</v>
      </c>
    </row>
    <row r="48" spans="1:110" s="41" customFormat="1" x14ac:dyDescent="0.2">
      <c r="A48" s="41" t="s">
        <v>6</v>
      </c>
      <c r="B48" s="41">
        <f>B47/B41</f>
        <v>0.51840352623059771</v>
      </c>
      <c r="C48" s="41">
        <f t="shared" ref="C48:U48" si="159">C47/C41</f>
        <v>0.49000265986686481</v>
      </c>
      <c r="D48" s="41">
        <f t="shared" si="159"/>
        <v>0.47421368790706553</v>
      </c>
      <c r="E48" s="41">
        <f t="shared" si="159"/>
        <v>0.3931068375941032</v>
      </c>
      <c r="F48" s="41">
        <f t="shared" si="159"/>
        <v>0.36074316393438038</v>
      </c>
      <c r="G48" s="41">
        <f t="shared" si="159"/>
        <v>0.42067525923624982</v>
      </c>
      <c r="H48" s="41">
        <f t="shared" si="159"/>
        <v>0.51869966776831011</v>
      </c>
      <c r="I48" s="41">
        <f t="shared" si="159"/>
        <v>0.43193598774763264</v>
      </c>
      <c r="J48" s="41">
        <f t="shared" si="159"/>
        <v>0.46035645777317263</v>
      </c>
      <c r="K48" s="41">
        <f t="shared" si="159"/>
        <v>0.48182208970238388</v>
      </c>
      <c r="L48" s="41">
        <f t="shared" si="159"/>
        <v>0.47265158943382829</v>
      </c>
      <c r="M48" s="41">
        <f t="shared" si="159"/>
        <v>0.42194921848981137</v>
      </c>
      <c r="N48" s="41">
        <f t="shared" si="159"/>
        <v>0.42912066051394721</v>
      </c>
      <c r="O48" s="41">
        <f t="shared" si="159"/>
        <v>0.40398256342743288</v>
      </c>
      <c r="P48" s="41">
        <f t="shared" si="159"/>
        <v>0.43872374637928579</v>
      </c>
      <c r="Q48" s="41">
        <f t="shared" si="159"/>
        <v>0.49260133428556507</v>
      </c>
      <c r="R48" s="41">
        <f t="shared" si="159"/>
        <v>0.49835953378406417</v>
      </c>
      <c r="S48" s="41">
        <f t="shared" si="159"/>
        <v>0.45750969755092119</v>
      </c>
      <c r="T48" s="41">
        <f t="shared" si="159"/>
        <v>0.44121702802556201</v>
      </c>
      <c r="U48" s="41">
        <f t="shared" si="159"/>
        <v>0.48858921881263512</v>
      </c>
      <c r="V48" s="41">
        <f>V47/V41</f>
        <v>0.5215570402045705</v>
      </c>
      <c r="W48" s="41">
        <f>W47/W41</f>
        <v>0.51205517924730126</v>
      </c>
      <c r="X48" s="41">
        <f>X47/X41</f>
        <v>0.50279854071047891</v>
      </c>
      <c r="Y48" s="41">
        <f>Y47/Y41</f>
        <v>0.48938084350444339</v>
      </c>
      <c r="Z48" s="41">
        <f>Z47/Z41</f>
        <v>0.47600059075468903</v>
      </c>
      <c r="AA48" s="41">
        <f>AA47/AA41</f>
        <v>0.50605485316260534</v>
      </c>
      <c r="AB48" s="42">
        <f t="shared" ref="AA48:AD48" si="160">AB47/AB41</f>
        <v>0.49902634123386574</v>
      </c>
      <c r="AC48" s="42">
        <f t="shared" si="160"/>
        <v>0.49871442511060177</v>
      </c>
      <c r="AD48" s="42">
        <f t="shared" si="160"/>
        <v>0.49863505134103459</v>
      </c>
      <c r="AE48" s="42">
        <f t="shared" ref="AE48" si="161">AE47/AE41</f>
        <v>0.49861923954600135</v>
      </c>
      <c r="AI48" s="41">
        <f t="shared" ref="AI48" si="162">AI47/AI41</f>
        <v>0.35791397428366295</v>
      </c>
      <c r="AJ48" s="41">
        <f t="shared" ref="AJ48" si="163">AJ47/AJ41</f>
        <v>0.3890312787717421</v>
      </c>
      <c r="AK48" s="41">
        <f t="shared" ref="AK48:AM48" si="164">AK47/AK41</f>
        <v>0.4787469202606553</v>
      </c>
      <c r="AL48" s="41">
        <f t="shared" si="164"/>
        <v>0.4321579172523376</v>
      </c>
      <c r="AM48" s="41">
        <f t="shared" si="164"/>
        <v>0.38990513648225794</v>
      </c>
      <c r="AN48" s="41">
        <f t="shared" ref="AN48:AO48" si="165">AN47/AN41</f>
        <v>0.40804920284230028</v>
      </c>
      <c r="AO48" s="41">
        <f t="shared" si="165"/>
        <v>0.42484069779588435</v>
      </c>
      <c r="AP48" s="41">
        <f t="shared" ref="AP48:CD48" si="166">AP47/AP41</f>
        <v>0.38698437041881867</v>
      </c>
      <c r="AQ48" s="41">
        <f t="shared" si="166"/>
        <v>0.42219530134556321</v>
      </c>
      <c r="AR48" s="41">
        <f t="shared" si="166"/>
        <v>0.45094312527981212</v>
      </c>
      <c r="AS48" s="41">
        <f t="shared" si="166"/>
        <v>0.43404343778526933</v>
      </c>
      <c r="AT48" s="41">
        <f t="shared" si="166"/>
        <v>0.44694643781904259</v>
      </c>
      <c r="AU48" s="41">
        <f t="shared" si="166"/>
        <v>0.47729189352939738</v>
      </c>
      <c r="AV48" s="41">
        <f t="shared" si="166"/>
        <v>0.48692008017144883</v>
      </c>
      <c r="AW48" s="41">
        <f t="shared" si="166"/>
        <v>0.48506578766148506</v>
      </c>
      <c r="AX48" s="41">
        <f t="shared" si="166"/>
        <v>0.51481634560092016</v>
      </c>
      <c r="AY48" s="41">
        <f t="shared" si="166"/>
        <v>0.51351284848385437</v>
      </c>
      <c r="AZ48" s="41">
        <f t="shared" si="166"/>
        <v>0.5017398146529114</v>
      </c>
      <c r="BA48" s="41">
        <f t="shared" si="166"/>
        <v>0.50610971795167159</v>
      </c>
      <c r="BB48" s="41">
        <f t="shared" si="166"/>
        <v>0.47702913690498644</v>
      </c>
      <c r="BC48" s="41">
        <f t="shared" si="166"/>
        <v>0.45613478906346649</v>
      </c>
      <c r="BD48" s="41">
        <f t="shared" si="166"/>
        <v>0.45123325793086294</v>
      </c>
      <c r="BE48" s="41">
        <f t="shared" si="166"/>
        <v>0.47379496943581512</v>
      </c>
      <c r="BF48" s="41">
        <f t="shared" si="166"/>
        <v>0.44950907726373368</v>
      </c>
      <c r="BG48" s="41">
        <f t="shared" si="166"/>
        <v>0.44561247269642029</v>
      </c>
      <c r="BH48" s="41">
        <f t="shared" si="166"/>
        <v>0.42444697649793983</v>
      </c>
      <c r="BI48" s="41">
        <f t="shared" si="166"/>
        <v>0.43320359579384998</v>
      </c>
      <c r="BJ48" s="41">
        <f t="shared" si="166"/>
        <v>0.44764458774472565</v>
      </c>
      <c r="BK48" s="41">
        <f t="shared" si="166"/>
        <v>0.45935155306274067</v>
      </c>
      <c r="BL48" s="41">
        <f t="shared" si="166"/>
        <v>0.49039853713969278</v>
      </c>
      <c r="BM48" s="41">
        <f t="shared" si="166"/>
        <v>0.495938913476971</v>
      </c>
      <c r="BN48" s="41">
        <f t="shared" si="166"/>
        <v>0.49885566024853201</v>
      </c>
      <c r="BO48" s="41">
        <f t="shared" si="166"/>
        <v>0.51725844042550417</v>
      </c>
      <c r="BP48" s="41">
        <f t="shared" si="166"/>
        <v>0.54331879650350978</v>
      </c>
      <c r="BQ48" s="41">
        <f t="shared" si="166"/>
        <v>0.52543083567445181</v>
      </c>
      <c r="BR48" s="41">
        <f t="shared" si="166"/>
        <v>0.50002109178762488</v>
      </c>
      <c r="BS48" s="41">
        <f t="shared" si="166"/>
        <v>0.50665333036971194</v>
      </c>
      <c r="BT48" s="41">
        <f t="shared" si="166"/>
        <v>0.49626801269474502</v>
      </c>
      <c r="BU48" s="41">
        <f t="shared" si="166"/>
        <v>0.50942206361872988</v>
      </c>
      <c r="BV48" s="41">
        <f t="shared" si="166"/>
        <v>0.53127271497878537</v>
      </c>
      <c r="BW48" s="41">
        <f t="shared" si="166"/>
        <v>0.51993746527643192</v>
      </c>
      <c r="BX48" s="41">
        <f t="shared" si="166"/>
        <v>0.47099439282715289</v>
      </c>
      <c r="BY48" s="41">
        <f t="shared" si="166"/>
        <v>0.50953216272701485</v>
      </c>
      <c r="BZ48" s="41">
        <f t="shared" si="166"/>
        <v>0.49642940950593056</v>
      </c>
      <c r="CA48" s="41">
        <f t="shared" si="166"/>
        <v>0.48696845820825724</v>
      </c>
      <c r="CB48" s="41">
        <f t="shared" si="166"/>
        <v>0.48703870814533351</v>
      </c>
      <c r="CC48" s="41">
        <f t="shared" si="166"/>
        <v>0.48773954187205104</v>
      </c>
      <c r="CD48" s="41">
        <f t="shared" si="166"/>
        <v>0.48409234795087158</v>
      </c>
      <c r="CE48" s="41">
        <f t="shared" ref="CE48:CF48" si="167">CE47/CE41</f>
        <v>0.46993803091491437</v>
      </c>
      <c r="CF48" s="41">
        <f t="shared" si="167"/>
        <v>0.46084469281626006</v>
      </c>
      <c r="CG48" s="41">
        <f t="shared" ref="CG48:CH48" si="168">CG47/CG41</f>
        <v>0.47770813024827247</v>
      </c>
      <c r="CH48" s="41">
        <f t="shared" si="168"/>
        <v>0.47696229341505358</v>
      </c>
      <c r="CI48" s="41">
        <f t="shared" ref="CI48:CJ48" si="169">CI47/CI41</f>
        <v>0.49963599415495646</v>
      </c>
      <c r="CJ48" s="41">
        <f t="shared" si="169"/>
        <v>0.50991533594122274</v>
      </c>
      <c r="CK48" s="41">
        <f t="shared" ref="CK48:CL48" si="170">CK47/CK41</f>
        <v>0.50014840714205966</v>
      </c>
      <c r="CL48" s="41">
        <f t="shared" si="170"/>
        <v>0.49156265245702241</v>
      </c>
      <c r="CM48" s="42">
        <f t="shared" ref="CM48:DB48" si="171">AVERAGE(CI48:CL48)</f>
        <v>0.50031559742381526</v>
      </c>
      <c r="CN48" s="42">
        <f t="shared" si="171"/>
        <v>0.50048549824103006</v>
      </c>
      <c r="CO48" s="42">
        <f t="shared" si="171"/>
        <v>0.49812803881598189</v>
      </c>
      <c r="CP48" s="42">
        <f t="shared" si="171"/>
        <v>0.49762294673446239</v>
      </c>
      <c r="CQ48" s="42">
        <f t="shared" si="171"/>
        <v>0.49913802030382243</v>
      </c>
      <c r="CR48" s="42">
        <f t="shared" si="171"/>
        <v>0.4988436260238242</v>
      </c>
      <c r="CS48" s="42">
        <f t="shared" si="171"/>
        <v>0.49843315796952276</v>
      </c>
      <c r="CT48" s="42">
        <f t="shared" si="171"/>
        <v>0.49850943775790796</v>
      </c>
      <c r="CU48" s="42">
        <f t="shared" si="171"/>
        <v>0.49873106051376936</v>
      </c>
      <c r="CV48" s="42">
        <f t="shared" si="171"/>
        <v>0.49862932056625608</v>
      </c>
      <c r="CW48" s="42">
        <f t="shared" si="171"/>
        <v>0.49857574420186401</v>
      </c>
      <c r="CX48" s="42">
        <f t="shared" si="171"/>
        <v>0.49861139075994931</v>
      </c>
      <c r="CY48" s="42">
        <f t="shared" si="171"/>
        <v>0.49863687901045972</v>
      </c>
      <c r="CZ48" s="42">
        <f t="shared" si="171"/>
        <v>0.49861333363463234</v>
      </c>
      <c r="DA48" s="42">
        <f t="shared" si="171"/>
        <v>0.49860933690172632</v>
      </c>
      <c r="DB48" s="42">
        <f t="shared" si="171"/>
        <v>0.49861773507669194</v>
      </c>
      <c r="DE48" s="42">
        <v>0.49666550766332312</v>
      </c>
    </row>
    <row r="49" spans="1:110" s="39" customFormat="1" x14ac:dyDescent="0.2">
      <c r="A49" s="39" t="s">
        <v>447</v>
      </c>
      <c r="C49" s="39">
        <f t="shared" ref="C49:AE49" si="172">+IF(B47&lt;0,1-C47/B47,C47/B47-1)</f>
        <v>-3.8335568960035427E-2</v>
      </c>
      <c r="D49" s="39">
        <f t="shared" si="172"/>
        <v>0.10422336796521536</v>
      </c>
      <c r="E49" s="39">
        <f t="shared" si="172"/>
        <v>-6.613048652370257E-2</v>
      </c>
      <c r="F49" s="39">
        <f t="shared" si="172"/>
        <v>0.16104140755942731</v>
      </c>
      <c r="G49" s="39">
        <f t="shared" si="172"/>
        <v>0.39634798483868483</v>
      </c>
      <c r="H49" s="39">
        <f t="shared" si="172"/>
        <v>0.69454018888129987</v>
      </c>
      <c r="I49" s="39">
        <f t="shared" si="172"/>
        <v>-0.25687226593724921</v>
      </c>
      <c r="J49" s="39">
        <f t="shared" si="172"/>
        <v>0.28071243255761114</v>
      </c>
      <c r="K49" s="39">
        <f t="shared" si="172"/>
        <v>0.29272387651030218</v>
      </c>
      <c r="L49" s="39">
        <f t="shared" si="172"/>
        <v>0.36369300444282571</v>
      </c>
      <c r="M49" s="39">
        <f t="shared" si="172"/>
        <v>2.8289623834592437E-2</v>
      </c>
      <c r="N49" s="39">
        <f t="shared" si="172"/>
        <v>-3.8431240283036572E-2</v>
      </c>
      <c r="O49" s="39">
        <f t="shared" si="172"/>
        <v>-6.9979183041191106E-5</v>
      </c>
      <c r="P49" s="39">
        <f t="shared" si="172"/>
        <v>0.22702546157612224</v>
      </c>
      <c r="Q49" s="39">
        <f t="shared" si="172"/>
        <v>0.13588118931185789</v>
      </c>
      <c r="R49" s="39">
        <f t="shared" si="172"/>
        <v>6.2151362724210735E-2</v>
      </c>
      <c r="S49" s="39">
        <f t="shared" si="172"/>
        <v>6.410763257441765E-2</v>
      </c>
      <c r="T49" s="39">
        <f t="shared" si="172"/>
        <v>0.22503363263773712</v>
      </c>
      <c r="U49" s="39">
        <f t="shared" si="172"/>
        <v>0.12449640218869495</v>
      </c>
      <c r="V49" s="39">
        <f t="shared" si="172"/>
        <v>0.24376852409125527</v>
      </c>
      <c r="W49" s="39">
        <f t="shared" si="172"/>
        <v>0.45322407614526017</v>
      </c>
      <c r="X49" s="39">
        <f t="shared" si="172"/>
        <v>0.17434723059911539</v>
      </c>
      <c r="Y49" s="39">
        <f t="shared" si="172"/>
        <v>-0.14003429302075499</v>
      </c>
      <c r="Z49" s="39">
        <f t="shared" si="172"/>
        <v>8.7743827899728233E-2</v>
      </c>
      <c r="AA49" s="39">
        <f t="shared" si="172"/>
        <v>0.14225662040260767</v>
      </c>
      <c r="AB49" s="40">
        <f t="shared" si="172"/>
        <v>0.13500176499109884</v>
      </c>
      <c r="AC49" s="40">
        <f t="shared" si="172"/>
        <v>0.16444786305590431</v>
      </c>
      <c r="AD49" s="40">
        <f t="shared" si="172"/>
        <v>0.1666224922688595</v>
      </c>
      <c r="AE49" s="40">
        <f t="shared" si="172"/>
        <v>0.16709379432673233</v>
      </c>
      <c r="AM49" s="39">
        <f>+IF(AI47&lt;0,1-AM47/AI47,AM47/AI47-1)</f>
        <v>0.14979210737471726</v>
      </c>
      <c r="AN49" s="39">
        <f t="shared" ref="AN49" si="173">+IF(AJ47&lt;0,1-AN47/AJ47,AN47/AJ47-1)</f>
        <v>9.2746577971089206E-2</v>
      </c>
      <c r="AO49" s="39">
        <f t="shared" ref="AO49" si="174">+IF(AK47&lt;0,1-AO47/AK47,AO47/AK47-1)</f>
        <v>-0.11976047904191589</v>
      </c>
      <c r="AP49" s="39">
        <f t="shared" ref="AP49" si="175">+IF(AL47&lt;0,1-AP47/AL47,AP47/AL47-1)</f>
        <v>-2.9414260259637337E-2</v>
      </c>
      <c r="AQ49" s="39">
        <f t="shared" ref="AQ49" si="176">+IF(AM47&lt;0,1-AQ47/AM47,AQ47/AM47-1)</f>
        <v>0.54769230769230814</v>
      </c>
      <c r="AR49" s="39">
        <f t="shared" ref="AR49" si="177">+IF(AN47&lt;0,1-AR47/AN47,AR47/AN47-1)</f>
        <v>0.56239756497307325</v>
      </c>
      <c r="AS49" s="39">
        <f t="shared" ref="AS49" si="178">+IF(AO47&lt;0,1-AS47/AO47,AS47/AO47-1)</f>
        <v>0.31199628445755723</v>
      </c>
      <c r="AT49" s="39">
        <f t="shared" ref="AT49" si="179">+IF(AP47&lt;0,1-AT47/AP47,AT47/AP47-1)</f>
        <v>0.40836902992685786</v>
      </c>
      <c r="AU49" s="39">
        <f t="shared" ref="AU49" si="180">+IF(AQ47&lt;0,1-AU47/AQ47,AU47/AQ47-1)</f>
        <v>0.19479002275009738</v>
      </c>
      <c r="AV49" s="39">
        <f t="shared" ref="AV49" si="181">+IF(AR47&lt;0,1-AV47/AR47,AV47/AR47-1)</f>
        <v>5.1232579049902638E-2</v>
      </c>
      <c r="AW49" s="39">
        <f t="shared" ref="AW49" si="182">+IF(AS47&lt;0,1-AW47/AS47,AW47/AS47-1)</f>
        <v>0.10007704641526005</v>
      </c>
      <c r="AX49" s="39">
        <f t="shared" ref="AX49" si="183">+IF(AT47&lt;0,1-AX47/AT47,AX47/AT47-1)</f>
        <v>0.18551240404709257</v>
      </c>
      <c r="AY49" s="39">
        <f t="shared" ref="AY49" si="184">+IF(AU47&lt;0,1-AY47/AU47,AY47/AU47-1)</f>
        <v>7.398576207221863E-2</v>
      </c>
      <c r="AZ49" s="39">
        <f t="shared" ref="AZ49" si="185">+IF(AV47&lt;0,1-AZ47/AV47,AZ47/AV47-1)</f>
        <v>2.2630481655054657E-2</v>
      </c>
      <c r="BA49" s="39">
        <f t="shared" ref="BA49" si="186">+IF(AW47&lt;0,1-BA47/AW47,BA47/AW47-1)</f>
        <v>8.1148611558045536E-2</v>
      </c>
      <c r="BB49" s="39">
        <f t="shared" ref="BB49" si="187">+IF(AX47&lt;0,1-BB47/AX47,BB47/AX47-1)</f>
        <v>0.10380997259891434</v>
      </c>
      <c r="BC49" s="39">
        <f t="shared" ref="BC49" si="188">+IF(AY47&lt;0,1-BC47/AY47,BC47/AY47-1)</f>
        <v>-5.7772169690774478E-2</v>
      </c>
      <c r="BD49" s="39">
        <f t="shared" ref="BD49" si="189">+IF(AZ47&lt;0,1-BD47/AZ47,BD47/AZ47-1)</f>
        <v>1.1483036818902503E-2</v>
      </c>
      <c r="BE49" s="39">
        <f t="shared" ref="BE49" si="190">+IF(BA47&lt;0,1-BE47/BA47,BE47/BA47-1)</f>
        <v>0.15890468520204482</v>
      </c>
      <c r="BF49" s="39">
        <f t="shared" ref="BF49" si="191">+IF(BB47&lt;0,1-BF47/BB47,BF47/BB47-1)</f>
        <v>0.14590876749150117</v>
      </c>
      <c r="BG49" s="39">
        <f t="shared" ref="BG49" si="192">+IF(BC47&lt;0,1-BG47/BC47,BG47/BC47-1)</f>
        <v>0.25536098726924461</v>
      </c>
      <c r="BH49" s="39">
        <f t="shared" ref="BH49" si="193">+IF(BD47&lt;0,1-BH47/BD47,BH47/BD47-1)</f>
        <v>0.27062086549062858</v>
      </c>
      <c r="BI49" s="39">
        <f t="shared" ref="BI49" si="194">+IF(BE47&lt;0,1-BI47/BE47,BI47/BE47-1)</f>
        <v>0.18378353879622944</v>
      </c>
      <c r="BJ49" s="39">
        <f t="shared" ref="BJ49" si="195">+IF(BF47&lt;0,1-BJ47/BF47,BJ47/BF47-1)</f>
        <v>0.19539690643412033</v>
      </c>
      <c r="BK49" s="39">
        <f t="shared" ref="BK49" si="196">+IF(BG47&lt;0,1-BK47/BG47,BK47/BG47-1)</f>
        <v>9.3741138343123254E-2</v>
      </c>
      <c r="BL49" s="39">
        <f t="shared" ref="BL49" si="197">+IF(BH47&lt;0,1-BL47/BH47,BL47/BH47-1)</f>
        <v>0.15263635993871771</v>
      </c>
      <c r="BM49" s="39">
        <f t="shared" ref="BM49" si="198">+IF(BI47&lt;0,1-BM47/BI47,BM47/BI47-1)</f>
        <v>0.17121635590949125</v>
      </c>
      <c r="BN49" s="39">
        <f t="shared" ref="BN49" si="199">+IF(BJ47&lt;0,1-BN47/BJ47,BN47/BJ47-1)</f>
        <v>5.418196089295213E-2</v>
      </c>
      <c r="BO49" s="39">
        <f t="shared" ref="BO49" si="200">+IF(BK47&lt;0,1-BO47/BK47,BO47/BK47-1)</f>
        <v>-1.9050088274874422E-2</v>
      </c>
      <c r="BP49" s="39">
        <f t="shared" ref="BP49" si="201">+IF(BL47&lt;0,1-BP47/BL47,BP47/BL47-1)</f>
        <v>0.33648179732988237</v>
      </c>
      <c r="BQ49" s="39">
        <f t="shared" ref="BQ49" si="202">+IF(BM47&lt;0,1-BQ47/BM47,BQ47/BM47-1)</f>
        <v>0.2288908502500735</v>
      </c>
      <c r="BR49" s="39">
        <f t="shared" ref="BR49" si="203">+IF(BN47&lt;0,1-BR47/BN47,BR47/BN47-1)</f>
        <v>0.42768920812894207</v>
      </c>
      <c r="BS49" s="39">
        <f t="shared" ref="BS49" si="204">+IF(BO47&lt;0,1-BS47/BO47,BS47/BO47-1)</f>
        <v>0.72132302967754969</v>
      </c>
      <c r="BT49" s="39">
        <f t="shared" ref="BT49" si="205">+IF(BP47&lt;0,1-BT47/BP47,BT47/BP47-1)</f>
        <v>0.23999084676248295</v>
      </c>
      <c r="BU49" s="39">
        <f t="shared" ref="BU49" si="206">+IF(BQ47&lt;0,1-BU47/BQ47,BU47/BQ47-1)</f>
        <v>0.51132746344620883</v>
      </c>
      <c r="BV49" s="39">
        <f t="shared" ref="BV49" si="207">+IF(BR47&lt;0,1-BV47/BR47,BV47/BR47-1)</f>
        <v>0.44622971439089487</v>
      </c>
      <c r="BW49" s="39">
        <f t="shared" ref="BW49" si="208">+IF(BS47&lt;0,1-BW47/BS47,BW47/BS47-1)</f>
        <v>0.47118435868563791</v>
      </c>
      <c r="BX49" s="39">
        <f t="shared" ref="BX49" si="209">+IF(BT47&lt;0,1-BX47/BT47,BX47/BT47-1)</f>
        <v>0.23414177118156854</v>
      </c>
      <c r="BY49" s="39">
        <f t="shared" ref="BY49" si="210">+IF(BU47&lt;0,1-BY47/BU47,BY47/BU47-1)</f>
        <v>3.2725907325487302E-2</v>
      </c>
      <c r="BZ49" s="39">
        <f t="shared" ref="BZ49" si="211">+IF(BV47&lt;0,1-BZ47/BV47,BZ47/BV47-1)</f>
        <v>-1.2759119907090777E-2</v>
      </c>
      <c r="CA49" s="39">
        <f t="shared" ref="CA49" si="212">+IF(BW47&lt;0,1-CA47/BW47,CA47/BW47-1)</f>
        <v>-0.19778040634567229</v>
      </c>
      <c r="CB49" s="39">
        <f t="shared" ref="CB49" si="213">+IF(BX47&lt;0,1-CB47/BX47,CB47/BX47-1)</f>
        <v>-0.11535740782277182</v>
      </c>
      <c r="CC49" s="39">
        <f t="shared" ref="CC49" si="214">+IF(BY47&lt;0,1-CC47/BY47,CC47/BY47-1)</f>
        <v>-0.15905217470344946</v>
      </c>
      <c r="CD49" s="39">
        <f t="shared" ref="CD49" si="215">+IF(BZ47&lt;0,1-CD47/BZ47,CD47/BZ47-1)</f>
        <v>-7.5852066715010769E-2</v>
      </c>
      <c r="CE49" s="39">
        <f t="shared" ref="CE49" si="216">+IF(CA47&lt;0,1-CE47/CA47,CE47/CA47-1)</f>
        <v>3.5251187946450102E-3</v>
      </c>
      <c r="CF49" s="39">
        <f t="shared" ref="CF49" si="217">+IF(CB47&lt;0,1-CF47/CB47,CF47/CB47-1)</f>
        <v>1.9158881542592487E-2</v>
      </c>
      <c r="CG49" s="39">
        <f t="shared" ref="CG49" si="218">+IF(CC47&lt;0,1-CG47/CC47,CG47/CC47-1)</f>
        <v>0.11566133205428741</v>
      </c>
      <c r="CH49" s="39">
        <f t="shared" ref="CH49:CL49" si="219">+IF(CD47&lt;0,1-CH47/CD47,CH47/CD47-1)</f>
        <v>0.1832903210806538</v>
      </c>
      <c r="CI49" s="39">
        <f t="shared" si="219"/>
        <v>0.17785926831376297</v>
      </c>
      <c r="CJ49" s="39">
        <f t="shared" si="219"/>
        <v>0.17408749346159258</v>
      </c>
      <c r="CK49" s="39">
        <f t="shared" si="219"/>
        <v>0.11216000193765585</v>
      </c>
      <c r="CL49" s="39">
        <f t="shared" si="219"/>
        <v>8.3913782432286421E-2</v>
      </c>
      <c r="CM49" s="40">
        <f t="shared" ref="CM49" si="220">+CM47/CI47-1</f>
        <v>0.12885177927073199</v>
      </c>
      <c r="CN49" s="40">
        <f t="shared" ref="CN49" si="221">+CN47/CJ47-1</f>
        <v>0.11507050313821532</v>
      </c>
      <c r="CO49" s="40">
        <f t="shared" ref="CO49" si="222">+CO47/CK47-1</f>
        <v>0.16509469464459459</v>
      </c>
      <c r="CP49" s="40">
        <f t="shared" ref="CP49" si="223">+CP47/CL47-1</f>
        <v>0.23324113502771082</v>
      </c>
      <c r="CQ49" s="40">
        <f t="shared" ref="CQ49" si="224">+CQ47/CM47-1</f>
        <v>0.15362411980265489</v>
      </c>
      <c r="CR49" s="40">
        <f t="shared" ref="CR49" si="225">+CR47/CN47-1</f>
        <v>0.15949602859353584</v>
      </c>
      <c r="CS49" s="40">
        <f t="shared" ref="CS49" si="226">+CS47/CO47-1</f>
        <v>0.17056468174267669</v>
      </c>
      <c r="CT49" s="40">
        <f t="shared" ref="CT49" si="227">+CT47/CP47-1</f>
        <v>0.17193884462226983</v>
      </c>
      <c r="CU49" s="40">
        <f t="shared" ref="CU49" si="228">+CU47/CQ47-1</f>
        <v>0.16389053544632692</v>
      </c>
      <c r="CV49" s="40">
        <f t="shared" ref="CV49" si="229">+CV47/CR47-1</f>
        <v>0.16646254722838272</v>
      </c>
      <c r="CW49" s="40">
        <f t="shared" ref="CW49" si="230">+CW47/CS47-1</f>
        <v>0.16821085756544529</v>
      </c>
      <c r="CX49" s="40">
        <f t="shared" ref="CX49" si="231">+CX47/CT47-1</f>
        <v>0.16762267553154908</v>
      </c>
      <c r="CY49" s="40">
        <f t="shared" ref="CY49" si="232">+CY47/CU47-1</f>
        <v>0.16654587290012879</v>
      </c>
      <c r="CZ49" s="40">
        <f t="shared" ref="CZ49" si="233">+CZ47/CV47-1</f>
        <v>0.1672102708252754</v>
      </c>
      <c r="DA49" s="40">
        <f t="shared" ref="DA49" si="234">+DA47/CW47-1</f>
        <v>0.16739729931744396</v>
      </c>
      <c r="DB49" s="40">
        <f t="shared" ref="DB49" si="235">+DB47/CX47-1</f>
        <v>0.16719397070821551</v>
      </c>
      <c r="DE49" s="40">
        <v>0.15832102324707931</v>
      </c>
    </row>
    <row r="50" spans="1:110" s="39" customFormat="1" x14ac:dyDescent="0.2">
      <c r="A50" s="39" t="s">
        <v>448</v>
      </c>
      <c r="AB50" s="40"/>
      <c r="AC50" s="40"/>
      <c r="AD50" s="40"/>
      <c r="AE50" s="40"/>
      <c r="AJ50" s="39">
        <f>+IF(AI47&lt;0,1-AJ47/AI47,AJ47/AI47-1)</f>
        <v>0.14041870304179738</v>
      </c>
      <c r="AK50" s="39">
        <f t="shared" ref="AK50" si="236">+IF(AJ47&lt;0,1-AK47/AJ47,AK47/AJ47-1)</f>
        <v>0.32988998336957898</v>
      </c>
      <c r="AL50" s="39">
        <f t="shared" ref="AL50" si="237">+IF(AK47&lt;0,1-AL47/AK47,AL47/AK47-1)</f>
        <v>-0.14972464709135946</v>
      </c>
      <c r="AM50" s="39">
        <f t="shared" ref="AM50" si="238">+IF(AL47&lt;0,1-AM47/AL47,AM47/AL47-1)</f>
        <v>-0.10838023587974088</v>
      </c>
      <c r="AN50" s="39">
        <f t="shared" ref="AN50" si="239">+IF(AM47&lt;0,1-AN47/AM47,AN47/AM47-1)</f>
        <v>8.3838223632038522E-2</v>
      </c>
      <c r="AO50" s="39">
        <f t="shared" ref="AO50" si="240">+IF(AN47&lt;0,1-AO47/AN47,AO47/AN47-1)</f>
        <v>7.126551158979133E-2</v>
      </c>
      <c r="AP50" s="39">
        <f t="shared" ref="AP50" si="241">+IF(AO47&lt;0,1-AP47/AO47,AP47/AO47-1)</f>
        <v>-6.2453897221539378E-2</v>
      </c>
      <c r="AQ50" s="39">
        <f t="shared" ref="AQ50" si="242">+IF(AP47&lt;0,1-AQ47/AP47,AQ47/AP47-1)</f>
        <v>0.42177346504647883</v>
      </c>
      <c r="AR50" s="39">
        <f t="shared" ref="AR50" si="243">+IF(AQ47&lt;0,1-AR47/AQ47,AR47/AQ47-1)</f>
        <v>9.4136213645958922E-2</v>
      </c>
      <c r="AS50" s="39">
        <f t="shared" ref="AS50" si="244">+IF(AR47&lt;0,1-AS47/AR47,AS47/AR47-1)</f>
        <v>-0.10042334781957163</v>
      </c>
      <c r="AT50" s="39">
        <f t="shared" ref="AT50" si="245">+IF(AS47&lt;0,1-AT47/AS47,AT47/AS47-1)</f>
        <v>6.4135934864544275E-3</v>
      </c>
      <c r="AU50" s="39">
        <f t="shared" ref="AU50" si="246">+IF(AT47&lt;0,1-AU47/AT47,AU47/AT47-1)</f>
        <v>0.20616167677060337</v>
      </c>
      <c r="AV50" s="39">
        <f t="shared" ref="AV50" si="247">+IF(AU47&lt;0,1-AV47/AU47,AV47/AU47-1)</f>
        <v>-3.7327386568316689E-2</v>
      </c>
      <c r="AW50" s="39">
        <f t="shared" ref="AW50" si="248">+IF(AV47&lt;0,1-AW47/AV47,AW47/AV47-1)</f>
        <v>-5.8625420980416343E-2</v>
      </c>
      <c r="AX50" s="39">
        <f t="shared" ref="AX50" si="249">+IF(AW47&lt;0,1-AX47/AW47,AX47/AW47-1)</f>
        <v>8.4574760074958899E-2</v>
      </c>
      <c r="AY50" s="39">
        <f t="shared" ref="AY50" si="250">+IF(AX47&lt;0,1-AY47/AX47,AY47/AX47-1)</f>
        <v>9.2692462083529437E-2</v>
      </c>
      <c r="AZ50" s="39">
        <f t="shared" ref="AZ50" si="251">+IF(AY47&lt;0,1-AZ47/AY47,AZ47/AY47-1)</f>
        <v>-8.3359953999488812E-2</v>
      </c>
      <c r="BA50" s="39">
        <f t="shared" ref="BA50" si="252">+IF(AZ47&lt;0,1-BA47/AZ47,BA47/AZ47-1)</f>
        <v>-4.7570091829447492E-3</v>
      </c>
      <c r="BB50" s="39">
        <f t="shared" ref="BB50" si="253">+IF(BA47&lt;0,1-BB47/BA47,BB47/BA47-1)</f>
        <v>0.10730793472932287</v>
      </c>
      <c r="BC50" s="39">
        <f t="shared" ref="BC50" si="254">+IF(BB47&lt;0,1-BC47/BB47,BC47/BB47-1)</f>
        <v>-6.7262234168709134E-2</v>
      </c>
      <c r="BD50" s="39">
        <f t="shared" ref="BD50" si="255">+IF(BC47&lt;0,1-BD47/BC47,BD47/BC47-1)</f>
        <v>-1.5985489311928891E-2</v>
      </c>
      <c r="BE50" s="39">
        <f t="shared" ref="BE50" si="256">+IF(BD47&lt;0,1-BE47/BD47,BE47/BD47-1)</f>
        <v>0.14029768467475168</v>
      </c>
      <c r="BF50" s="39">
        <f t="shared" ref="BF50" si="257">+IF(BE47&lt;0,1-BF47/BE47,BF47/BE47-1)</f>
        <v>9.4890621223108651E-2</v>
      </c>
      <c r="BG50" s="39">
        <f t="shared" ref="BG50" si="258">+IF(BF47&lt;0,1-BG47/BF47,BG47/BF47-1)</f>
        <v>2.1828819008458566E-2</v>
      </c>
      <c r="BH50" s="39">
        <f t="shared" ref="BH50" si="259">+IF(BG47&lt;0,1-BH47/BG47,BH47/BG47-1)</f>
        <v>-4.0240361893187915E-3</v>
      </c>
      <c r="BI50" s="39">
        <f t="shared" ref="BI50" si="260">+IF(BH47&lt;0,1-BI47/BH47,BI47/BH47-1)</f>
        <v>6.2366961779898755E-2</v>
      </c>
      <c r="BJ50" s="39">
        <f t="shared" ref="BJ50" si="261">+IF(BI47&lt;0,1-BJ47/BI47,BJ47/BI47-1)</f>
        <v>0.10563191546383854</v>
      </c>
      <c r="BK50" s="39">
        <f t="shared" ref="BK50" si="262">+IF(BJ47&lt;0,1-BK47/BJ47,BK47/BJ47-1)</f>
        <v>-6.5066832883163506E-2</v>
      </c>
      <c r="BL50" s="39">
        <f t="shared" ref="BL50" si="263">+IF(BK47&lt;0,1-BL47/BK47,BL47/BK47-1)</f>
        <v>4.9606775559588812E-2</v>
      </c>
      <c r="BM50" s="39">
        <f t="shared" ref="BM50" si="264">+IF(BL47&lt;0,1-BM47/BL47,BM47/BL47-1)</f>
        <v>7.9491854378638926E-2</v>
      </c>
      <c r="BN50" s="39">
        <f t="shared" ref="BN50" si="265">+IF(BM47&lt;0,1-BN47/BM47,BN47/BM47-1)</f>
        <v>-4.8489207065259832E-3</v>
      </c>
      <c r="BO50" s="39">
        <f t="shared" ref="BO50" si="266">+IF(BN47&lt;0,1-BO47/BN47,BO47/BN47-1)</f>
        <v>-0.13001489138051858</v>
      </c>
      <c r="BP50" s="39">
        <f t="shared" ref="BP50" si="267">+IF(BO47&lt;0,1-BP47/BO47,BP47/BO47-1)</f>
        <v>0.43002240289979055</v>
      </c>
      <c r="BQ50" s="39">
        <f t="shared" ref="BQ50" si="268">+IF(BP47&lt;0,1-BQ47/BP47,BQ47/BP47-1)</f>
        <v>-7.4106019133783896E-3</v>
      </c>
      <c r="BR50" s="39">
        <f t="shared" ref="BR50" si="269">+IF(BQ47&lt;0,1-BR47/BQ47,BR47/BQ47-1)</f>
        <v>0.15613722412860565</v>
      </c>
      <c r="BS50" s="39">
        <f t="shared" ref="BS50" si="270">+IF(BR47&lt;0,1-BS47/BR47,BS47/BR47-1)</f>
        <v>4.8915544375249365E-2</v>
      </c>
      <c r="BT50" s="39">
        <f t="shared" ref="BT50" si="271">+IF(BS47&lt;0,1-BT47/BS47,BT47/BS47-1)</f>
        <v>3.0146381410584455E-2</v>
      </c>
      <c r="BU50" s="39">
        <f t="shared" ref="BU50" si="272">+IF(BT47&lt;0,1-BU47/BT47,BU47/BT47-1)</f>
        <v>0.20978926672770726</v>
      </c>
      <c r="BV50" s="39">
        <f t="shared" ref="BV50" si="273">+IF(BU47&lt;0,1-BV47/BU47,BV47/BU47-1)</f>
        <v>0.10633866444504436</v>
      </c>
      <c r="BW50" s="39">
        <f t="shared" ref="BW50" si="274">+IF(BV47&lt;0,1-BW47/BV47,BW47/BV47-1)</f>
        <v>6.7014546245180773E-2</v>
      </c>
      <c r="BX50" s="39">
        <f t="shared" ref="BX50" si="275">+IF(BW47&lt;0,1-BX47/BW47,BX47/BW47-1)</f>
        <v>-0.1358345592620569</v>
      </c>
      <c r="BY50" s="39">
        <f t="shared" ref="BY50" si="276">+IF(BX47&lt;0,1-BY47/BX47,BY47/BX47-1)</f>
        <v>1.234780908343236E-2</v>
      </c>
      <c r="BZ50" s="39">
        <f t="shared" ref="BZ50" si="277">+IF(BY47&lt;0,1-BZ47/BY47,BZ47/BY47-1)</f>
        <v>5.7611462073353659E-2</v>
      </c>
      <c r="CA50" s="39">
        <f t="shared" ref="CA50" si="278">+IF(BZ47&lt;0,1-CA47/BZ47,CA47/BZ47-1)</f>
        <v>-0.1329573228050388</v>
      </c>
      <c r="CB50" s="39">
        <f t="shared" ref="CB50" si="279">+IF(CA47&lt;0,1-CB47/CA47,CB47/CA47-1)</f>
        <v>-4.7047016039600487E-2</v>
      </c>
      <c r="CC50" s="39">
        <f t="shared" ref="CC50" si="280">+IF(CB47&lt;0,1-CC47/CB47,CC47/CB47-1)</f>
        <v>-3.7654646045026441E-2</v>
      </c>
      <c r="CD50" s="39">
        <f t="shared" ref="CD50" si="281">+IF(CC47&lt;0,1-CD47/CC47,CD47/CC47-1)</f>
        <v>0.16224742783411128</v>
      </c>
      <c r="CE50" s="39">
        <f t="shared" ref="CE50" si="282">+IF(CD47&lt;0,1-CE47/CD47,CE47/CD47-1)</f>
        <v>-5.8485038711027504E-2</v>
      </c>
      <c r="CF50" s="39">
        <f t="shared" ref="CF50" si="283">+IF(CE47&lt;0,1-CF47/CE47,CF47/CE47-1)</f>
        <v>-3.2201108765171571E-2</v>
      </c>
      <c r="CG50" s="39">
        <f t="shared" ref="CG50" si="284">+IF(CF47&lt;0,1-CG47/CF47,CG47/CF47-1)</f>
        <v>5.346822652871186E-2</v>
      </c>
      <c r="CH50" s="39">
        <f t="shared" ref="CH50:CL50" si="285">+IF(CG47&lt;0,1-CH47/CG47,CH47/CG47-1)</f>
        <v>0.23270036573255504</v>
      </c>
      <c r="CI50" s="39">
        <f t="shared" si="285"/>
        <v>-6.2806393618171086E-2</v>
      </c>
      <c r="CJ50" s="39">
        <f t="shared" si="285"/>
        <v>-3.5300222231540057E-2</v>
      </c>
      <c r="CK50" s="39">
        <f t="shared" si="285"/>
        <v>-2.09717641817464E-3</v>
      </c>
      <c r="CL50" s="39">
        <f t="shared" si="285"/>
        <v>0.20139270761306882</v>
      </c>
      <c r="CM50" s="40">
        <f t="shared" ref="CM50" si="286">+CM47/CL47-1</f>
        <v>-2.3951270634042787E-2</v>
      </c>
      <c r="CN50" s="40">
        <f t="shared" ref="CN50" si="287">+CN47/CM47-1</f>
        <v>-4.7077493850842922E-2</v>
      </c>
      <c r="CO50" s="40">
        <f t="shared" ref="CO50" si="288">+CO47/CN47-1</f>
        <v>4.2670649303268693E-2</v>
      </c>
      <c r="CP50" s="40">
        <f t="shared" ref="CP50" si="289">+CP47/CO47-1</f>
        <v>0.27166222038519505</v>
      </c>
      <c r="CQ50" s="40">
        <f t="shared" ref="CQ50" si="290">+CQ47/CP47-1</f>
        <v>-8.6964159467482371E-2</v>
      </c>
      <c r="CR50" s="40">
        <f t="shared" ref="CR50" si="291">+CR47/CQ47-1</f>
        <v>-4.222714966608121E-2</v>
      </c>
      <c r="CS50" s="40">
        <f t="shared" ref="CS50" si="292">+CS47/CR47-1</f>
        <v>5.2624076897088479E-2</v>
      </c>
      <c r="CT50" s="40">
        <f t="shared" ref="CT50" si="293">+CT47/CS47-1</f>
        <v>0.27315506486093377</v>
      </c>
      <c r="CU50" s="40">
        <f t="shared" ref="CU50" si="294">+CU47/CT47-1</f>
        <v>-9.323444802992964E-2</v>
      </c>
      <c r="CV50" s="40">
        <f t="shared" ref="CV50" si="295">+CV47/CU47-1</f>
        <v>-4.0110624975340126E-2</v>
      </c>
      <c r="CW50" s="40">
        <f t="shared" ref="CW50" si="296">+CW47/CV47-1</f>
        <v>5.4201764546857323E-2</v>
      </c>
      <c r="CX50" s="40">
        <f t="shared" ref="CX50" si="297">+CX47/CW47-1</f>
        <v>0.27251404450860139</v>
      </c>
      <c r="CY50" s="40">
        <f t="shared" ref="CY50" si="298">+CY47/CX47-1</f>
        <v>-9.4070683530407706E-2</v>
      </c>
      <c r="CZ50" s="40">
        <f t="shared" ref="CZ50" si="299">+CZ47/CY47-1</f>
        <v>-3.9563926792309134E-2</v>
      </c>
      <c r="DA50" s="40">
        <f t="shared" ref="DA50" si="300">+DA47/CZ47-1</f>
        <v>5.4370685067343327E-2</v>
      </c>
      <c r="DB50" s="40">
        <f t="shared" ref="DB50" si="301">+DB47/DA47-1</f>
        <v>0.27229240744378647</v>
      </c>
      <c r="DE50" s="40">
        <v>0.28386450376267303</v>
      </c>
    </row>
    <row r="51" spans="1:110" s="23" customFormat="1" outlineLevel="1" x14ac:dyDescent="0.2">
      <c r="A51" s="23" t="s">
        <v>8</v>
      </c>
      <c r="B51" s="23">
        <f>'Annual Raw'!C14</f>
        <v>35.497599999999998</v>
      </c>
      <c r="C51" s="23">
        <f>'Annual Raw'!D14</f>
        <v>49.945300000000003</v>
      </c>
      <c r="D51" s="23">
        <f>'Annual Raw'!E14</f>
        <v>53.6556</v>
      </c>
      <c r="E51" s="23">
        <f>'Annual Raw'!F14</f>
        <v>55.288800000000002</v>
      </c>
      <c r="F51" s="23">
        <f>'Annual Raw'!G14</f>
        <v>52.038800000000002</v>
      </c>
      <c r="G51" s="23">
        <f>'Annual Raw'!H14</f>
        <v>58.886299999999999</v>
      </c>
      <c r="H51" s="23">
        <f>'Annual Raw'!I14</f>
        <v>72.462100000000007</v>
      </c>
      <c r="I51" s="23">
        <f>'Annual Raw'!J14</f>
        <v>81.683199999999999</v>
      </c>
      <c r="J51" s="23">
        <f>'Annual Raw'!K14</f>
        <v>117.9953</v>
      </c>
      <c r="K51" s="23">
        <f>'Annual Raw'!L14</f>
        <v>154.6748</v>
      </c>
      <c r="L51" s="23">
        <f>'Annual Raw'!M14</f>
        <v>194.4385</v>
      </c>
      <c r="M51" s="23">
        <f>'Annual Raw'!N14</f>
        <v>210.37729999999999</v>
      </c>
      <c r="N51" s="23">
        <f>'Annual Raw'!O14</f>
        <v>255.5839</v>
      </c>
      <c r="O51" s="23">
        <f>'Annual Raw'!P14</f>
        <v>299.28230000000002</v>
      </c>
      <c r="P51" s="23">
        <f>'Annual Raw'!Q14</f>
        <v>343.93</v>
      </c>
      <c r="Q51" s="23">
        <f>'Annual Raw'!R14</f>
        <v>373.11</v>
      </c>
      <c r="R51" s="23">
        <f>'Annual Raw'!S14</f>
        <v>418.66</v>
      </c>
      <c r="S51" s="23">
        <f>'Annual Raw'!T14</f>
        <v>458.16</v>
      </c>
      <c r="T51" s="23">
        <f>'Annual Raw'!U14</f>
        <v>442.48</v>
      </c>
      <c r="U51" s="23">
        <f>'Annual Raw'!V14</f>
        <v>518.05999999999995</v>
      </c>
      <c r="V51" s="23">
        <f>'Annual Raw'!W14</f>
        <v>593.75</v>
      </c>
      <c r="W51" s="23">
        <f>'Annual Raw'!X14</f>
        <v>741.78</v>
      </c>
      <c r="X51" s="23">
        <f>'Annual Raw'!Y14</f>
        <v>769.17</v>
      </c>
      <c r="Y51" s="23">
        <f>'Annual Raw'!Z14</f>
        <v>893.08</v>
      </c>
      <c r="Z51" s="23">
        <f>'Annual Raw'!AA14</f>
        <v>999.71</v>
      </c>
      <c r="AA51" s="23">
        <f>'Annual Raw'!AB14</f>
        <v>1100.79</v>
      </c>
      <c r="AB51" s="76">
        <f t="shared" ref="AB51:AB56" si="302">+SUM(CM51:CP51)</f>
        <v>1228.7238000000002</v>
      </c>
      <c r="AC51" s="76">
        <f t="shared" ref="AC51:AC56" si="303">+SUM(CQ51:CT51)</f>
        <v>1314.7344660000001</v>
      </c>
      <c r="AD51" s="76">
        <f t="shared" ref="AD51:AD56" si="304">+SUM(CU51:CX51)</f>
        <v>1406.7658786200002</v>
      </c>
      <c r="AE51" s="76">
        <f t="shared" ref="AE51:AE56" si="305">+SUM(CY51:DB51)</f>
        <v>1505.2394901234004</v>
      </c>
      <c r="AI51" s="23">
        <f>'QTR Raw'!C16</f>
        <v>44.19</v>
      </c>
      <c r="AJ51" s="23">
        <f>'QTR Raw'!D16</f>
        <v>52.46</v>
      </c>
      <c r="AK51" s="23">
        <f>'QTR Raw'!E16</f>
        <v>51.47</v>
      </c>
      <c r="AL51" s="23">
        <f>'QTR Raw'!F16</f>
        <v>54.32</v>
      </c>
      <c r="AM51" s="23">
        <f>'QTR Raw'!G16</f>
        <v>54.43</v>
      </c>
      <c r="AN51" s="23">
        <f>'QTR Raw'!H16</f>
        <v>55.26</v>
      </c>
      <c r="AO51" s="23">
        <f>'QTR Raw'!I16</f>
        <v>58.41</v>
      </c>
      <c r="AP51" s="23">
        <f>'QTR Raw'!J16</f>
        <v>64.62</v>
      </c>
      <c r="AQ51" s="23">
        <f>'QTR Raw'!K16</f>
        <v>85.41</v>
      </c>
      <c r="AR51" s="23">
        <f>'QTR Raw'!L16</f>
        <v>87.1</v>
      </c>
      <c r="AS51" s="23">
        <f>'QTR Raw'!M16</f>
        <v>88.46</v>
      </c>
      <c r="AT51" s="23">
        <f>'QTR Raw'!N16</f>
        <v>95.16</v>
      </c>
      <c r="AU51" s="23">
        <f>'QTR Raw'!O16</f>
        <v>90.86</v>
      </c>
      <c r="AV51" s="23">
        <f>'QTR Raw'!P16</f>
        <v>88.68</v>
      </c>
      <c r="AW51" s="23">
        <f>'QTR Raw'!Q16</f>
        <v>94.67</v>
      </c>
      <c r="AX51" s="23">
        <f>'QTR Raw'!R16</f>
        <v>112.12</v>
      </c>
      <c r="AY51" s="23">
        <f>'QTR Raw'!S16</f>
        <v>103.44</v>
      </c>
      <c r="AZ51" s="23">
        <f>'QTR Raw'!T16</f>
        <v>101.65</v>
      </c>
      <c r="BA51" s="23">
        <f>'QTR Raw'!U16</f>
        <v>107.46</v>
      </c>
      <c r="BB51" s="23">
        <f>'QTR Raw'!V16</f>
        <v>121.24</v>
      </c>
      <c r="BC51" s="23">
        <f>'QTR Raw'!W16</f>
        <v>116.16</v>
      </c>
      <c r="BD51" s="23">
        <f>'QTR Raw'!X16</f>
        <v>113.14</v>
      </c>
      <c r="BE51" s="23">
        <f>'QTR Raw'!Y16</f>
        <v>119.85</v>
      </c>
      <c r="BF51" s="23">
        <f>'QTR Raw'!Z16</f>
        <v>124.89</v>
      </c>
      <c r="BG51" s="23">
        <f>'QTR Raw'!AA16</f>
        <v>117.12</v>
      </c>
      <c r="BH51" s="23">
        <f>'QTR Raw'!AB16</f>
        <v>112.41</v>
      </c>
      <c r="BI51" s="23">
        <f>'QTR Raw'!AC16</f>
        <v>116.98</v>
      </c>
      <c r="BJ51" s="23">
        <f>'QTR Raw'!AD16</f>
        <v>125.04</v>
      </c>
      <c r="BK51" s="23">
        <f>'QTR Raw'!AE16</f>
        <v>129.02000000000001</v>
      </c>
      <c r="BL51" s="23">
        <f>'QTR Raw'!AF16</f>
        <v>129.15</v>
      </c>
      <c r="BM51" s="23">
        <f>'QTR Raw'!AG16</f>
        <v>136.75</v>
      </c>
      <c r="BN51" s="23">
        <f>'QTR Raw'!AH16</f>
        <v>147</v>
      </c>
      <c r="BO51" s="23">
        <f>'QTR Raw'!AI16</f>
        <v>137.49</v>
      </c>
      <c r="BP51" s="23">
        <f>'QTR Raw'!AJ16</f>
        <v>150.74</v>
      </c>
      <c r="BQ51" s="23">
        <f>'QTR Raw'!AK16</f>
        <v>157.86000000000001</v>
      </c>
      <c r="BR51" s="23">
        <f>'QTR Raw'!AL16</f>
        <v>175.31</v>
      </c>
      <c r="BS51" s="23">
        <f>'QTR Raw'!AM16</f>
        <v>182</v>
      </c>
      <c r="BT51" s="23">
        <f>'QTR Raw'!AN16</f>
        <v>177.73</v>
      </c>
      <c r="BU51" s="23">
        <f>'QTR Raw'!AO16</f>
        <v>206.77</v>
      </c>
      <c r="BV51" s="23">
        <f>'QTR Raw'!AP16</f>
        <v>213.5</v>
      </c>
      <c r="BW51" s="23">
        <f>'QTR Raw'!AQ16</f>
        <v>194.21</v>
      </c>
      <c r="BX51" s="23">
        <f>'QTR Raw'!AR16</f>
        <v>195.27</v>
      </c>
      <c r="BY51" s="23">
        <f>'QTR Raw'!AS16</f>
        <v>210.17</v>
      </c>
      <c r="BZ51" s="23">
        <f>'QTR Raw'!AT16</f>
        <v>214.15</v>
      </c>
      <c r="CA51" s="23">
        <f>'QTR Raw'!AU16</f>
        <v>217.97</v>
      </c>
      <c r="CB51" s="23">
        <f>'QTR Raw'!AV16</f>
        <v>226.63</v>
      </c>
      <c r="CC51" s="23">
        <f>'QTR Raw'!AW16</f>
        <v>243.83</v>
      </c>
      <c r="CD51" s="23">
        <f>'QTR Raw'!AX16</f>
        <v>246.6</v>
      </c>
      <c r="CE51" s="23">
        <f>'QTR Raw'!AY16</f>
        <v>252.19</v>
      </c>
      <c r="CF51" s="23">
        <f>'QTR Raw'!AZ16</f>
        <v>253.38</v>
      </c>
      <c r="CG51" s="23">
        <f>'QTR Raw'!BA16</f>
        <v>260.75</v>
      </c>
      <c r="CH51" s="23">
        <f>'QTR Raw'!BB16</f>
        <v>276.14999999999998</v>
      </c>
      <c r="CI51" s="23">
        <f>'QTR Raw'!BC16</f>
        <v>277.26</v>
      </c>
      <c r="CJ51" s="23">
        <f>'QTR Raw'!BD16</f>
        <v>277.14</v>
      </c>
      <c r="CK51" s="23">
        <f>'QTR Raw'!BE16</f>
        <v>280.83999999999997</v>
      </c>
      <c r="CL51" s="23">
        <f>'QTR Raw'!BF16</f>
        <v>313.10000000000002</v>
      </c>
      <c r="CM51" s="24">
        <f t="shared" ref="CM51:DB51" si="306">CI51*107%</f>
        <v>296.66820000000001</v>
      </c>
      <c r="CN51" s="24">
        <f t="shared" si="306"/>
        <v>296.53980000000001</v>
      </c>
      <c r="CO51" s="24">
        <f t="shared" si="306"/>
        <v>300.49880000000002</v>
      </c>
      <c r="CP51" s="24">
        <f t="shared" si="306"/>
        <v>335.01700000000005</v>
      </c>
      <c r="CQ51" s="24">
        <f t="shared" si="306"/>
        <v>317.43497400000001</v>
      </c>
      <c r="CR51" s="24">
        <f t="shared" si="306"/>
        <v>317.29758600000002</v>
      </c>
      <c r="CS51" s="24">
        <f t="shared" si="306"/>
        <v>321.53371600000003</v>
      </c>
      <c r="CT51" s="24">
        <f t="shared" si="306"/>
        <v>358.46819000000005</v>
      </c>
      <c r="CU51" s="24">
        <f t="shared" si="306"/>
        <v>339.65542218000002</v>
      </c>
      <c r="CV51" s="24">
        <f t="shared" si="306"/>
        <v>339.50841702000002</v>
      </c>
      <c r="CW51" s="24">
        <f t="shared" si="306"/>
        <v>344.04107612000007</v>
      </c>
      <c r="CX51" s="24">
        <f t="shared" si="306"/>
        <v>383.56096330000008</v>
      </c>
      <c r="CY51" s="24">
        <f t="shared" si="306"/>
        <v>363.43130173260005</v>
      </c>
      <c r="CZ51" s="24">
        <f t="shared" si="306"/>
        <v>363.27400621140004</v>
      </c>
      <c r="DA51" s="24">
        <f t="shared" si="306"/>
        <v>368.12395144840008</v>
      </c>
      <c r="DB51" s="24">
        <f t="shared" si="306"/>
        <v>410.41023073100013</v>
      </c>
      <c r="DE51" s="24">
        <v>295.48050000000001</v>
      </c>
      <c r="DF51" s="23">
        <v>0</v>
      </c>
    </row>
    <row r="52" spans="1:110" s="23" customFormat="1" outlineLevel="1" x14ac:dyDescent="0.2">
      <c r="A52" s="23" t="s">
        <v>10</v>
      </c>
      <c r="B52" s="23">
        <f>'Annual Raw'!C17</f>
        <v>16.6128</v>
      </c>
      <c r="C52" s="23">
        <f>'Annual Raw'!D17</f>
        <v>18.180399999999999</v>
      </c>
      <c r="D52" s="23">
        <f>'Annual Raw'!E17</f>
        <v>20.683700000000002</v>
      </c>
      <c r="E52" s="23">
        <f>'Annual Raw'!F17</f>
        <v>20.004000000000001</v>
      </c>
      <c r="F52" s="23">
        <f>'Annual Raw'!G17</f>
        <v>19.176200000000001</v>
      </c>
      <c r="G52" s="23">
        <f>'Annual Raw'!H17</f>
        <v>20.112100000000002</v>
      </c>
      <c r="H52" s="23">
        <f>'Annual Raw'!I17</f>
        <v>75.113100000000003</v>
      </c>
      <c r="I52" s="23">
        <f>'Annual Raw'!J17</f>
        <v>40.708399999999997</v>
      </c>
      <c r="J52" s="23">
        <f>'Annual Raw'!K17</f>
        <v>57.795200000000001</v>
      </c>
      <c r="K52" s="23">
        <f>'Annual Raw'!L17</f>
        <v>67.5822</v>
      </c>
      <c r="L52" s="23">
        <f>'Annual Raw'!M17</f>
        <v>64.904899999999998</v>
      </c>
      <c r="M52" s="23">
        <f>'Annual Raw'!N17</f>
        <v>83.447699999999998</v>
      </c>
      <c r="N52" s="23">
        <f>'Annual Raw'!O17</f>
        <v>80.533900000000003</v>
      </c>
      <c r="O52" s="23">
        <f>'Annual Raw'!P17</f>
        <v>81.910499999999999</v>
      </c>
      <c r="P52" s="23">
        <f>'Annual Raw'!Q17</f>
        <v>94.33</v>
      </c>
      <c r="Q52" s="23">
        <f>'Annual Raw'!R17</f>
        <v>95.35</v>
      </c>
      <c r="R52" s="23">
        <f>'Annual Raw'!S17</f>
        <v>124.48</v>
      </c>
      <c r="S52" s="23">
        <f>'Annual Raw'!T17</f>
        <v>129.69999999999999</v>
      </c>
      <c r="T52" s="23">
        <f>'Annual Raw'!U17</f>
        <v>158.69999999999999</v>
      </c>
      <c r="U52" s="23">
        <f>'Annual Raw'!V17</f>
        <v>169.77</v>
      </c>
      <c r="V52" s="23">
        <f>'Annual Raw'!W17</f>
        <v>137.12</v>
      </c>
      <c r="W52" s="23">
        <f>'Annual Raw'!X17</f>
        <v>192.94</v>
      </c>
      <c r="X52" s="23">
        <f>'Annual Raw'!Y17</f>
        <v>229.21</v>
      </c>
      <c r="Y52" s="23">
        <f>'Annual Raw'!Z17</f>
        <v>265.08999999999997</v>
      </c>
      <c r="Z52" s="23">
        <f>'Annual Raw'!AA17</f>
        <v>288.04000000000002</v>
      </c>
      <c r="AA52" s="23">
        <f>'Annual Raw'!AB17</f>
        <v>320.83999999999997</v>
      </c>
      <c r="AB52" s="76">
        <f t="shared" si="302"/>
        <v>0</v>
      </c>
      <c r="AC52" s="76">
        <f t="shared" si="303"/>
        <v>0</v>
      </c>
      <c r="AD52" s="76">
        <f t="shared" si="304"/>
        <v>0</v>
      </c>
      <c r="AE52" s="76">
        <f t="shared" si="305"/>
        <v>0</v>
      </c>
      <c r="AI52" s="23">
        <f>'QTR Raw'!C17</f>
        <v>0</v>
      </c>
      <c r="AJ52" s="23">
        <f>'QTR Raw'!D17</f>
        <v>0</v>
      </c>
      <c r="AK52" s="23">
        <f>'QTR Raw'!E17</f>
        <v>0</v>
      </c>
      <c r="AL52" s="23">
        <f>'QTR Raw'!F17</f>
        <v>0</v>
      </c>
      <c r="AM52" s="23">
        <f>'QTR Raw'!G17</f>
        <v>0</v>
      </c>
      <c r="AN52" s="23">
        <f>'QTR Raw'!H17</f>
        <v>0</v>
      </c>
      <c r="AO52" s="23">
        <f>'QTR Raw'!I17</f>
        <v>0</v>
      </c>
      <c r="AP52" s="23">
        <f>'QTR Raw'!J17</f>
        <v>0</v>
      </c>
      <c r="AQ52" s="23">
        <f>'QTR Raw'!K17</f>
        <v>0</v>
      </c>
      <c r="AR52" s="23">
        <f>'QTR Raw'!L17</f>
        <v>0</v>
      </c>
      <c r="AS52" s="23">
        <f>'QTR Raw'!M17</f>
        <v>0</v>
      </c>
      <c r="AT52" s="23">
        <f>'QTR Raw'!N17</f>
        <v>0</v>
      </c>
      <c r="AU52" s="23">
        <f>'QTR Raw'!O17</f>
        <v>0</v>
      </c>
      <c r="AV52" s="23">
        <f>'QTR Raw'!P17</f>
        <v>0</v>
      </c>
      <c r="AW52" s="23">
        <f>'QTR Raw'!Q17</f>
        <v>0</v>
      </c>
      <c r="AX52" s="23">
        <f>'QTR Raw'!R17</f>
        <v>0</v>
      </c>
      <c r="AY52" s="23">
        <f>'QTR Raw'!S17</f>
        <v>0</v>
      </c>
      <c r="AZ52" s="23">
        <f>'QTR Raw'!T17</f>
        <v>0</v>
      </c>
      <c r="BA52" s="23">
        <f>'QTR Raw'!U17</f>
        <v>0</v>
      </c>
      <c r="BB52" s="23">
        <f>'QTR Raw'!V17</f>
        <v>0</v>
      </c>
      <c r="BC52" s="23">
        <f>'QTR Raw'!W17</f>
        <v>0</v>
      </c>
      <c r="BD52" s="23">
        <f>'QTR Raw'!X17</f>
        <v>0</v>
      </c>
      <c r="BE52" s="23">
        <f>'QTR Raw'!Y17</f>
        <v>0</v>
      </c>
      <c r="BF52" s="23">
        <f>'QTR Raw'!Z17</f>
        <v>0</v>
      </c>
      <c r="BG52" s="23">
        <f>'QTR Raw'!AA17</f>
        <v>0</v>
      </c>
      <c r="BH52" s="23">
        <f>'QTR Raw'!AB17</f>
        <v>0</v>
      </c>
      <c r="BI52" s="23">
        <f>'QTR Raw'!AC17</f>
        <v>0</v>
      </c>
      <c r="BJ52" s="23">
        <f>'QTR Raw'!AD17</f>
        <v>0</v>
      </c>
      <c r="BK52" s="23">
        <f>'QTR Raw'!AE17</f>
        <v>0</v>
      </c>
      <c r="BL52" s="23">
        <f>'QTR Raw'!AF17</f>
        <v>0</v>
      </c>
      <c r="BM52" s="23">
        <f>'QTR Raw'!AG17</f>
        <v>0</v>
      </c>
      <c r="BN52" s="23">
        <f>'QTR Raw'!AH17</f>
        <v>0</v>
      </c>
      <c r="BO52" s="23">
        <f>'QTR Raw'!AI17</f>
        <v>0</v>
      </c>
      <c r="BP52" s="23">
        <f>'QTR Raw'!AJ17</f>
        <v>0</v>
      </c>
      <c r="BQ52" s="23">
        <f>'QTR Raw'!AK17</f>
        <v>0</v>
      </c>
      <c r="BR52" s="23">
        <f>'QTR Raw'!AL17</f>
        <v>0</v>
      </c>
      <c r="BS52" s="23">
        <f>'QTR Raw'!AM17</f>
        <v>0</v>
      </c>
      <c r="BT52" s="23">
        <f>'QTR Raw'!AN17</f>
        <v>0</v>
      </c>
      <c r="BU52" s="23">
        <f>'QTR Raw'!AO17</f>
        <v>0</v>
      </c>
      <c r="BV52" s="23">
        <f>'QTR Raw'!AP17</f>
        <v>0</v>
      </c>
      <c r="BW52" s="23">
        <f>'QTR Raw'!AQ17</f>
        <v>0</v>
      </c>
      <c r="BX52" s="23">
        <f>'QTR Raw'!AR17</f>
        <v>0</v>
      </c>
      <c r="BY52" s="23">
        <f>'QTR Raw'!AS17</f>
        <v>0</v>
      </c>
      <c r="BZ52" s="23">
        <f>'QTR Raw'!AT17</f>
        <v>0</v>
      </c>
      <c r="CA52" s="23">
        <f>'QTR Raw'!AU17</f>
        <v>0</v>
      </c>
      <c r="CB52" s="23">
        <f>'QTR Raw'!AV17</f>
        <v>0</v>
      </c>
      <c r="CC52" s="23">
        <f>'QTR Raw'!AW17</f>
        <v>0</v>
      </c>
      <c r="CD52" s="23">
        <f>'QTR Raw'!AX17</f>
        <v>0</v>
      </c>
      <c r="CE52" s="23">
        <f>'QTR Raw'!AY17</f>
        <v>0</v>
      </c>
      <c r="CF52" s="23">
        <f>'QTR Raw'!AZ17</f>
        <v>0</v>
      </c>
      <c r="CG52" s="23">
        <f>'QTR Raw'!BA17</f>
        <v>0</v>
      </c>
      <c r="CH52" s="23">
        <f>'QTR Raw'!BB17</f>
        <v>0</v>
      </c>
      <c r="CI52" s="23">
        <f>'QTR Raw'!BC17</f>
        <v>0</v>
      </c>
      <c r="CJ52" s="23">
        <f>'QTR Raw'!BD17</f>
        <v>0</v>
      </c>
      <c r="CK52" s="23">
        <f>'QTR Raw'!BE17</f>
        <v>0</v>
      </c>
      <c r="CL52" s="23">
        <f>'QTR Raw'!BF17</f>
        <v>0</v>
      </c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E52" s="24"/>
      <c r="DF52" s="23">
        <v>0</v>
      </c>
    </row>
    <row r="53" spans="1:110" s="23" customFormat="1" outlineLevel="1" x14ac:dyDescent="0.2">
      <c r="A53" s="23" t="s">
        <v>12</v>
      </c>
      <c r="B53" s="23">
        <f>'Annual Raw'!C19-'Annual Raw'!C20</f>
        <v>27.732099999999999</v>
      </c>
      <c r="C53" s="23">
        <f>'Annual Raw'!D19-'Annual Raw'!D20</f>
        <v>53.301600000000001</v>
      </c>
      <c r="D53" s="23">
        <f>'Annual Raw'!E19-'Annual Raw'!E20</f>
        <v>28.011199999999999</v>
      </c>
      <c r="E53" s="23">
        <f>'Annual Raw'!F19-'Annual Raw'!F20</f>
        <v>28.5623</v>
      </c>
      <c r="F53" s="23">
        <f>'Annual Raw'!G19-'Annual Raw'!G20</f>
        <v>31.936900000000001</v>
      </c>
      <c r="G53" s="23">
        <f>'Annual Raw'!H19-'Annual Raw'!H20</f>
        <v>44.066400000000002</v>
      </c>
      <c r="H53" s="23">
        <f>'Annual Raw'!I19-'Annual Raw'!I20</f>
        <v>42.1252</v>
      </c>
      <c r="I53" s="23">
        <f>'Annual Raw'!J19-'Annual Raw'!J20</f>
        <v>46.4818</v>
      </c>
      <c r="J53" s="23">
        <f>'Annual Raw'!K19-'Annual Raw'!K20</f>
        <v>114.4906</v>
      </c>
      <c r="K53" s="23">
        <f>'Annual Raw'!L19-'Annual Raw'!L20</f>
        <v>35.1646</v>
      </c>
      <c r="L53" s="23">
        <f>'Annual Raw'!M19-'Annual Raw'!M20</f>
        <v>56.069899999999997</v>
      </c>
      <c r="M53" s="23">
        <f>'Annual Raw'!N19-'Annual Raw'!N20</f>
        <v>64.221699999999998</v>
      </c>
      <c r="N53" s="23">
        <f>'Annual Raw'!O19-'Annual Raw'!O20</f>
        <v>65.020600000000002</v>
      </c>
      <c r="O53" s="23">
        <f>'Annual Raw'!P19-'Annual Raw'!P20</f>
        <v>80.931200000000004</v>
      </c>
      <c r="P53" s="23">
        <f>'Annual Raw'!Q19-'Annual Raw'!Q20</f>
        <v>91.83</v>
      </c>
      <c r="Q53" s="23">
        <f>'Annual Raw'!R19-'Annual Raw'!R20</f>
        <v>105.97</v>
      </c>
      <c r="R53" s="23">
        <f>'Annual Raw'!S19-'Annual Raw'!S20</f>
        <v>99.4</v>
      </c>
      <c r="S53" s="23">
        <f>'Annual Raw'!T19-'Annual Raw'!T20</f>
        <v>64.53</v>
      </c>
      <c r="T53" s="23">
        <f>'Annual Raw'!U19-'Annual Raw'!U20</f>
        <v>90.47</v>
      </c>
      <c r="U53" s="23">
        <f>'Annual Raw'!V19-'Annual Raw'!V20</f>
        <v>70.14</v>
      </c>
      <c r="V53" s="23">
        <f>'Annual Raw'!W19-'Annual Raw'!W20</f>
        <v>69.45</v>
      </c>
      <c r="W53" s="23">
        <f>'Annual Raw'!X19-'Annual Raw'!X20</f>
        <v>81.44</v>
      </c>
      <c r="X53" s="23">
        <f>'Annual Raw'!Y19-'Annual Raw'!Y20</f>
        <v>203.13</v>
      </c>
      <c r="Y53" s="23">
        <f>'Annual Raw'!Z19-'Annual Raw'!Z20</f>
        <v>208.54</v>
      </c>
      <c r="Z53" s="23">
        <f>'Annual Raw'!AA19-'Annual Raw'!AA20</f>
        <v>272.19</v>
      </c>
      <c r="AA53" s="23">
        <f>'Annual Raw'!AB19-'Annual Raw'!AB20</f>
        <v>338.45</v>
      </c>
      <c r="AB53" s="76">
        <f t="shared" si="302"/>
        <v>0</v>
      </c>
      <c r="AC53" s="76">
        <f t="shared" si="303"/>
        <v>0</v>
      </c>
      <c r="AD53" s="76">
        <f t="shared" si="304"/>
        <v>0</v>
      </c>
      <c r="AE53" s="76">
        <f t="shared" si="305"/>
        <v>0</v>
      </c>
      <c r="AI53" s="23">
        <f>+'QTR Raw'!C21</f>
        <v>0</v>
      </c>
      <c r="AJ53" s="23">
        <f>+'QTR Raw'!D21</f>
        <v>0</v>
      </c>
      <c r="AK53" s="23">
        <f>+'QTR Raw'!E21</f>
        <v>0</v>
      </c>
      <c r="AL53" s="23">
        <f>+'QTR Raw'!F21</f>
        <v>0</v>
      </c>
      <c r="AM53" s="23">
        <f>+'QTR Raw'!G21</f>
        <v>0</v>
      </c>
      <c r="AN53" s="23">
        <f>+'QTR Raw'!H21</f>
        <v>0</v>
      </c>
      <c r="AO53" s="23">
        <f>+'QTR Raw'!I21</f>
        <v>0</v>
      </c>
      <c r="AP53" s="23">
        <f>+'QTR Raw'!J21</f>
        <v>0</v>
      </c>
      <c r="AQ53" s="23">
        <f>+'QTR Raw'!K21</f>
        <v>0</v>
      </c>
      <c r="AR53" s="23">
        <f>+'QTR Raw'!L21</f>
        <v>0</v>
      </c>
      <c r="AS53" s="23">
        <f>+'QTR Raw'!M21</f>
        <v>0</v>
      </c>
      <c r="AT53" s="23">
        <f>+'QTR Raw'!N21</f>
        <v>0</v>
      </c>
      <c r="AU53" s="23">
        <f>+'QTR Raw'!O21</f>
        <v>0</v>
      </c>
      <c r="AV53" s="23">
        <f>+'QTR Raw'!P21</f>
        <v>0</v>
      </c>
      <c r="AW53" s="23">
        <f>+'QTR Raw'!Q21</f>
        <v>0</v>
      </c>
      <c r="AX53" s="23">
        <f>+'QTR Raw'!R21</f>
        <v>0</v>
      </c>
      <c r="AY53" s="23">
        <f>+'QTR Raw'!S21</f>
        <v>0</v>
      </c>
      <c r="AZ53" s="23">
        <f>+'QTR Raw'!T21</f>
        <v>0</v>
      </c>
      <c r="BA53" s="23">
        <f>+'QTR Raw'!U21</f>
        <v>0</v>
      </c>
      <c r="BB53" s="23">
        <f>+'QTR Raw'!V21</f>
        <v>0</v>
      </c>
      <c r="BC53" s="23">
        <f>+'QTR Raw'!W21</f>
        <v>0</v>
      </c>
      <c r="BD53" s="23">
        <f>+'QTR Raw'!X21</f>
        <v>0</v>
      </c>
      <c r="BE53" s="23">
        <f>+'QTR Raw'!Y21</f>
        <v>0</v>
      </c>
      <c r="BF53" s="23">
        <f>+'QTR Raw'!Z21</f>
        <v>0</v>
      </c>
      <c r="BG53" s="23">
        <f>+'QTR Raw'!AA21</f>
        <v>0</v>
      </c>
      <c r="BH53" s="23">
        <f>+'QTR Raw'!AB21</f>
        <v>0</v>
      </c>
      <c r="BI53" s="23">
        <f>+'QTR Raw'!AC21</f>
        <v>0</v>
      </c>
      <c r="BJ53" s="23">
        <f>+'QTR Raw'!AD21</f>
        <v>0</v>
      </c>
      <c r="BK53" s="23">
        <f>+'QTR Raw'!AE21</f>
        <v>0</v>
      </c>
      <c r="BL53" s="23">
        <f>+'QTR Raw'!AF21</f>
        <v>0</v>
      </c>
      <c r="BM53" s="23">
        <f>+'QTR Raw'!AG21</f>
        <v>0</v>
      </c>
      <c r="BN53" s="23">
        <f>+'QTR Raw'!AH21</f>
        <v>0</v>
      </c>
      <c r="BO53" s="23">
        <f>+'QTR Raw'!AI21</f>
        <v>0</v>
      </c>
      <c r="BP53" s="23">
        <f>+'QTR Raw'!AJ21</f>
        <v>0</v>
      </c>
      <c r="BQ53" s="23">
        <f>+'QTR Raw'!AK21</f>
        <v>0</v>
      </c>
      <c r="BR53" s="23">
        <f>+'QTR Raw'!AL21</f>
        <v>0</v>
      </c>
      <c r="BS53" s="23">
        <f>+'QTR Raw'!AM21</f>
        <v>0</v>
      </c>
      <c r="BT53" s="23">
        <f>+'QTR Raw'!AN21</f>
        <v>0</v>
      </c>
      <c r="BU53" s="23">
        <f>+'QTR Raw'!AO21</f>
        <v>0</v>
      </c>
      <c r="BV53" s="23">
        <f>+'QTR Raw'!AP21</f>
        <v>0</v>
      </c>
      <c r="BW53" s="23">
        <f>+'QTR Raw'!AQ21</f>
        <v>0</v>
      </c>
      <c r="BX53" s="23">
        <f>+'QTR Raw'!AR21</f>
        <v>0</v>
      </c>
      <c r="BY53" s="23">
        <f>+'QTR Raw'!AS21</f>
        <v>0</v>
      </c>
      <c r="BZ53" s="23">
        <f>+'QTR Raw'!AT21</f>
        <v>0</v>
      </c>
      <c r="CA53" s="23">
        <f>+'QTR Raw'!AU21</f>
        <v>0</v>
      </c>
      <c r="CB53" s="23">
        <f>+'QTR Raw'!AV21</f>
        <v>0</v>
      </c>
      <c r="CC53" s="23">
        <f>+'QTR Raw'!AW21</f>
        <v>0</v>
      </c>
      <c r="CD53" s="23">
        <f>+'QTR Raw'!AX21</f>
        <v>0</v>
      </c>
      <c r="CE53" s="23">
        <f>+'QTR Raw'!AY21</f>
        <v>0</v>
      </c>
      <c r="CF53" s="23">
        <f>+'QTR Raw'!AZ21</f>
        <v>0</v>
      </c>
      <c r="CG53" s="23">
        <f>+'QTR Raw'!BA21</f>
        <v>0</v>
      </c>
      <c r="CH53" s="23">
        <f>+'QTR Raw'!BB21</f>
        <v>0</v>
      </c>
      <c r="CI53" s="23">
        <f>+'QTR Raw'!BC21</f>
        <v>0</v>
      </c>
      <c r="CJ53" s="23">
        <f>+'QTR Raw'!BD21</f>
        <v>0</v>
      </c>
      <c r="CK53" s="23">
        <f>+'QTR Raw'!BE21</f>
        <v>0</v>
      </c>
      <c r="CL53" s="23">
        <f>+'QTR Raw'!BF21</f>
        <v>0</v>
      </c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E53" s="24"/>
      <c r="DF53" s="23">
        <v>0</v>
      </c>
    </row>
    <row r="54" spans="1:110" s="23" customFormat="1" outlineLevel="1" x14ac:dyDescent="0.2">
      <c r="A54" s="23" t="s">
        <v>9</v>
      </c>
      <c r="B54" s="23">
        <f>'Annual Raw'!C15+'Annual Raw'!C16</f>
        <v>70.367599999999996</v>
      </c>
      <c r="C54" s="23">
        <f>'Annual Raw'!D15+'Annual Raw'!D16</f>
        <v>59.824800000000003</v>
      </c>
      <c r="D54" s="23">
        <f>'Annual Raw'!E15+'Annual Raw'!E16</f>
        <v>56.5931</v>
      </c>
      <c r="E54" s="23">
        <f>'Annual Raw'!F15+'Annual Raw'!F16</f>
        <v>46.371699999999997</v>
      </c>
      <c r="F54" s="23">
        <f>'Annual Raw'!G15+'Annual Raw'!G16</f>
        <v>57.621600000000001</v>
      </c>
      <c r="G54" s="23">
        <f>'Annual Raw'!H15+'Annual Raw'!H16</f>
        <v>68.174300000000002</v>
      </c>
      <c r="H54" s="23">
        <f>'Annual Raw'!I15+'Annual Raw'!I16</f>
        <v>83.157700000000006</v>
      </c>
      <c r="I54" s="23">
        <f>'Annual Raw'!J15+'Annual Raw'!J16</f>
        <v>86.070400000000006</v>
      </c>
      <c r="J54" s="23">
        <f>'Annual Raw'!K15+'Annual Raw'!K16</f>
        <v>97.070099999999996</v>
      </c>
      <c r="K54" s="23">
        <f>'Annual Raw'!L15+'Annual Raw'!L16</f>
        <v>113.7303</v>
      </c>
      <c r="L54" s="23">
        <f>'Annual Raw'!M15+'Annual Raw'!M16</f>
        <v>153.1335</v>
      </c>
      <c r="M54" s="23">
        <f>'Annual Raw'!N15+'Annual Raw'!N16</f>
        <v>172.67519999999999</v>
      </c>
      <c r="N54" s="23">
        <f>'Annual Raw'!O15+'Annual Raw'!O16</f>
        <v>209.6104</v>
      </c>
      <c r="O54" s="23">
        <f>'Annual Raw'!P15+'Annual Raw'!P16</f>
        <v>228.02500000000001</v>
      </c>
      <c r="P54" s="23">
        <f>'Annual Raw'!Q15+'Annual Raw'!Q16</f>
        <v>297.42</v>
      </c>
      <c r="Q54" s="23">
        <f>'Annual Raw'!R15+'Annual Raw'!R16</f>
        <v>316.75</v>
      </c>
      <c r="R54" s="23">
        <f>'Annual Raw'!S15+'Annual Raw'!S16</f>
        <v>363.92</v>
      </c>
      <c r="S54" s="23">
        <f>'Annual Raw'!T15+'Annual Raw'!T16</f>
        <v>485.06</v>
      </c>
      <c r="T54" s="23">
        <f>'Annual Raw'!U15+'Annual Raw'!U16</f>
        <v>534.71</v>
      </c>
      <c r="U54" s="23">
        <f>'Annual Raw'!V15+'Annual Raw'!V16</f>
        <v>615.96</v>
      </c>
      <c r="V54" s="23">
        <f>'Annual Raw'!W15+'Annual Raw'!W16</f>
        <v>703.28</v>
      </c>
      <c r="W54" s="23">
        <f>'Annual Raw'!X15+'Annual Raw'!X16</f>
        <v>1076.07</v>
      </c>
      <c r="X54" s="23">
        <f>'Annual Raw'!Y15+'Annual Raw'!Y16</f>
        <v>1232.5</v>
      </c>
      <c r="Y54" s="23">
        <f>'Annual Raw'!Z15+'Annual Raw'!Z16</f>
        <v>1098.8699999999999</v>
      </c>
      <c r="Z54" s="23">
        <f>'Annual Raw'!AA15+'Annual Raw'!AA16</f>
        <v>1320.39</v>
      </c>
      <c r="AA54" s="23">
        <f>'Annual Raw'!AB15+'Annual Raw'!AB16</f>
        <v>1385.75</v>
      </c>
      <c r="AB54" s="76">
        <f t="shared" si="302"/>
        <v>3708.1256886256133</v>
      </c>
      <c r="AC54" s="76">
        <f t="shared" si="303"/>
        <v>4245.4027694898141</v>
      </c>
      <c r="AD54" s="76">
        <f t="shared" si="304"/>
        <v>5061.7667261333972</v>
      </c>
      <c r="AE54" s="76">
        <f t="shared" si="305"/>
        <v>6039.265009456094</v>
      </c>
      <c r="AI54" s="23">
        <f>'QTR Raw'!C14</f>
        <v>60.3</v>
      </c>
      <c r="AJ54" s="23">
        <f>'QTR Raw'!D14</f>
        <v>64.63</v>
      </c>
      <c r="AK54" s="23">
        <f>'QTR Raw'!E14</f>
        <v>84.27</v>
      </c>
      <c r="AL54" s="23">
        <f>'QTR Raw'!F14</f>
        <v>80.040000000000006</v>
      </c>
      <c r="AM54" s="23">
        <f>'QTR Raw'!G14</f>
        <v>64.81</v>
      </c>
      <c r="AN54" s="23">
        <f>'QTR Raw'!H14</f>
        <v>74.709999999999994</v>
      </c>
      <c r="AO54" s="23">
        <f>'QTR Raw'!I14</f>
        <v>77.680000000000007</v>
      </c>
      <c r="AP54" s="23">
        <f>'QTR Raw'!J14</f>
        <v>77.28</v>
      </c>
      <c r="AQ54" s="23">
        <f>'QTR Raw'!K14</f>
        <v>101.15</v>
      </c>
      <c r="AR54" s="23">
        <f>'QTR Raw'!L14</f>
        <v>138.1</v>
      </c>
      <c r="AS54" s="23">
        <f>'QTR Raw'!M14</f>
        <v>109.6</v>
      </c>
      <c r="AT54" s="23">
        <f>'QTR Raw'!N14</f>
        <v>131.86000000000001</v>
      </c>
      <c r="AU54" s="23">
        <f>'QTR Raw'!O14</f>
        <v>118.81</v>
      </c>
      <c r="AV54" s="23">
        <f>'QTR Raw'!P14</f>
        <v>128.31</v>
      </c>
      <c r="AW54" s="23">
        <f>'QTR Raw'!Q14</f>
        <v>113.14</v>
      </c>
      <c r="AX54" s="23">
        <f>'QTR Raw'!R14</f>
        <v>143.47999999999999</v>
      </c>
      <c r="AY54" s="23">
        <f>'QTR Raw'!S14</f>
        <v>127.26</v>
      </c>
      <c r="AZ54" s="23">
        <f>'QTR Raw'!T14</f>
        <v>140.33000000000001</v>
      </c>
      <c r="BA54" s="23">
        <f>'QTR Raw'!U14</f>
        <v>133.57</v>
      </c>
      <c r="BB54" s="23">
        <f>'QTR Raw'!V14</f>
        <v>185.89</v>
      </c>
      <c r="BC54" s="23">
        <f>'QTR Raw'!W14</f>
        <v>155.55000000000001</v>
      </c>
      <c r="BD54" s="23">
        <f>'QTR Raw'!X14</f>
        <v>142.08000000000001</v>
      </c>
      <c r="BE54" s="23">
        <f>'QTR Raw'!Y14</f>
        <v>183.99</v>
      </c>
      <c r="BF54" s="23">
        <f>'QTR Raw'!Z14</f>
        <v>194.35</v>
      </c>
      <c r="BG54" s="23">
        <f>'QTR Raw'!AA14</f>
        <v>170.86</v>
      </c>
      <c r="BH54" s="23">
        <f>'QTR Raw'!AB14</f>
        <v>174.36</v>
      </c>
      <c r="BI54" s="23">
        <f>'QTR Raw'!AC14</f>
        <v>207.62</v>
      </c>
      <c r="BJ54" s="23">
        <f>'QTR Raw'!AD14</f>
        <v>221.32</v>
      </c>
      <c r="BK54" s="23">
        <f>'QTR Raw'!AE14</f>
        <v>180.87</v>
      </c>
      <c r="BL54" s="23">
        <f>'QTR Raw'!AF14</f>
        <v>226.53</v>
      </c>
      <c r="BM54" s="23">
        <f>'QTR Raw'!AG14</f>
        <v>208.76</v>
      </c>
      <c r="BN54" s="23">
        <f>'QTR Raw'!AH14</f>
        <v>233.37</v>
      </c>
      <c r="BO54" s="23">
        <f>'QTR Raw'!AI14</f>
        <v>170.53</v>
      </c>
      <c r="BP54" s="23">
        <f>'QTR Raw'!AJ14</f>
        <v>223.25</v>
      </c>
      <c r="BQ54" s="23">
        <f>'QTR Raw'!AK14</f>
        <v>230.67</v>
      </c>
      <c r="BR54" s="23">
        <f>'QTR Raw'!AL14</f>
        <v>284.58</v>
      </c>
      <c r="BS54" s="23">
        <f>'QTR Raw'!AM14</f>
        <v>289.5</v>
      </c>
      <c r="BT54" s="23">
        <f>'QTR Raw'!AN14</f>
        <v>312.99</v>
      </c>
      <c r="BU54" s="23">
        <f>'QTR Raw'!AO14</f>
        <v>349.63</v>
      </c>
      <c r="BV54" s="23">
        <f>'QTR Raw'!AP14</f>
        <v>395.84</v>
      </c>
      <c r="BW54" s="23">
        <f>'QTR Raw'!AQ14</f>
        <v>412.6</v>
      </c>
      <c r="BX54" s="23">
        <f>'QTR Raw'!AR14</f>
        <v>400.71</v>
      </c>
      <c r="BY54" s="23">
        <f>'QTR Raw'!AS14</f>
        <v>372.29</v>
      </c>
      <c r="BZ54" s="23">
        <f>'QTR Raw'!AT14</f>
        <v>371.89</v>
      </c>
      <c r="CA54" s="23">
        <f>'QTR Raw'!AU14</f>
        <v>347.11</v>
      </c>
      <c r="CB54" s="23">
        <f>'QTR Raw'!AV14</f>
        <v>341.56</v>
      </c>
      <c r="CC54" s="23">
        <f>'QTR Raw'!AW14</f>
        <v>351.19</v>
      </c>
      <c r="CD54" s="23">
        <f>'QTR Raw'!AX14</f>
        <v>449.22</v>
      </c>
      <c r="CE54" s="23">
        <f>'QTR Raw'!AY14</f>
        <v>422.48</v>
      </c>
      <c r="CF54" s="23">
        <f>'QTR Raw'!AZ14</f>
        <v>431.17</v>
      </c>
      <c r="CG54" s="23">
        <f>'QTR Raw'!BA14</f>
        <v>440.07</v>
      </c>
      <c r="CH54" s="23">
        <f>'QTR Raw'!BB14</f>
        <v>468.24</v>
      </c>
      <c r="CI54" s="23">
        <f>'QTR Raw'!BC14</f>
        <v>446.78</v>
      </c>
      <c r="CJ54" s="23">
        <f>'QTR Raw'!BD14</f>
        <v>447.22</v>
      </c>
      <c r="CK54" s="23">
        <f>'QTR Raw'!BE14</f>
        <v>450.12</v>
      </c>
      <c r="CL54" s="23">
        <f>'QTR Raw'!BF14</f>
        <v>520.73</v>
      </c>
      <c r="CM54" s="24">
        <f t="shared" ref="CM54:DB54" si="307">CM57-CM51-CM52-CM53-CM55-CM56</f>
        <v>896.03538251261466</v>
      </c>
      <c r="CN54" s="24">
        <f t="shared" si="307"/>
        <v>832.05920330269282</v>
      </c>
      <c r="CO54" s="24">
        <f t="shared" si="307"/>
        <v>860.53992176006818</v>
      </c>
      <c r="CP54" s="24">
        <f t="shared" si="307"/>
        <v>1119.4911810502374</v>
      </c>
      <c r="CQ54" s="24">
        <f t="shared" si="307"/>
        <v>1010.0920281453864</v>
      </c>
      <c r="CR54" s="24">
        <f t="shared" si="307"/>
        <v>942.79487193032412</v>
      </c>
      <c r="CS54" s="24">
        <f t="shared" si="307"/>
        <v>992.32896022381635</v>
      </c>
      <c r="CT54" s="24">
        <f t="shared" si="307"/>
        <v>1300.1869091902877</v>
      </c>
      <c r="CU54" s="24">
        <f t="shared" si="307"/>
        <v>1184.6453941203577</v>
      </c>
      <c r="CV54" s="24">
        <f t="shared" si="307"/>
        <v>1118.6563536356866</v>
      </c>
      <c r="CW54" s="24">
        <f t="shared" si="307"/>
        <v>1190.077322512803</v>
      </c>
      <c r="CX54" s="24">
        <f t="shared" si="307"/>
        <v>1568.3876558645497</v>
      </c>
      <c r="CY54" s="24">
        <f t="shared" si="307"/>
        <v>1408.3526169650488</v>
      </c>
      <c r="CZ54" s="24">
        <f t="shared" si="307"/>
        <v>1336.878227695059</v>
      </c>
      <c r="DA54" s="24">
        <f t="shared" si="307"/>
        <v>1423.9836282484528</v>
      </c>
      <c r="DB54" s="24">
        <f t="shared" si="307"/>
        <v>1870.0505365475335</v>
      </c>
      <c r="DE54" s="24">
        <v>954.65126998104063</v>
      </c>
      <c r="DF54" s="23">
        <v>0</v>
      </c>
    </row>
    <row r="55" spans="1:110" s="23" customFormat="1" outlineLevel="1" x14ac:dyDescent="0.2">
      <c r="A55" s="23" t="s">
        <v>7</v>
      </c>
      <c r="B55" s="23">
        <f>'Annual Raw'!C13</f>
        <v>68.247399999999999</v>
      </c>
      <c r="C55" s="23">
        <f>'Annual Raw'!D13</f>
        <v>71.586399999999998</v>
      </c>
      <c r="D55" s="23">
        <f>'Annual Raw'!E13</f>
        <v>81.763400000000004</v>
      </c>
      <c r="E55" s="23">
        <f>'Annual Raw'!F13</f>
        <v>79.645499999999998</v>
      </c>
      <c r="F55" s="23">
        <f>'Annual Raw'!G13</f>
        <v>101.8212</v>
      </c>
      <c r="G55" s="23">
        <f>'Annual Raw'!H13</f>
        <v>125.73090000000001</v>
      </c>
      <c r="H55" s="23">
        <f>'Annual Raw'!I13</f>
        <v>150.39580000000001</v>
      </c>
      <c r="I55" s="23">
        <f>'Annual Raw'!J13</f>
        <v>147.04519999999999</v>
      </c>
      <c r="J55" s="23">
        <f>'Annual Raw'!K13</f>
        <v>167.08799999999999</v>
      </c>
      <c r="K55" s="23">
        <f>'Annual Raw'!L13</f>
        <v>207.6645</v>
      </c>
      <c r="L55" s="23">
        <f>'Annual Raw'!M13</f>
        <v>260.38049999999998</v>
      </c>
      <c r="M55" s="23">
        <f>'Annual Raw'!N13</f>
        <v>314.18490000000003</v>
      </c>
      <c r="N55" s="23">
        <f>'Annual Raw'!O13</f>
        <v>388.5915</v>
      </c>
      <c r="O55" s="23">
        <f>'Annual Raw'!P13</f>
        <v>418.85239999999999</v>
      </c>
      <c r="P55" s="23">
        <f>'Annual Raw'!Q13</f>
        <v>434.15</v>
      </c>
      <c r="Q55" s="23">
        <f>'Annual Raw'!R13</f>
        <v>398.07</v>
      </c>
      <c r="R55" s="23">
        <f>'Annual Raw'!S13</f>
        <v>417.8</v>
      </c>
      <c r="S55" s="23">
        <f>'Annual Raw'!T13</f>
        <v>500.79</v>
      </c>
      <c r="T55" s="23">
        <f>'Annual Raw'!U13</f>
        <v>585.09</v>
      </c>
      <c r="U55" s="23">
        <f>'Annual Raw'!V13</f>
        <v>672.55</v>
      </c>
      <c r="V55" s="23">
        <f>'Annual Raw'!W13</f>
        <v>717.34</v>
      </c>
      <c r="W55" s="23">
        <f>'Annual Raw'!X13</f>
        <v>1135.56</v>
      </c>
      <c r="X55" s="23">
        <f>'Annual Raw'!Y13</f>
        <v>1472.25</v>
      </c>
      <c r="Y55" s="23">
        <f>'Annual Raw'!Z13</f>
        <v>1344.81</v>
      </c>
      <c r="Z55" s="23">
        <f>'Annual Raw'!AA13</f>
        <v>1351.87</v>
      </c>
      <c r="AA55" s="23">
        <f>'Annual Raw'!AB13</f>
        <v>1377.67</v>
      </c>
      <c r="AB55" s="76">
        <f t="shared" si="302"/>
        <v>0</v>
      </c>
      <c r="AC55" s="76">
        <f t="shared" si="303"/>
        <v>0</v>
      </c>
      <c r="AD55" s="76">
        <f t="shared" si="304"/>
        <v>0</v>
      </c>
      <c r="AE55" s="76">
        <f t="shared" si="305"/>
        <v>0</v>
      </c>
      <c r="AI55" s="23">
        <f>'QTR Raw'!C15</f>
        <v>81.27</v>
      </c>
      <c r="AJ55" s="23">
        <f>'QTR Raw'!D15</f>
        <v>84.24</v>
      </c>
      <c r="AK55" s="23">
        <f>'QTR Raw'!E15</f>
        <v>84.98</v>
      </c>
      <c r="AL55" s="23">
        <f>'QTR Raw'!F15</f>
        <v>86.04</v>
      </c>
      <c r="AM55" s="23">
        <f>'QTR Raw'!G15</f>
        <v>84.72</v>
      </c>
      <c r="AN55" s="23">
        <f>'QTR Raw'!H15</f>
        <v>84.7</v>
      </c>
      <c r="AO55" s="23">
        <f>'QTR Raw'!I15</f>
        <v>84.74</v>
      </c>
      <c r="AP55" s="23">
        <f>'QTR Raw'!J15</f>
        <v>95.24</v>
      </c>
      <c r="AQ55" s="23">
        <f>'QTR Raw'!K15</f>
        <v>120.09</v>
      </c>
      <c r="AR55" s="23">
        <f>'QTR Raw'!L15</f>
        <v>115.07</v>
      </c>
      <c r="AS55" s="23">
        <f>'QTR Raw'!M15</f>
        <v>101.36</v>
      </c>
      <c r="AT55" s="23">
        <f>'QTR Raw'!N15</f>
        <v>97.63</v>
      </c>
      <c r="AU55" s="23">
        <f>'QTR Raw'!O15</f>
        <v>106.1</v>
      </c>
      <c r="AV55" s="23">
        <f>'QTR Raw'!P15</f>
        <v>106.1</v>
      </c>
      <c r="AW55" s="23">
        <f>'QTR Raw'!Q15</f>
        <v>93.3</v>
      </c>
      <c r="AX55" s="23">
        <f>'QTR Raw'!R15</f>
        <v>92.57</v>
      </c>
      <c r="AY55" s="23">
        <f>'QTR Raw'!S15</f>
        <v>105.54</v>
      </c>
      <c r="AZ55" s="23">
        <f>'QTR Raw'!T15</f>
        <v>99.33</v>
      </c>
      <c r="BA55" s="23">
        <f>'QTR Raw'!U15</f>
        <v>103.35</v>
      </c>
      <c r="BB55" s="23">
        <f>'QTR Raw'!V15</f>
        <v>109.58</v>
      </c>
      <c r="BC55" s="23">
        <f>'QTR Raw'!W15</f>
        <v>119.78</v>
      </c>
      <c r="BD55" s="23">
        <f>'QTR Raw'!X15</f>
        <v>121.65</v>
      </c>
      <c r="BE55" s="23">
        <f>'QTR Raw'!Y15</f>
        <v>126.48</v>
      </c>
      <c r="BF55" s="23">
        <f>'QTR Raw'!Z15</f>
        <v>132.88</v>
      </c>
      <c r="BG55" s="23">
        <f>'QTR Raw'!AA15</f>
        <v>148.34</v>
      </c>
      <c r="BH55" s="23">
        <f>'QTR Raw'!AB15</f>
        <v>150.54</v>
      </c>
      <c r="BI55" s="23">
        <f>'QTR Raw'!AC15</f>
        <v>147</v>
      </c>
      <c r="BJ55" s="23">
        <f>'QTR Raw'!AD15</f>
        <v>147.62</v>
      </c>
      <c r="BK55" s="23">
        <f>'QTR Raw'!AE15</f>
        <v>155.41999999999999</v>
      </c>
      <c r="BL55" s="23">
        <f>'QTR Raw'!AF15</f>
        <v>163.47</v>
      </c>
      <c r="BM55" s="23">
        <f>'QTR Raw'!AG15</f>
        <v>182.06</v>
      </c>
      <c r="BN55" s="23">
        <f>'QTR Raw'!AH15</f>
        <v>171.6</v>
      </c>
      <c r="BO55" s="23">
        <f>'QTR Raw'!AI15</f>
        <v>123.27</v>
      </c>
      <c r="BP55" s="23">
        <f>'QTR Raw'!AJ15</f>
        <v>189.73</v>
      </c>
      <c r="BQ55" s="23">
        <f>'QTR Raw'!AK15</f>
        <v>194.62</v>
      </c>
      <c r="BR55" s="23">
        <f>'QTR Raw'!AL15</f>
        <v>209.72</v>
      </c>
      <c r="BS55" s="23">
        <f>'QTR Raw'!AM15</f>
        <v>231.79</v>
      </c>
      <c r="BT55" s="23">
        <f>'QTR Raw'!AN15</f>
        <v>263.82</v>
      </c>
      <c r="BU55" s="23">
        <f>'QTR Raw'!AO15</f>
        <v>300.18</v>
      </c>
      <c r="BV55" s="23">
        <f>'QTR Raw'!AP15</f>
        <v>339.77</v>
      </c>
      <c r="BW55" s="23">
        <f>'QTR Raw'!AQ15</f>
        <v>410.3</v>
      </c>
      <c r="BX55" s="23">
        <f>'QTR Raw'!AR15</f>
        <v>373.68</v>
      </c>
      <c r="BY55" s="23">
        <f>'QTR Raw'!AS15</f>
        <v>344.26</v>
      </c>
      <c r="BZ55" s="23">
        <f>'QTR Raw'!AT15</f>
        <v>344.01</v>
      </c>
      <c r="CA55" s="23">
        <f>'QTR Raw'!AU15</f>
        <v>352.8</v>
      </c>
      <c r="CB55" s="23">
        <f>'QTR Raw'!AV15</f>
        <v>343.79</v>
      </c>
      <c r="CC55" s="23">
        <f>'QTR Raw'!AW15</f>
        <v>319.42</v>
      </c>
      <c r="CD55" s="23">
        <f>'QTR Raw'!AX15</f>
        <v>328.8</v>
      </c>
      <c r="CE55" s="23">
        <f>'QTR Raw'!AY15</f>
        <v>341.73</v>
      </c>
      <c r="CF55" s="23">
        <f>'QTR Raw'!AZ15</f>
        <v>345.07</v>
      </c>
      <c r="CG55" s="23">
        <f>'QTR Raw'!BA15</f>
        <v>331.09</v>
      </c>
      <c r="CH55" s="23">
        <f>'QTR Raw'!BB15</f>
        <v>333.98</v>
      </c>
      <c r="CI55" s="23">
        <f>'QTR Raw'!BC15</f>
        <v>362.73</v>
      </c>
      <c r="CJ55" s="23">
        <f>'QTR Raw'!BD15</f>
        <v>342.06</v>
      </c>
      <c r="CK55" s="23">
        <f>'QTR Raw'!BE15</f>
        <v>325.77999999999997</v>
      </c>
      <c r="CL55" s="23">
        <f>'QTR Raw'!BF15</f>
        <v>347.1</v>
      </c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E55" s="24"/>
      <c r="DF55" s="23">
        <v>0</v>
      </c>
    </row>
    <row r="56" spans="1:110" s="23" customFormat="1" outlineLevel="1" x14ac:dyDescent="0.2">
      <c r="A56" s="23" t="s">
        <v>11</v>
      </c>
      <c r="B56" s="23">
        <f>'Annual Raw'!C18</f>
        <v>1.0275000000000001</v>
      </c>
      <c r="C56" s="23">
        <f>'Annual Raw'!D18</f>
        <v>1.7694000000000001</v>
      </c>
      <c r="D56" s="23">
        <f>'Annual Raw'!E18</f>
        <v>1.5404</v>
      </c>
      <c r="E56" s="23">
        <f>'Annual Raw'!F18</f>
        <v>1.7347999999999999</v>
      </c>
      <c r="F56" s="23">
        <f>'Annual Raw'!G18</f>
        <v>4.5400999999999998</v>
      </c>
      <c r="G56" s="23">
        <f>'Annual Raw'!H18</f>
        <v>5.0076999999999998</v>
      </c>
      <c r="H56" s="23">
        <f>'Annual Raw'!I18</f>
        <v>4.7609000000000004</v>
      </c>
      <c r="I56" s="23">
        <f>'Annual Raw'!J18</f>
        <v>5.2694999999999999</v>
      </c>
      <c r="J56" s="23">
        <f>'Annual Raw'!K18</f>
        <v>5.5910000000000002</v>
      </c>
      <c r="K56" s="23">
        <f>'Annual Raw'!L18</f>
        <v>6.4485999999999999</v>
      </c>
      <c r="L56" s="23">
        <f>'Annual Raw'!M18</f>
        <v>11.943300000000001</v>
      </c>
      <c r="M56" s="23">
        <f>'Annual Raw'!N18</f>
        <v>11.891</v>
      </c>
      <c r="N56" s="23">
        <f>'Annual Raw'!O18</f>
        <v>9.7426999999999992</v>
      </c>
      <c r="O56" s="23">
        <f>'Annual Raw'!P18</f>
        <v>8.9341000000000008</v>
      </c>
      <c r="P56" s="23">
        <f>'Annual Raw'!Q18</f>
        <v>12.62</v>
      </c>
      <c r="Q56" s="23">
        <f>'Annual Raw'!R18</f>
        <v>10.61</v>
      </c>
      <c r="R56" s="23">
        <f>'Annual Raw'!S18</f>
        <v>9.74</v>
      </c>
      <c r="S56" s="23">
        <f>'Annual Raw'!T18</f>
        <v>12.56</v>
      </c>
      <c r="T56" s="23">
        <f>'Annual Raw'!U18</f>
        <v>24.01</v>
      </c>
      <c r="U56" s="23">
        <f>'Annual Raw'!V18</f>
        <v>21.02</v>
      </c>
      <c r="V56" s="23">
        <f>'Annual Raw'!W18</f>
        <v>26.83</v>
      </c>
      <c r="W56" s="23">
        <f>'Annual Raw'!X18</f>
        <v>35.729999999999997</v>
      </c>
      <c r="X56" s="23">
        <f>'Annual Raw'!Y18</f>
        <v>41.28</v>
      </c>
      <c r="Y56" s="23">
        <f>'Annual Raw'!Z18</f>
        <v>35.24</v>
      </c>
      <c r="Z56" s="23">
        <f>'Annual Raw'!AA18</f>
        <v>43.27</v>
      </c>
      <c r="AA56" s="23">
        <f>'Annual Raw'!AB18</f>
        <v>55.7</v>
      </c>
      <c r="AB56" s="76">
        <f t="shared" si="302"/>
        <v>0</v>
      </c>
      <c r="AC56" s="76">
        <f t="shared" si="303"/>
        <v>0</v>
      </c>
      <c r="AD56" s="76">
        <f t="shared" si="304"/>
        <v>0</v>
      </c>
      <c r="AE56" s="76">
        <f t="shared" si="305"/>
        <v>0</v>
      </c>
      <c r="AI56" s="23">
        <f>'QTR Raw'!C18</f>
        <v>0</v>
      </c>
      <c r="AJ56" s="23">
        <f>'QTR Raw'!D18</f>
        <v>0</v>
      </c>
      <c r="AK56" s="23">
        <f>'QTR Raw'!E18</f>
        <v>0</v>
      </c>
      <c r="AL56" s="23">
        <f>'QTR Raw'!F18</f>
        <v>0</v>
      </c>
      <c r="AM56" s="23">
        <f>'QTR Raw'!G18</f>
        <v>0</v>
      </c>
      <c r="AN56" s="23">
        <f>'QTR Raw'!H18</f>
        <v>0</v>
      </c>
      <c r="AO56" s="23">
        <f>'QTR Raw'!I18</f>
        <v>0</v>
      </c>
      <c r="AP56" s="23">
        <f>'QTR Raw'!J18</f>
        <v>0</v>
      </c>
      <c r="AQ56" s="23">
        <f>'QTR Raw'!K18</f>
        <v>0</v>
      </c>
      <c r="AR56" s="23">
        <f>'QTR Raw'!L18</f>
        <v>0</v>
      </c>
      <c r="AS56" s="23">
        <f>'QTR Raw'!M18</f>
        <v>0</v>
      </c>
      <c r="AT56" s="23">
        <f>'QTR Raw'!N18</f>
        <v>0</v>
      </c>
      <c r="AU56" s="23">
        <f>'QTR Raw'!O18</f>
        <v>0</v>
      </c>
      <c r="AV56" s="23">
        <f>'QTR Raw'!P18</f>
        <v>0</v>
      </c>
      <c r="AW56" s="23">
        <f>'QTR Raw'!Q18</f>
        <v>0</v>
      </c>
      <c r="AX56" s="23">
        <f>'QTR Raw'!R18</f>
        <v>0</v>
      </c>
      <c r="AY56" s="23">
        <f>'QTR Raw'!S18</f>
        <v>0</v>
      </c>
      <c r="AZ56" s="23">
        <f>'QTR Raw'!T18</f>
        <v>0</v>
      </c>
      <c r="BA56" s="23">
        <f>'QTR Raw'!U18</f>
        <v>0</v>
      </c>
      <c r="BB56" s="23">
        <f>'QTR Raw'!V18</f>
        <v>0</v>
      </c>
      <c r="BC56" s="23">
        <f>'QTR Raw'!W18</f>
        <v>0</v>
      </c>
      <c r="BD56" s="23">
        <f>'QTR Raw'!X18</f>
        <v>0</v>
      </c>
      <c r="BE56" s="23">
        <f>'QTR Raw'!Y18</f>
        <v>0</v>
      </c>
      <c r="BF56" s="23">
        <f>'QTR Raw'!Z18</f>
        <v>0</v>
      </c>
      <c r="BG56" s="23">
        <f>'QTR Raw'!AA18</f>
        <v>0</v>
      </c>
      <c r="BH56" s="23">
        <f>'QTR Raw'!AB18</f>
        <v>0</v>
      </c>
      <c r="BI56" s="23">
        <f>'QTR Raw'!AC18</f>
        <v>0</v>
      </c>
      <c r="BJ56" s="23">
        <f>'QTR Raw'!AD18</f>
        <v>0</v>
      </c>
      <c r="BK56" s="23">
        <f>'QTR Raw'!AE18</f>
        <v>0</v>
      </c>
      <c r="BL56" s="23">
        <f>'QTR Raw'!AF18</f>
        <v>0</v>
      </c>
      <c r="BM56" s="23">
        <f>'QTR Raw'!AG18</f>
        <v>0</v>
      </c>
      <c r="BN56" s="23">
        <f>'QTR Raw'!AH18</f>
        <v>0</v>
      </c>
      <c r="BO56" s="23">
        <f>'QTR Raw'!AI18</f>
        <v>0</v>
      </c>
      <c r="BP56" s="23">
        <f>'QTR Raw'!AJ18</f>
        <v>0</v>
      </c>
      <c r="BQ56" s="23">
        <f>'QTR Raw'!AK18</f>
        <v>0</v>
      </c>
      <c r="BR56" s="23">
        <f>'QTR Raw'!AL18</f>
        <v>0</v>
      </c>
      <c r="BS56" s="23">
        <f>'QTR Raw'!AM18</f>
        <v>0</v>
      </c>
      <c r="BT56" s="23">
        <f>'QTR Raw'!AN18</f>
        <v>0</v>
      </c>
      <c r="BU56" s="23">
        <f>'QTR Raw'!AO18</f>
        <v>0</v>
      </c>
      <c r="BV56" s="23">
        <f>'QTR Raw'!AP18</f>
        <v>0</v>
      </c>
      <c r="BW56" s="23">
        <f>'QTR Raw'!AQ18</f>
        <v>0</v>
      </c>
      <c r="BX56" s="23">
        <f>'QTR Raw'!AR18</f>
        <v>0</v>
      </c>
      <c r="BY56" s="23">
        <f>'QTR Raw'!AS18</f>
        <v>0</v>
      </c>
      <c r="BZ56" s="23">
        <f>'QTR Raw'!AT18</f>
        <v>0</v>
      </c>
      <c r="CA56" s="23">
        <f>'QTR Raw'!AU18</f>
        <v>0</v>
      </c>
      <c r="CB56" s="23">
        <f>'QTR Raw'!AV18</f>
        <v>0</v>
      </c>
      <c r="CC56" s="23">
        <f>'QTR Raw'!AW18</f>
        <v>0</v>
      </c>
      <c r="CD56" s="23">
        <f>'QTR Raw'!AX18</f>
        <v>0</v>
      </c>
      <c r="CE56" s="23">
        <f>'QTR Raw'!AY18</f>
        <v>0</v>
      </c>
      <c r="CF56" s="23">
        <f>'QTR Raw'!AZ18</f>
        <v>0</v>
      </c>
      <c r="CG56" s="23">
        <f>'QTR Raw'!BA18</f>
        <v>0</v>
      </c>
      <c r="CH56" s="23">
        <f>'QTR Raw'!BB18</f>
        <v>0</v>
      </c>
      <c r="CI56" s="23">
        <f>'QTR Raw'!BC18</f>
        <v>0</v>
      </c>
      <c r="CJ56" s="23">
        <f>'QTR Raw'!BD18</f>
        <v>0</v>
      </c>
      <c r="CK56" s="23">
        <f>'QTR Raw'!BE18</f>
        <v>0</v>
      </c>
      <c r="CL56" s="23">
        <f>'QTR Raw'!BF18</f>
        <v>0</v>
      </c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E56" s="24"/>
      <c r="DF56" s="23">
        <v>0</v>
      </c>
    </row>
    <row r="57" spans="1:110" s="22" customFormat="1" x14ac:dyDescent="0.2">
      <c r="A57" s="33" t="s">
        <v>348</v>
      </c>
      <c r="B57" s="22">
        <f t="shared" ref="B57:E57" si="308">+SUM(B51:B56)</f>
        <v>219.48500000000001</v>
      </c>
      <c r="C57" s="22">
        <f t="shared" si="308"/>
        <v>254.6079</v>
      </c>
      <c r="D57" s="22">
        <f t="shared" si="308"/>
        <v>242.2474</v>
      </c>
      <c r="E57" s="22">
        <f t="shared" si="308"/>
        <v>231.6071</v>
      </c>
      <c r="F57" s="22">
        <f t="shared" ref="F57:AE57" si="309">+SUM(F51:F56)</f>
        <v>267.13479999999998</v>
      </c>
      <c r="G57" s="22">
        <f t="shared" si="309"/>
        <v>321.97770000000003</v>
      </c>
      <c r="H57" s="22">
        <f t="shared" si="309"/>
        <v>428.01480000000004</v>
      </c>
      <c r="I57" s="22">
        <f t="shared" si="309"/>
        <v>407.25850000000003</v>
      </c>
      <c r="J57" s="22">
        <f t="shared" si="309"/>
        <v>560.03020000000004</v>
      </c>
      <c r="K57" s="22">
        <f t="shared" si="309"/>
        <v>585.2650000000001</v>
      </c>
      <c r="L57" s="22">
        <f t="shared" si="309"/>
        <v>740.87059999999997</v>
      </c>
      <c r="M57" s="22">
        <f t="shared" si="309"/>
        <v>856.79779999999994</v>
      </c>
      <c r="N57" s="22">
        <f t="shared" si="309"/>
        <v>1009.083</v>
      </c>
      <c r="O57" s="22">
        <f t="shared" si="309"/>
        <v>1117.9355</v>
      </c>
      <c r="P57" s="22">
        <f t="shared" si="309"/>
        <v>1274.2799999999997</v>
      </c>
      <c r="Q57" s="22">
        <f t="shared" si="309"/>
        <v>1299.8599999999999</v>
      </c>
      <c r="R57" s="22">
        <f t="shared" si="309"/>
        <v>1434</v>
      </c>
      <c r="S57" s="22">
        <f t="shared" si="309"/>
        <v>1650.8</v>
      </c>
      <c r="T57" s="22">
        <f t="shared" si="309"/>
        <v>1835.4600000000003</v>
      </c>
      <c r="U57" s="22">
        <f t="shared" si="309"/>
        <v>2067.5</v>
      </c>
      <c r="V57" s="22">
        <f t="shared" si="309"/>
        <v>2247.77</v>
      </c>
      <c r="W57" s="22">
        <f t="shared" si="309"/>
        <v>3263.52</v>
      </c>
      <c r="X57" s="22">
        <f t="shared" si="309"/>
        <v>3947.5400000000004</v>
      </c>
      <c r="Y57" s="22">
        <f t="shared" si="309"/>
        <v>3845.6299999999997</v>
      </c>
      <c r="Z57" s="22">
        <f t="shared" ref="Z57:AA57" si="310">+SUM(Z51:Z56)</f>
        <v>4275.47</v>
      </c>
      <c r="AA57" s="22">
        <f t="shared" si="310"/>
        <v>4579.2</v>
      </c>
      <c r="AB57" s="21">
        <f t="shared" si="309"/>
        <v>4936.849488625614</v>
      </c>
      <c r="AC57" s="21">
        <f t="shared" si="309"/>
        <v>5560.137235489814</v>
      </c>
      <c r="AD57" s="21">
        <f t="shared" si="309"/>
        <v>6468.5326047533972</v>
      </c>
      <c r="AE57" s="21">
        <f t="shared" si="309"/>
        <v>7544.5044995794942</v>
      </c>
      <c r="AI57" s="22">
        <f t="shared" ref="AI57:BN57" si="311">+SUM(AI51:AI56)</f>
        <v>185.76</v>
      </c>
      <c r="AJ57" s="22">
        <f t="shared" si="311"/>
        <v>201.32999999999998</v>
      </c>
      <c r="AK57" s="22">
        <f t="shared" si="311"/>
        <v>220.72000000000003</v>
      </c>
      <c r="AL57" s="22">
        <f t="shared" si="311"/>
        <v>220.40000000000003</v>
      </c>
      <c r="AM57" s="22">
        <f t="shared" si="311"/>
        <v>203.96</v>
      </c>
      <c r="AN57" s="22">
        <f t="shared" si="311"/>
        <v>214.67000000000002</v>
      </c>
      <c r="AO57" s="22">
        <f t="shared" si="311"/>
        <v>220.82999999999998</v>
      </c>
      <c r="AP57" s="22">
        <f t="shared" si="311"/>
        <v>237.14</v>
      </c>
      <c r="AQ57" s="22">
        <f t="shared" si="311"/>
        <v>306.64999999999998</v>
      </c>
      <c r="AR57" s="22">
        <f t="shared" si="311"/>
        <v>340.27</v>
      </c>
      <c r="AS57" s="22">
        <f t="shared" si="311"/>
        <v>299.42</v>
      </c>
      <c r="AT57" s="22">
        <f t="shared" si="311"/>
        <v>324.64999999999998</v>
      </c>
      <c r="AU57" s="22">
        <f t="shared" si="311"/>
        <v>315.77</v>
      </c>
      <c r="AV57" s="22">
        <f t="shared" si="311"/>
        <v>323.09000000000003</v>
      </c>
      <c r="AW57" s="22">
        <f t="shared" si="311"/>
        <v>301.11</v>
      </c>
      <c r="AX57" s="22">
        <f t="shared" si="311"/>
        <v>348.16999999999996</v>
      </c>
      <c r="AY57" s="22">
        <f t="shared" si="311"/>
        <v>336.24</v>
      </c>
      <c r="AZ57" s="22">
        <f t="shared" si="311"/>
        <v>341.31</v>
      </c>
      <c r="BA57" s="22">
        <f t="shared" si="311"/>
        <v>344.38</v>
      </c>
      <c r="BB57" s="22">
        <f t="shared" si="311"/>
        <v>416.71</v>
      </c>
      <c r="BC57" s="22">
        <f t="shared" si="311"/>
        <v>391.49</v>
      </c>
      <c r="BD57" s="22">
        <f t="shared" si="311"/>
        <v>376.87</v>
      </c>
      <c r="BE57" s="22">
        <f t="shared" si="311"/>
        <v>430.32000000000005</v>
      </c>
      <c r="BF57" s="22">
        <f t="shared" si="311"/>
        <v>452.12</v>
      </c>
      <c r="BG57" s="22">
        <f t="shared" si="311"/>
        <v>436.32000000000005</v>
      </c>
      <c r="BH57" s="22">
        <f t="shared" si="311"/>
        <v>437.30999999999995</v>
      </c>
      <c r="BI57" s="22">
        <f t="shared" si="311"/>
        <v>471.6</v>
      </c>
      <c r="BJ57" s="22">
        <f t="shared" si="311"/>
        <v>493.98</v>
      </c>
      <c r="BK57" s="22">
        <f t="shared" si="311"/>
        <v>465.30999999999995</v>
      </c>
      <c r="BL57" s="22">
        <f t="shared" si="311"/>
        <v>519.15</v>
      </c>
      <c r="BM57" s="22">
        <f t="shared" si="311"/>
        <v>527.56999999999994</v>
      </c>
      <c r="BN57" s="22">
        <f t="shared" si="311"/>
        <v>551.97</v>
      </c>
      <c r="BO57" s="22">
        <f t="shared" ref="BO57:CH57" si="312">+SUM(BO51:BO56)</f>
        <v>431.28999999999996</v>
      </c>
      <c r="BP57" s="22">
        <f t="shared" si="312"/>
        <v>563.72</v>
      </c>
      <c r="BQ57" s="22">
        <f t="shared" si="312"/>
        <v>583.15</v>
      </c>
      <c r="BR57" s="22">
        <f t="shared" si="312"/>
        <v>669.61</v>
      </c>
      <c r="BS57" s="22">
        <f t="shared" si="312"/>
        <v>703.29</v>
      </c>
      <c r="BT57" s="22">
        <f t="shared" si="312"/>
        <v>754.54</v>
      </c>
      <c r="BU57" s="22">
        <f t="shared" si="312"/>
        <v>856.57999999999993</v>
      </c>
      <c r="BV57" s="22">
        <f t="shared" si="312"/>
        <v>949.1099999999999</v>
      </c>
      <c r="BW57" s="22">
        <f t="shared" si="312"/>
        <v>1017.1100000000001</v>
      </c>
      <c r="BX57" s="22">
        <f t="shared" si="312"/>
        <v>969.66000000000008</v>
      </c>
      <c r="BY57" s="22">
        <f t="shared" si="312"/>
        <v>926.72</v>
      </c>
      <c r="BZ57" s="22">
        <f t="shared" si="312"/>
        <v>930.05</v>
      </c>
      <c r="CA57" s="22">
        <f t="shared" si="312"/>
        <v>917.88000000000011</v>
      </c>
      <c r="CB57" s="22">
        <f t="shared" si="312"/>
        <v>911.98</v>
      </c>
      <c r="CC57" s="22">
        <f t="shared" si="312"/>
        <v>914.44</v>
      </c>
      <c r="CD57" s="22">
        <f t="shared" si="312"/>
        <v>1024.6200000000001</v>
      </c>
      <c r="CE57" s="22">
        <f t="shared" si="312"/>
        <v>1016.4000000000001</v>
      </c>
      <c r="CF57" s="22">
        <f t="shared" si="312"/>
        <v>1029.6199999999999</v>
      </c>
      <c r="CG57" s="22">
        <f t="shared" si="312"/>
        <v>1031.9099999999999</v>
      </c>
      <c r="CH57" s="22">
        <f t="shared" si="312"/>
        <v>1078.3699999999999</v>
      </c>
      <c r="CI57" s="22">
        <f t="shared" ref="CI57:CJ57" si="313">+SUM(CI51:CI56)</f>
        <v>1086.77</v>
      </c>
      <c r="CJ57" s="22">
        <f t="shared" si="313"/>
        <v>1066.42</v>
      </c>
      <c r="CK57" s="22">
        <f t="shared" ref="CK57:CL57" si="314">+SUM(CK51:CK56)</f>
        <v>1056.74</v>
      </c>
      <c r="CL57" s="22">
        <f t="shared" si="314"/>
        <v>1180.93</v>
      </c>
      <c r="CM57" s="21">
        <f t="shared" ref="CM57:DB57" si="315">CM58*CM41</f>
        <v>1192.7035825126147</v>
      </c>
      <c r="CN57" s="21">
        <f t="shared" si="315"/>
        <v>1128.5990033026928</v>
      </c>
      <c r="CO57" s="21">
        <f t="shared" si="315"/>
        <v>1161.0387217600683</v>
      </c>
      <c r="CP57" s="21">
        <f t="shared" si="315"/>
        <v>1454.5081810502375</v>
      </c>
      <c r="CQ57" s="21">
        <f t="shared" si="315"/>
        <v>1327.5270021453864</v>
      </c>
      <c r="CR57" s="21">
        <f t="shared" si="315"/>
        <v>1260.0924579303241</v>
      </c>
      <c r="CS57" s="21">
        <f t="shared" si="315"/>
        <v>1313.8626762238164</v>
      </c>
      <c r="CT57" s="21">
        <f t="shared" si="315"/>
        <v>1658.6550991902877</v>
      </c>
      <c r="CU57" s="21">
        <f t="shared" si="315"/>
        <v>1524.3008163003576</v>
      </c>
      <c r="CV57" s="21">
        <f t="shared" si="315"/>
        <v>1458.1647706556867</v>
      </c>
      <c r="CW57" s="21">
        <f t="shared" si="315"/>
        <v>1534.1183986328031</v>
      </c>
      <c r="CX57" s="21">
        <f t="shared" si="315"/>
        <v>1951.9486191645499</v>
      </c>
      <c r="CY57" s="21">
        <f t="shared" si="315"/>
        <v>1771.7839186976489</v>
      </c>
      <c r="CZ57" s="21">
        <f t="shared" si="315"/>
        <v>1700.1522339064591</v>
      </c>
      <c r="DA57" s="21">
        <f t="shared" si="315"/>
        <v>1792.1075796968528</v>
      </c>
      <c r="DB57" s="21">
        <f t="shared" si="315"/>
        <v>2280.4607672785337</v>
      </c>
      <c r="DE57" s="21">
        <v>1250.1317699810406</v>
      </c>
      <c r="DF57" s="22">
        <v>0</v>
      </c>
    </row>
    <row r="58" spans="1:110" s="44" customFormat="1" x14ac:dyDescent="0.2">
      <c r="A58" s="43" t="s">
        <v>349</v>
      </c>
      <c r="B58" s="44">
        <f t="shared" ref="B58:E58" si="316">B57/B41</f>
        <v>0.31677911048985768</v>
      </c>
      <c r="C58" s="44">
        <f t="shared" si="316"/>
        <v>0.36118566225365206</v>
      </c>
      <c r="D58" s="44">
        <f t="shared" si="316"/>
        <v>0.30118716885374203</v>
      </c>
      <c r="E58" s="44">
        <f t="shared" si="316"/>
        <v>0.25561099142129151</v>
      </c>
      <c r="F58" s="44">
        <f t="shared" ref="F58:AE58" si="317">F57/F41</f>
        <v>0.2330225375229939</v>
      </c>
      <c r="G58" s="44">
        <f t="shared" si="317"/>
        <v>0.23455702876961074</v>
      </c>
      <c r="H58" s="44">
        <f t="shared" si="317"/>
        <v>0.22688123093441942</v>
      </c>
      <c r="I58" s="44">
        <f t="shared" si="317"/>
        <v>0.24190781060507646</v>
      </c>
      <c r="J58" s="44">
        <f t="shared" si="317"/>
        <v>0.27683079837552588</v>
      </c>
      <c r="K58" s="44">
        <f t="shared" si="317"/>
        <v>0.23422983262791378</v>
      </c>
      <c r="L58" s="44">
        <f t="shared" si="317"/>
        <v>0.21328966839294497</v>
      </c>
      <c r="M58" s="44">
        <f t="shared" si="317"/>
        <v>0.21414572619094185</v>
      </c>
      <c r="N58" s="44">
        <f t="shared" si="317"/>
        <v>0.26674534610613304</v>
      </c>
      <c r="O58" s="44">
        <f t="shared" si="317"/>
        <v>0.27822765626488982</v>
      </c>
      <c r="P58" s="44">
        <f t="shared" si="317"/>
        <v>0.28068768791920429</v>
      </c>
      <c r="Q58" s="44">
        <f t="shared" si="317"/>
        <v>0.28302618056402301</v>
      </c>
      <c r="R58" s="44">
        <f t="shared" si="317"/>
        <v>0.29739931146045046</v>
      </c>
      <c r="S58" s="44">
        <f t="shared" si="317"/>
        <v>0.2953637834046634</v>
      </c>
      <c r="T58" s="44">
        <f t="shared" si="317"/>
        <v>0.25853042217930899</v>
      </c>
      <c r="U58" s="44">
        <f t="shared" si="317"/>
        <v>0.28677797489669754</v>
      </c>
      <c r="V58" s="44">
        <f t="shared" si="317"/>
        <v>0.26759039242670268</v>
      </c>
      <c r="W58" s="44">
        <f t="shared" si="317"/>
        <v>0.26247460522484933</v>
      </c>
      <c r="X58" s="44">
        <f t="shared" si="317"/>
        <v>0.26546561086733583</v>
      </c>
      <c r="Y58" s="44">
        <f t="shared" si="317"/>
        <v>0.29269887323686378</v>
      </c>
      <c r="Z58" s="44">
        <f t="shared" ref="Z58:AA58" si="318">Z57/Z41</f>
        <v>0.29098547818801657</v>
      </c>
      <c r="AA58" s="44">
        <f t="shared" si="318"/>
        <v>0.29007044622275602</v>
      </c>
      <c r="AB58" s="52">
        <f t="shared" si="317"/>
        <v>0.27170216399759956</v>
      </c>
      <c r="AC58" s="52">
        <f t="shared" si="317"/>
        <v>0.26262564549657186</v>
      </c>
      <c r="AD58" s="52">
        <f t="shared" si="317"/>
        <v>0.26185322178150372</v>
      </c>
      <c r="AE58" s="52">
        <f t="shared" si="317"/>
        <v>0.2616756673748486</v>
      </c>
      <c r="AI58" s="44">
        <f t="shared" ref="AI58:BN58" si="319">AI57/AI41</f>
        <v>0.24249069904053261</v>
      </c>
      <c r="AJ58" s="44">
        <f t="shared" si="319"/>
        <v>0.25049145245975063</v>
      </c>
      <c r="AK58" s="44">
        <f t="shared" si="319"/>
        <v>0.25411591332980271</v>
      </c>
      <c r="AL58" s="44">
        <f t="shared" si="319"/>
        <v>0.26938825398765515</v>
      </c>
      <c r="AM58" s="44">
        <f t="shared" si="319"/>
        <v>0.25226027481973462</v>
      </c>
      <c r="AN58" s="44">
        <f t="shared" si="319"/>
        <v>0.25636830477100375</v>
      </c>
      <c r="AO58" s="44">
        <f t="shared" si="319"/>
        <v>0.25631115289529577</v>
      </c>
      <c r="AP58" s="44">
        <f t="shared" si="319"/>
        <v>0.26741694670606014</v>
      </c>
      <c r="AQ58" s="44">
        <f t="shared" si="319"/>
        <v>0.26534850517025049</v>
      </c>
      <c r="AR58" s="44">
        <f t="shared" si="319"/>
        <v>0.2874314724242501</v>
      </c>
      <c r="AS58" s="44">
        <f t="shared" si="319"/>
        <v>0.27062300593812427</v>
      </c>
      <c r="AT58" s="44">
        <f t="shared" si="319"/>
        <v>0.30022379226159651</v>
      </c>
      <c r="AU58" s="44">
        <f t="shared" si="319"/>
        <v>0.25853754390561412</v>
      </c>
      <c r="AV58" s="44">
        <f t="shared" si="319"/>
        <v>0.28033109767207798</v>
      </c>
      <c r="AW58" s="44">
        <f t="shared" si="319"/>
        <v>0.27647345079927643</v>
      </c>
      <c r="AX58" s="44">
        <f t="shared" si="319"/>
        <v>0.31283244680851058</v>
      </c>
      <c r="AY58" s="44">
        <f t="shared" si="319"/>
        <v>0.27578513955758238</v>
      </c>
      <c r="AZ58" s="44">
        <f t="shared" si="319"/>
        <v>0.29840006994229756</v>
      </c>
      <c r="BA58" s="44">
        <f t="shared" si="319"/>
        <v>0.30515803744694425</v>
      </c>
      <c r="BB58" s="44">
        <f t="shared" si="319"/>
        <v>0.31430597144387207</v>
      </c>
      <c r="BC58" s="44">
        <f t="shared" si="319"/>
        <v>0.30271093653346531</v>
      </c>
      <c r="BD58" s="44">
        <f t="shared" si="319"/>
        <v>0.29295803114044294</v>
      </c>
      <c r="BE58" s="44">
        <f t="shared" si="319"/>
        <v>0.30801826693198581</v>
      </c>
      <c r="BF58" s="44">
        <f t="shared" si="319"/>
        <v>0.28042449465660219</v>
      </c>
      <c r="BG58" s="44">
        <f t="shared" si="319"/>
        <v>0.26254761202741489</v>
      </c>
      <c r="BH58" s="44">
        <f t="shared" si="319"/>
        <v>0.25165734410606999</v>
      </c>
      <c r="BI58" s="44">
        <f t="shared" si="319"/>
        <v>0.26072822565486131</v>
      </c>
      <c r="BJ58" s="44">
        <f t="shared" si="319"/>
        <v>0.25524329184170141</v>
      </c>
      <c r="BK58" s="44">
        <f t="shared" si="319"/>
        <v>0.26388739231776959</v>
      </c>
      <c r="BL58" s="44">
        <f t="shared" si="319"/>
        <v>0.29946527148864494</v>
      </c>
      <c r="BM58" s="44">
        <f t="shared" si="319"/>
        <v>0.28509746067257857</v>
      </c>
      <c r="BN58" s="44">
        <f t="shared" si="319"/>
        <v>0.30149938549774685</v>
      </c>
      <c r="BO58" s="44">
        <f t="shared" ref="BO58:CH58" si="320">BO57/BO41</f>
        <v>0.28077679257320676</v>
      </c>
      <c r="BP58" s="44">
        <f t="shared" si="320"/>
        <v>0.26956255618676006</v>
      </c>
      <c r="BQ58" s="44">
        <f t="shared" si="320"/>
        <v>0.27168621092894646</v>
      </c>
      <c r="BR58" s="44">
        <f t="shared" si="320"/>
        <v>0.25678676202711254</v>
      </c>
      <c r="BS58" s="44">
        <f t="shared" si="320"/>
        <v>0.26053567459435428</v>
      </c>
      <c r="BT58" s="44">
        <f t="shared" si="320"/>
        <v>0.26577949044900084</v>
      </c>
      <c r="BU58" s="44">
        <f t="shared" si="320"/>
        <v>0.25601114209458226</v>
      </c>
      <c r="BV58" s="44">
        <f t="shared" si="320"/>
        <v>0.26739861723887282</v>
      </c>
      <c r="BW58" s="44">
        <f t="shared" si="320"/>
        <v>0.26282930862953346</v>
      </c>
      <c r="BX58" s="44">
        <f t="shared" si="320"/>
        <v>0.26265947937264678</v>
      </c>
      <c r="BY58" s="44">
        <f t="shared" si="320"/>
        <v>0.26825526396535654</v>
      </c>
      <c r="BZ58" s="44">
        <f t="shared" si="320"/>
        <v>0.24800804249509342</v>
      </c>
      <c r="CA58" s="44">
        <f t="shared" si="320"/>
        <v>0.27691611482358625</v>
      </c>
      <c r="CB58" s="44">
        <f t="shared" si="320"/>
        <v>0.28876118103380038</v>
      </c>
      <c r="CC58" s="44">
        <f t="shared" si="320"/>
        <v>0.30130215884229111</v>
      </c>
      <c r="CD58" s="44">
        <f t="shared" si="320"/>
        <v>0.28830456252901704</v>
      </c>
      <c r="CE58" s="44">
        <f t="shared" si="320"/>
        <v>0.29487536554797383</v>
      </c>
      <c r="CF58" s="44">
        <f t="shared" si="320"/>
        <v>0.30267718294622409</v>
      </c>
      <c r="CG58" s="44">
        <f t="shared" si="320"/>
        <v>0.2984909273406246</v>
      </c>
      <c r="CH58" s="44">
        <f t="shared" si="320"/>
        <v>0.25265098799968133</v>
      </c>
      <c r="CI58" s="44">
        <f t="shared" ref="CI58:CJ58" si="321">CI57/CI41</f>
        <v>0.28459757713519546</v>
      </c>
      <c r="CJ58" s="44">
        <f t="shared" si="321"/>
        <v>0.29544321191502571</v>
      </c>
      <c r="CK58" s="44">
        <f t="shared" ref="CK58:CL58" si="322">CK57/CK41</f>
        <v>0.28775736385346629</v>
      </c>
      <c r="CL58" s="44">
        <f t="shared" si="322"/>
        <v>0.26307371178689098</v>
      </c>
      <c r="CM58" s="52">
        <f>AVERAGE(CI58:CL58)*0.98</f>
        <v>0.27706360684919173</v>
      </c>
      <c r="CN58" s="52">
        <f t="shared" ref="CN58:CP58" si="323">AVERAGE(CJ58:CM58)*0.98</f>
        <v>0.27521778412912079</v>
      </c>
      <c r="CO58" s="52">
        <f t="shared" si="323"/>
        <v>0.27026255432157409</v>
      </c>
      <c r="CP58" s="52">
        <f t="shared" si="323"/>
        <v>0.26597632598626048</v>
      </c>
      <c r="CQ58" s="52">
        <f>AVERAGE(CM58:CP58)*0.98</f>
        <v>0.26668746646510599</v>
      </c>
      <c r="CR58" s="52">
        <f t="shared" ref="CR58:CT58" si="324">AVERAGE(CN58:CQ58)*0.98</f>
        <v>0.26414531207100506</v>
      </c>
      <c r="CS58" s="52">
        <f t="shared" si="324"/>
        <v>0.26143255641676671</v>
      </c>
      <c r="CT58" s="52">
        <f t="shared" si="324"/>
        <v>0.25926920693008887</v>
      </c>
      <c r="CU58" s="52">
        <f t="shared" ref="CU58:DB58" si="325">AVERAGE(CQ58:CT58)</f>
        <v>0.26288363547074167</v>
      </c>
      <c r="CV58" s="52">
        <f t="shared" si="325"/>
        <v>0.26193267772215056</v>
      </c>
      <c r="CW58" s="52">
        <f t="shared" si="325"/>
        <v>0.26137951913493696</v>
      </c>
      <c r="CX58" s="52">
        <f t="shared" si="325"/>
        <v>0.26136625981447953</v>
      </c>
      <c r="CY58" s="52">
        <f t="shared" si="325"/>
        <v>0.26189052303557719</v>
      </c>
      <c r="CZ58" s="52">
        <f t="shared" si="325"/>
        <v>0.26164224492678606</v>
      </c>
      <c r="DA58" s="52">
        <f t="shared" si="325"/>
        <v>0.26156963672794498</v>
      </c>
      <c r="DB58" s="52">
        <f t="shared" si="325"/>
        <v>0.26161716612619695</v>
      </c>
      <c r="DE58" s="52">
        <v>0.26330554811229162</v>
      </c>
    </row>
    <row r="59" spans="1:110" s="26" customFormat="1" x14ac:dyDescent="0.2">
      <c r="A59" s="34" t="s">
        <v>13</v>
      </c>
      <c r="B59" s="26">
        <f t="shared" ref="B59:E59" si="326">B47-B57</f>
        <v>139.69839999999994</v>
      </c>
      <c r="C59" s="26">
        <f t="shared" si="326"/>
        <v>90.805999999999955</v>
      </c>
      <c r="D59" s="26">
        <f t="shared" si="326"/>
        <v>139.16670000000008</v>
      </c>
      <c r="E59" s="26">
        <f t="shared" si="326"/>
        <v>124.58389999999991</v>
      </c>
      <c r="F59" s="26">
        <f t="shared" ref="F59:AE59" si="327">F47-F57</f>
        <v>146.41769999999991</v>
      </c>
      <c r="G59" s="26">
        <f t="shared" si="327"/>
        <v>255.4855</v>
      </c>
      <c r="H59" s="26">
        <f t="shared" si="327"/>
        <v>550.51979999999992</v>
      </c>
      <c r="I59" s="26">
        <f t="shared" si="327"/>
        <v>319.9177000000002</v>
      </c>
      <c r="J59" s="26">
        <f t="shared" si="327"/>
        <v>371.27340000000015</v>
      </c>
      <c r="K59" s="26">
        <f t="shared" si="327"/>
        <v>618.65339999999992</v>
      </c>
      <c r="L59" s="26">
        <f t="shared" si="327"/>
        <v>900.90449999999964</v>
      </c>
      <c r="M59" s="26">
        <f t="shared" si="327"/>
        <v>831.42250000000001</v>
      </c>
      <c r="N59" s="26">
        <f t="shared" si="327"/>
        <v>614.25689999999997</v>
      </c>
      <c r="O59" s="26">
        <f t="shared" si="327"/>
        <v>505.29079999999976</v>
      </c>
      <c r="P59" s="26">
        <f t="shared" si="327"/>
        <v>717.46000000000095</v>
      </c>
      <c r="Q59" s="26">
        <f t="shared" si="327"/>
        <v>962.52000000000066</v>
      </c>
      <c r="R59" s="26">
        <f t="shared" si="327"/>
        <v>968.99000000000069</v>
      </c>
      <c r="S59" s="26">
        <f t="shared" si="327"/>
        <v>906.24000000000046</v>
      </c>
      <c r="T59" s="26">
        <f t="shared" si="327"/>
        <v>1296.9999999999998</v>
      </c>
      <c r="U59" s="26">
        <f t="shared" si="327"/>
        <v>1454.9399999999996</v>
      </c>
      <c r="V59" s="26">
        <f t="shared" si="327"/>
        <v>2133.3300000000004</v>
      </c>
      <c r="W59" s="26">
        <f t="shared" si="327"/>
        <v>3103.2000000000003</v>
      </c>
      <c r="X59" s="26">
        <f t="shared" si="327"/>
        <v>3529.1999999999994</v>
      </c>
      <c r="Y59" s="26">
        <f t="shared" si="327"/>
        <v>2584.11</v>
      </c>
      <c r="Z59" s="26">
        <f t="shared" ref="Z59:AA59" si="328">Z47-Z57</f>
        <v>2718.4399999999987</v>
      </c>
      <c r="AA59" s="26">
        <f t="shared" si="328"/>
        <v>3409.6400000000012</v>
      </c>
      <c r="AB59" s="27">
        <f t="shared" si="327"/>
        <v>4130.4980116058778</v>
      </c>
      <c r="AC59" s="27">
        <f t="shared" si="327"/>
        <v>4998.3161847400424</v>
      </c>
      <c r="AD59" s="27">
        <f t="shared" si="327"/>
        <v>5849.1966388598221</v>
      </c>
      <c r="AE59" s="27">
        <f t="shared" si="327"/>
        <v>6831.4408608384074</v>
      </c>
      <c r="AI59" s="26">
        <f t="shared" ref="AI59:BN59" si="329">AI47-AI57</f>
        <v>88.420000000000016</v>
      </c>
      <c r="AJ59" s="26">
        <f t="shared" si="329"/>
        <v>111.35000000000002</v>
      </c>
      <c r="AK59" s="26">
        <f t="shared" si="329"/>
        <v>195.10999999999996</v>
      </c>
      <c r="AL59" s="26">
        <f t="shared" si="329"/>
        <v>133.16999999999996</v>
      </c>
      <c r="AM59" s="26">
        <f t="shared" si="329"/>
        <v>111.28999999999999</v>
      </c>
      <c r="AN59" s="26">
        <f t="shared" si="329"/>
        <v>127.01000000000016</v>
      </c>
      <c r="AO59" s="26">
        <f t="shared" si="329"/>
        <v>145.2000000000001</v>
      </c>
      <c r="AP59" s="26">
        <f t="shared" si="329"/>
        <v>106.03000000000003</v>
      </c>
      <c r="AQ59" s="26">
        <f t="shared" si="329"/>
        <v>181.26000000000016</v>
      </c>
      <c r="AR59" s="26">
        <f t="shared" si="329"/>
        <v>193.56999999999994</v>
      </c>
      <c r="AS59" s="26">
        <f t="shared" si="329"/>
        <v>180.80999999999977</v>
      </c>
      <c r="AT59" s="26">
        <f t="shared" si="329"/>
        <v>158.65999999999985</v>
      </c>
      <c r="AU59" s="26">
        <f t="shared" si="329"/>
        <v>267.18000000000018</v>
      </c>
      <c r="AV59" s="26">
        <f t="shared" si="329"/>
        <v>238.09999999999991</v>
      </c>
      <c r="AW59" s="26">
        <f t="shared" si="329"/>
        <v>227.18000000000006</v>
      </c>
      <c r="AX59" s="26">
        <f t="shared" si="329"/>
        <v>224.80000000000018</v>
      </c>
      <c r="AY59" s="26">
        <f t="shared" si="329"/>
        <v>289.84000000000003</v>
      </c>
      <c r="AZ59" s="26">
        <f t="shared" si="329"/>
        <v>232.5800000000001</v>
      </c>
      <c r="BA59" s="26">
        <f t="shared" si="329"/>
        <v>226.77999999999997</v>
      </c>
      <c r="BB59" s="26">
        <f t="shared" si="329"/>
        <v>215.74000000000007</v>
      </c>
      <c r="BC59" s="26">
        <f t="shared" si="329"/>
        <v>198.41999999999996</v>
      </c>
      <c r="BD59" s="26">
        <f t="shared" si="329"/>
        <v>203.61</v>
      </c>
      <c r="BE59" s="26">
        <f t="shared" si="329"/>
        <v>231.5999999999998</v>
      </c>
      <c r="BF59" s="26">
        <f t="shared" si="329"/>
        <v>272.6099999999999</v>
      </c>
      <c r="BG59" s="26">
        <f t="shared" si="329"/>
        <v>304.23</v>
      </c>
      <c r="BH59" s="26">
        <f t="shared" si="329"/>
        <v>300.2600000000001</v>
      </c>
      <c r="BI59" s="26">
        <f t="shared" si="329"/>
        <v>311.96999999999991</v>
      </c>
      <c r="BJ59" s="26">
        <f t="shared" si="329"/>
        <v>372.3599999999999</v>
      </c>
      <c r="BK59" s="26">
        <f t="shared" si="329"/>
        <v>344.66000000000008</v>
      </c>
      <c r="BL59" s="26">
        <f t="shared" si="329"/>
        <v>331.00000000000011</v>
      </c>
      <c r="BM59" s="26">
        <f t="shared" si="329"/>
        <v>390.16000000000008</v>
      </c>
      <c r="BN59" s="26">
        <f t="shared" si="329"/>
        <v>361.30999999999995</v>
      </c>
      <c r="BO59" s="26">
        <f t="shared" ref="BO59:CT59" si="330">BO47-BO57</f>
        <v>363.25</v>
      </c>
      <c r="BP59" s="26">
        <f t="shared" si="330"/>
        <v>572.48999999999955</v>
      </c>
      <c r="BQ59" s="26">
        <f t="shared" si="330"/>
        <v>544.64</v>
      </c>
      <c r="BR59" s="26">
        <f t="shared" si="330"/>
        <v>634.2700000000001</v>
      </c>
      <c r="BS59" s="26">
        <f t="shared" si="330"/>
        <v>664.37000000000035</v>
      </c>
      <c r="BT59" s="26">
        <f t="shared" si="330"/>
        <v>654.35000000000036</v>
      </c>
      <c r="BU59" s="26">
        <f t="shared" si="330"/>
        <v>847.87999999999988</v>
      </c>
      <c r="BV59" s="26">
        <f t="shared" si="330"/>
        <v>936.60000000000036</v>
      </c>
      <c r="BW59" s="26">
        <f t="shared" si="330"/>
        <v>994.9699999999998</v>
      </c>
      <c r="BX59" s="26">
        <f t="shared" si="330"/>
        <v>769.11000000000035</v>
      </c>
      <c r="BY59" s="26">
        <f t="shared" si="330"/>
        <v>833.52</v>
      </c>
      <c r="BZ59" s="26">
        <f t="shared" si="330"/>
        <v>931.60000000000014</v>
      </c>
      <c r="CA59" s="26">
        <f t="shared" si="330"/>
        <v>696.24999999999955</v>
      </c>
      <c r="CB59" s="26">
        <f t="shared" si="330"/>
        <v>626.20999999999935</v>
      </c>
      <c r="CC59" s="26">
        <f t="shared" si="330"/>
        <v>565.83000000000015</v>
      </c>
      <c r="CD59" s="26">
        <f t="shared" si="330"/>
        <v>695.82000000000016</v>
      </c>
      <c r="CE59" s="26">
        <f t="shared" si="330"/>
        <v>603.42000000000007</v>
      </c>
      <c r="CF59" s="26">
        <f t="shared" si="330"/>
        <v>538.04</v>
      </c>
      <c r="CG59" s="26">
        <f t="shared" si="330"/>
        <v>619.57000000000039</v>
      </c>
      <c r="CH59" s="26">
        <f t="shared" si="330"/>
        <v>957.41000000000031</v>
      </c>
      <c r="CI59" s="26">
        <f t="shared" ref="CI59:CJ59" si="331">CI47-CI57</f>
        <v>821.14999999999986</v>
      </c>
      <c r="CJ59" s="26">
        <f t="shared" si="331"/>
        <v>774.14999999999986</v>
      </c>
      <c r="CK59" s="26">
        <f t="shared" ref="CK59:CL59" si="332">CK47-CK57</f>
        <v>779.97000000000025</v>
      </c>
      <c r="CL59" s="26">
        <f t="shared" si="332"/>
        <v>1025.68</v>
      </c>
      <c r="CM59" s="27">
        <f t="shared" si="330"/>
        <v>961.05530419360025</v>
      </c>
      <c r="CN59" s="27">
        <f t="shared" si="330"/>
        <v>923.76631265841206</v>
      </c>
      <c r="CO59" s="27">
        <f t="shared" si="330"/>
        <v>978.90235484060531</v>
      </c>
      <c r="CP59" s="27">
        <f t="shared" si="330"/>
        <v>1266.7740399132599</v>
      </c>
      <c r="CQ59" s="27">
        <f t="shared" si="330"/>
        <v>1157.1011977982168</v>
      </c>
      <c r="CR59" s="27">
        <f t="shared" si="330"/>
        <v>1119.6169751496946</v>
      </c>
      <c r="CS59" s="27">
        <f t="shared" si="330"/>
        <v>1191.0767690553321</v>
      </c>
      <c r="CT59" s="27">
        <f t="shared" si="330"/>
        <v>1530.5212427367978</v>
      </c>
      <c r="CU59" s="27">
        <f t="shared" ref="CU59:DB59" si="333">CU47-CU57</f>
        <v>1367.5344297170461</v>
      </c>
      <c r="CV59" s="27">
        <f t="shared" si="333"/>
        <v>1317.6771563182426</v>
      </c>
      <c r="CW59" s="27">
        <f t="shared" si="333"/>
        <v>1392.1790588862616</v>
      </c>
      <c r="CX59" s="27">
        <f t="shared" si="333"/>
        <v>1771.8059939382722</v>
      </c>
      <c r="CY59" s="27">
        <f t="shared" si="333"/>
        <v>1601.6745526510817</v>
      </c>
      <c r="CZ59" s="27">
        <f t="shared" si="333"/>
        <v>1539.8389734449352</v>
      </c>
      <c r="DA59" s="27">
        <f t="shared" si="333"/>
        <v>1624.0441692104057</v>
      </c>
      <c r="DB59" s="27">
        <f t="shared" si="333"/>
        <v>2065.8831655319841</v>
      </c>
      <c r="DE59" s="27">
        <v>1107.9550027248988</v>
      </c>
      <c r="DF59" s="26">
        <v>0</v>
      </c>
    </row>
    <row r="60" spans="1:110" s="162" customFormat="1" x14ac:dyDescent="0.2">
      <c r="A60" s="159" t="s">
        <v>14</v>
      </c>
      <c r="B60" s="160">
        <f t="shared" ref="B60:E60" si="334">B59/B41</f>
        <v>0.20162441574073997</v>
      </c>
      <c r="C60" s="160">
        <f t="shared" si="334"/>
        <v>0.12881699761321275</v>
      </c>
      <c r="D60" s="160">
        <f t="shared" si="334"/>
        <v>0.17302651905332353</v>
      </c>
      <c r="E60" s="160">
        <f t="shared" si="334"/>
        <v>0.13749584617281171</v>
      </c>
      <c r="F60" s="160">
        <f t="shared" ref="F60:AE60" si="335">F59/F41</f>
        <v>0.12772062641138648</v>
      </c>
      <c r="G60" s="160">
        <f t="shared" si="335"/>
        <v>0.18611823046663908</v>
      </c>
      <c r="H60" s="160">
        <f t="shared" si="335"/>
        <v>0.29181843683389069</v>
      </c>
      <c r="I60" s="160">
        <f t="shared" si="335"/>
        <v>0.19002817714255618</v>
      </c>
      <c r="J60" s="160">
        <f t="shared" si="335"/>
        <v>0.18352565939764676</v>
      </c>
      <c r="K60" s="160">
        <f t="shared" si="335"/>
        <v>0.24759225707447011</v>
      </c>
      <c r="L60" s="160">
        <f t="shared" si="335"/>
        <v>0.25936192104088329</v>
      </c>
      <c r="M60" s="160">
        <f t="shared" si="335"/>
        <v>0.20780349229886955</v>
      </c>
      <c r="N60" s="160">
        <f t="shared" si="335"/>
        <v>0.16237531440781416</v>
      </c>
      <c r="O60" s="160">
        <f t="shared" si="335"/>
        <v>0.12575490716254303</v>
      </c>
      <c r="P60" s="160">
        <f t="shared" si="335"/>
        <v>0.15803605846008148</v>
      </c>
      <c r="Q60" s="160">
        <f t="shared" si="335"/>
        <v>0.20957515372154206</v>
      </c>
      <c r="R60" s="160">
        <f t="shared" si="335"/>
        <v>0.20096022232361371</v>
      </c>
      <c r="S60" s="160">
        <f t="shared" si="335"/>
        <v>0.16214591414625776</v>
      </c>
      <c r="T60" s="160">
        <f t="shared" si="335"/>
        <v>0.18268660584625307</v>
      </c>
      <c r="U60" s="160">
        <f t="shared" si="335"/>
        <v>0.2018112439159376</v>
      </c>
      <c r="V60" s="160">
        <f t="shared" si="335"/>
        <v>0.25396664777786776</v>
      </c>
      <c r="W60" s="160">
        <f t="shared" si="335"/>
        <v>0.24958057402245198</v>
      </c>
      <c r="X60" s="160">
        <f t="shared" si="335"/>
        <v>0.23733292984314314</v>
      </c>
      <c r="Y60" s="160">
        <f t="shared" si="335"/>
        <v>0.19668197026757961</v>
      </c>
      <c r="Z60" s="160">
        <f t="shared" ref="Z60:AA60" si="336">Z59/Z41</f>
        <v>0.1850151125666725</v>
      </c>
      <c r="AA60" s="160">
        <f t="shared" si="336"/>
        <v>0.21598440693984935</v>
      </c>
      <c r="AB60" s="161">
        <f t="shared" si="335"/>
        <v>0.22732417723626616</v>
      </c>
      <c r="AC60" s="161">
        <f t="shared" si="335"/>
        <v>0.23608877961402988</v>
      </c>
      <c r="AD60" s="161">
        <f t="shared" si="335"/>
        <v>0.23678182955953087</v>
      </c>
      <c r="AE60" s="161">
        <f t="shared" si="335"/>
        <v>0.23694357217115275</v>
      </c>
      <c r="AI60" s="160">
        <f t="shared" ref="AI60:BN60" si="337">AI59/AI41</f>
        <v>0.11542327524313037</v>
      </c>
      <c r="AJ60" s="160">
        <f t="shared" si="337"/>
        <v>0.13853982631199147</v>
      </c>
      <c r="AK60" s="160">
        <f t="shared" si="337"/>
        <v>0.22463100693085258</v>
      </c>
      <c r="AL60" s="160">
        <f t="shared" si="337"/>
        <v>0.16276966326468248</v>
      </c>
      <c r="AM60" s="160">
        <f t="shared" si="337"/>
        <v>0.13764486166252335</v>
      </c>
      <c r="AN60" s="160">
        <f t="shared" si="337"/>
        <v>0.15168089807129653</v>
      </c>
      <c r="AO60" s="160">
        <f t="shared" si="337"/>
        <v>0.16852954490058858</v>
      </c>
      <c r="AP60" s="160">
        <f t="shared" si="337"/>
        <v>0.11956742371275855</v>
      </c>
      <c r="AQ60" s="160">
        <f t="shared" si="337"/>
        <v>0.15684679617531272</v>
      </c>
      <c r="AR60" s="160">
        <f t="shared" si="337"/>
        <v>0.16351165285556199</v>
      </c>
      <c r="AS60" s="160">
        <f t="shared" si="337"/>
        <v>0.16342043184714508</v>
      </c>
      <c r="AT60" s="160">
        <f t="shared" si="337"/>
        <v>0.14672264555744605</v>
      </c>
      <c r="AU60" s="160">
        <f t="shared" si="337"/>
        <v>0.21875434962378326</v>
      </c>
      <c r="AV60" s="160">
        <f t="shared" si="337"/>
        <v>0.20658898249937088</v>
      </c>
      <c r="AW60" s="160">
        <f t="shared" si="337"/>
        <v>0.20859233686220863</v>
      </c>
      <c r="AX60" s="160">
        <f t="shared" si="337"/>
        <v>0.20198389879240958</v>
      </c>
      <c r="AY60" s="160">
        <f t="shared" si="337"/>
        <v>0.23772770892627196</v>
      </c>
      <c r="AZ60" s="160">
        <f t="shared" si="337"/>
        <v>0.20333974471061381</v>
      </c>
      <c r="BA60" s="160">
        <f t="shared" si="337"/>
        <v>0.20095168050472736</v>
      </c>
      <c r="BB60" s="160">
        <f t="shared" si="337"/>
        <v>0.1627231654611144</v>
      </c>
      <c r="BC60" s="160">
        <f t="shared" si="337"/>
        <v>0.15342385253000121</v>
      </c>
      <c r="BD60" s="160">
        <f t="shared" si="337"/>
        <v>0.15827522679042</v>
      </c>
      <c r="BE60" s="160">
        <f t="shared" si="337"/>
        <v>0.16577670250382934</v>
      </c>
      <c r="BF60" s="160">
        <f t="shared" si="337"/>
        <v>0.1690845826071315</v>
      </c>
      <c r="BG60" s="160">
        <f t="shared" si="337"/>
        <v>0.1830648606690054</v>
      </c>
      <c r="BH60" s="160">
        <f t="shared" si="337"/>
        <v>0.17278963239186987</v>
      </c>
      <c r="BI60" s="160">
        <f t="shared" si="337"/>
        <v>0.17247537013898867</v>
      </c>
      <c r="BJ60" s="160">
        <f t="shared" si="337"/>
        <v>0.19240129590302424</v>
      </c>
      <c r="BK60" s="160">
        <f t="shared" si="337"/>
        <v>0.19546416074497111</v>
      </c>
      <c r="BL60" s="160">
        <f t="shared" si="337"/>
        <v>0.19093326565104787</v>
      </c>
      <c r="BM60" s="160">
        <f t="shared" si="337"/>
        <v>0.2108414528043924</v>
      </c>
      <c r="BN60" s="160">
        <f t="shared" si="337"/>
        <v>0.19735627475078515</v>
      </c>
      <c r="BO60" s="160">
        <f t="shared" ref="BO60:CT60" si="338">BO59/BO41</f>
        <v>0.23648164785229744</v>
      </c>
      <c r="BP60" s="160">
        <f t="shared" si="338"/>
        <v>0.27375624031674967</v>
      </c>
      <c r="BQ60" s="160">
        <f t="shared" si="338"/>
        <v>0.2537446247455053</v>
      </c>
      <c r="BR60" s="160">
        <f t="shared" si="338"/>
        <v>0.24323432976051237</v>
      </c>
      <c r="BS60" s="160">
        <f t="shared" si="338"/>
        <v>0.2461176557753576</v>
      </c>
      <c r="BT60" s="160">
        <f t="shared" si="338"/>
        <v>0.23048852224574418</v>
      </c>
      <c r="BU60" s="160">
        <f t="shared" si="338"/>
        <v>0.25341092152414768</v>
      </c>
      <c r="BV60" s="160">
        <f t="shared" si="338"/>
        <v>0.26387409773991255</v>
      </c>
      <c r="BW60" s="160">
        <f t="shared" si="338"/>
        <v>0.2571081566468984</v>
      </c>
      <c r="BX60" s="160">
        <f t="shared" si="338"/>
        <v>0.20833491345450614</v>
      </c>
      <c r="BY60" s="160">
        <f t="shared" si="338"/>
        <v>0.24127689876165831</v>
      </c>
      <c r="BZ60" s="160">
        <f t="shared" si="338"/>
        <v>0.24842136701083714</v>
      </c>
      <c r="CA60" s="160">
        <f t="shared" si="338"/>
        <v>0.21005234338467096</v>
      </c>
      <c r="CB60" s="160">
        <f t="shared" si="338"/>
        <v>0.1982775271115331</v>
      </c>
      <c r="CC60" s="160">
        <f t="shared" si="338"/>
        <v>0.18643738302975987</v>
      </c>
      <c r="CD60" s="160">
        <f t="shared" si="338"/>
        <v>0.1957877854218546</v>
      </c>
      <c r="CE60" s="160">
        <f t="shared" si="338"/>
        <v>0.17506266536694054</v>
      </c>
      <c r="CF60" s="160">
        <f t="shared" si="338"/>
        <v>0.15816750987003597</v>
      </c>
      <c r="CG60" s="160">
        <f t="shared" si="338"/>
        <v>0.17921720290764787</v>
      </c>
      <c r="CH60" s="160">
        <f t="shared" si="338"/>
        <v>0.22431130541537228</v>
      </c>
      <c r="CI60" s="160">
        <f t="shared" ref="CI60:CJ60" si="339">CI59/CI41</f>
        <v>0.21503841701976104</v>
      </c>
      <c r="CJ60" s="160">
        <f t="shared" si="339"/>
        <v>0.21447212402619706</v>
      </c>
      <c r="CK60" s="160">
        <f t="shared" ref="CK60:CL60" si="340">CK59/CK41</f>
        <v>0.2123910432885934</v>
      </c>
      <c r="CL60" s="160">
        <f t="shared" si="340"/>
        <v>0.22848894067013145</v>
      </c>
      <c r="CM60" s="161">
        <f t="shared" si="338"/>
        <v>0.22325199057462355</v>
      </c>
      <c r="CN60" s="161">
        <f t="shared" si="338"/>
        <v>0.22526771411190927</v>
      </c>
      <c r="CO60" s="161">
        <f t="shared" si="338"/>
        <v>0.2278654844944078</v>
      </c>
      <c r="CP60" s="161">
        <f t="shared" si="338"/>
        <v>0.23164662074820191</v>
      </c>
      <c r="CQ60" s="161">
        <f t="shared" si="338"/>
        <v>0.23245055383871641</v>
      </c>
      <c r="CR60" s="161">
        <f t="shared" si="338"/>
        <v>0.23469831395281915</v>
      </c>
      <c r="CS60" s="161">
        <f t="shared" si="338"/>
        <v>0.23700060155275599</v>
      </c>
      <c r="CT60" s="161">
        <f t="shared" si="338"/>
        <v>0.23924023082781912</v>
      </c>
      <c r="CU60" s="161">
        <f t="shared" ref="CU60:DB60" si="341">CU59/CU41</f>
        <v>0.23584742504302772</v>
      </c>
      <c r="CV60" s="161">
        <f t="shared" si="341"/>
        <v>0.23669664284410549</v>
      </c>
      <c r="CW60" s="161">
        <f t="shared" si="341"/>
        <v>0.23719622506692709</v>
      </c>
      <c r="CX60" s="161">
        <f t="shared" si="341"/>
        <v>0.23724513094546978</v>
      </c>
      <c r="CY60" s="161">
        <f t="shared" si="341"/>
        <v>0.23674635597488253</v>
      </c>
      <c r="CZ60" s="161">
        <f t="shared" si="341"/>
        <v>0.23697108870784628</v>
      </c>
      <c r="DA60" s="161">
        <f t="shared" si="341"/>
        <v>0.23703970017378137</v>
      </c>
      <c r="DB60" s="161">
        <f t="shared" si="341"/>
        <v>0.23700056895049496</v>
      </c>
      <c r="DE60" s="161">
        <v>0.23335995955103148</v>
      </c>
    </row>
    <row r="61" spans="1:110" s="38" customFormat="1" x14ac:dyDescent="0.2">
      <c r="A61" s="39" t="s">
        <v>449</v>
      </c>
      <c r="B61" s="39"/>
      <c r="C61" s="39">
        <f t="shared" ref="C61:E61" si="342">+IF(B59&lt;0,1-C59/B59,C59/B59-1)</f>
        <v>-0.34998539711263699</v>
      </c>
      <c r="D61" s="39">
        <f t="shared" si="342"/>
        <v>0.53257163623549264</v>
      </c>
      <c r="E61" s="39">
        <f t="shared" si="342"/>
        <v>-0.10478656172777079</v>
      </c>
      <c r="F61" s="39">
        <f t="shared" ref="F61:Y61" si="343">+IF(E59&lt;0,1-F59/E59,F59/E59-1)</f>
        <v>0.17525378479883846</v>
      </c>
      <c r="G61" s="39">
        <f t="shared" si="343"/>
        <v>0.74490857321211945</v>
      </c>
      <c r="H61" s="39">
        <f t="shared" si="343"/>
        <v>1.1547986089230111</v>
      </c>
      <c r="I61" s="39">
        <f t="shared" si="343"/>
        <v>-0.4188806651459217</v>
      </c>
      <c r="J61" s="39">
        <f t="shared" si="343"/>
        <v>0.1605278482559731</v>
      </c>
      <c r="K61" s="39">
        <f t="shared" si="343"/>
        <v>0.66630143716193957</v>
      </c>
      <c r="L61" s="39">
        <f t="shared" si="343"/>
        <v>0.45623462184156716</v>
      </c>
      <c r="M61" s="39">
        <f t="shared" si="343"/>
        <v>-7.712471188677561E-2</v>
      </c>
      <c r="N61" s="39">
        <f t="shared" si="343"/>
        <v>-0.26119764620274288</v>
      </c>
      <c r="O61" s="39">
        <f t="shared" si="343"/>
        <v>-0.17739499548153259</v>
      </c>
      <c r="P61" s="39">
        <f t="shared" si="343"/>
        <v>0.41989523656476879</v>
      </c>
      <c r="Q61" s="39">
        <f t="shared" si="343"/>
        <v>0.34156608033897284</v>
      </c>
      <c r="R61" s="39">
        <f t="shared" si="343"/>
        <v>6.7219382454390963E-3</v>
      </c>
      <c r="S61" s="39">
        <f t="shared" si="343"/>
        <v>-6.475815023890874E-2</v>
      </c>
      <c r="T61" s="39">
        <f t="shared" si="343"/>
        <v>0.43118820621468834</v>
      </c>
      <c r="U61" s="39">
        <f t="shared" si="343"/>
        <v>0.12177332305319966</v>
      </c>
      <c r="V61" s="39">
        <f t="shared" si="343"/>
        <v>0.46626665017114166</v>
      </c>
      <c r="W61" s="39">
        <f t="shared" si="343"/>
        <v>0.45462727285511373</v>
      </c>
      <c r="X61" s="39">
        <f t="shared" si="343"/>
        <v>0.13727764887857674</v>
      </c>
      <c r="Y61" s="39">
        <f t="shared" si="343"/>
        <v>-0.26779156749404942</v>
      </c>
      <c r="Z61" s="39">
        <f t="shared" ref="Z61:AE61" si="344">+IF(Y59&lt;0,1-Z59/Y59,Z59/Y59-1)</f>
        <v>5.1983081215582372E-2</v>
      </c>
      <c r="AA61" s="39">
        <f t="shared" si="344"/>
        <v>0.25426347463986798</v>
      </c>
      <c r="AB61" s="40">
        <f t="shared" si="344"/>
        <v>0.2114176310712792</v>
      </c>
      <c r="AC61" s="40">
        <f t="shared" si="344"/>
        <v>0.2101001309517081</v>
      </c>
      <c r="AD61" s="40">
        <f t="shared" si="344"/>
        <v>0.17023341914973966</v>
      </c>
      <c r="AE61" s="40">
        <f t="shared" si="344"/>
        <v>0.16792805621423823</v>
      </c>
      <c r="AI61" s="39"/>
      <c r="AJ61" s="39"/>
      <c r="AK61" s="39"/>
      <c r="AL61" s="39"/>
      <c r="AM61" s="39">
        <f>+IF(AI59&lt;0,1-AM59/AI59,AM59/AI59-1)</f>
        <v>0.25865188871296052</v>
      </c>
      <c r="AN61" s="39">
        <f t="shared" ref="AN61" si="345">+IF(AJ59&lt;0,1-AN59/AJ59,AN59/AJ59-1)</f>
        <v>0.14063762909744182</v>
      </c>
      <c r="AO61" s="39">
        <f t="shared" ref="AO61" si="346">+IF(AK59&lt;0,1-AO59/AK59,AO59/AK59-1)</f>
        <v>-0.25580441802060305</v>
      </c>
      <c r="AP61" s="39">
        <f t="shared" ref="AP61" si="347">+IF(AL59&lt;0,1-AP59/AL59,AP59/AL59-1)</f>
        <v>-0.20379965457685623</v>
      </c>
      <c r="AQ61" s="39">
        <f t="shared" ref="AQ61" si="348">+IF(AM59&lt;0,1-AQ59/AM59,AQ59/AM59-1)</f>
        <v>0.6287177643993187</v>
      </c>
      <c r="AR61" s="39">
        <f t="shared" ref="AR61" si="349">+IF(AN59&lt;0,1-AR59/AN59,AR59/AN59-1)</f>
        <v>0.52405322415557576</v>
      </c>
      <c r="AS61" s="39">
        <f t="shared" ref="AS61" si="350">+IF(AO59&lt;0,1-AS59/AO59,AS59/AO59-1)</f>
        <v>0.245247933884295</v>
      </c>
      <c r="AT61" s="39">
        <f t="shared" ref="AT61" si="351">+IF(AP59&lt;0,1-AT59/AP59,AT59/AP59-1)</f>
        <v>0.49636895218334254</v>
      </c>
      <c r="AU61" s="39">
        <f t="shared" ref="AU61" si="352">+IF(AQ59&lt;0,1-AU59/AQ59,AU59/AQ59-1)</f>
        <v>0.47401522674611019</v>
      </c>
      <c r="AV61" s="39">
        <f t="shared" ref="AV61" si="353">+IF(AR59&lt;0,1-AV59/AR59,AV59/AR59-1)</f>
        <v>0.23004597819910111</v>
      </c>
      <c r="AW61" s="39">
        <f t="shared" ref="AW61" si="354">+IF(AS59&lt;0,1-AW59/AS59,AW59/AS59-1)</f>
        <v>0.25645705436646393</v>
      </c>
      <c r="AX61" s="39">
        <f t="shared" ref="AX61" si="355">+IF(AT59&lt;0,1-AX59/AT59,AX59/AT59-1)</f>
        <v>0.41686625488466156</v>
      </c>
      <c r="AY61" s="39">
        <f t="shared" ref="AY61" si="356">+IF(AU59&lt;0,1-AY59/AU59,AY59/AU59-1)</f>
        <v>8.4811737405493748E-2</v>
      </c>
      <c r="AZ61" s="39">
        <f t="shared" ref="AZ61" si="357">+IF(AV59&lt;0,1-AZ59/AV59,AZ59/AV59-1)</f>
        <v>-2.3183536329272614E-2</v>
      </c>
      <c r="BA61" s="39">
        <f t="shared" ref="BA61" si="358">+IF(AW59&lt;0,1-BA59/AW59,BA59/AW59-1)</f>
        <v>-1.7607183730966591E-3</v>
      </c>
      <c r="BB61" s="39">
        <f t="shared" ref="BB61" si="359">+IF(AX59&lt;0,1-BB59/AX59,BB59/AX59-1)</f>
        <v>-4.0302491103203275E-2</v>
      </c>
      <c r="BC61" s="39">
        <f t="shared" ref="BC61" si="360">+IF(AY59&lt;0,1-BC59/AY59,BC59/AY59-1)</f>
        <v>-0.31541540160088344</v>
      </c>
      <c r="BD61" s="39">
        <f t="shared" ref="BD61" si="361">+IF(AZ59&lt;0,1-BD59/AZ59,BD59/AZ59-1)</f>
        <v>-0.12455929142660616</v>
      </c>
      <c r="BE61" s="39">
        <f t="shared" ref="BE61" si="362">+IF(BA59&lt;0,1-BE59/BA59,BE59/BA59-1)</f>
        <v>2.1254078842930735E-2</v>
      </c>
      <c r="BF61" s="39">
        <f t="shared" ref="BF61" si="363">+IF(BB59&lt;0,1-BF59/BB59,BF59/BB59-1)</f>
        <v>0.26360433855566812</v>
      </c>
      <c r="BG61" s="39">
        <f t="shared" ref="BG61" si="364">+IF(BC59&lt;0,1-BG59/BC59,BG59/BC59-1)</f>
        <v>0.53326277592984628</v>
      </c>
      <c r="BH61" s="39">
        <f t="shared" ref="BH61" si="365">+IF(BD59&lt;0,1-BH59/BD59,BH59/BD59-1)</f>
        <v>0.47468199007907308</v>
      </c>
      <c r="BI61" s="39">
        <f t="shared" ref="BI61" si="366">+IF(BE59&lt;0,1-BI59/BE59,BI59/BE59-1)</f>
        <v>0.34702072538860196</v>
      </c>
      <c r="BJ61" s="39">
        <f t="shared" ref="BJ61" si="367">+IF(BF59&lt;0,1-BJ59/BF59,BJ59/BF59-1)</f>
        <v>0.36590734015626736</v>
      </c>
      <c r="BK61" s="39">
        <f t="shared" ref="BK61" si="368">+IF(BG59&lt;0,1-BK59/BG59,BK59/BG59-1)</f>
        <v>0.13289287709956299</v>
      </c>
      <c r="BL61" s="39">
        <f t="shared" ref="BL61" si="369">+IF(BH59&lt;0,1-BL59/BH59,BL59/BH59-1)</f>
        <v>0.10237793911942972</v>
      </c>
      <c r="BM61" s="39">
        <f t="shared" ref="BM61" si="370">+IF(BI59&lt;0,1-BM59/BI59,BM59/BI59-1)</f>
        <v>0.25063307369298382</v>
      </c>
      <c r="BN61" s="39">
        <f t="shared" ref="BN61" si="371">+IF(BJ59&lt;0,1-BN59/BJ59,BN59/BJ59-1)</f>
        <v>-2.9675582769362885E-2</v>
      </c>
      <c r="BO61" s="39">
        <f t="shared" ref="BO61" si="372">+IF(BK59&lt;0,1-BO59/BK59,BO59/BK59-1)</f>
        <v>5.3937213485753865E-2</v>
      </c>
      <c r="BP61" s="39">
        <f t="shared" ref="BP61" si="373">+IF(BL59&lt;0,1-BP59/BL59,BP59/BL59-1)</f>
        <v>0.72957703927492257</v>
      </c>
      <c r="BQ61" s="39">
        <f t="shared" ref="BQ61" si="374">+IF(BM59&lt;0,1-BQ59/BM59,BQ59/BM59-1)</f>
        <v>0.39594012712733195</v>
      </c>
      <c r="BR61" s="39">
        <f t="shared" ref="BR61" si="375">+IF(BN59&lt;0,1-BR59/BN59,BR59/BN59-1)</f>
        <v>0.75547313940937189</v>
      </c>
      <c r="BS61" s="39">
        <f t="shared" ref="BS61" si="376">+IF(BO59&lt;0,1-BS59/BO59,BS59/BO59-1)</f>
        <v>0.82896077081899611</v>
      </c>
      <c r="BT61" s="39">
        <f t="shared" ref="BT61" si="377">+IF(BP59&lt;0,1-BT59/BP59,BT59/BP59-1)</f>
        <v>0.14298939719471226</v>
      </c>
      <c r="BU61" s="39">
        <f t="shared" ref="BU61" si="378">+IF(BQ59&lt;0,1-BU59/BQ59,BU59/BQ59-1)</f>
        <v>0.55677144535840162</v>
      </c>
      <c r="BV61" s="39">
        <f t="shared" ref="BV61" si="379">+IF(BR59&lt;0,1-BV59/BR59,BV59/BR59-1)</f>
        <v>0.4766582054960824</v>
      </c>
      <c r="BW61" s="39">
        <f t="shared" ref="BW61" si="380">+IF(BS59&lt;0,1-BW59/BS59,BW59/BS59-1)</f>
        <v>0.49761428119872853</v>
      </c>
      <c r="BX61" s="39">
        <f t="shared" ref="BX61" si="381">+IF(BT59&lt;0,1-BX59/BT59,BX59/BT59-1)</f>
        <v>0.17538014823871007</v>
      </c>
      <c r="BY61" s="39">
        <f t="shared" ref="BY61" si="382">+IF(BU59&lt;0,1-BY59/BU59,BY59/BU59-1)</f>
        <v>-1.6936358918714811E-2</v>
      </c>
      <c r="BZ61" s="39">
        <f t="shared" ref="BZ61" si="383">+IF(BV59&lt;0,1-BZ59/BV59,BZ59/BV59-1)</f>
        <v>-5.3384582532567393E-3</v>
      </c>
      <c r="CA61" s="39">
        <f t="shared" ref="CA61" si="384">+IF(BW59&lt;0,1-CA59/BW59,CA59/BW59-1)</f>
        <v>-0.30023015769319705</v>
      </c>
      <c r="CB61" s="39">
        <f t="shared" ref="CB61" si="385">+IF(BX59&lt;0,1-CB59/BX59,CB59/BX59-1)</f>
        <v>-0.18579917046976502</v>
      </c>
      <c r="CC61" s="39">
        <f t="shared" ref="CC61" si="386">+IF(BY59&lt;0,1-CC59/BY59,CC59/BY59-1)</f>
        <v>-0.3211560610423263</v>
      </c>
      <c r="CD61" s="39">
        <f t="shared" ref="CD61" si="387">+IF(BZ59&lt;0,1-CD59/BZ59,CD59/BZ59-1)</f>
        <v>-0.25309145556032631</v>
      </c>
      <c r="CE61" s="39">
        <f t="shared" ref="CE61" si="388">+IF(CA59&lt;0,1-CE59/CA59,CE59/CA59-1)</f>
        <v>-0.13332854578096875</v>
      </c>
      <c r="CF61" s="39">
        <f t="shared" ref="CF61" si="389">+IF(CB59&lt;0,1-CF59/CB59,CF59/CB59-1)</f>
        <v>-0.14079941233771331</v>
      </c>
      <c r="CG61" s="39">
        <f t="shared" ref="CG61" si="390">+IF(CC59&lt;0,1-CG59/CC59,CG59/CC59-1)</f>
        <v>9.4975522683491853E-2</v>
      </c>
      <c r="CH61" s="39">
        <f t="shared" ref="CH61:CL61" si="391">+IF(CD59&lt;0,1-CH59/CD59,CH59/CD59-1)</f>
        <v>0.37594492828605119</v>
      </c>
      <c r="CI61" s="39">
        <f t="shared" si="391"/>
        <v>0.36082662159026846</v>
      </c>
      <c r="CJ61" s="39">
        <f t="shared" si="391"/>
        <v>0.43883354397442553</v>
      </c>
      <c r="CK61" s="39">
        <f t="shared" si="391"/>
        <v>0.2588892296269989</v>
      </c>
      <c r="CL61" s="39">
        <f t="shared" si="391"/>
        <v>7.1306963578821714E-2</v>
      </c>
      <c r="CM61" s="40">
        <f t="shared" ref="CM61" si="392">+CM59/CI59-1</f>
        <v>0.17037728087876802</v>
      </c>
      <c r="CN61" s="40">
        <f t="shared" ref="CN61" si="393">+CN59/CJ59-1</f>
        <v>0.19326527502216906</v>
      </c>
      <c r="CO61" s="40">
        <f t="shared" ref="CO61" si="394">+CO59/CK59-1</f>
        <v>0.25505129022988693</v>
      </c>
      <c r="CP61" s="40">
        <f t="shared" ref="CP61" si="395">+CP59/CL59-1</f>
        <v>0.23505775672067286</v>
      </c>
      <c r="CQ61" s="40">
        <f t="shared" ref="CQ61" si="396">+CQ59/CM59-1</f>
        <v>0.2039902311023758</v>
      </c>
      <c r="CR61" s="40">
        <f t="shared" ref="CR61" si="397">+CR59/CN59-1</f>
        <v>0.21201321135825357</v>
      </c>
      <c r="CS61" s="40">
        <f t="shared" ref="CS61" si="398">+CS59/CO59-1</f>
        <v>0.2167472712324563</v>
      </c>
      <c r="CT61" s="40">
        <f t="shared" ref="CT61" si="399">+CT59/CP59-1</f>
        <v>0.20820382681792049</v>
      </c>
      <c r="CU61" s="40">
        <f t="shared" ref="CU61" si="400">+CU59/CQ59-1</f>
        <v>0.18186242682943465</v>
      </c>
      <c r="CV61" s="40">
        <f t="shared" ref="CV61" si="401">+CV59/CR59-1</f>
        <v>0.17689994486022065</v>
      </c>
      <c r="CW61" s="40">
        <f t="shared" ref="CW61" si="402">+CW59/CS59-1</f>
        <v>0.1688407456644696</v>
      </c>
      <c r="CX61" s="40">
        <f t="shared" ref="CX61" si="403">+CX59/CT59-1</f>
        <v>0.15764874375086868</v>
      </c>
      <c r="CY61" s="40">
        <f t="shared" ref="CY61" si="404">+CY59/CU59-1</f>
        <v>0.1712133295119167</v>
      </c>
      <c r="CZ61" s="40">
        <f t="shared" ref="CZ61" si="405">+CZ59/CV59-1</f>
        <v>0.16860109933714029</v>
      </c>
      <c r="DA61" s="40">
        <f t="shared" ref="DA61" si="406">+DA59/CW59-1</f>
        <v>0.1665483393419489</v>
      </c>
      <c r="DB61" s="40">
        <f t="shared" ref="DB61" si="407">+DB59/CX59-1</f>
        <v>0.16597594352870071</v>
      </c>
      <c r="DE61" s="40">
        <v>0.15724193681379806</v>
      </c>
    </row>
    <row r="62" spans="1:110" s="38" customFormat="1" x14ac:dyDescent="0.2">
      <c r="A62" s="39" t="s">
        <v>450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40"/>
      <c r="AC62" s="40"/>
      <c r="AD62" s="40"/>
      <c r="AE62" s="40"/>
      <c r="AI62" s="39"/>
      <c r="AJ62" s="39">
        <f>+IF(AI59&lt;0,1-AJ59/AI59,AJ59/AI59-1)</f>
        <v>0.25933046821985983</v>
      </c>
      <c r="AK62" s="39">
        <f t="shared" ref="AK62:AM62" si="408">+IF(AJ59&lt;0,1-AK59/AJ59,AK59/AJ59-1)</f>
        <v>0.75222272114952782</v>
      </c>
      <c r="AL62" s="39">
        <f t="shared" si="408"/>
        <v>-0.31746194454410337</v>
      </c>
      <c r="AM62" s="39">
        <f t="shared" si="408"/>
        <v>-0.16430126905459164</v>
      </c>
      <c r="AN62" s="39">
        <f t="shared" ref="AN62" si="409">+IF(AM59&lt;0,1-AN59/AM59,AN59/AM59-1)</f>
        <v>0.14125258334082291</v>
      </c>
      <c r="AO62" s="39">
        <f t="shared" ref="AO62" si="410">+IF(AN59&lt;0,1-AO59/AN59,AO59/AN59-1)</f>
        <v>0.14321706952208424</v>
      </c>
      <c r="AP62" s="39">
        <f t="shared" ref="AP62" si="411">+IF(AO59&lt;0,1-AP59/AO59,AP59/AO59-1)</f>
        <v>-0.26976584022038597</v>
      </c>
      <c r="AQ62" s="39">
        <f t="shared" ref="AQ62" si="412">+IF(AP59&lt;0,1-AQ59/AP59,AQ59/AP59-1)</f>
        <v>0.70951617466754802</v>
      </c>
      <c r="AR62" s="39">
        <f t="shared" ref="AR62" si="413">+IF(AQ59&lt;0,1-AR59/AQ59,AR59/AQ59-1)</f>
        <v>6.7913494427892296E-2</v>
      </c>
      <c r="AS62" s="39">
        <f t="shared" ref="AS62" si="414">+IF(AR59&lt;0,1-AS59/AR59,AS59/AR59-1)</f>
        <v>-6.5919305677533568E-2</v>
      </c>
      <c r="AT62" s="39">
        <f t="shared" ref="AT62" si="415">+IF(AS59&lt;0,1-AT59/AS59,AT59/AS59-1)</f>
        <v>-0.12250428626735221</v>
      </c>
      <c r="AU62" s="39">
        <f t="shared" ref="AU62" si="416">+IF(AT59&lt;0,1-AU59/AT59,AU59/AT59-1)</f>
        <v>0.68397831841674295</v>
      </c>
      <c r="AV62" s="39">
        <f t="shared" ref="AV62" si="417">+IF(AU59&lt;0,1-AV59/AU59,AV59/AU59-1)</f>
        <v>-0.10884048207201236</v>
      </c>
      <c r="AW62" s="39">
        <f t="shared" ref="AW62" si="418">+IF(AV59&lt;0,1-AW59/AV59,AW59/AV59-1)</f>
        <v>-4.5863082738344607E-2</v>
      </c>
      <c r="AX62" s="39">
        <f t="shared" ref="AX62" si="419">+IF(AW59&lt;0,1-AX59/AW59,AX59/AW59-1)</f>
        <v>-1.0476274319922041E-2</v>
      </c>
      <c r="AY62" s="39">
        <f t="shared" ref="AY62" si="420">+IF(AX59&lt;0,1-AY59/AX59,AY59/AX59-1)</f>
        <v>0.28932384341636919</v>
      </c>
      <c r="AZ62" s="39">
        <f t="shared" ref="AZ62" si="421">+IF(AY59&lt;0,1-AZ59/AY59,AZ59/AY59-1)</f>
        <v>-0.19755727297819459</v>
      </c>
      <c r="BA62" s="39">
        <f t="shared" ref="BA62" si="422">+IF(AZ59&lt;0,1-BA59/AZ59,BA59/AZ59-1)</f>
        <v>-2.4937655860349683E-2</v>
      </c>
      <c r="BB62" s="39">
        <f t="shared" ref="BB62" si="423">+IF(BA59&lt;0,1-BB59/BA59,BB59/BA59-1)</f>
        <v>-4.8681541582149657E-2</v>
      </c>
      <c r="BC62" s="39">
        <f t="shared" ref="BC62" si="424">+IF(BB59&lt;0,1-BC59/BB59,BC59/BB59-1)</f>
        <v>-8.0281820710114471E-2</v>
      </c>
      <c r="BD62" s="39">
        <f t="shared" ref="BD62" si="425">+IF(BC59&lt;0,1-BD59/BC59,BD59/BC59-1)</f>
        <v>2.6156637435742702E-2</v>
      </c>
      <c r="BE62" s="39">
        <f t="shared" ref="BE62" si="426">+IF(BD59&lt;0,1-BE59/BD59,BE59/BD59-1)</f>
        <v>0.13746869014291918</v>
      </c>
      <c r="BF62" s="39">
        <f t="shared" ref="BF62" si="427">+IF(BE59&lt;0,1-BF59/BE59,BF59/BE59-1)</f>
        <v>0.17707253886010421</v>
      </c>
      <c r="BG62" s="39">
        <f t="shared" ref="BG62" si="428">+IF(BF59&lt;0,1-BG59/BF59,BG59/BF59-1)</f>
        <v>0.11598987564652852</v>
      </c>
      <c r="BH62" s="39">
        <f t="shared" ref="BH62" si="429">+IF(BG59&lt;0,1-BH59/BG59,BH59/BG59-1)</f>
        <v>-1.3049337672155659E-2</v>
      </c>
      <c r="BI62" s="39">
        <f t="shared" ref="BI62" si="430">+IF(BH59&lt;0,1-BI59/BH59,BI59/BH59-1)</f>
        <v>3.8999533737426928E-2</v>
      </c>
      <c r="BJ62" s="39">
        <f t="shared" ref="BJ62" si="431">+IF(BI59&lt;0,1-BJ59/BI59,BJ59/BI59-1)</f>
        <v>0.19357630541398207</v>
      </c>
      <c r="BK62" s="39">
        <f t="shared" ref="BK62" si="432">+IF(BJ59&lt;0,1-BK59/BJ59,BK59/BJ59-1)</f>
        <v>-7.4390374906004419E-2</v>
      </c>
      <c r="BL62" s="39">
        <f t="shared" ref="BL62" si="433">+IF(BK59&lt;0,1-BL59/BK59,BL59/BK59-1)</f>
        <v>-3.9633261765217753E-2</v>
      </c>
      <c r="BM62" s="39">
        <f t="shared" ref="BM62" si="434">+IF(BL59&lt;0,1-BM59/BL59,BM59/BL59-1)</f>
        <v>0.17873111782477324</v>
      </c>
      <c r="BN62" s="39">
        <f t="shared" ref="BN62" si="435">+IF(BM59&lt;0,1-BN59/BM59,BN59/BM59-1)</f>
        <v>-7.394402296493785E-2</v>
      </c>
      <c r="BO62" s="39">
        <f t="shared" ref="BO62" si="436">+IF(BN59&lt;0,1-BO59/BN59,BO59/BN59-1)</f>
        <v>5.3693504193077501E-3</v>
      </c>
      <c r="BP62" s="39">
        <f t="shared" ref="BP62" si="437">+IF(BO59&lt;0,1-BP59/BO59,BP59/BO59-1)</f>
        <v>0.57602202339986119</v>
      </c>
      <c r="BQ62" s="39">
        <f t="shared" ref="BQ62" si="438">+IF(BP59&lt;0,1-BQ59/BP59,BQ59/BP59-1)</f>
        <v>-4.86471379412734E-2</v>
      </c>
      <c r="BR62" s="39">
        <f t="shared" ref="BR62" si="439">+IF(BQ59&lt;0,1-BR59/BQ59,BR59/BQ59-1)</f>
        <v>0.16456742068155128</v>
      </c>
      <c r="BS62" s="39">
        <f t="shared" ref="BS62" si="440">+IF(BR59&lt;0,1-BS59/BR59,BS59/BR59-1)</f>
        <v>4.7456130669904395E-2</v>
      </c>
      <c r="BT62" s="39">
        <f t="shared" ref="BT62" si="441">+IF(BS59&lt;0,1-BT59/BS59,BT59/BS59-1)</f>
        <v>-1.5081957343046737E-2</v>
      </c>
      <c r="BU62" s="39">
        <f t="shared" ref="BU62" si="442">+IF(BT59&lt;0,1-BU59/BT59,BU59/BT59-1)</f>
        <v>0.29575915030182531</v>
      </c>
      <c r="BV62" s="39">
        <f t="shared" ref="BV62" si="443">+IF(BU59&lt;0,1-BV59/BU59,BV59/BU59-1)</f>
        <v>0.10463744869557079</v>
      </c>
      <c r="BW62" s="39">
        <f t="shared" ref="BW62" si="444">+IF(BV59&lt;0,1-BW59/BV59,BW59/BV59-1)</f>
        <v>6.2321161648515311E-2</v>
      </c>
      <c r="BX62" s="39">
        <f t="shared" ref="BX62" si="445">+IF(BW59&lt;0,1-BX59/BW59,BX59/BW59-1)</f>
        <v>-0.22700181915032558</v>
      </c>
      <c r="BY62" s="39">
        <f t="shared" ref="BY62" si="446">+IF(BX59&lt;0,1-BY59/BX59,BY59/BX59-1)</f>
        <v>8.3746148145258381E-2</v>
      </c>
      <c r="BZ62" s="39">
        <f t="shared" ref="BZ62" si="447">+IF(BY59&lt;0,1-BZ59/BY59,BZ59/BY59-1)</f>
        <v>0.11766964200019214</v>
      </c>
      <c r="CA62" s="39">
        <f t="shared" ref="CA62" si="448">+IF(BZ59&lt;0,1-CA59/BZ59,CA59/BZ59-1)</f>
        <v>-0.25262988407041709</v>
      </c>
      <c r="CB62" s="39">
        <f t="shared" ref="CB62" si="449">+IF(CA59&lt;0,1-CB59/CA59,CB59/CA59-1)</f>
        <v>-0.10059605026930019</v>
      </c>
      <c r="CC62" s="39">
        <f t="shared" ref="CC62" si="450">+IF(CB59&lt;0,1-CC59/CB59,CC59/CB59-1)</f>
        <v>-9.6421328308393783E-2</v>
      </c>
      <c r="CD62" s="39">
        <f t="shared" ref="CD62" si="451">+IF(CC59&lt;0,1-CD59/CC59,CD59/CC59-1)</f>
        <v>0.22973331212555004</v>
      </c>
      <c r="CE62" s="39">
        <f t="shared" ref="CE62" si="452">+IF(CD59&lt;0,1-CE59/CD59,CE59/CD59-1)</f>
        <v>-0.13279296369750804</v>
      </c>
      <c r="CF62" s="39">
        <f t="shared" ref="CF62" si="453">+IF(CE59&lt;0,1-CF59/CE59,CF59/CE59-1)</f>
        <v>-0.10834907692817619</v>
      </c>
      <c r="CG62" s="39">
        <f t="shared" ref="CG62" si="454">+IF(CF59&lt;0,1-CG59/CF59,CG59/CF59-1)</f>
        <v>0.15153148464798227</v>
      </c>
      <c r="CH62" s="39">
        <f t="shared" ref="CH62:CI62" si="455">+IF(CG59&lt;0,1-CH59/CG59,CH59/CG59-1)</f>
        <v>0.54528140484529541</v>
      </c>
      <c r="CI62" s="39">
        <f t="shared" si="455"/>
        <v>-0.14232147146990359</v>
      </c>
      <c r="CJ62" s="39">
        <f>+IF(CI59&gt;1,CJ59/CI59-1,1-CJ59/CI59)</f>
        <v>-5.7236802045911195E-2</v>
      </c>
      <c r="CK62" s="39">
        <f>+IF(CJ59&gt;1,CK59/CJ59-1,1-CK59/CJ59)</f>
        <v>7.5179228831627753E-3</v>
      </c>
      <c r="CL62" s="39">
        <f>+IF(CK59&gt;1,CL59/CK59-1,1-CL59/CK59)</f>
        <v>0.31502493685654542</v>
      </c>
      <c r="CM62" s="40">
        <f t="shared" ref="CM62" si="456">+CM59/CL59-1</f>
        <v>-6.3006684157241866E-2</v>
      </c>
      <c r="CN62" s="40">
        <f t="shared" ref="CN62" si="457">+CN59/CM59-1</f>
        <v>-3.8800047585686559E-2</v>
      </c>
      <c r="CO62" s="40">
        <f t="shared" ref="CO62" si="458">+CO59/CN59-1</f>
        <v>5.968613644669829E-2</v>
      </c>
      <c r="CP62" s="40">
        <f t="shared" ref="CP62" si="459">+CP59/CO59-1</f>
        <v>0.29407599608801505</v>
      </c>
      <c r="CQ62" s="40">
        <f t="shared" ref="CQ62" si="460">+CQ59/CP59-1</f>
        <v>-8.6576483776501068E-2</v>
      </c>
      <c r="CR62" s="40">
        <f t="shared" ref="CR62" si="461">+CR59/CQ59-1</f>
        <v>-3.2394938938658857E-2</v>
      </c>
      <c r="CS62" s="40">
        <f t="shared" ref="CS62" si="462">+CS59/CR59-1</f>
        <v>6.3825214775868444E-2</v>
      </c>
      <c r="CT62" s="40">
        <f t="shared" ref="CT62" si="463">+CT59/CS59-1</f>
        <v>0.28498958463499058</v>
      </c>
      <c r="CU62" s="40">
        <f t="shared" ref="CU62" si="464">+CU59/CT59-1</f>
        <v>-0.10649104923777941</v>
      </c>
      <c r="CV62" s="40">
        <f t="shared" ref="CV62" si="465">+CV59/CU59-1</f>
        <v>-3.6457782937954542E-2</v>
      </c>
      <c r="CW62" s="40">
        <f t="shared" ref="CW62" si="466">+CW59/CV59-1</f>
        <v>5.6540330998972932E-2</v>
      </c>
      <c r="CX62" s="40">
        <f t="shared" ref="CX62" si="467">+CX59/CW59-1</f>
        <v>0.27268542263213669</v>
      </c>
      <c r="CY62" s="40">
        <f t="shared" ref="CY62" si="468">+CY59/CX59-1</f>
        <v>-9.6021484219630415E-2</v>
      </c>
      <c r="CZ62" s="40">
        <f t="shared" ref="CZ62" si="469">+CZ59/CY59-1</f>
        <v>-3.8606831271556841E-2</v>
      </c>
      <c r="DA62" s="40">
        <f t="shared" ref="DA62" si="470">+DA59/CZ59-1</f>
        <v>5.4684416499139799E-2</v>
      </c>
      <c r="DB62" s="40">
        <f t="shared" ref="DB62" si="471">+DB59/DA59-1</f>
        <v>0.27206094803221781</v>
      </c>
      <c r="DE62" s="40">
        <v>0.42050976668961426</v>
      </c>
    </row>
    <row r="63" spans="1:110" s="23" customFormat="1" x14ac:dyDescent="0.2">
      <c r="A63" s="23" t="s">
        <v>15</v>
      </c>
      <c r="B63" s="23">
        <f>'Annual Raw'!C27</f>
        <v>39.595100000000002</v>
      </c>
      <c r="C63" s="23">
        <f>'Annual Raw'!D27</f>
        <v>57.0167</v>
      </c>
      <c r="D63" s="23">
        <f>'Annual Raw'!E27</f>
        <v>58.274900000000002</v>
      </c>
      <c r="E63" s="23">
        <f>'Annual Raw'!F27</f>
        <v>56.622500000000002</v>
      </c>
      <c r="F63" s="23">
        <f>'Annual Raw'!G27</f>
        <v>59.5762</v>
      </c>
      <c r="G63" s="23">
        <f>'Annual Raw'!H27</f>
        <v>70.594499999999996</v>
      </c>
      <c r="H63" s="23">
        <f>'Annual Raw'!I27</f>
        <v>84.598699999999994</v>
      </c>
      <c r="I63" s="23">
        <f>'Annual Raw'!J27</f>
        <v>104.5488</v>
      </c>
      <c r="J63" s="23">
        <f>'Annual Raw'!K27</f>
        <v>115.357</v>
      </c>
      <c r="K63" s="23">
        <f>'Annual Raw'!L27</f>
        <v>144.76339999999999</v>
      </c>
      <c r="L63" s="23">
        <f>'Annual Raw'!M27</f>
        <v>170.0985</v>
      </c>
      <c r="M63" s="23">
        <f>'Annual Raw'!N27</f>
        <v>183.6832</v>
      </c>
      <c r="N63" s="23">
        <f>'Annual Raw'!O27</f>
        <v>208.87530000000001</v>
      </c>
      <c r="O63" s="23">
        <f>'Annual Raw'!P27</f>
        <v>224.74619999999999</v>
      </c>
      <c r="P63" s="23">
        <f>'Annual Raw'!Q27</f>
        <v>245.03</v>
      </c>
      <c r="Q63" s="23">
        <f>'Annual Raw'!R27</f>
        <v>274.95999999999998</v>
      </c>
      <c r="R63" s="23">
        <f>'Annual Raw'!S27</f>
        <v>283.44</v>
      </c>
      <c r="S63" s="23">
        <f>'Annual Raw'!T27</f>
        <v>315.8</v>
      </c>
      <c r="T63" s="23">
        <f>'Annual Raw'!U27</f>
        <v>358.17</v>
      </c>
      <c r="U63" s="23">
        <f>'Annual Raw'!V27</f>
        <v>388.61</v>
      </c>
      <c r="V63" s="23">
        <f>'Annual Raw'!W27</f>
        <v>453.08</v>
      </c>
      <c r="W63" s="23">
        <f>'Annual Raw'!X27</f>
        <v>517.23</v>
      </c>
      <c r="X63" s="23">
        <f>'Annual Raw'!Y27</f>
        <v>575.32000000000005</v>
      </c>
      <c r="Y63" s="23">
        <f>'Annual Raw'!Z27</f>
        <v>672.62</v>
      </c>
      <c r="Z63" s="23">
        <f>'Annual Raw'!AA27</f>
        <v>771.5</v>
      </c>
      <c r="AA63" s="23">
        <f>'Annual Raw'!AB27</f>
        <v>852.07</v>
      </c>
      <c r="AB63" s="76">
        <f>+SUM(CM63:CP63)</f>
        <v>871.38087539200262</v>
      </c>
      <c r="AC63" s="76">
        <f>+SUM(CQ63:CT63)</f>
        <v>1138.676358170811</v>
      </c>
      <c r="AD63" s="76">
        <f>+SUM(CU63:CX63)</f>
        <v>1037.4771935272618</v>
      </c>
      <c r="AE63" s="76">
        <f>+SUM(CY63:DB63)</f>
        <v>945.27204272360996</v>
      </c>
      <c r="AI63" s="23">
        <f>'QTR Raw'!C28</f>
        <v>42.2</v>
      </c>
      <c r="AJ63" s="23">
        <f>'QTR Raw'!D28</f>
        <v>46.29</v>
      </c>
      <c r="AK63" s="23">
        <f>'QTR Raw'!E28</f>
        <v>47.84</v>
      </c>
      <c r="AL63" s="23">
        <f>'QTR Raw'!F28</f>
        <v>47.95</v>
      </c>
      <c r="AM63" s="23">
        <f>'QTR Raw'!G28</f>
        <v>48.39</v>
      </c>
      <c r="AN63" s="23">
        <f>'QTR Raw'!H28</f>
        <v>47.97</v>
      </c>
      <c r="AO63" s="23">
        <f>'QTR Raw'!I28</f>
        <v>47.89</v>
      </c>
      <c r="AP63" s="23">
        <f>'QTR Raw'!J28</f>
        <v>46.21</v>
      </c>
      <c r="AQ63" s="23">
        <f>'QTR Raw'!K28</f>
        <v>57.82</v>
      </c>
      <c r="AR63" s="23">
        <f>'QTR Raw'!L28</f>
        <v>61.6</v>
      </c>
      <c r="AS63" s="23">
        <f>'QTR Raw'!M28</f>
        <v>60.8</v>
      </c>
      <c r="AT63" s="23">
        <f>'QTR Raw'!N28</f>
        <v>64.81</v>
      </c>
      <c r="AU63" s="23">
        <f>'QTR Raw'!O28</f>
        <v>72.459999999999994</v>
      </c>
      <c r="AV63" s="23">
        <f>'QTR Raw'!P28</f>
        <v>73.319999999999993</v>
      </c>
      <c r="AW63" s="23">
        <f>'QTR Raw'!Q28</f>
        <v>71.430000000000007</v>
      </c>
      <c r="AX63" s="23">
        <f>'QTR Raw'!R28</f>
        <v>69.459999999999994</v>
      </c>
      <c r="AY63" s="23">
        <f>'QTR Raw'!S28</f>
        <v>69.59</v>
      </c>
      <c r="AZ63" s="23">
        <f>'QTR Raw'!T28</f>
        <v>70.010000000000005</v>
      </c>
      <c r="BA63" s="23">
        <f>'QTR Raw'!U28</f>
        <v>70.86</v>
      </c>
      <c r="BB63" s="23">
        <f>'QTR Raw'!V28</f>
        <v>72.989999999999995</v>
      </c>
      <c r="BC63" s="23">
        <f>'QTR Raw'!W28</f>
        <v>75.8</v>
      </c>
      <c r="BD63" s="23">
        <f>'QTR Raw'!X28</f>
        <v>76.84</v>
      </c>
      <c r="BE63" s="23">
        <f>'QTR Raw'!Y28</f>
        <v>77.02</v>
      </c>
      <c r="BF63" s="23">
        <f>'QTR Raw'!Z28</f>
        <v>86.14</v>
      </c>
      <c r="BG63" s="23">
        <f>'QTR Raw'!AA28</f>
        <v>87.88</v>
      </c>
      <c r="BH63" s="23">
        <f>'QTR Raw'!AB28</f>
        <v>87.69</v>
      </c>
      <c r="BI63" s="23">
        <f>'QTR Raw'!AC28</f>
        <v>90.94</v>
      </c>
      <c r="BJ63" s="23">
        <f>'QTR Raw'!AD28</f>
        <v>94.93</v>
      </c>
      <c r="BK63" s="23">
        <f>'QTR Raw'!AE28</f>
        <v>92.46</v>
      </c>
      <c r="BL63" s="23">
        <f>'QTR Raw'!AF28</f>
        <v>92.92</v>
      </c>
      <c r="BM63" s="23">
        <f>'QTR Raw'!AG28</f>
        <v>101.86</v>
      </c>
      <c r="BN63" s="23">
        <f>'QTR Raw'!AH28</f>
        <v>101.37</v>
      </c>
      <c r="BO63" s="23">
        <f>'QTR Raw'!AI28</f>
        <v>104.02</v>
      </c>
      <c r="BP63" s="23">
        <f>'QTR Raw'!AJ28</f>
        <v>114.02</v>
      </c>
      <c r="BQ63" s="23">
        <f>'QTR Raw'!AK28</f>
        <v>116.56</v>
      </c>
      <c r="BR63" s="23">
        <f>'QTR Raw'!AL28</f>
        <v>118.48</v>
      </c>
      <c r="BS63" s="23">
        <f>'QTR Raw'!AM28</f>
        <v>122.95</v>
      </c>
      <c r="BT63" s="23">
        <f>'QTR Raw'!AN28</f>
        <v>130.29</v>
      </c>
      <c r="BU63" s="23">
        <f>'QTR Raw'!AO28</f>
        <v>132.38999999999999</v>
      </c>
      <c r="BV63" s="23">
        <f>'QTR Raw'!AP28</f>
        <v>131.6</v>
      </c>
      <c r="BW63" s="23">
        <f>'QTR Raw'!AQ28</f>
        <v>130.72999999999999</v>
      </c>
      <c r="BX63" s="23">
        <f>'QTR Raw'!AR28</f>
        <v>139.30000000000001</v>
      </c>
      <c r="BY63" s="23">
        <f>'QTR Raw'!AS28</f>
        <v>150.65</v>
      </c>
      <c r="BZ63" s="23">
        <f>'QTR Raw'!AT28</f>
        <v>154.63999999999999</v>
      </c>
      <c r="CA63" s="23">
        <f>'QTR Raw'!AU28</f>
        <v>156.61000000000001</v>
      </c>
      <c r="CB63" s="23">
        <f>'QTR Raw'!AV28</f>
        <v>161.22999999999999</v>
      </c>
      <c r="CC63" s="23">
        <f>'QTR Raw'!AW28</f>
        <v>168.89</v>
      </c>
      <c r="CD63" s="23">
        <f>'QTR Raw'!AX28</f>
        <v>185.89</v>
      </c>
      <c r="CE63" s="23">
        <f>'QTR Raw'!AY28</f>
        <v>188.16</v>
      </c>
      <c r="CF63" s="23">
        <f>'QTR Raw'!AZ28</f>
        <v>193.93</v>
      </c>
      <c r="CG63" s="23">
        <f>'QTR Raw'!BA28</f>
        <v>194.26</v>
      </c>
      <c r="CH63" s="23">
        <f>'QTR Raw'!BB28</f>
        <v>195.15</v>
      </c>
      <c r="CI63" s="23">
        <f>'QTR Raw'!BC28</f>
        <v>203.24</v>
      </c>
      <c r="CJ63" s="23">
        <f>'QTR Raw'!BD28</f>
        <v>212.13</v>
      </c>
      <c r="CK63" s="23">
        <f>'QTR Raw'!BE28</f>
        <v>216.89</v>
      </c>
      <c r="CL63" s="23">
        <f>'QTR Raw'!BF28</f>
        <v>219.81</v>
      </c>
      <c r="CM63" s="24">
        <f t="shared" ref="CM63:DB63" si="472">CM64*CL165</f>
        <v>223.24955835329956</v>
      </c>
      <c r="CN63" s="24">
        <f t="shared" si="472"/>
        <v>219.6072099835788</v>
      </c>
      <c r="CO63" s="24">
        <f t="shared" si="472"/>
        <v>216.0242870467425</v>
      </c>
      <c r="CP63" s="24">
        <f t="shared" si="472"/>
        <v>212.49982000838182</v>
      </c>
      <c r="CQ63" s="24">
        <f t="shared" si="472"/>
        <v>294.68057986598393</v>
      </c>
      <c r="CR63" s="24">
        <f t="shared" si="472"/>
        <v>287.90292652906629</v>
      </c>
      <c r="CS63" s="24">
        <f t="shared" si="472"/>
        <v>281.28115921889776</v>
      </c>
      <c r="CT63" s="24">
        <f t="shared" si="472"/>
        <v>274.81169255686308</v>
      </c>
      <c r="CU63" s="24">
        <f t="shared" si="472"/>
        <v>268.49102362805525</v>
      </c>
      <c r="CV63" s="24">
        <f t="shared" si="472"/>
        <v>262.31573008460998</v>
      </c>
      <c r="CW63" s="24">
        <f t="shared" si="472"/>
        <v>256.28246829266391</v>
      </c>
      <c r="CX63" s="24">
        <f t="shared" si="472"/>
        <v>250.38797152193271</v>
      </c>
      <c r="CY63" s="24">
        <f t="shared" si="472"/>
        <v>244.62904817692822</v>
      </c>
      <c r="CZ63" s="24">
        <f t="shared" si="472"/>
        <v>239.00258006885886</v>
      </c>
      <c r="DA63" s="24">
        <f t="shared" si="472"/>
        <v>233.50552072727513</v>
      </c>
      <c r="DB63" s="24">
        <f t="shared" si="472"/>
        <v>228.13489375054783</v>
      </c>
      <c r="DE63" s="24">
        <v>282.92795999999998</v>
      </c>
      <c r="DF63" s="23">
        <v>0</v>
      </c>
    </row>
    <row r="64" spans="1:110" s="46" customFormat="1" x14ac:dyDescent="0.2">
      <c r="A64" s="46" t="s">
        <v>483</v>
      </c>
      <c r="B64" s="46">
        <f t="shared" ref="B64:D64" si="473">+B63/B165</f>
        <v>7.9596748351882088E-2</v>
      </c>
      <c r="C64" s="46">
        <f t="shared" si="473"/>
        <v>8.9977401771877838E-2</v>
      </c>
      <c r="D64" s="46">
        <f t="shared" si="473"/>
        <v>9.9070057398680203E-2</v>
      </c>
      <c r="E64" s="46">
        <f t="shared" ref="E64:AE64" si="474">+E63/E165</f>
        <v>0.10409089296373322</v>
      </c>
      <c r="F64" s="46">
        <f t="shared" si="474"/>
        <v>7.9516039693821011E-2</v>
      </c>
      <c r="G64" s="46">
        <f t="shared" si="474"/>
        <v>8.0151382105956556E-2</v>
      </c>
      <c r="H64" s="46">
        <f t="shared" si="474"/>
        <v>7.9116052500947345E-2</v>
      </c>
      <c r="I64" s="46">
        <f t="shared" si="474"/>
        <v>9.0132137557962622E-2</v>
      </c>
      <c r="J64" s="46">
        <f t="shared" si="474"/>
        <v>7.3791227826873695E-2</v>
      </c>
      <c r="K64" s="46">
        <f t="shared" si="474"/>
        <v>7.4971640297045616E-2</v>
      </c>
      <c r="L64" s="46">
        <f t="shared" si="474"/>
        <v>8.4061252876565851E-2</v>
      </c>
      <c r="M64" s="46">
        <f t="shared" si="474"/>
        <v>8.8904058761616278E-2</v>
      </c>
      <c r="N64" s="46">
        <f t="shared" si="474"/>
        <v>8.9711336713532819E-2</v>
      </c>
      <c r="O64" s="46">
        <f t="shared" si="474"/>
        <v>6.3493696685581469E-2</v>
      </c>
      <c r="P64" s="46">
        <f t="shared" si="474"/>
        <v>6.2548820397098082E-2</v>
      </c>
      <c r="Q64" s="46">
        <f t="shared" si="474"/>
        <v>6.6939169005820892E-2</v>
      </c>
      <c r="R64" s="46">
        <f t="shared" si="474"/>
        <v>6.4418181818181805E-2</v>
      </c>
      <c r="S64" s="46">
        <f t="shared" si="474"/>
        <v>6.1709698662044628E-2</v>
      </c>
      <c r="T64" s="46">
        <f t="shared" si="474"/>
        <v>6.3898339253315173E-2</v>
      </c>
      <c r="U64" s="46">
        <f t="shared" si="474"/>
        <v>6.1035311930164586E-2</v>
      </c>
      <c r="V64" s="46">
        <f t="shared" si="474"/>
        <v>5.7891683724448459E-2</v>
      </c>
      <c r="W64" s="46">
        <f t="shared" si="474"/>
        <v>6.139017173296113E-2</v>
      </c>
      <c r="X64" s="46">
        <f t="shared" si="474"/>
        <v>5.7246910386276342E-2</v>
      </c>
      <c r="Y64" s="46">
        <f t="shared" si="474"/>
        <v>5.0795899595366727E-2</v>
      </c>
      <c r="Z64" s="46">
        <f t="shared" si="474"/>
        <v>5.6232639129316114E-2</v>
      </c>
      <c r="AA64" s="46">
        <f t="shared" ref="AA64" si="475">+AA63/AA165</f>
        <v>6.1187090010161121E-2</v>
      </c>
      <c r="AB64" s="110">
        <f t="shared" si="474"/>
        <v>6.8011811783222145E-2</v>
      </c>
      <c r="AC64" s="110">
        <f t="shared" si="474"/>
        <v>9.7543507727131495E-2</v>
      </c>
      <c r="AD64" s="110">
        <f t="shared" si="474"/>
        <v>9.7543507727131495E-2</v>
      </c>
      <c r="AE64" s="110">
        <f t="shared" si="474"/>
        <v>9.7543507727131482E-2</v>
      </c>
      <c r="AI64" s="46" t="e">
        <f t="shared" ref="AI64:BN64" si="476">+AI63/AH165</f>
        <v>#DIV/0!</v>
      </c>
      <c r="AJ64" s="46" t="e">
        <f t="shared" si="476"/>
        <v>#DIV/0!</v>
      </c>
      <c r="AK64" s="46">
        <f t="shared" si="476"/>
        <v>2.0018244051853276E-2</v>
      </c>
      <c r="AL64" s="46">
        <f t="shared" si="476"/>
        <v>2.006427262304274E-2</v>
      </c>
      <c r="AM64" s="46">
        <f t="shared" si="476"/>
        <v>1.6673270738220346E-2</v>
      </c>
      <c r="AN64" s="46">
        <f t="shared" si="476"/>
        <v>1.652855543113102E-2</v>
      </c>
      <c r="AO64" s="46">
        <f t="shared" si="476"/>
        <v>1.8542610446432031E-2</v>
      </c>
      <c r="AP64" s="46">
        <f t="shared" si="476"/>
        <v>1.789212839276726E-2</v>
      </c>
      <c r="AQ64" s="46">
        <f t="shared" si="476"/>
        <v>1.5798202688044244E-2</v>
      </c>
      <c r="AR64" s="46">
        <f t="shared" si="476"/>
        <v>1.6831014970313477E-2</v>
      </c>
      <c r="AS64" s="46">
        <f t="shared" si="476"/>
        <v>2.0846119296032035E-2</v>
      </c>
      <c r="AT64" s="46">
        <f t="shared" si="476"/>
        <v>2.2221003150918361E-2</v>
      </c>
      <c r="AU64" s="46">
        <f t="shared" si="476"/>
        <v>1.8011658111584783E-2</v>
      </c>
      <c r="AV64" s="46">
        <f t="shared" si="476"/>
        <v>1.8225431586273752E-2</v>
      </c>
      <c r="AW64" s="46">
        <f t="shared" si="476"/>
        <v>1.7225288836479124E-2</v>
      </c>
      <c r="AX64" s="46">
        <f t="shared" si="476"/>
        <v>1.6750224871648324E-2</v>
      </c>
      <c r="AY64" s="46">
        <f t="shared" si="476"/>
        <v>1.6941725236816547E-2</v>
      </c>
      <c r="AZ64" s="46">
        <f t="shared" si="476"/>
        <v>1.7043974476642139E-2</v>
      </c>
      <c r="BA64" s="46">
        <f t="shared" si="476"/>
        <v>1.7367647058823529E-2</v>
      </c>
      <c r="BB64" s="46">
        <f t="shared" si="476"/>
        <v>1.788970588235294E-2</v>
      </c>
      <c r="BC64" s="46">
        <f t="shared" si="476"/>
        <v>1.7227272727272726E-2</v>
      </c>
      <c r="BD64" s="46">
        <f t="shared" si="476"/>
        <v>1.7463636363636365E-2</v>
      </c>
      <c r="BE64" s="46">
        <f t="shared" si="476"/>
        <v>1.7646924046282507E-2</v>
      </c>
      <c r="BF64" s="46">
        <f t="shared" si="476"/>
        <v>1.9736510482300379E-2</v>
      </c>
      <c r="BG64" s="46">
        <f t="shared" si="476"/>
        <v>1.7172413927867263E-2</v>
      </c>
      <c r="BH64" s="46">
        <f t="shared" si="476"/>
        <v>1.7135286496753301E-2</v>
      </c>
      <c r="BI64" s="46">
        <f t="shared" si="476"/>
        <v>1.7316165689847555E-2</v>
      </c>
      <c r="BJ64" s="46">
        <f t="shared" si="476"/>
        <v>1.8075913887587735E-2</v>
      </c>
      <c r="BK64" s="46">
        <f t="shared" si="476"/>
        <v>1.6495073421452157E-2</v>
      </c>
      <c r="BL64" s="46">
        <f t="shared" si="476"/>
        <v>1.657713846334993E-2</v>
      </c>
      <c r="BM64" s="46">
        <f t="shared" si="476"/>
        <v>1.7850915240573768E-2</v>
      </c>
      <c r="BN64" s="46">
        <f t="shared" si="476"/>
        <v>1.7765042979942695E-2</v>
      </c>
      <c r="BO64" s="46">
        <f t="shared" ref="BO64:CL64" si="477">+BO63/BN165</f>
        <v>1.6943051345491976E-2</v>
      </c>
      <c r="BP64" s="46">
        <f t="shared" si="477"/>
        <v>1.8571877662113011E-2</v>
      </c>
      <c r="BQ64" s="46">
        <f t="shared" si="477"/>
        <v>1.6199260915669617E-2</v>
      </c>
      <c r="BR64" s="46">
        <f t="shared" si="477"/>
        <v>1.6466098432468566E-2</v>
      </c>
      <c r="BS64" s="46">
        <f t="shared" si="477"/>
        <v>1.6157264921322859E-2</v>
      </c>
      <c r="BT64" s="46">
        <f t="shared" si="477"/>
        <v>1.7121838524596627E-2</v>
      </c>
      <c r="BU64" s="46">
        <f t="shared" si="477"/>
        <v>1.6567512708141968E-2</v>
      </c>
      <c r="BV64" s="46">
        <f t="shared" si="477"/>
        <v>1.6468650746970945E-2</v>
      </c>
      <c r="BW64" s="46">
        <f t="shared" si="477"/>
        <v>1.6001341503119975E-2</v>
      </c>
      <c r="BX64" s="46">
        <f t="shared" si="477"/>
        <v>1.705030881499742E-2</v>
      </c>
      <c r="BY64" s="46">
        <f t="shared" si="477"/>
        <v>1.6961671014513964E-2</v>
      </c>
      <c r="BZ64" s="46">
        <f t="shared" si="477"/>
        <v>1.7410904783832986E-2</v>
      </c>
      <c r="CA64" s="46">
        <f t="shared" si="477"/>
        <v>1.60418495501706E-2</v>
      </c>
      <c r="CB64" s="46">
        <f t="shared" si="477"/>
        <v>1.6515084624059803E-2</v>
      </c>
      <c r="CC64" s="46">
        <f t="shared" si="477"/>
        <v>1.5978406587012731E-2</v>
      </c>
      <c r="CD64" s="46">
        <f t="shared" si="477"/>
        <v>1.7586748774112124E-2</v>
      </c>
      <c r="CE64" s="46">
        <f t="shared" si="477"/>
        <v>1.4512941786258058E-2</v>
      </c>
      <c r="CF64" s="46">
        <f t="shared" si="477"/>
        <v>1.4957986822964633E-2</v>
      </c>
      <c r="CG64" s="46">
        <f t="shared" si="477"/>
        <v>1.471311099817544E-2</v>
      </c>
      <c r="CH64" s="46">
        <f t="shared" si="477"/>
        <v>1.4780518950344575E-2</v>
      </c>
      <c r="CI64" s="46">
        <f t="shared" si="477"/>
        <v>1.4813637818071559E-2</v>
      </c>
      <c r="CJ64" s="46">
        <f t="shared" si="477"/>
        <v>1.5694093537182197E-2</v>
      </c>
      <c r="CK64" s="46">
        <f t="shared" si="477"/>
        <v>1.5843356112099288E-2</v>
      </c>
      <c r="CL64" s="46">
        <f t="shared" si="477"/>
        <v>1.6315142554309586E-2</v>
      </c>
      <c r="CM64" s="47">
        <f t="shared" ref="CM64" si="478">CL64</f>
        <v>1.6315142554309586E-2</v>
      </c>
      <c r="CN64" s="47">
        <f t="shared" ref="CN64" si="479">CM64</f>
        <v>1.6315142554309586E-2</v>
      </c>
      <c r="CO64" s="47">
        <f t="shared" ref="CO64" si="480">CN64</f>
        <v>1.6315142554309586E-2</v>
      </c>
      <c r="CP64" s="47">
        <f t="shared" ref="CP64" si="481">CO64</f>
        <v>1.6315142554309586E-2</v>
      </c>
      <c r="CQ64" s="47">
        <v>2.3E-2</v>
      </c>
      <c r="CR64" s="47">
        <f t="shared" ref="CR64" si="482">CQ64</f>
        <v>2.3E-2</v>
      </c>
      <c r="CS64" s="47">
        <f t="shared" ref="CS64" si="483">CR64</f>
        <v>2.3E-2</v>
      </c>
      <c r="CT64" s="47">
        <f t="shared" ref="CT64" si="484">CS64</f>
        <v>2.3E-2</v>
      </c>
      <c r="CU64" s="47">
        <f t="shared" ref="CU64" si="485">CT64</f>
        <v>2.3E-2</v>
      </c>
      <c r="CV64" s="47">
        <f t="shared" ref="CV64" si="486">CU64</f>
        <v>2.3E-2</v>
      </c>
      <c r="CW64" s="47">
        <f t="shared" ref="CW64" si="487">CV64</f>
        <v>2.3E-2</v>
      </c>
      <c r="CX64" s="47">
        <f t="shared" ref="CX64" si="488">CW64</f>
        <v>2.3E-2</v>
      </c>
      <c r="CY64" s="47">
        <f t="shared" ref="CY64" si="489">CX64</f>
        <v>2.3E-2</v>
      </c>
      <c r="CZ64" s="47">
        <f t="shared" ref="CZ64" si="490">CY64</f>
        <v>2.3E-2</v>
      </c>
      <c r="DA64" s="47">
        <f t="shared" ref="DA64" si="491">CZ64</f>
        <v>2.3E-2</v>
      </c>
      <c r="DB64" s="47">
        <f t="shared" ref="DB64" si="492">DA64</f>
        <v>2.3E-2</v>
      </c>
      <c r="DE64" s="47">
        <v>2.1000000000000001E-2</v>
      </c>
    </row>
    <row r="65" spans="1:110" s="26" customFormat="1" x14ac:dyDescent="0.2">
      <c r="A65" s="34" t="s">
        <v>16</v>
      </c>
      <c r="B65" s="26">
        <f>B59-B63</f>
        <v>100.10329999999993</v>
      </c>
      <c r="C65" s="26">
        <f t="shared" ref="C65:T65" si="493">C59-C63</f>
        <v>33.789299999999955</v>
      </c>
      <c r="D65" s="26">
        <f>D59-D63</f>
        <v>80.891800000000075</v>
      </c>
      <c r="E65" s="26">
        <f t="shared" si="493"/>
        <v>67.961399999999912</v>
      </c>
      <c r="F65" s="26">
        <f t="shared" si="493"/>
        <v>86.841499999999911</v>
      </c>
      <c r="G65" s="26">
        <f t="shared" si="493"/>
        <v>184.89100000000002</v>
      </c>
      <c r="H65" s="26">
        <f t="shared" si="493"/>
        <v>465.92109999999991</v>
      </c>
      <c r="I65" s="26">
        <f t="shared" si="493"/>
        <v>215.3689000000002</v>
      </c>
      <c r="J65" s="26">
        <f t="shared" si="493"/>
        <v>255.91640000000015</v>
      </c>
      <c r="K65" s="26">
        <f t="shared" si="493"/>
        <v>473.88999999999993</v>
      </c>
      <c r="L65" s="26">
        <f t="shared" si="493"/>
        <v>730.80599999999959</v>
      </c>
      <c r="M65" s="26">
        <f t="shared" si="493"/>
        <v>647.73929999999996</v>
      </c>
      <c r="N65" s="26">
        <f t="shared" si="493"/>
        <v>405.38159999999993</v>
      </c>
      <c r="O65" s="26">
        <f t="shared" si="493"/>
        <v>280.54459999999978</v>
      </c>
      <c r="P65" s="26">
        <f t="shared" si="493"/>
        <v>472.43000000000097</v>
      </c>
      <c r="Q65" s="26">
        <f t="shared" si="493"/>
        <v>687.56000000000063</v>
      </c>
      <c r="R65" s="26">
        <f t="shared" si="493"/>
        <v>685.55000000000064</v>
      </c>
      <c r="S65" s="26">
        <f t="shared" si="493"/>
        <v>590.44000000000051</v>
      </c>
      <c r="T65" s="26">
        <f t="shared" si="493"/>
        <v>938.8299999999997</v>
      </c>
      <c r="U65" s="26">
        <f t="shared" ref="U65:Z65" si="494">U59-U63</f>
        <v>1066.3299999999995</v>
      </c>
      <c r="V65" s="26">
        <f t="shared" si="494"/>
        <v>1680.2500000000005</v>
      </c>
      <c r="W65" s="26">
        <f t="shared" si="494"/>
        <v>2585.9700000000003</v>
      </c>
      <c r="X65" s="26">
        <f t="shared" si="494"/>
        <v>2953.8799999999992</v>
      </c>
      <c r="Y65" s="26">
        <f t="shared" si="494"/>
        <v>1911.4900000000002</v>
      </c>
      <c r="Z65" s="26">
        <f t="shared" si="494"/>
        <v>1946.9399999999987</v>
      </c>
      <c r="AA65" s="26">
        <f t="shared" ref="AA65" si="495">AA59-AA63</f>
        <v>2557.5700000000011</v>
      </c>
      <c r="AB65" s="27">
        <f t="shared" ref="AA65:AD65" si="496">AB59-AB63</f>
        <v>3259.1171362138753</v>
      </c>
      <c r="AC65" s="27">
        <f t="shared" si="496"/>
        <v>3859.6398265692314</v>
      </c>
      <c r="AD65" s="27">
        <f t="shared" si="496"/>
        <v>4811.7194453325601</v>
      </c>
      <c r="AE65" s="27">
        <f t="shared" ref="AE65" si="497">AE59-AE63</f>
        <v>5886.1688181147974</v>
      </c>
      <c r="AI65" s="26">
        <f t="shared" ref="AI65" si="498">AI59-AI63</f>
        <v>46.220000000000013</v>
      </c>
      <c r="AJ65" s="26">
        <f t="shared" ref="AJ65" si="499">AJ59-AJ63</f>
        <v>65.060000000000031</v>
      </c>
      <c r="AK65" s="26">
        <f t="shared" ref="AK65:AM65" si="500">AK59-AK63</f>
        <v>147.26999999999995</v>
      </c>
      <c r="AL65" s="26">
        <f t="shared" si="500"/>
        <v>85.219999999999956</v>
      </c>
      <c r="AM65" s="26">
        <f t="shared" si="500"/>
        <v>62.899999999999991</v>
      </c>
      <c r="AN65" s="26">
        <f t="shared" ref="AN65:AO65" si="501">AN59-AN63</f>
        <v>79.040000000000163</v>
      </c>
      <c r="AO65" s="26">
        <f t="shared" si="501"/>
        <v>97.310000000000102</v>
      </c>
      <c r="AP65" s="26">
        <f t="shared" ref="AP65:CD65" si="502">AP59-AP63</f>
        <v>59.820000000000029</v>
      </c>
      <c r="AQ65" s="26">
        <f t="shared" si="502"/>
        <v>123.44000000000017</v>
      </c>
      <c r="AR65" s="26">
        <f t="shared" si="502"/>
        <v>131.96999999999994</v>
      </c>
      <c r="AS65" s="26">
        <f t="shared" si="502"/>
        <v>120.00999999999978</v>
      </c>
      <c r="AT65" s="26">
        <f t="shared" si="502"/>
        <v>93.849999999999852</v>
      </c>
      <c r="AU65" s="26">
        <f t="shared" si="502"/>
        <v>194.7200000000002</v>
      </c>
      <c r="AV65" s="26">
        <f t="shared" si="502"/>
        <v>164.77999999999992</v>
      </c>
      <c r="AW65" s="26">
        <f t="shared" si="502"/>
        <v>155.75000000000006</v>
      </c>
      <c r="AX65" s="26">
        <f t="shared" si="502"/>
        <v>155.3400000000002</v>
      </c>
      <c r="AY65" s="26">
        <f t="shared" si="502"/>
        <v>220.25000000000003</v>
      </c>
      <c r="AZ65" s="26">
        <f t="shared" si="502"/>
        <v>162.57000000000011</v>
      </c>
      <c r="BA65" s="26">
        <f t="shared" si="502"/>
        <v>155.91999999999996</v>
      </c>
      <c r="BB65" s="26">
        <f t="shared" si="502"/>
        <v>142.75000000000006</v>
      </c>
      <c r="BC65" s="26">
        <f t="shared" si="502"/>
        <v>122.61999999999996</v>
      </c>
      <c r="BD65" s="26">
        <f t="shared" si="502"/>
        <v>126.77000000000001</v>
      </c>
      <c r="BE65" s="26">
        <f t="shared" si="502"/>
        <v>154.57999999999981</v>
      </c>
      <c r="BF65" s="26">
        <f t="shared" si="502"/>
        <v>186.46999999999991</v>
      </c>
      <c r="BG65" s="26">
        <f t="shared" si="502"/>
        <v>216.35000000000002</v>
      </c>
      <c r="BH65" s="26">
        <f t="shared" si="502"/>
        <v>212.57000000000011</v>
      </c>
      <c r="BI65" s="26">
        <f t="shared" si="502"/>
        <v>221.02999999999992</v>
      </c>
      <c r="BJ65" s="26">
        <f t="shared" si="502"/>
        <v>277.42999999999989</v>
      </c>
      <c r="BK65" s="26">
        <f t="shared" si="502"/>
        <v>252.2000000000001</v>
      </c>
      <c r="BL65" s="26">
        <f t="shared" si="502"/>
        <v>238.0800000000001</v>
      </c>
      <c r="BM65" s="26">
        <f t="shared" si="502"/>
        <v>288.30000000000007</v>
      </c>
      <c r="BN65" s="26">
        <f t="shared" si="502"/>
        <v>259.93999999999994</v>
      </c>
      <c r="BO65" s="26">
        <f t="shared" si="502"/>
        <v>259.23</v>
      </c>
      <c r="BP65" s="26">
        <f t="shared" si="502"/>
        <v>458.46999999999957</v>
      </c>
      <c r="BQ65" s="26">
        <f t="shared" si="502"/>
        <v>428.08</v>
      </c>
      <c r="BR65" s="26">
        <f t="shared" si="502"/>
        <v>515.79000000000008</v>
      </c>
      <c r="BS65" s="26">
        <f t="shared" si="502"/>
        <v>541.4200000000003</v>
      </c>
      <c r="BT65" s="26">
        <f t="shared" si="502"/>
        <v>524.0600000000004</v>
      </c>
      <c r="BU65" s="26">
        <f t="shared" si="502"/>
        <v>715.4899999999999</v>
      </c>
      <c r="BV65" s="26">
        <f t="shared" si="502"/>
        <v>805.00000000000034</v>
      </c>
      <c r="BW65" s="26">
        <f t="shared" si="502"/>
        <v>864.23999999999978</v>
      </c>
      <c r="BX65" s="26">
        <f t="shared" si="502"/>
        <v>629.8100000000004</v>
      </c>
      <c r="BY65" s="26">
        <f t="shared" si="502"/>
        <v>682.87</v>
      </c>
      <c r="BZ65" s="26">
        <f t="shared" si="502"/>
        <v>776.96000000000015</v>
      </c>
      <c r="CA65" s="26">
        <f t="shared" si="502"/>
        <v>539.63999999999953</v>
      </c>
      <c r="CB65" s="26">
        <f t="shared" si="502"/>
        <v>464.97999999999934</v>
      </c>
      <c r="CC65" s="26">
        <f t="shared" si="502"/>
        <v>396.94000000000017</v>
      </c>
      <c r="CD65" s="26">
        <f t="shared" si="502"/>
        <v>509.93000000000018</v>
      </c>
      <c r="CE65" s="26">
        <f t="shared" ref="CE65:CF65" si="503">CE59-CE63</f>
        <v>415.2600000000001</v>
      </c>
      <c r="CF65" s="26">
        <f t="shared" si="503"/>
        <v>344.10999999999996</v>
      </c>
      <c r="CG65" s="26">
        <f t="shared" ref="CG65:CH65" si="504">CG59-CG63</f>
        <v>425.3100000000004</v>
      </c>
      <c r="CH65" s="26">
        <f t="shared" si="504"/>
        <v>762.26000000000033</v>
      </c>
      <c r="CI65" s="26">
        <f t="shared" ref="CI65:CJ65" si="505">CI59-CI63</f>
        <v>617.90999999999985</v>
      </c>
      <c r="CJ65" s="26">
        <f t="shared" si="505"/>
        <v>562.01999999999987</v>
      </c>
      <c r="CK65" s="26">
        <f t="shared" ref="CK65:CL65" si="506">CK59-CK63</f>
        <v>563.08000000000027</v>
      </c>
      <c r="CL65" s="26">
        <f t="shared" si="506"/>
        <v>805.87000000000012</v>
      </c>
      <c r="CM65" s="27">
        <f t="shared" ref="CM65:DB65" si="507">CM59-CM63</f>
        <v>737.80574584030069</v>
      </c>
      <c r="CN65" s="27">
        <f t="shared" si="507"/>
        <v>704.15910267483332</v>
      </c>
      <c r="CO65" s="27">
        <f t="shared" si="507"/>
        <v>762.87806779386278</v>
      </c>
      <c r="CP65" s="27">
        <f t="shared" si="507"/>
        <v>1054.274219904878</v>
      </c>
      <c r="CQ65" s="27">
        <f t="shared" si="507"/>
        <v>862.42061793223297</v>
      </c>
      <c r="CR65" s="27">
        <f t="shared" si="507"/>
        <v>831.71404862062832</v>
      </c>
      <c r="CS65" s="27">
        <f t="shared" si="507"/>
        <v>909.79560983643432</v>
      </c>
      <c r="CT65" s="27">
        <f t="shared" si="507"/>
        <v>1255.7095501799347</v>
      </c>
      <c r="CU65" s="27">
        <f t="shared" si="507"/>
        <v>1099.0434060889909</v>
      </c>
      <c r="CV65" s="27">
        <f t="shared" si="507"/>
        <v>1055.3614262336328</v>
      </c>
      <c r="CW65" s="27">
        <f t="shared" si="507"/>
        <v>1135.8965905935977</v>
      </c>
      <c r="CX65" s="27">
        <f t="shared" si="507"/>
        <v>1521.4180224163395</v>
      </c>
      <c r="CY65" s="27">
        <f t="shared" si="507"/>
        <v>1357.0455044741534</v>
      </c>
      <c r="CZ65" s="27">
        <f t="shared" si="507"/>
        <v>1300.8363933760763</v>
      </c>
      <c r="DA65" s="27">
        <f t="shared" si="507"/>
        <v>1390.5386484831306</v>
      </c>
      <c r="DB65" s="27">
        <f t="shared" si="507"/>
        <v>1837.7482717814362</v>
      </c>
      <c r="DE65" s="27">
        <v>825.02704272489882</v>
      </c>
      <c r="DF65" s="26">
        <v>0</v>
      </c>
    </row>
    <row r="66" spans="1:110" s="23" customFormat="1" x14ac:dyDescent="0.2">
      <c r="A66" s="23" t="s">
        <v>17</v>
      </c>
      <c r="B66" s="23">
        <f>'Annual Raw'!C23</f>
        <v>17.414000000000001</v>
      </c>
      <c r="C66" s="23">
        <f>'Annual Raw'!D23</f>
        <v>62.099600000000002</v>
      </c>
      <c r="D66" s="23">
        <f>'Annual Raw'!E23</f>
        <v>15.2415</v>
      </c>
      <c r="E66" s="23">
        <f>'Annual Raw'!F23</f>
        <v>26.406400000000001</v>
      </c>
      <c r="F66" s="23">
        <f>'Annual Raw'!G23</f>
        <v>23.800599999999999</v>
      </c>
      <c r="G66" s="23">
        <f>'Annual Raw'!H23</f>
        <v>12.3857</v>
      </c>
      <c r="H66" s="23">
        <f>'Annual Raw'!I23</f>
        <v>15.1739</v>
      </c>
      <c r="I66" s="23">
        <f>'Annual Raw'!J23</f>
        <v>21.057500000000001</v>
      </c>
      <c r="J66" s="23">
        <f>'Annual Raw'!K23</f>
        <v>21.560700000000001</v>
      </c>
      <c r="K66" s="23">
        <f>'Annual Raw'!L23</f>
        <v>80.646900000000002</v>
      </c>
      <c r="L66" s="23">
        <f>'Annual Raw'!M23</f>
        <v>45.8705</v>
      </c>
      <c r="M66" s="23">
        <f>'Annual Raw'!N23</f>
        <v>31.153099999999998</v>
      </c>
      <c r="N66" s="23">
        <f>'Annual Raw'!O23</f>
        <v>41.998699999999999</v>
      </c>
      <c r="O66" s="23">
        <f>'Annual Raw'!P23</f>
        <v>23.546399999999998</v>
      </c>
      <c r="P66" s="23">
        <f>'Annual Raw'!Q23</f>
        <v>64.58</v>
      </c>
      <c r="Q66" s="23">
        <f>'Annual Raw'!R23</f>
        <v>27.84</v>
      </c>
      <c r="R66" s="23">
        <f>'Annual Raw'!S23</f>
        <v>73.41</v>
      </c>
      <c r="S66" s="23">
        <f>'Annual Raw'!T23</f>
        <v>115.12</v>
      </c>
      <c r="T66" s="23">
        <f>'Annual Raw'!U23</f>
        <v>27.97</v>
      </c>
      <c r="U66" s="23">
        <f>'Annual Raw'!V23</f>
        <v>49.05</v>
      </c>
      <c r="V66" s="23">
        <f>'Annual Raw'!W23</f>
        <v>66.349999999999994</v>
      </c>
      <c r="W66" s="23">
        <f>'Annual Raw'!X23</f>
        <v>115.51</v>
      </c>
      <c r="X66" s="23">
        <f>'Annual Raw'!Y23</f>
        <v>74.930000000000007</v>
      </c>
      <c r="Y66" s="23">
        <f>'Annual Raw'!Z23</f>
        <v>83.02</v>
      </c>
      <c r="Z66" s="23">
        <f>'Annual Raw'!AA23</f>
        <v>132.72</v>
      </c>
      <c r="AA66" s="23">
        <f>'Annual Raw'!AB23</f>
        <v>107.06</v>
      </c>
      <c r="AB66" s="76">
        <f t="shared" ref="AB66:AB67" si="508">+SUM(CM66:CP66)</f>
        <v>0</v>
      </c>
      <c r="AC66" s="76">
        <f t="shared" ref="AC66:AC67" si="509">+SUM(CQ66:CT66)</f>
        <v>0</v>
      </c>
      <c r="AD66" s="76">
        <f t="shared" ref="AD66:AD67" si="510">+SUM(CU66:CX66)</f>
        <v>0</v>
      </c>
      <c r="AE66" s="76">
        <f t="shared" ref="AE66:AE67" si="511">+SUM(CY66:DB66)</f>
        <v>0</v>
      </c>
      <c r="AI66" s="23">
        <f>'QTR Raw'!C23</f>
        <v>7.77</v>
      </c>
      <c r="AJ66" s="23">
        <f>'QTR Raw'!D23</f>
        <v>45.52</v>
      </c>
      <c r="AK66" s="23">
        <f>'QTR Raw'!E23</f>
        <v>2.82</v>
      </c>
      <c r="AL66" s="23">
        <f>'QTR Raw'!F23</f>
        <v>29.18</v>
      </c>
      <c r="AM66" s="23">
        <f>'QTR Raw'!G23</f>
        <v>8.73</v>
      </c>
      <c r="AN66" s="23">
        <f>'QTR Raw'!H23</f>
        <v>5.3</v>
      </c>
      <c r="AO66" s="23">
        <f>'QTR Raw'!I23</f>
        <v>10.53</v>
      </c>
      <c r="AP66" s="23">
        <f>'QTR Raw'!J23</f>
        <v>17.25</v>
      </c>
      <c r="AQ66" s="23">
        <f>'QTR Raw'!K23</f>
        <v>29.34</v>
      </c>
      <c r="AR66" s="23">
        <f>'QTR Raw'!L23</f>
        <v>25.5</v>
      </c>
      <c r="AS66" s="23">
        <f>'QTR Raw'!M23</f>
        <v>4.6399999999999997</v>
      </c>
      <c r="AT66" s="23">
        <f>'QTR Raw'!N23</f>
        <v>8.26</v>
      </c>
      <c r="AU66" s="23">
        <f>'QTR Raw'!O23</f>
        <v>5.32</v>
      </c>
      <c r="AV66" s="23">
        <f>'QTR Raw'!P23</f>
        <v>6.81</v>
      </c>
      <c r="AW66" s="23">
        <f>'QTR Raw'!Q23</f>
        <v>4.79</v>
      </c>
      <c r="AX66" s="23">
        <f>'QTR Raw'!R23</f>
        <v>17.04</v>
      </c>
      <c r="AY66" s="23">
        <f>'QTR Raw'!S23</f>
        <v>12.5</v>
      </c>
      <c r="AZ66" s="23">
        <f>'QTR Raw'!T23</f>
        <v>14.1</v>
      </c>
      <c r="BA66" s="23">
        <f>'QTR Raw'!U23</f>
        <v>6.43</v>
      </c>
      <c r="BB66" s="23">
        <f>'QTR Raw'!V23</f>
        <v>44.44</v>
      </c>
      <c r="BC66" s="23">
        <f>'QTR Raw'!W23</f>
        <v>31.03</v>
      </c>
      <c r="BD66" s="23">
        <f>'QTR Raw'!X23</f>
        <v>22.61</v>
      </c>
      <c r="BE66" s="23">
        <f>'QTR Raw'!Y23</f>
        <v>42.02</v>
      </c>
      <c r="BF66" s="23">
        <f>'QTR Raw'!Z23</f>
        <v>19.46</v>
      </c>
      <c r="BG66" s="23">
        <f>'QTR Raw'!AA23</f>
        <v>3.86</v>
      </c>
      <c r="BH66" s="23">
        <f>'QTR Raw'!AB23</f>
        <v>2.93</v>
      </c>
      <c r="BI66" s="23">
        <f>'QTR Raw'!AC23</f>
        <v>16.940000000000001</v>
      </c>
      <c r="BJ66" s="23">
        <f>'QTR Raw'!AD23</f>
        <v>16.14</v>
      </c>
      <c r="BK66" s="23">
        <f>'QTR Raw'!AE23</f>
        <v>30.26</v>
      </c>
      <c r="BL66" s="23">
        <f>'QTR Raw'!AF23</f>
        <v>21.99</v>
      </c>
      <c r="BM66" s="23">
        <f>'QTR Raw'!AG23</f>
        <v>18.29</v>
      </c>
      <c r="BN66" s="23">
        <f>'QTR Raw'!AH23</f>
        <v>6.32</v>
      </c>
      <c r="BO66" s="23">
        <f>'QTR Raw'!AI23</f>
        <v>10.1</v>
      </c>
      <c r="BP66" s="23">
        <f>'QTR Raw'!AJ23</f>
        <v>9.75</v>
      </c>
      <c r="BQ66" s="23">
        <f>'QTR Raw'!AK23</f>
        <v>43.16</v>
      </c>
      <c r="BR66" s="23">
        <f>'QTR Raw'!AL23</f>
        <v>22.02</v>
      </c>
      <c r="BS66" s="23">
        <f>'QTR Raw'!AM23</f>
        <v>20.96</v>
      </c>
      <c r="BT66" s="23">
        <f>'QTR Raw'!AN23</f>
        <v>31.72</v>
      </c>
      <c r="BU66" s="23">
        <f>'QTR Raw'!AO23</f>
        <v>44.2</v>
      </c>
      <c r="BV66" s="23">
        <f>'QTR Raw'!AP23</f>
        <v>18.63</v>
      </c>
      <c r="BW66" s="23">
        <f>'QTR Raw'!AQ23</f>
        <v>9.85</v>
      </c>
      <c r="BX66" s="23">
        <f>'QTR Raw'!AR23</f>
        <v>32.74</v>
      </c>
      <c r="BY66" s="23">
        <f>'QTR Raw'!AS23</f>
        <v>10.01</v>
      </c>
      <c r="BZ66" s="23">
        <f>'QTR Raw'!AT23</f>
        <v>22.33</v>
      </c>
      <c r="CA66" s="23">
        <f>'QTR Raw'!AU23</f>
        <v>11.76</v>
      </c>
      <c r="CB66" s="23">
        <f>'QTR Raw'!AV23</f>
        <v>29.12</v>
      </c>
      <c r="CC66" s="23">
        <f>'QTR Raw'!AW23</f>
        <v>18.75</v>
      </c>
      <c r="CD66" s="23">
        <f>'QTR Raw'!AX23</f>
        <v>23.39</v>
      </c>
      <c r="CE66" s="23">
        <f>'QTR Raw'!AY23</f>
        <v>25.26</v>
      </c>
      <c r="CF66" s="23">
        <f>'QTR Raw'!AZ23</f>
        <v>33.33</v>
      </c>
      <c r="CG66" s="23">
        <f>'QTR Raw'!BA23</f>
        <v>39.64</v>
      </c>
      <c r="CH66" s="23">
        <f>'QTR Raw'!BB23</f>
        <v>34.49</v>
      </c>
      <c r="CI66" s="23">
        <f>'QTR Raw'!BC23</f>
        <v>37.81</v>
      </c>
      <c r="CJ66" s="23">
        <f>'QTR Raw'!BD23</f>
        <v>25.71</v>
      </c>
      <c r="CK66" s="23">
        <f>'QTR Raw'!BE23</f>
        <v>27.33</v>
      </c>
      <c r="CL66" s="23">
        <f>'QTR Raw'!BF23</f>
        <v>24.9</v>
      </c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E66" s="24"/>
      <c r="DF66" s="23">
        <v>0</v>
      </c>
    </row>
    <row r="67" spans="1:110" s="23" customFormat="1" x14ac:dyDescent="0.2">
      <c r="A67" s="23" t="s">
        <v>18</v>
      </c>
      <c r="B67" s="23">
        <f>'Annual Raw'!C25</f>
        <v>75.040400000000005</v>
      </c>
      <c r="C67" s="23">
        <f>'Annual Raw'!D25</f>
        <v>59.0946</v>
      </c>
      <c r="D67" s="23">
        <f>'Annual Raw'!E25</f>
        <v>44.634900000000002</v>
      </c>
      <c r="E67" s="23">
        <f>'Annual Raw'!F25</f>
        <v>24.832599999999999</v>
      </c>
      <c r="F67" s="23">
        <f>'Annual Raw'!G25</f>
        <v>26.9727</v>
      </c>
      <c r="G67" s="23">
        <f>'Annual Raw'!H25</f>
        <v>40.936999999999998</v>
      </c>
      <c r="H67" s="23">
        <f>'Annual Raw'!I25</f>
        <v>38.528199999999998</v>
      </c>
      <c r="I67" s="23">
        <f>'Annual Raw'!J25</f>
        <v>37.980699999999999</v>
      </c>
      <c r="J67" s="23">
        <f>'Annual Raw'!K25</f>
        <v>59.8093</v>
      </c>
      <c r="K67" s="23">
        <f>'Annual Raw'!L25</f>
        <v>77.724599999999995</v>
      </c>
      <c r="L67" s="23">
        <f>'Annual Raw'!M25</f>
        <v>89.721599999999995</v>
      </c>
      <c r="M67" s="23">
        <f>'Annual Raw'!N25</f>
        <v>117.1651</v>
      </c>
      <c r="N67" s="23">
        <f>'Annual Raw'!O25</f>
        <v>99.802999999999997</v>
      </c>
      <c r="O67" s="23">
        <f>'Annual Raw'!P25</f>
        <v>96.118200000000002</v>
      </c>
      <c r="P67" s="23">
        <f>'Annual Raw'!Q25</f>
        <v>137.58000000000001</v>
      </c>
      <c r="Q67" s="23">
        <f>'Annual Raw'!R25</f>
        <v>130.46</v>
      </c>
      <c r="R67" s="23">
        <f>'Annual Raw'!S25</f>
        <v>101.77</v>
      </c>
      <c r="S67" s="23">
        <f>'Annual Raw'!T25</f>
        <v>123.89</v>
      </c>
      <c r="T67" s="23">
        <f>'Annual Raw'!U25</f>
        <v>198.37</v>
      </c>
      <c r="U67" s="23">
        <f>'Annual Raw'!V25</f>
        <v>200.68</v>
      </c>
      <c r="V67" s="23">
        <f>'Annual Raw'!W25</f>
        <v>133.94999999999999</v>
      </c>
      <c r="W67" s="23">
        <f>'Annual Raw'!X25</f>
        <v>115.93</v>
      </c>
      <c r="X67" s="23">
        <f>'Annual Raw'!Y25</f>
        <v>204.82</v>
      </c>
      <c r="Y67" s="23">
        <f>'Annual Raw'!Z25</f>
        <v>302.29000000000002</v>
      </c>
      <c r="Z67" s="23">
        <f>'Annual Raw'!AA25</f>
        <v>375.96</v>
      </c>
      <c r="AA67" s="23">
        <f>'Annual Raw'!AB25</f>
        <v>278.04000000000002</v>
      </c>
      <c r="AB67" s="76">
        <f t="shared" si="508"/>
        <v>112.78818984353019</v>
      </c>
      <c r="AC67" s="76">
        <f t="shared" si="509"/>
        <v>-24.904918489045421</v>
      </c>
      <c r="AD67" s="76">
        <f t="shared" si="510"/>
        <v>-191.34762235328844</v>
      </c>
      <c r="AE67" s="76">
        <f t="shared" si="511"/>
        <v>-387.77722770832963</v>
      </c>
      <c r="AI67" s="23">
        <f>'QTR Raw'!C25</f>
        <v>23.91</v>
      </c>
      <c r="AJ67" s="23">
        <f>'QTR Raw'!D25</f>
        <v>24.71</v>
      </c>
      <c r="AK67" s="23">
        <f>'QTR Raw'!E25</f>
        <v>20.83</v>
      </c>
      <c r="AL67" s="23">
        <f>'QTR Raw'!F25</f>
        <v>15.2</v>
      </c>
      <c r="AM67" s="23">
        <f>'QTR Raw'!G25</f>
        <v>20.27</v>
      </c>
      <c r="AN67" s="23">
        <f>'QTR Raw'!H25</f>
        <v>22.6</v>
      </c>
      <c r="AO67" s="23">
        <f>'QTR Raw'!I25</f>
        <v>15.96</v>
      </c>
      <c r="AP67" s="23">
        <f>'QTR Raw'!J25</f>
        <v>11.19</v>
      </c>
      <c r="AQ67" s="23">
        <f>'QTR Raw'!K25</f>
        <v>32.76</v>
      </c>
      <c r="AR67" s="23">
        <f>'QTR Raw'!L25</f>
        <v>37.479999999999997</v>
      </c>
      <c r="AS67" s="23">
        <f>'QTR Raw'!M25</f>
        <v>36.9</v>
      </c>
      <c r="AT67" s="23">
        <f>'QTR Raw'!N25</f>
        <v>30.44</v>
      </c>
      <c r="AU67" s="23">
        <f>'QTR Raw'!O25</f>
        <v>34.39</v>
      </c>
      <c r="AV67" s="23">
        <f>'QTR Raw'!P25</f>
        <v>33.35</v>
      </c>
      <c r="AW67" s="23">
        <f>'QTR Raw'!Q25</f>
        <v>31.2</v>
      </c>
      <c r="AX67" s="23">
        <f>'QTR Raw'!R25</f>
        <v>31.99</v>
      </c>
      <c r="AY67" s="23">
        <f>'QTR Raw'!S25</f>
        <v>28.06</v>
      </c>
      <c r="AZ67" s="23">
        <f>'QTR Raw'!T25</f>
        <v>24.04</v>
      </c>
      <c r="BA67" s="23">
        <f>'QTR Raw'!U25</f>
        <v>26.87</v>
      </c>
      <c r="BB67" s="23">
        <f>'QTR Raw'!V25</f>
        <v>22.8</v>
      </c>
      <c r="BC67" s="23">
        <f>'QTR Raw'!W25</f>
        <v>27.06</v>
      </c>
      <c r="BD67" s="23">
        <f>'QTR Raw'!X25</f>
        <v>30.46</v>
      </c>
      <c r="BE67" s="23">
        <f>'QTR Raw'!Y25</f>
        <v>23.87</v>
      </c>
      <c r="BF67" s="23">
        <f>'QTR Raw'!Z25</f>
        <v>42.5</v>
      </c>
      <c r="BG67" s="23">
        <f>'QTR Raw'!AA25</f>
        <v>44.18</v>
      </c>
      <c r="BH67" s="23">
        <f>'QTR Raw'!AB25</f>
        <v>49.1</v>
      </c>
      <c r="BI67" s="23">
        <f>'QTR Raw'!AC25</f>
        <v>53.38</v>
      </c>
      <c r="BJ67" s="23">
        <f>'QTR Raw'!AD25</f>
        <v>52.36</v>
      </c>
      <c r="BK67" s="23">
        <f>'QTR Raw'!AE25</f>
        <v>51.51</v>
      </c>
      <c r="BL67" s="23">
        <f>'QTR Raw'!AF25</f>
        <v>55.02</v>
      </c>
      <c r="BM67" s="23">
        <f>'QTR Raw'!AG25</f>
        <v>47.53</v>
      </c>
      <c r="BN67" s="23">
        <f>'QTR Raw'!AH25</f>
        <v>46.62</v>
      </c>
      <c r="BO67" s="23">
        <f>'QTR Raw'!AI25</f>
        <v>43.16</v>
      </c>
      <c r="BP67" s="23">
        <f>'QTR Raw'!AJ25</f>
        <v>36.15</v>
      </c>
      <c r="BQ67" s="23">
        <f>'QTR Raw'!AK25</f>
        <v>28.49</v>
      </c>
      <c r="BR67" s="23">
        <f>'QTR Raw'!AL25</f>
        <v>26.15</v>
      </c>
      <c r="BS67" s="23">
        <f>'QTR Raw'!AM25</f>
        <v>27.47</v>
      </c>
      <c r="BT67" s="23">
        <f>'QTR Raw'!AN25</f>
        <v>23.36</v>
      </c>
      <c r="BU67" s="23">
        <f>'QTR Raw'!AO25</f>
        <v>29.41</v>
      </c>
      <c r="BV67" s="23">
        <f>'QTR Raw'!AP25</f>
        <v>35.69</v>
      </c>
      <c r="BW67" s="23">
        <f>'QTR Raw'!AQ25</f>
        <v>32.5</v>
      </c>
      <c r="BX67" s="23">
        <f>'QTR Raw'!AR25</f>
        <v>44.47</v>
      </c>
      <c r="BY67" s="23">
        <f>'QTR Raw'!AS25</f>
        <v>61.95</v>
      </c>
      <c r="BZ67" s="23">
        <f>'QTR Raw'!AT25</f>
        <v>65.900000000000006</v>
      </c>
      <c r="CA67" s="23">
        <f>'QTR Raw'!AU25</f>
        <v>65.63</v>
      </c>
      <c r="CB67" s="23">
        <f>'QTR Raw'!AV25</f>
        <v>79.290000000000006</v>
      </c>
      <c r="CC67" s="23">
        <f>'QTR Raw'!AW25</f>
        <v>67.37</v>
      </c>
      <c r="CD67" s="23">
        <f>'QTR Raw'!AX25</f>
        <v>90</v>
      </c>
      <c r="CE67" s="23">
        <f>'QTR Raw'!AY25</f>
        <v>96.54</v>
      </c>
      <c r="CF67" s="23">
        <f>'QTR Raw'!AZ25</f>
        <v>93.78</v>
      </c>
      <c r="CG67" s="23">
        <f>'QTR Raw'!BA25</f>
        <v>96.25</v>
      </c>
      <c r="CH67" s="23">
        <f>'QTR Raw'!BB25</f>
        <v>89.39</v>
      </c>
      <c r="CI67" s="23">
        <f>'QTR Raw'!BC25</f>
        <v>79.900000000000006</v>
      </c>
      <c r="CJ67" s="23">
        <f>'QTR Raw'!BD25</f>
        <v>70.680000000000007</v>
      </c>
      <c r="CK67" s="23">
        <f>'QTR Raw'!BE25</f>
        <v>65.5</v>
      </c>
      <c r="CL67" s="23">
        <f>'QTR Raw'!BF25</f>
        <v>61.96</v>
      </c>
      <c r="CM67" s="24">
        <f t="shared" ref="CM67:DB67" si="512">CM68*CL199</f>
        <v>43.405214150472872</v>
      </c>
      <c r="CN67" s="24">
        <f t="shared" si="512"/>
        <v>32.321902486324397</v>
      </c>
      <c r="CO67" s="24">
        <f t="shared" si="512"/>
        <v>22.308620737280997</v>
      </c>
      <c r="CP67" s="24">
        <f t="shared" si="512"/>
        <v>14.752452469451937</v>
      </c>
      <c r="CQ67" s="24">
        <f t="shared" si="512"/>
        <v>12.765078896859059</v>
      </c>
      <c r="CR67" s="24">
        <f t="shared" si="512"/>
        <v>-1.6381787983286655</v>
      </c>
      <c r="CS67" s="24">
        <f t="shared" si="512"/>
        <v>-13.556814644619321</v>
      </c>
      <c r="CT67" s="24">
        <f t="shared" si="512"/>
        <v>-22.475003942956494</v>
      </c>
      <c r="CU67" s="24">
        <f t="shared" si="512"/>
        <v>-25.412809336507607</v>
      </c>
      <c r="CV67" s="24">
        <f t="shared" si="512"/>
        <v>-42.532175204445814</v>
      </c>
      <c r="CW67" s="24">
        <f t="shared" si="512"/>
        <v>-56.463477951344643</v>
      </c>
      <c r="CX67" s="24">
        <f t="shared" si="512"/>
        <v>-66.939159860990372</v>
      </c>
      <c r="CY67" s="24">
        <f t="shared" si="512"/>
        <v>-70.566382958826139</v>
      </c>
      <c r="CZ67" s="24">
        <f t="shared" si="512"/>
        <v>-90.698921602269863</v>
      </c>
      <c r="DA67" s="24">
        <f t="shared" si="512"/>
        <v>-107.07115847619914</v>
      </c>
      <c r="DB67" s="24">
        <f t="shared" si="512"/>
        <v>-119.44076467103444</v>
      </c>
      <c r="DE67" s="24">
        <v>65.40338389204959</v>
      </c>
      <c r="DF67" s="23">
        <v>0</v>
      </c>
    </row>
    <row r="68" spans="1:110" s="46" customFormat="1" x14ac:dyDescent="0.2">
      <c r="A68" s="46" t="s">
        <v>482</v>
      </c>
      <c r="B68" s="46">
        <f t="shared" ref="B68:D68" si="513">+B67/B159</f>
        <v>0.18734026918036822</v>
      </c>
      <c r="C68" s="46">
        <f t="shared" si="513"/>
        <v>0.15456717106552023</v>
      </c>
      <c r="D68" s="46">
        <f t="shared" si="513"/>
        <v>0.15164762360999279</v>
      </c>
      <c r="E68" s="46">
        <f t="shared" ref="E68:AE68" si="514">+E67/E159</f>
        <v>9.7014887471778569E-2</v>
      </c>
      <c r="F68" s="46">
        <f t="shared" si="514"/>
        <v>5.936090745973293E-2</v>
      </c>
      <c r="G68" s="46">
        <f t="shared" si="514"/>
        <v>6.653601204562358E-2</v>
      </c>
      <c r="H68" s="46">
        <f t="shared" si="514"/>
        <v>7.8741676607765362E-2</v>
      </c>
      <c r="I68" s="46">
        <f t="shared" si="514"/>
        <v>7.3419925236000688E-2</v>
      </c>
      <c r="J68" s="46">
        <f t="shared" si="514"/>
        <v>5.6735770144683118E-2</v>
      </c>
      <c r="K68" s="46">
        <f t="shared" si="514"/>
        <v>7.5331528274982962E-2</v>
      </c>
      <c r="L68" s="46">
        <f t="shared" si="514"/>
        <v>9.2198636220285041E-2</v>
      </c>
      <c r="M68" s="46">
        <f t="shared" si="514"/>
        <v>9.5378791011664757E-2</v>
      </c>
      <c r="N68" s="46">
        <f t="shared" si="514"/>
        <v>5.8569691318835958E-2</v>
      </c>
      <c r="O68" s="46">
        <f t="shared" si="514"/>
        <v>4.4185707935919229E-2</v>
      </c>
      <c r="P68" s="46">
        <f t="shared" si="514"/>
        <v>5.6503579217130964E-2</v>
      </c>
      <c r="Q68" s="46">
        <f t="shared" si="514"/>
        <v>5.1867607593678561E-2</v>
      </c>
      <c r="R68" s="46">
        <f t="shared" si="514"/>
        <v>4.247123582657613E-2</v>
      </c>
      <c r="S68" s="46">
        <f t="shared" si="514"/>
        <v>3.9432307183051969E-2</v>
      </c>
      <c r="T68" s="46">
        <f t="shared" si="514"/>
        <v>5.3179596749763414E-2</v>
      </c>
      <c r="U68" s="46">
        <f t="shared" si="514"/>
        <v>4.9589554267301238E-2</v>
      </c>
      <c r="V68" s="46">
        <f t="shared" si="514"/>
        <v>3.9502087904310278E-2</v>
      </c>
      <c r="W68" s="46">
        <f t="shared" si="514"/>
        <v>3.275460183367003E-2</v>
      </c>
      <c r="X68" s="46">
        <f t="shared" si="514"/>
        <v>4.7041152395695056E-2</v>
      </c>
      <c r="Y68" s="46">
        <f t="shared" si="514"/>
        <v>6.1438059932035841E-2</v>
      </c>
      <c r="Z68" s="46">
        <f t="shared" si="514"/>
        <v>8.1004214390981724E-2</v>
      </c>
      <c r="AA68" s="46">
        <f t="shared" ref="AA68" si="515">+AA67/AA159</f>
        <v>5.5559885139469224E-2</v>
      </c>
      <c r="AB68" s="110">
        <f t="shared" si="514"/>
        <v>2.2538119956823428E-2</v>
      </c>
      <c r="AC68" s="110">
        <f t="shared" si="514"/>
        <v>-4.9766738982132313E-3</v>
      </c>
      <c r="AD68" s="110">
        <f t="shared" si="514"/>
        <v>-3.8236411738092502E-2</v>
      </c>
      <c r="AE68" s="110">
        <f t="shared" si="514"/>
        <v>-7.748834063867284E-2</v>
      </c>
      <c r="AI68" s="46" t="e">
        <f t="shared" ref="AI68:BN68" si="516">(AI67-AI66)/AH199</f>
        <v>#DIV/0!</v>
      </c>
      <c r="AJ68" s="46" t="e">
        <f t="shared" si="516"/>
        <v>#DIV/0!</v>
      </c>
      <c r="AK68" s="46">
        <f t="shared" si="516"/>
        <v>7.3507203787600492E-2</v>
      </c>
      <c r="AL68" s="46">
        <f t="shared" si="516"/>
        <v>-6.0580109592006444E-2</v>
      </c>
      <c r="AM68" s="46">
        <f t="shared" si="516"/>
        <v>1.1468095044073657E-2</v>
      </c>
      <c r="AN68" s="46">
        <f t="shared" si="516"/>
        <v>1.8097199842038218E-2</v>
      </c>
      <c r="AO68" s="46">
        <f t="shared" si="516"/>
        <v>6.7060218347082959E-3</v>
      </c>
      <c r="AP68" s="46">
        <f t="shared" si="516"/>
        <v>-8.0991502407504294E-3</v>
      </c>
      <c r="AQ68" s="46">
        <f t="shared" si="516"/>
        <v>1.7779348922321912E-3</v>
      </c>
      <c r="AR68" s="46">
        <f t="shared" si="516"/>
        <v>5.9074624522194984E-3</v>
      </c>
      <c r="AS68" s="46">
        <f t="shared" si="516"/>
        <v>3.2006508453051828E-2</v>
      </c>
      <c r="AT68" s="46">
        <f t="shared" si="516"/>
        <v>2.5038443632077533E-2</v>
      </c>
      <c r="AU68" s="46">
        <f t="shared" si="516"/>
        <v>1.5947117230786109E-2</v>
      </c>
      <c r="AV68" s="46">
        <f t="shared" si="516"/>
        <v>1.4645844615036041E-2</v>
      </c>
      <c r="AW68" s="46">
        <f t="shared" si="516"/>
        <v>1.8371407106485989E-2</v>
      </c>
      <c r="AX68" s="46">
        <f t="shared" si="516"/>
        <v>1.1886080209204185E-2</v>
      </c>
      <c r="AY68" s="46">
        <f t="shared" si="516"/>
        <v>9.8487246028229614E-3</v>
      </c>
      <c r="AZ68" s="46">
        <f t="shared" si="516"/>
        <v>6.9046162098199849E-3</v>
      </c>
      <c r="BA68" s="46">
        <f t="shared" si="516"/>
        <v>1.1545152617428438E-2</v>
      </c>
      <c r="BB68" s="46">
        <f t="shared" si="516"/>
        <v>-1.3440294846793668E-2</v>
      </c>
      <c r="BC68" s="46">
        <f t="shared" si="516"/>
        <v>-2.3208909415100426E-3</v>
      </c>
      <c r="BD68" s="46">
        <f t="shared" si="516"/>
        <v>5.0740726244735664E-3</v>
      </c>
      <c r="BE68" s="46">
        <f t="shared" si="516"/>
        <v>-7.0495018740411326E-3</v>
      </c>
      <c r="BF68" s="46">
        <f t="shared" si="516"/>
        <v>9.1646162015013577E-3</v>
      </c>
      <c r="BG68" s="46">
        <f t="shared" si="516"/>
        <v>1.587651598676957E-2</v>
      </c>
      <c r="BH68" s="46">
        <f t="shared" si="516"/>
        <v>1.9046621008965741E-2</v>
      </c>
      <c r="BI68" s="46">
        <f t="shared" si="516"/>
        <v>1.1410392099148917E-2</v>
      </c>
      <c r="BJ68" s="46">
        <f t="shared" si="516"/>
        <v>1.1830386507134716E-2</v>
      </c>
      <c r="BK68" s="46">
        <f t="shared" si="516"/>
        <v>7.1085449728369929E-3</v>
      </c>
      <c r="BL68" s="46">
        <f t="shared" si="516"/>
        <v>1.213430484149094E-2</v>
      </c>
      <c r="BM68" s="46">
        <f t="shared" si="516"/>
        <v>1.0829068122393653E-2</v>
      </c>
      <c r="BN68" s="46">
        <f t="shared" si="516"/>
        <v>1.6667047451151072E-2</v>
      </c>
      <c r="BO68" s="46">
        <f t="shared" ref="BO68:CL68" si="517">(BO67-BO66)/BN199</f>
        <v>1.1233053582956743E-2</v>
      </c>
      <c r="BP68" s="46">
        <f t="shared" si="517"/>
        <v>1.0168819359829958E-2</v>
      </c>
      <c r="BQ68" s="46">
        <f t="shared" si="517"/>
        <v>-4.7446553898897112E-3</v>
      </c>
      <c r="BR68" s="46">
        <f t="shared" si="517"/>
        <v>1.4790215599803191E-3</v>
      </c>
      <c r="BS68" s="46">
        <f t="shared" si="517"/>
        <v>2.4142944029906092E-3</v>
      </c>
      <c r="BT68" s="46">
        <f t="shared" si="517"/>
        <v>-3.5698954334964983E-3</v>
      </c>
      <c r="BU68" s="46">
        <f t="shared" si="517"/>
        <v>-5.8790560120204642E-3</v>
      </c>
      <c r="BV68" s="46">
        <f t="shared" si="517"/>
        <v>7.5351831104023938E-3</v>
      </c>
      <c r="BW68" s="46">
        <f t="shared" si="517"/>
        <v>8.1968399643898883E-3</v>
      </c>
      <c r="BX68" s="46">
        <f t="shared" si="517"/>
        <v>5.0541196586483383E-3</v>
      </c>
      <c r="BY68" s="46">
        <f t="shared" si="517"/>
        <v>1.7159866923481003E-2</v>
      </c>
      <c r="BZ68" s="46">
        <f t="shared" si="517"/>
        <v>1.838624112943046E-2</v>
      </c>
      <c r="CA68" s="46">
        <f t="shared" si="517"/>
        <v>1.6587889331957942E-2</v>
      </c>
      <c r="CB68" s="46">
        <f t="shared" si="517"/>
        <v>1.8832938960884848E-2</v>
      </c>
      <c r="CC68" s="46">
        <f t="shared" si="517"/>
        <v>1.2445222590817873E-2</v>
      </c>
      <c r="CD68" s="46">
        <f t="shared" si="517"/>
        <v>1.8681057733057189E-2</v>
      </c>
      <c r="CE68" s="46">
        <f t="shared" si="517"/>
        <v>1.7355227020393854E-2</v>
      </c>
      <c r="CF68" s="46">
        <f t="shared" si="517"/>
        <v>1.5976830547699088E-2</v>
      </c>
      <c r="CG68" s="46">
        <f t="shared" si="517"/>
        <v>1.2475098284646439E-2</v>
      </c>
      <c r="CH68" s="46">
        <f t="shared" si="517"/>
        <v>1.2799136959803455E-2</v>
      </c>
      <c r="CI68" s="46">
        <f t="shared" si="517"/>
        <v>1.1747270413289572E-2</v>
      </c>
      <c r="CJ68" s="46">
        <f t="shared" si="517"/>
        <v>1.6956743149730554E-2</v>
      </c>
      <c r="CK68" s="46">
        <f t="shared" si="517"/>
        <v>9.8066418995647765E-3</v>
      </c>
      <c r="CL68" s="46">
        <f t="shared" si="517"/>
        <v>1.1332746960361788E-2</v>
      </c>
      <c r="CM68" s="47">
        <f t="shared" ref="CM68" si="518">+CL68</f>
        <v>1.1332746960361788E-2</v>
      </c>
      <c r="CN68" s="47">
        <f t="shared" ref="CN68" si="519">+CM68</f>
        <v>1.1332746960361788E-2</v>
      </c>
      <c r="CO68" s="47">
        <f t="shared" ref="CO68" si="520">+CN68</f>
        <v>1.1332746960361788E-2</v>
      </c>
      <c r="CP68" s="47">
        <f t="shared" ref="CP68" si="521">+CO68</f>
        <v>1.1332746960361788E-2</v>
      </c>
      <c r="CQ68" s="47">
        <f t="shared" ref="CQ68" si="522">+CP68</f>
        <v>1.1332746960361788E-2</v>
      </c>
      <c r="CR68" s="47">
        <f t="shared" ref="CR68" si="523">+CQ68</f>
        <v>1.1332746960361788E-2</v>
      </c>
      <c r="CS68" s="47">
        <f t="shared" ref="CS68" si="524">+CR68</f>
        <v>1.1332746960361788E-2</v>
      </c>
      <c r="CT68" s="47">
        <f t="shared" ref="CT68" si="525">+CS68</f>
        <v>1.1332746960361788E-2</v>
      </c>
      <c r="CU68" s="47">
        <f t="shared" ref="CU68" si="526">+CT68</f>
        <v>1.1332746960361788E-2</v>
      </c>
      <c r="CV68" s="47">
        <f t="shared" ref="CV68" si="527">+CU68</f>
        <v>1.1332746960361788E-2</v>
      </c>
      <c r="CW68" s="47">
        <f t="shared" ref="CW68" si="528">+CV68</f>
        <v>1.1332746960361788E-2</v>
      </c>
      <c r="CX68" s="47">
        <f t="shared" ref="CX68" si="529">+CW68</f>
        <v>1.1332746960361788E-2</v>
      </c>
      <c r="CY68" s="47">
        <f t="shared" ref="CY68" si="530">+CX68</f>
        <v>1.1332746960361788E-2</v>
      </c>
      <c r="CZ68" s="47">
        <f t="shared" ref="CZ68" si="531">+CY68</f>
        <v>1.1332746960361788E-2</v>
      </c>
      <c r="DA68" s="47">
        <f t="shared" ref="DA68" si="532">+CZ68</f>
        <v>1.1332746960361788E-2</v>
      </c>
      <c r="DB68" s="47">
        <f t="shared" ref="DB68" si="533">+DA68</f>
        <v>1.1332746960361788E-2</v>
      </c>
      <c r="DE68" s="47">
        <v>0.02</v>
      </c>
    </row>
    <row r="69" spans="1:110" s="26" customFormat="1" x14ac:dyDescent="0.2">
      <c r="A69" s="26" t="s">
        <v>20</v>
      </c>
      <c r="B69" s="26">
        <f>B65+B66-B67</f>
        <v>42.476899999999929</v>
      </c>
      <c r="C69" s="26">
        <f t="shared" ref="C69:T69" si="534">C65+C66-C67</f>
        <v>36.79429999999995</v>
      </c>
      <c r="D69" s="26">
        <f>D65+D66-D67</f>
        <v>51.498400000000075</v>
      </c>
      <c r="E69" s="26">
        <f t="shared" si="534"/>
        <v>69.535199999999918</v>
      </c>
      <c r="F69" s="26">
        <f t="shared" si="534"/>
        <v>83.669399999999911</v>
      </c>
      <c r="G69" s="26">
        <f t="shared" si="534"/>
        <v>156.33969999999999</v>
      </c>
      <c r="H69" s="26">
        <f t="shared" si="534"/>
        <v>442.56679999999994</v>
      </c>
      <c r="I69" s="26">
        <f t="shared" si="534"/>
        <v>198.44570000000022</v>
      </c>
      <c r="J69" s="26">
        <f t="shared" si="534"/>
        <v>217.66780000000017</v>
      </c>
      <c r="K69" s="26">
        <f t="shared" si="534"/>
        <v>476.81229999999994</v>
      </c>
      <c r="L69" s="26">
        <f t="shared" si="534"/>
        <v>686.95489999999961</v>
      </c>
      <c r="M69" s="26">
        <f t="shared" si="534"/>
        <v>561.72730000000001</v>
      </c>
      <c r="N69" s="26">
        <f t="shared" si="534"/>
        <v>347.57729999999992</v>
      </c>
      <c r="O69" s="26">
        <f t="shared" si="534"/>
        <v>207.97279999999978</v>
      </c>
      <c r="P69" s="26">
        <f t="shared" si="534"/>
        <v>399.43000000000097</v>
      </c>
      <c r="Q69" s="26">
        <f t="shared" si="534"/>
        <v>584.94000000000062</v>
      </c>
      <c r="R69" s="26">
        <f t="shared" si="534"/>
        <v>657.19000000000062</v>
      </c>
      <c r="S69" s="26">
        <f t="shared" si="534"/>
        <v>581.67000000000053</v>
      </c>
      <c r="T69" s="26">
        <f t="shared" si="534"/>
        <v>768.42999999999972</v>
      </c>
      <c r="U69" s="26">
        <f t="shared" ref="U69:Z69" si="535">U65+U66-U67</f>
        <v>914.69999999999936</v>
      </c>
      <c r="V69" s="26">
        <f t="shared" si="535"/>
        <v>1612.6500000000003</v>
      </c>
      <c r="W69" s="26">
        <f t="shared" si="535"/>
        <v>2585.5500000000006</v>
      </c>
      <c r="X69" s="26">
        <f t="shared" si="535"/>
        <v>2823.9899999999989</v>
      </c>
      <c r="Y69" s="26">
        <f t="shared" si="535"/>
        <v>1692.2200000000003</v>
      </c>
      <c r="Z69" s="26">
        <f t="shared" si="535"/>
        <v>1703.6999999999985</v>
      </c>
      <c r="AA69" s="26">
        <f t="shared" ref="AA69" si="536">AA65+AA66-AA67</f>
        <v>2386.5900000000011</v>
      </c>
      <c r="AB69" s="27">
        <f t="shared" ref="AB69:AD69" si="537">AB65+AB66-AB67</f>
        <v>3146.328946370345</v>
      </c>
      <c r="AC69" s="27">
        <f t="shared" si="537"/>
        <v>3884.5447450582769</v>
      </c>
      <c r="AD69" s="27">
        <f t="shared" si="537"/>
        <v>5003.0670676858481</v>
      </c>
      <c r="AE69" s="27">
        <f t="shared" ref="AE69" si="538">AE65+AE66-AE67</f>
        <v>6273.946045823127</v>
      </c>
      <c r="AI69" s="26">
        <f>AI65+AI66-AI67</f>
        <v>30.080000000000009</v>
      </c>
      <c r="AJ69" s="26">
        <f t="shared" ref="AJ69" si="539">AJ65+AJ66-AJ67</f>
        <v>85.870000000000033</v>
      </c>
      <c r="AK69" s="26">
        <f t="shared" ref="AK69:AM69" si="540">AK65+AK66-AK67</f>
        <v>129.25999999999993</v>
      </c>
      <c r="AL69" s="26">
        <f t="shared" si="540"/>
        <v>99.199999999999946</v>
      </c>
      <c r="AM69" s="26">
        <f t="shared" si="540"/>
        <v>51.36</v>
      </c>
      <c r="AN69" s="26">
        <f t="shared" ref="AN69:AO69" si="541">AN65+AN66-AN67</f>
        <v>61.740000000000158</v>
      </c>
      <c r="AO69" s="26">
        <f t="shared" si="541"/>
        <v>91.880000000000109</v>
      </c>
      <c r="AP69" s="26">
        <f t="shared" ref="AP69:CD69" si="542">AP65+AP66-AP67</f>
        <v>65.880000000000024</v>
      </c>
      <c r="AQ69" s="26">
        <f t="shared" si="542"/>
        <v>120.02000000000018</v>
      </c>
      <c r="AR69" s="26">
        <f t="shared" si="542"/>
        <v>119.98999999999995</v>
      </c>
      <c r="AS69" s="26">
        <f t="shared" si="542"/>
        <v>87.749999999999773</v>
      </c>
      <c r="AT69" s="26">
        <f t="shared" si="542"/>
        <v>71.66999999999986</v>
      </c>
      <c r="AU69" s="26">
        <f t="shared" si="542"/>
        <v>165.6500000000002</v>
      </c>
      <c r="AV69" s="26">
        <f t="shared" si="542"/>
        <v>138.23999999999992</v>
      </c>
      <c r="AW69" s="26">
        <f t="shared" si="542"/>
        <v>129.34000000000006</v>
      </c>
      <c r="AX69" s="26">
        <f t="shared" si="542"/>
        <v>140.39000000000019</v>
      </c>
      <c r="AY69" s="26">
        <f t="shared" si="542"/>
        <v>204.69000000000003</v>
      </c>
      <c r="AZ69" s="26">
        <f t="shared" si="542"/>
        <v>152.63000000000011</v>
      </c>
      <c r="BA69" s="26">
        <f t="shared" si="542"/>
        <v>135.47999999999996</v>
      </c>
      <c r="BB69" s="26">
        <f t="shared" si="542"/>
        <v>164.39000000000004</v>
      </c>
      <c r="BC69" s="26">
        <f t="shared" si="542"/>
        <v>126.58999999999997</v>
      </c>
      <c r="BD69" s="26">
        <f t="shared" si="542"/>
        <v>118.91999999999999</v>
      </c>
      <c r="BE69" s="26">
        <f t="shared" si="542"/>
        <v>172.72999999999982</v>
      </c>
      <c r="BF69" s="26">
        <f t="shared" si="542"/>
        <v>163.42999999999992</v>
      </c>
      <c r="BG69" s="26">
        <f t="shared" si="542"/>
        <v>176.03000000000003</v>
      </c>
      <c r="BH69" s="26">
        <f t="shared" si="542"/>
        <v>166.40000000000012</v>
      </c>
      <c r="BI69" s="26">
        <f t="shared" si="542"/>
        <v>184.58999999999992</v>
      </c>
      <c r="BJ69" s="26">
        <f t="shared" si="542"/>
        <v>241.20999999999987</v>
      </c>
      <c r="BK69" s="26">
        <f t="shared" si="542"/>
        <v>230.9500000000001</v>
      </c>
      <c r="BL69" s="26">
        <f t="shared" si="542"/>
        <v>205.0500000000001</v>
      </c>
      <c r="BM69" s="26">
        <f t="shared" si="542"/>
        <v>259.06000000000006</v>
      </c>
      <c r="BN69" s="26">
        <f t="shared" si="542"/>
        <v>219.63999999999993</v>
      </c>
      <c r="BO69" s="26">
        <f t="shared" si="542"/>
        <v>226.17000000000004</v>
      </c>
      <c r="BP69" s="26">
        <f t="shared" si="542"/>
        <v>432.0699999999996</v>
      </c>
      <c r="BQ69" s="26">
        <f t="shared" si="542"/>
        <v>442.75</v>
      </c>
      <c r="BR69" s="26">
        <f t="shared" si="542"/>
        <v>511.66000000000008</v>
      </c>
      <c r="BS69" s="26">
        <f t="shared" si="542"/>
        <v>534.91000000000031</v>
      </c>
      <c r="BT69" s="26">
        <f t="shared" si="542"/>
        <v>532.42000000000041</v>
      </c>
      <c r="BU69" s="26">
        <f t="shared" si="542"/>
        <v>730.28</v>
      </c>
      <c r="BV69" s="26">
        <f t="shared" si="542"/>
        <v>787.94000000000028</v>
      </c>
      <c r="BW69" s="26">
        <f t="shared" si="542"/>
        <v>841.5899999999998</v>
      </c>
      <c r="BX69" s="26">
        <f t="shared" si="542"/>
        <v>618.08000000000038</v>
      </c>
      <c r="BY69" s="26">
        <f t="shared" si="542"/>
        <v>630.92999999999995</v>
      </c>
      <c r="BZ69" s="26">
        <f t="shared" si="542"/>
        <v>733.39000000000021</v>
      </c>
      <c r="CA69" s="26">
        <f t="shared" si="542"/>
        <v>485.76999999999953</v>
      </c>
      <c r="CB69" s="26">
        <f t="shared" si="542"/>
        <v>414.80999999999932</v>
      </c>
      <c r="CC69" s="26">
        <f t="shared" si="542"/>
        <v>348.32000000000016</v>
      </c>
      <c r="CD69" s="26">
        <f t="shared" si="542"/>
        <v>443.32000000000016</v>
      </c>
      <c r="CE69" s="26">
        <f t="shared" ref="CE69:CF69" si="543">CE65+CE66-CE67</f>
        <v>343.98000000000008</v>
      </c>
      <c r="CF69" s="26">
        <f t="shared" si="543"/>
        <v>283.65999999999997</v>
      </c>
      <c r="CG69" s="26">
        <f t="shared" ref="CG69:CH69" si="544">CG65+CG66-CG67</f>
        <v>368.70000000000039</v>
      </c>
      <c r="CH69" s="26">
        <f t="shared" si="544"/>
        <v>707.36000000000035</v>
      </c>
      <c r="CI69" s="26">
        <f t="shared" ref="CI69:CJ69" si="545">CI65+CI66-CI67</f>
        <v>575.81999999999982</v>
      </c>
      <c r="CJ69" s="26">
        <f t="shared" si="545"/>
        <v>517.04999999999995</v>
      </c>
      <c r="CK69" s="26">
        <f t="shared" ref="CK69:CL69" si="546">CK65+CK66-CK67</f>
        <v>524.91000000000031</v>
      </c>
      <c r="CL69" s="26">
        <f t="shared" si="546"/>
        <v>768.81000000000006</v>
      </c>
      <c r="CM69" s="27">
        <f t="shared" ref="CM69:DB69" si="547">CM65+CM66-CM67</f>
        <v>694.40053168982786</v>
      </c>
      <c r="CN69" s="27">
        <f t="shared" si="547"/>
        <v>671.83720018850897</v>
      </c>
      <c r="CO69" s="27">
        <f t="shared" si="547"/>
        <v>740.56944705658179</v>
      </c>
      <c r="CP69" s="27">
        <f t="shared" si="547"/>
        <v>1039.521767435426</v>
      </c>
      <c r="CQ69" s="27">
        <f t="shared" si="547"/>
        <v>849.65553903537386</v>
      </c>
      <c r="CR69" s="27">
        <f t="shared" si="547"/>
        <v>833.352227418957</v>
      </c>
      <c r="CS69" s="27">
        <f t="shared" si="547"/>
        <v>923.35242448105362</v>
      </c>
      <c r="CT69" s="27">
        <f t="shared" si="547"/>
        <v>1278.1845541228911</v>
      </c>
      <c r="CU69" s="27">
        <f t="shared" si="547"/>
        <v>1124.4562154254984</v>
      </c>
      <c r="CV69" s="27">
        <f t="shared" si="547"/>
        <v>1097.8936014380786</v>
      </c>
      <c r="CW69" s="27">
        <f t="shared" si="547"/>
        <v>1192.3600685449424</v>
      </c>
      <c r="CX69" s="27">
        <f t="shared" si="547"/>
        <v>1588.3571822773299</v>
      </c>
      <c r="CY69" s="27">
        <f t="shared" si="547"/>
        <v>1427.6118874329795</v>
      </c>
      <c r="CZ69" s="27">
        <f t="shared" si="547"/>
        <v>1391.5353149783462</v>
      </c>
      <c r="DA69" s="27">
        <f t="shared" si="547"/>
        <v>1497.6098069593297</v>
      </c>
      <c r="DB69" s="27">
        <f t="shared" si="547"/>
        <v>1957.1890364524706</v>
      </c>
      <c r="DE69" s="27">
        <v>759.62365883284929</v>
      </c>
      <c r="DF69" s="26">
        <v>0</v>
      </c>
    </row>
    <row r="70" spans="1:110" s="23" customFormat="1" x14ac:dyDescent="0.2">
      <c r="A70" s="23" t="s">
        <v>21</v>
      </c>
      <c r="B70" s="23">
        <f>'Annual Raw'!C30</f>
        <v>2.2902</v>
      </c>
      <c r="C70" s="23">
        <f>'Annual Raw'!D30</f>
        <v>9.9373000000000005</v>
      </c>
      <c r="D70" s="23">
        <f>'Annual Raw'!E30</f>
        <v>23.0776</v>
      </c>
      <c r="E70" s="23">
        <f>'Annual Raw'!F30</f>
        <v>30.926100000000002</v>
      </c>
      <c r="F70" s="23">
        <f>'Annual Raw'!G30</f>
        <v>24.310099999999998</v>
      </c>
      <c r="G70" s="23">
        <f>'Annual Raw'!H30</f>
        <v>53.673999999999999</v>
      </c>
      <c r="H70" s="23">
        <f>'Annual Raw'!I30</f>
        <v>154.22499999999999</v>
      </c>
      <c r="I70" s="23">
        <f>'Annual Raw'!J30</f>
        <v>63.788400000000003</v>
      </c>
      <c r="J70" s="23">
        <f>'Annual Raw'!K30</f>
        <v>77.860399999999998</v>
      </c>
      <c r="K70" s="23">
        <f>'Annual Raw'!L30</f>
        <v>152.39709999999999</v>
      </c>
      <c r="L70" s="23">
        <f>'Annual Raw'!M30</f>
        <v>202.71719999999999</v>
      </c>
      <c r="M70" s="23">
        <f>'Annual Raw'!N30</f>
        <v>182.90940000000001</v>
      </c>
      <c r="N70" s="23">
        <f>'Annual Raw'!O30</f>
        <v>94.625699999999995</v>
      </c>
      <c r="O70" s="23">
        <f>'Annual Raw'!P30</f>
        <v>45.514200000000002</v>
      </c>
      <c r="P70" s="23">
        <f>'Annual Raw'!Q30</f>
        <v>96.62</v>
      </c>
      <c r="Q70" s="23">
        <f>'Annual Raw'!R30</f>
        <v>155.05000000000001</v>
      </c>
      <c r="R70" s="23">
        <f>'Annual Raw'!S30</f>
        <v>142.19999999999999</v>
      </c>
      <c r="S70" s="23">
        <f>'Annual Raw'!T30</f>
        <v>119.96</v>
      </c>
      <c r="T70" s="23">
        <f>'Annual Raw'!U30</f>
        <v>176.85</v>
      </c>
      <c r="U70" s="23">
        <f>'Annual Raw'!V30</f>
        <v>-1.2</v>
      </c>
      <c r="V70" s="23">
        <f>'Annual Raw'!W30</f>
        <v>414.4</v>
      </c>
      <c r="W70" s="23">
        <f>'Annual Raw'!X30</f>
        <v>696.63</v>
      </c>
      <c r="X70" s="23">
        <f>'Annual Raw'!Y30</f>
        <v>661.65</v>
      </c>
      <c r="Y70" s="23">
        <f>'Annual Raw'!Z30</f>
        <v>356.51</v>
      </c>
      <c r="Z70" s="23">
        <f>'Annual Raw'!AA30</f>
        <v>452.92</v>
      </c>
      <c r="AA70" s="23">
        <f>'Annual Raw'!AB30</f>
        <v>466.46</v>
      </c>
      <c r="AB70" s="24">
        <f>+SUM(CM70:CP70)</f>
        <v>729.61581964717607</v>
      </c>
      <c r="AC70" s="24">
        <f>+SUM(CQ70:CT70)</f>
        <v>1018.3147812124514</v>
      </c>
      <c r="AD70" s="24">
        <f>+SUM(CU70:CX70)</f>
        <v>1322.8856625051035</v>
      </c>
      <c r="AE70" s="24">
        <f>+SUM(CY70:DB70)</f>
        <v>1663.0951970867225</v>
      </c>
      <c r="AI70" s="23">
        <f>'QTR Raw'!C29</f>
        <v>8.06</v>
      </c>
      <c r="AJ70" s="23">
        <f>'QTR Raw'!D29</f>
        <v>10.51</v>
      </c>
      <c r="AK70" s="23">
        <f>'QTR Raw'!E29</f>
        <v>40.01</v>
      </c>
      <c r="AL70" s="23">
        <f>'QTR Raw'!F29</f>
        <v>35.5</v>
      </c>
      <c r="AM70" s="23">
        <f>'QTR Raw'!G29</f>
        <v>7.55</v>
      </c>
      <c r="AN70" s="23">
        <f>'QTR Raw'!H29</f>
        <v>13.97</v>
      </c>
      <c r="AO70" s="23">
        <f>'QTR Raw'!I29</f>
        <v>19.82</v>
      </c>
      <c r="AP70" s="23">
        <f>'QTR Raw'!J29</f>
        <v>12.98</v>
      </c>
      <c r="AQ70" s="23">
        <f>'QTR Raw'!K29</f>
        <v>27.52</v>
      </c>
      <c r="AR70" s="23">
        <f>'QTR Raw'!L29</f>
        <v>41.5</v>
      </c>
      <c r="AS70" s="23">
        <f>'QTR Raw'!M29</f>
        <v>16.350000000000001</v>
      </c>
      <c r="AT70" s="23">
        <f>'QTR Raw'!N29</f>
        <v>11.25</v>
      </c>
      <c r="AU70" s="23">
        <f>'QTR Raw'!O29</f>
        <v>52.23</v>
      </c>
      <c r="AV70" s="23">
        <f>'QTR Raw'!P29</f>
        <v>36.119999999999997</v>
      </c>
      <c r="AW70" s="23">
        <f>'QTR Raw'!Q29</f>
        <v>32.46</v>
      </c>
      <c r="AX70" s="23">
        <f>'QTR Raw'!R29</f>
        <v>28.7</v>
      </c>
      <c r="AY70" s="23">
        <f>'QTR Raw'!S29</f>
        <v>50.13</v>
      </c>
      <c r="AZ70" s="23">
        <f>'QTR Raw'!T29</f>
        <v>29.79</v>
      </c>
      <c r="BA70" s="23">
        <f>'QTR Raw'!U29</f>
        <v>27.11</v>
      </c>
      <c r="BB70" s="23">
        <f>'QTR Raw'!V29</f>
        <v>35.17</v>
      </c>
      <c r="BC70" s="23">
        <f>'QTR Raw'!W29</f>
        <v>22.78</v>
      </c>
      <c r="BD70" s="23">
        <f>'QTR Raw'!X29</f>
        <v>16.16</v>
      </c>
      <c r="BE70" s="23">
        <f>'QTR Raw'!Y29</f>
        <v>41.51</v>
      </c>
      <c r="BF70" s="23">
        <f>'QTR Raw'!Z29</f>
        <v>39.520000000000003</v>
      </c>
      <c r="BG70" s="23">
        <f>'QTR Raw'!AA29</f>
        <v>46.24</v>
      </c>
      <c r="BH70" s="23">
        <f>'QTR Raw'!AB29</f>
        <v>37.67</v>
      </c>
      <c r="BI70" s="23">
        <f>'QTR Raw'!AC29</f>
        <v>31.02</v>
      </c>
      <c r="BJ70" s="23">
        <f>'QTR Raw'!AD29</f>
        <v>61.91</v>
      </c>
      <c r="BK70" s="23">
        <f>'QTR Raw'!AE29</f>
        <v>55.61</v>
      </c>
      <c r="BL70" s="23">
        <f>'QTR Raw'!AF29</f>
        <v>4.12</v>
      </c>
      <c r="BM70" s="23">
        <f>'QTR Raw'!AG29</f>
        <v>-86.41</v>
      </c>
      <c r="BN70" s="23">
        <f>'QTR Raw'!AH29</f>
        <v>25.48</v>
      </c>
      <c r="BO70" s="23">
        <f>'QTR Raw'!AI29</f>
        <v>49.3</v>
      </c>
      <c r="BP70" s="23">
        <f>'QTR Raw'!AJ29</f>
        <v>116.39</v>
      </c>
      <c r="BQ70" s="23">
        <f>'QTR Raw'!AK29</f>
        <v>118.5</v>
      </c>
      <c r="BR70" s="23">
        <f>'QTR Raw'!AL29</f>
        <v>130.21</v>
      </c>
      <c r="BS70" s="23">
        <f>'QTR Raw'!AM29</f>
        <v>139.63</v>
      </c>
      <c r="BT70" s="23">
        <f>'QTR Raw'!AN29</f>
        <v>149.97</v>
      </c>
      <c r="BU70" s="23">
        <f>'QTR Raw'!AO29</f>
        <v>224.74</v>
      </c>
      <c r="BV70" s="23">
        <f>'QTR Raw'!AP29</f>
        <v>182.29</v>
      </c>
      <c r="BW70" s="23">
        <f>'QTR Raw'!AQ29</f>
        <v>233.59</v>
      </c>
      <c r="BX70" s="23">
        <f>'QTR Raw'!AR29</f>
        <v>137.09</v>
      </c>
      <c r="BY70" s="23">
        <f>'QTR Raw'!AS29</f>
        <v>120.03</v>
      </c>
      <c r="BZ70" s="23">
        <f>'QTR Raw'!AT29</f>
        <v>170.94</v>
      </c>
      <c r="CA70" s="23">
        <f>'QTR Raw'!AU29</f>
        <v>126.48</v>
      </c>
      <c r="CB70" s="23">
        <f>'QTR Raw'!AV29</f>
        <v>114.03</v>
      </c>
      <c r="CC70" s="23">
        <f>'QTR Raw'!AW29</f>
        <v>94.89</v>
      </c>
      <c r="CD70" s="23">
        <f>'QTR Raw'!AX29</f>
        <v>21.11</v>
      </c>
      <c r="CE70" s="23">
        <f>'QTR Raw'!AY29</f>
        <v>91.76</v>
      </c>
      <c r="CF70" s="23">
        <f>'QTR Raw'!AZ29</f>
        <v>82.24</v>
      </c>
      <c r="CG70" s="23">
        <f>'QTR Raw'!BA29</f>
        <v>97.62</v>
      </c>
      <c r="CH70" s="23">
        <f>'QTR Raw'!BB29</f>
        <v>181.3</v>
      </c>
      <c r="CI70" s="23">
        <f>'QTR Raw'!BC29</f>
        <v>143.5</v>
      </c>
      <c r="CJ70" s="23">
        <f>'QTR Raw'!BD29</f>
        <v>128.87</v>
      </c>
      <c r="CK70" s="23">
        <f>'QTR Raw'!BE29</f>
        <v>19.010000000000002</v>
      </c>
      <c r="CL70" s="23">
        <f>'QTR Raw'!BF29</f>
        <v>175.08</v>
      </c>
      <c r="CM70" s="24">
        <f t="shared" ref="CM70:DB70" si="548">+CM69*CM71</f>
        <v>152.20465594854815</v>
      </c>
      <c r="CN70" s="24">
        <f t="shared" si="548"/>
        <v>147.61077897954061</v>
      </c>
      <c r="CO70" s="24">
        <f t="shared" si="548"/>
        <v>156.151657610022</v>
      </c>
      <c r="CP70" s="24">
        <f t="shared" si="548"/>
        <v>273.64872710906531</v>
      </c>
      <c r="CQ70" s="24">
        <f t="shared" si="548"/>
        <v>209.44836053264731</v>
      </c>
      <c r="CR70" s="24">
        <f t="shared" si="548"/>
        <v>211.57683787050865</v>
      </c>
      <c r="CS70" s="24">
        <f t="shared" si="548"/>
        <v>242.94650344822321</v>
      </c>
      <c r="CT70" s="24">
        <f t="shared" si="548"/>
        <v>354.34307936107228</v>
      </c>
      <c r="CU70" s="24">
        <f t="shared" si="548"/>
        <v>292.56479099513354</v>
      </c>
      <c r="CV70" s="24">
        <f t="shared" si="548"/>
        <v>289.40668641577423</v>
      </c>
      <c r="CW70" s="24">
        <f t="shared" si="548"/>
        <v>317.20425087854926</v>
      </c>
      <c r="CX70" s="24">
        <f t="shared" si="548"/>
        <v>423.7099342156464</v>
      </c>
      <c r="CY70" s="24">
        <f t="shared" si="548"/>
        <v>377.09495779853114</v>
      </c>
      <c r="CZ70" s="24">
        <f t="shared" si="548"/>
        <v>368.94335769116287</v>
      </c>
      <c r="DA70" s="24">
        <f t="shared" si="548"/>
        <v>397.64099775686344</v>
      </c>
      <c r="DB70" s="24">
        <f t="shared" si="548"/>
        <v>519.41588384016495</v>
      </c>
      <c r="DE70" s="24">
        <v>151.7122822850387</v>
      </c>
      <c r="DF70" s="23">
        <v>0</v>
      </c>
    </row>
    <row r="71" spans="1:110" s="90" customFormat="1" x14ac:dyDescent="0.2">
      <c r="A71" s="90" t="s">
        <v>106</v>
      </c>
      <c r="B71" s="90">
        <f t="shared" ref="B71:E71" si="549">B70/B69</f>
        <v>5.391636395311343E-2</v>
      </c>
      <c r="C71" s="90">
        <f t="shared" si="549"/>
        <v>0.27007715869034099</v>
      </c>
      <c r="D71" s="90">
        <f t="shared" si="549"/>
        <v>0.44812266012147883</v>
      </c>
      <c r="E71" s="90">
        <f t="shared" si="549"/>
        <v>0.44475459910951631</v>
      </c>
      <c r="F71" s="90">
        <f t="shared" ref="F71:T71" si="550">F70/F69</f>
        <v>0.29054947208895993</v>
      </c>
      <c r="G71" s="90">
        <f t="shared" si="550"/>
        <v>0.34331650885859449</v>
      </c>
      <c r="H71" s="90">
        <f t="shared" si="550"/>
        <v>0.34847846697944812</v>
      </c>
      <c r="I71" s="90">
        <f t="shared" si="550"/>
        <v>0.32144007151578458</v>
      </c>
      <c r="J71" s="90">
        <f t="shared" si="550"/>
        <v>0.35770288485481055</v>
      </c>
      <c r="K71" s="90">
        <f t="shared" si="550"/>
        <v>0.31961654512687698</v>
      </c>
      <c r="L71" s="90">
        <f t="shared" si="550"/>
        <v>0.29509535487700883</v>
      </c>
      <c r="M71" s="90">
        <f t="shared" si="550"/>
        <v>0.32561956664737496</v>
      </c>
      <c r="N71" s="90">
        <f t="shared" si="550"/>
        <v>0.27224361314734885</v>
      </c>
      <c r="O71" s="90">
        <f t="shared" si="550"/>
        <v>0.2188468876699263</v>
      </c>
      <c r="P71" s="90">
        <f t="shared" si="550"/>
        <v>0.24189469994742449</v>
      </c>
      <c r="Q71" s="90">
        <f t="shared" si="550"/>
        <v>0.26506992170137084</v>
      </c>
      <c r="R71" s="90">
        <f t="shared" si="550"/>
        <v>0.21637578173739688</v>
      </c>
      <c r="S71" s="90">
        <f t="shared" si="550"/>
        <v>0.20623377516461203</v>
      </c>
      <c r="T71" s="90">
        <f t="shared" si="550"/>
        <v>0.23014458050830922</v>
      </c>
      <c r="U71" s="90">
        <f t="shared" ref="U71:Z71" si="551">U70/U69</f>
        <v>-1.3119055428009192E-3</v>
      </c>
      <c r="V71" s="90">
        <f t="shared" si="551"/>
        <v>0.25696834403001267</v>
      </c>
      <c r="W71" s="90">
        <f t="shared" si="551"/>
        <v>0.26943203573707714</v>
      </c>
      <c r="X71" s="90">
        <f t="shared" si="551"/>
        <v>0.23429615543964399</v>
      </c>
      <c r="Y71" s="90">
        <f t="shared" si="551"/>
        <v>0.21067591684296363</v>
      </c>
      <c r="Z71" s="90">
        <f t="shared" si="551"/>
        <v>0.26584492574983881</v>
      </c>
      <c r="AA71" s="90">
        <f t="shared" ref="AA71" si="552">AA70/AA69</f>
        <v>0.19545041251325104</v>
      </c>
      <c r="AB71" s="91">
        <f t="shared" ref="AA71:AD71" si="553">AB70/AB69</f>
        <v>0.23189432258469747</v>
      </c>
      <c r="AC71" s="91">
        <f t="shared" si="553"/>
        <v>0.26214520569183825</v>
      </c>
      <c r="AD71" s="91">
        <f t="shared" si="553"/>
        <v>0.26441493679935812</v>
      </c>
      <c r="AE71" s="91">
        <f t="shared" ref="AE71" si="554">AE70/AE69</f>
        <v>0.26507961415988368</v>
      </c>
      <c r="AI71" s="90">
        <f t="shared" ref="AI71" si="555">AI70/AI69</f>
        <v>0.26795212765957438</v>
      </c>
      <c r="AJ71" s="90">
        <f t="shared" ref="AJ71" si="556">AJ70/AJ69</f>
        <v>0.1223943169908</v>
      </c>
      <c r="AK71" s="90">
        <f t="shared" ref="AK71:AM71" si="557">AK70/AK69</f>
        <v>0.30953117747176251</v>
      </c>
      <c r="AL71" s="90">
        <f t="shared" si="557"/>
        <v>0.35786290322580666</v>
      </c>
      <c r="AM71" s="90">
        <f t="shared" si="557"/>
        <v>0.14700155763239875</v>
      </c>
      <c r="AN71" s="90">
        <f t="shared" ref="AN71:AO71" si="558">AN70/AN69</f>
        <v>0.22627146096533796</v>
      </c>
      <c r="AO71" s="90">
        <f t="shared" si="558"/>
        <v>0.21571615150195883</v>
      </c>
      <c r="AP71" s="90">
        <f t="shared" ref="AP71:CD71" si="559">AP70/AP69</f>
        <v>0.19702489374620516</v>
      </c>
      <c r="AQ71" s="90">
        <f t="shared" si="559"/>
        <v>0.22929511748041959</v>
      </c>
      <c r="AR71" s="90">
        <f t="shared" si="559"/>
        <v>0.34586215517959845</v>
      </c>
      <c r="AS71" s="90">
        <f t="shared" si="559"/>
        <v>0.18632478632478683</v>
      </c>
      <c r="AT71" s="90">
        <f t="shared" si="559"/>
        <v>0.15696944328170814</v>
      </c>
      <c r="AU71" s="90">
        <f t="shared" si="559"/>
        <v>0.31530335043766938</v>
      </c>
      <c r="AV71" s="90">
        <f t="shared" si="559"/>
        <v>0.26128472222222232</v>
      </c>
      <c r="AW71" s="90">
        <f t="shared" si="559"/>
        <v>0.25096644502860666</v>
      </c>
      <c r="AX71" s="90">
        <f t="shared" si="559"/>
        <v>0.20443051499394516</v>
      </c>
      <c r="AY71" s="90">
        <f t="shared" si="559"/>
        <v>0.244906932434413</v>
      </c>
      <c r="AZ71" s="90">
        <f t="shared" si="559"/>
        <v>0.1951778811504945</v>
      </c>
      <c r="BA71" s="90">
        <f t="shared" si="559"/>
        <v>0.20010333628579868</v>
      </c>
      <c r="BB71" s="90">
        <f t="shared" si="559"/>
        <v>0.21394245392055472</v>
      </c>
      <c r="BC71" s="90">
        <f t="shared" si="559"/>
        <v>0.1799510229875978</v>
      </c>
      <c r="BD71" s="90">
        <f t="shared" si="559"/>
        <v>0.13588967373023883</v>
      </c>
      <c r="BE71" s="90">
        <f t="shared" si="559"/>
        <v>0.24031725814855578</v>
      </c>
      <c r="BF71" s="90">
        <f t="shared" si="559"/>
        <v>0.24181606804136341</v>
      </c>
      <c r="BG71" s="90">
        <f t="shared" si="559"/>
        <v>0.26268249730159626</v>
      </c>
      <c r="BH71" s="90">
        <f t="shared" si="559"/>
        <v>0.22638221153846139</v>
      </c>
      <c r="BI71" s="90">
        <f t="shared" si="559"/>
        <v>0.16804810661465958</v>
      </c>
      <c r="BJ71" s="90">
        <f t="shared" si="559"/>
        <v>0.25666431739977624</v>
      </c>
      <c r="BK71" s="90">
        <f t="shared" si="559"/>
        <v>0.24078804936133352</v>
      </c>
      <c r="BL71" s="90">
        <f t="shared" si="559"/>
        <v>2.0092660326749563E-2</v>
      </c>
      <c r="BM71" s="90">
        <f t="shared" si="559"/>
        <v>-0.33355207287886968</v>
      </c>
      <c r="BN71" s="90">
        <f t="shared" si="559"/>
        <v>0.11600801311236573</v>
      </c>
      <c r="BO71" s="90">
        <f t="shared" si="559"/>
        <v>0.21797762744837948</v>
      </c>
      <c r="BP71" s="90">
        <f t="shared" si="559"/>
        <v>0.26937764714050988</v>
      </c>
      <c r="BQ71" s="90">
        <f t="shared" si="559"/>
        <v>0.26764539808018067</v>
      </c>
      <c r="BR71" s="90">
        <f t="shared" si="559"/>
        <v>0.25448540046124379</v>
      </c>
      <c r="BS71" s="90">
        <f t="shared" si="559"/>
        <v>0.26103456656259916</v>
      </c>
      <c r="BT71" s="90">
        <f t="shared" si="559"/>
        <v>0.28167612035610962</v>
      </c>
      <c r="BU71" s="90">
        <f t="shared" si="559"/>
        <v>0.30774497453031718</v>
      </c>
      <c r="BV71" s="90">
        <f t="shared" si="559"/>
        <v>0.23135010279970547</v>
      </c>
      <c r="BW71" s="90">
        <f t="shared" si="559"/>
        <v>0.2775579557741894</v>
      </c>
      <c r="BX71" s="90">
        <f t="shared" si="559"/>
        <v>0.22179976702045029</v>
      </c>
      <c r="BY71" s="90">
        <f t="shared" si="559"/>
        <v>0.19024297465645953</v>
      </c>
      <c r="BZ71" s="90">
        <f t="shared" si="559"/>
        <v>0.23308198911902256</v>
      </c>
      <c r="CA71" s="90">
        <f t="shared" si="559"/>
        <v>0.2603701340140398</v>
      </c>
      <c r="CB71" s="90">
        <f t="shared" si="559"/>
        <v>0.27489694076806293</v>
      </c>
      <c r="CC71" s="90">
        <f t="shared" si="559"/>
        <v>0.272421910886541</v>
      </c>
      <c r="CD71" s="90">
        <f t="shared" si="559"/>
        <v>4.7617973472886384E-2</v>
      </c>
      <c r="CE71" s="90">
        <f t="shared" ref="CE71:CF71" si="560">CE70/CE69</f>
        <v>0.26675969533112387</v>
      </c>
      <c r="CF71" s="90">
        <f t="shared" si="560"/>
        <v>0.28992455756892055</v>
      </c>
      <c r="CG71" s="90">
        <f t="shared" ref="CG71:CH71" si="561">CG70/CG69</f>
        <v>0.26476810414971497</v>
      </c>
      <c r="CH71" s="90">
        <f t="shared" si="561"/>
        <v>0.25630513458493542</v>
      </c>
      <c r="CI71" s="90">
        <f t="shared" ref="CI71:CJ71" si="562">CI70/CI69</f>
        <v>0.24920982251398013</v>
      </c>
      <c r="CJ71" s="90">
        <f t="shared" si="562"/>
        <v>0.24924088579441062</v>
      </c>
      <c r="CK71" s="90">
        <f t="shared" ref="CK71:CL71" si="563">CK70/CK69</f>
        <v>3.6215732220761639E-2</v>
      </c>
      <c r="CL71" s="90">
        <f t="shared" si="563"/>
        <v>0.22772856752643697</v>
      </c>
      <c r="CM71" s="91">
        <f>AVERAGE(CI71:CL71)*1.15</f>
        <v>0.21918856481598195</v>
      </c>
      <c r="CN71" s="91">
        <f>AVERAGE(CJ71:CM71)*1.2</f>
        <v>0.21971212510727733</v>
      </c>
      <c r="CO71" s="91">
        <f t="shared" ref="CO71:CP71" si="564">AVERAGE(CK71:CN71)*1.2</f>
        <v>0.21085349690113739</v>
      </c>
      <c r="CP71" s="91">
        <f t="shared" si="564"/>
        <v>0.26324482630525009</v>
      </c>
      <c r="CQ71" s="91">
        <f>AVERAGE(CM71:CP71)*1.08</f>
        <v>0.24650973354500466</v>
      </c>
      <c r="CR71" s="91">
        <f t="shared" ref="CR71:CT71" si="565">AVERAGE(CN71:CQ71)*1.08</f>
        <v>0.25388644910184077</v>
      </c>
      <c r="CS71" s="91">
        <f t="shared" si="565"/>
        <v>0.26311351658037291</v>
      </c>
      <c r="CT71" s="91">
        <f t="shared" si="565"/>
        <v>0.27722372189376648</v>
      </c>
      <c r="CU71" s="91">
        <f t="shared" ref="CU71:DB71" si="566">AVERAGE(CQ71:CT71)</f>
        <v>0.26018335528024622</v>
      </c>
      <c r="CV71" s="91">
        <f t="shared" si="566"/>
        <v>0.26360176071405661</v>
      </c>
      <c r="CW71" s="91">
        <f t="shared" si="566"/>
        <v>0.26603058861711054</v>
      </c>
      <c r="CX71" s="91">
        <f t="shared" si="566"/>
        <v>0.26675985662629498</v>
      </c>
      <c r="CY71" s="91">
        <f t="shared" si="566"/>
        <v>0.26414389030942709</v>
      </c>
      <c r="CZ71" s="91">
        <f t="shared" si="566"/>
        <v>0.26513402406672232</v>
      </c>
      <c r="DA71" s="91">
        <f t="shared" si="566"/>
        <v>0.26551708990488876</v>
      </c>
      <c r="DB71" s="91">
        <f t="shared" si="566"/>
        <v>0.26538871522683327</v>
      </c>
      <c r="DE71" s="91">
        <v>0.19972032271630719</v>
      </c>
    </row>
    <row r="72" spans="1:110" s="26" customFormat="1" x14ac:dyDescent="0.2">
      <c r="A72" s="26" t="s">
        <v>22</v>
      </c>
      <c r="B72" s="26">
        <f t="shared" ref="B72:E72" si="567">B69-B70</f>
        <v>40.186699999999931</v>
      </c>
      <c r="C72" s="26">
        <f t="shared" si="567"/>
        <v>26.85699999999995</v>
      </c>
      <c r="D72" s="26">
        <f t="shared" si="567"/>
        <v>28.420800000000074</v>
      </c>
      <c r="E72" s="26">
        <f t="shared" si="567"/>
        <v>38.609099999999913</v>
      </c>
      <c r="F72" s="26">
        <f t="shared" ref="F72:T72" si="568">F69-F70</f>
        <v>59.359299999999912</v>
      </c>
      <c r="G72" s="26">
        <f t="shared" si="568"/>
        <v>102.66569999999999</v>
      </c>
      <c r="H72" s="26">
        <f t="shared" si="568"/>
        <v>288.34179999999992</v>
      </c>
      <c r="I72" s="26">
        <f t="shared" si="568"/>
        <v>134.65730000000022</v>
      </c>
      <c r="J72" s="26">
        <f t="shared" si="568"/>
        <v>139.80740000000017</v>
      </c>
      <c r="K72" s="26">
        <f t="shared" si="568"/>
        <v>324.41519999999991</v>
      </c>
      <c r="L72" s="26">
        <f t="shared" si="568"/>
        <v>484.23769999999962</v>
      </c>
      <c r="M72" s="26">
        <f t="shared" si="568"/>
        <v>378.81790000000001</v>
      </c>
      <c r="N72" s="26">
        <f t="shared" si="568"/>
        <v>252.95159999999993</v>
      </c>
      <c r="O72" s="26">
        <f t="shared" si="568"/>
        <v>162.45859999999976</v>
      </c>
      <c r="P72" s="26">
        <f t="shared" si="568"/>
        <v>302.81000000000097</v>
      </c>
      <c r="Q72" s="26">
        <f t="shared" si="568"/>
        <v>429.89000000000061</v>
      </c>
      <c r="R72" s="26">
        <f t="shared" si="568"/>
        <v>514.99000000000069</v>
      </c>
      <c r="S72" s="26">
        <f t="shared" si="568"/>
        <v>461.71000000000055</v>
      </c>
      <c r="T72" s="26">
        <f t="shared" si="568"/>
        <v>591.5799999999997</v>
      </c>
      <c r="U72" s="26">
        <f t="shared" ref="U72:Z72" si="569">U69-U70</f>
        <v>915.89999999999941</v>
      </c>
      <c r="V72" s="26">
        <f t="shared" si="569"/>
        <v>1198.2500000000005</v>
      </c>
      <c r="W72" s="26">
        <f t="shared" si="569"/>
        <v>1888.9200000000005</v>
      </c>
      <c r="X72" s="26">
        <f t="shared" si="569"/>
        <v>2162.3399999999988</v>
      </c>
      <c r="Y72" s="26">
        <f t="shared" si="569"/>
        <v>1335.7100000000003</v>
      </c>
      <c r="Z72" s="26">
        <f t="shared" si="569"/>
        <v>1250.7799999999984</v>
      </c>
      <c r="AA72" s="26">
        <f t="shared" ref="AA72" si="570">AA69-AA70</f>
        <v>1920.130000000001</v>
      </c>
      <c r="AB72" s="27">
        <f t="shared" ref="AA72:AD72" si="571">AB69-AB70</f>
        <v>2416.7131267231689</v>
      </c>
      <c r="AC72" s="27">
        <f t="shared" si="571"/>
        <v>2866.2299638458253</v>
      </c>
      <c r="AD72" s="27">
        <f t="shared" si="571"/>
        <v>3680.1814051807446</v>
      </c>
      <c r="AE72" s="27">
        <f t="shared" ref="AE72" si="572">AE69-AE70</f>
        <v>4610.8508487364043</v>
      </c>
      <c r="AI72" s="26">
        <f>AI69-AI70</f>
        <v>22.02000000000001</v>
      </c>
      <c r="AJ72" s="26">
        <f t="shared" ref="AJ72" si="573">AJ69-AJ70</f>
        <v>75.360000000000028</v>
      </c>
      <c r="AK72" s="26">
        <f t="shared" ref="AK72:AM72" si="574">AK69-AK70</f>
        <v>89.249999999999943</v>
      </c>
      <c r="AL72" s="26">
        <f t="shared" si="574"/>
        <v>63.699999999999946</v>
      </c>
      <c r="AM72" s="26">
        <f t="shared" si="574"/>
        <v>43.81</v>
      </c>
      <c r="AN72" s="26">
        <f t="shared" ref="AN72:AO72" si="575">AN69-AN70</f>
        <v>47.770000000000159</v>
      </c>
      <c r="AO72" s="26">
        <f t="shared" si="575"/>
        <v>72.060000000000116</v>
      </c>
      <c r="AP72" s="26">
        <f t="shared" ref="AP72:CD72" si="576">AP69-AP70</f>
        <v>52.90000000000002</v>
      </c>
      <c r="AQ72" s="26">
        <f t="shared" si="576"/>
        <v>92.500000000000185</v>
      </c>
      <c r="AR72" s="26">
        <f t="shared" si="576"/>
        <v>78.489999999999952</v>
      </c>
      <c r="AS72" s="26">
        <f t="shared" si="576"/>
        <v>71.399999999999778</v>
      </c>
      <c r="AT72" s="26">
        <f t="shared" si="576"/>
        <v>60.41999999999986</v>
      </c>
      <c r="AU72" s="26">
        <f t="shared" si="576"/>
        <v>113.42000000000021</v>
      </c>
      <c r="AV72" s="26">
        <f t="shared" si="576"/>
        <v>102.11999999999992</v>
      </c>
      <c r="AW72" s="26">
        <f t="shared" si="576"/>
        <v>96.880000000000052</v>
      </c>
      <c r="AX72" s="26">
        <f t="shared" si="576"/>
        <v>111.69000000000018</v>
      </c>
      <c r="AY72" s="26">
        <f t="shared" si="576"/>
        <v>154.56000000000003</v>
      </c>
      <c r="AZ72" s="26">
        <f t="shared" si="576"/>
        <v>122.84000000000012</v>
      </c>
      <c r="BA72" s="26">
        <f t="shared" si="576"/>
        <v>108.36999999999996</v>
      </c>
      <c r="BB72" s="26">
        <f t="shared" si="576"/>
        <v>129.22000000000003</v>
      </c>
      <c r="BC72" s="26">
        <f t="shared" si="576"/>
        <v>103.80999999999997</v>
      </c>
      <c r="BD72" s="26">
        <f t="shared" si="576"/>
        <v>102.75999999999999</v>
      </c>
      <c r="BE72" s="26">
        <f t="shared" si="576"/>
        <v>131.21999999999983</v>
      </c>
      <c r="BF72" s="26">
        <f t="shared" si="576"/>
        <v>123.90999999999991</v>
      </c>
      <c r="BG72" s="26">
        <f t="shared" si="576"/>
        <v>129.79000000000002</v>
      </c>
      <c r="BH72" s="26">
        <f t="shared" si="576"/>
        <v>128.73000000000013</v>
      </c>
      <c r="BI72" s="26">
        <f t="shared" si="576"/>
        <v>153.56999999999991</v>
      </c>
      <c r="BJ72" s="26">
        <f t="shared" si="576"/>
        <v>179.29999999999987</v>
      </c>
      <c r="BK72" s="26">
        <f t="shared" si="576"/>
        <v>175.34000000000009</v>
      </c>
      <c r="BL72" s="26">
        <f t="shared" si="576"/>
        <v>200.93000000000009</v>
      </c>
      <c r="BM72" s="26">
        <f t="shared" si="576"/>
        <v>345.47</v>
      </c>
      <c r="BN72" s="26">
        <f t="shared" si="576"/>
        <v>194.15999999999994</v>
      </c>
      <c r="BO72" s="26">
        <f t="shared" si="576"/>
        <v>176.87000000000006</v>
      </c>
      <c r="BP72" s="26">
        <f t="shared" si="576"/>
        <v>315.67999999999961</v>
      </c>
      <c r="BQ72" s="26">
        <f t="shared" si="576"/>
        <v>324.25</v>
      </c>
      <c r="BR72" s="26">
        <f t="shared" si="576"/>
        <v>381.45000000000005</v>
      </c>
      <c r="BS72" s="26">
        <f t="shared" si="576"/>
        <v>395.28000000000031</v>
      </c>
      <c r="BT72" s="26">
        <f t="shared" si="576"/>
        <v>382.45000000000039</v>
      </c>
      <c r="BU72" s="26">
        <f t="shared" si="576"/>
        <v>505.53999999999996</v>
      </c>
      <c r="BV72" s="26">
        <f t="shared" si="576"/>
        <v>605.65000000000032</v>
      </c>
      <c r="BW72" s="26">
        <f t="shared" si="576"/>
        <v>607.99999999999977</v>
      </c>
      <c r="BX72" s="26">
        <f t="shared" si="576"/>
        <v>480.99000000000035</v>
      </c>
      <c r="BY72" s="26">
        <f t="shared" si="576"/>
        <v>510.9</v>
      </c>
      <c r="BZ72" s="26">
        <f t="shared" si="576"/>
        <v>562.45000000000027</v>
      </c>
      <c r="CA72" s="26">
        <f t="shared" si="576"/>
        <v>359.28999999999951</v>
      </c>
      <c r="CB72" s="26">
        <f t="shared" si="576"/>
        <v>300.77999999999929</v>
      </c>
      <c r="CC72" s="26">
        <f t="shared" si="576"/>
        <v>253.43000000000018</v>
      </c>
      <c r="CD72" s="26">
        <f t="shared" si="576"/>
        <v>422.21000000000015</v>
      </c>
      <c r="CE72" s="26">
        <f t="shared" ref="CE72:CF72" si="577">CE69-CE70</f>
        <v>252.22000000000008</v>
      </c>
      <c r="CF72" s="26">
        <f t="shared" si="577"/>
        <v>201.41999999999996</v>
      </c>
      <c r="CG72" s="26">
        <f t="shared" ref="CG72:CH72" si="578">CG69-CG70</f>
        <v>271.08000000000038</v>
      </c>
      <c r="CH72" s="26">
        <f t="shared" si="578"/>
        <v>526.0600000000004</v>
      </c>
      <c r="CI72" s="26">
        <f t="shared" ref="CI72:CJ72" si="579">CI69-CI70</f>
        <v>432.31999999999982</v>
      </c>
      <c r="CJ72" s="26">
        <f t="shared" si="579"/>
        <v>388.17999999999995</v>
      </c>
      <c r="CK72" s="26">
        <f t="shared" ref="CK72:CL72" si="580">CK69-CK70</f>
        <v>505.90000000000032</v>
      </c>
      <c r="CL72" s="26">
        <f t="shared" si="580"/>
        <v>593.73</v>
      </c>
      <c r="CM72" s="27">
        <f t="shared" ref="CM72:DB72" si="581">CM69-CM70</f>
        <v>542.19587574127968</v>
      </c>
      <c r="CN72" s="27">
        <f t="shared" si="581"/>
        <v>524.2264212089683</v>
      </c>
      <c r="CO72" s="27">
        <f t="shared" si="581"/>
        <v>584.41778944655982</v>
      </c>
      <c r="CP72" s="27">
        <f t="shared" si="581"/>
        <v>765.87304032636075</v>
      </c>
      <c r="CQ72" s="27">
        <f t="shared" si="581"/>
        <v>640.20717850272649</v>
      </c>
      <c r="CR72" s="27">
        <f t="shared" si="581"/>
        <v>621.7753895484484</v>
      </c>
      <c r="CS72" s="27">
        <f t="shared" si="581"/>
        <v>680.40592103283041</v>
      </c>
      <c r="CT72" s="27">
        <f t="shared" si="581"/>
        <v>923.84147476181874</v>
      </c>
      <c r="CU72" s="27">
        <f t="shared" si="581"/>
        <v>831.89142443036485</v>
      </c>
      <c r="CV72" s="27">
        <f t="shared" si="581"/>
        <v>808.4869150223044</v>
      </c>
      <c r="CW72" s="27">
        <f t="shared" si="581"/>
        <v>875.15581766639309</v>
      </c>
      <c r="CX72" s="27">
        <f t="shared" si="581"/>
        <v>1164.6472480616835</v>
      </c>
      <c r="CY72" s="27">
        <f t="shared" si="581"/>
        <v>1050.5169296344484</v>
      </c>
      <c r="CZ72" s="27">
        <f t="shared" si="581"/>
        <v>1022.5919572871833</v>
      </c>
      <c r="DA72" s="27">
        <f t="shared" si="581"/>
        <v>1099.9688092024662</v>
      </c>
      <c r="DB72" s="27">
        <f t="shared" si="581"/>
        <v>1437.7731526123057</v>
      </c>
      <c r="DE72" s="27">
        <v>607.91137654781062</v>
      </c>
      <c r="DF72" s="26">
        <v>0</v>
      </c>
    </row>
    <row r="73" spans="1:110" s="45" customFormat="1" x14ac:dyDescent="0.2">
      <c r="A73" s="45" t="s">
        <v>107</v>
      </c>
      <c r="B73" s="45">
        <f t="shared" ref="B73:E73" si="582">+B72/B41</f>
        <v>5.8000806795556609E-2</v>
      </c>
      <c r="C73" s="45">
        <f t="shared" si="582"/>
        <v>3.8099223673524328E-2</v>
      </c>
      <c r="D73" s="45">
        <f t="shared" si="582"/>
        <v>3.5335695196557132E-2</v>
      </c>
      <c r="E73" s="45">
        <f t="shared" si="582"/>
        <v>4.2610569058045993E-2</v>
      </c>
      <c r="F73" s="45">
        <f t="shared" ref="F73:AE73" si="583">+F72/F41</f>
        <v>5.1779306595728568E-2</v>
      </c>
      <c r="G73" s="45">
        <f t="shared" si="583"/>
        <v>7.479077448081721E-2</v>
      </c>
      <c r="H73" s="45">
        <f t="shared" si="583"/>
        <v>0.15284364585955007</v>
      </c>
      <c r="I73" s="45">
        <f t="shared" si="583"/>
        <v>7.998520012471444E-2</v>
      </c>
      <c r="J73" s="45">
        <f t="shared" si="583"/>
        <v>6.9108762636026666E-2</v>
      </c>
      <c r="K73" s="45">
        <f t="shared" si="583"/>
        <v>0.12983472102030899</v>
      </c>
      <c r="L73" s="45">
        <f t="shared" si="583"/>
        <v>0.13940747339192874</v>
      </c>
      <c r="M73" s="45">
        <f t="shared" si="583"/>
        <v>9.468072197387481E-2</v>
      </c>
      <c r="N73" s="45">
        <f t="shared" si="583"/>
        <v>6.6866315347796065E-2</v>
      </c>
      <c r="O73" s="45">
        <f t="shared" si="583"/>
        <v>4.0432096053909343E-2</v>
      </c>
      <c r="P73" s="45">
        <f t="shared" si="583"/>
        <v>6.6700441644547942E-2</v>
      </c>
      <c r="Q73" s="45">
        <f t="shared" si="583"/>
        <v>9.3602483931091066E-2</v>
      </c>
      <c r="R73" s="45">
        <f t="shared" si="583"/>
        <v>0.10680451283752969</v>
      </c>
      <c r="S73" s="45">
        <f t="shared" si="583"/>
        <v>8.2609893648998858E-2</v>
      </c>
      <c r="T73" s="45">
        <f t="shared" si="583"/>
        <v>8.3325938540112832E-2</v>
      </c>
      <c r="U73" s="45">
        <f t="shared" si="583"/>
        <v>0.12704229611022252</v>
      </c>
      <c r="V73" s="45">
        <f t="shared" si="583"/>
        <v>0.14264813024699885</v>
      </c>
      <c r="W73" s="45">
        <f t="shared" si="583"/>
        <v>0.15191986912944383</v>
      </c>
      <c r="X73" s="45">
        <f t="shared" si="583"/>
        <v>0.14541382962626712</v>
      </c>
      <c r="Y73" s="45">
        <f t="shared" si="583"/>
        <v>0.10166365770269407</v>
      </c>
      <c r="Z73" s="45">
        <f t="shared" ref="Z73:AA73" si="584">+Z72/Z41</f>
        <v>8.5127206227153238E-2</v>
      </c>
      <c r="AA73" s="45">
        <f t="shared" si="584"/>
        <v>0.12163106348394934</v>
      </c>
      <c r="AB73" s="48">
        <f t="shared" si="583"/>
        <v>0.13300510534196788</v>
      </c>
      <c r="AC73" s="48">
        <f t="shared" si="583"/>
        <v>0.13538253868842026</v>
      </c>
      <c r="AD73" s="48">
        <f t="shared" si="583"/>
        <v>0.14897773831715855</v>
      </c>
      <c r="AE73" s="48">
        <f t="shared" si="583"/>
        <v>0.15992401794925495</v>
      </c>
      <c r="AI73" s="45">
        <f t="shared" ref="AI73:BN73" si="585">+AI72/AI41</f>
        <v>2.8744859996083821E-2</v>
      </c>
      <c r="AJ73" s="45">
        <f t="shared" si="585"/>
        <v>9.3761664219772597E-2</v>
      </c>
      <c r="AK73" s="45">
        <f t="shared" si="585"/>
        <v>0.10275392019157699</v>
      </c>
      <c r="AL73" s="45">
        <f t="shared" si="585"/>
        <v>7.7858583389353961E-2</v>
      </c>
      <c r="AM73" s="45">
        <f t="shared" si="585"/>
        <v>5.4184755049286985E-2</v>
      </c>
      <c r="AN73" s="45">
        <f t="shared" si="585"/>
        <v>5.704902370573852E-2</v>
      </c>
      <c r="AO73" s="45">
        <f t="shared" si="585"/>
        <v>8.3638009680002914E-2</v>
      </c>
      <c r="AP73" s="45">
        <f t="shared" si="585"/>
        <v>5.9654029184239635E-2</v>
      </c>
      <c r="AQ73" s="45">
        <f t="shared" si="585"/>
        <v>8.0041535066845651E-2</v>
      </c>
      <c r="AR73" s="45">
        <f t="shared" si="585"/>
        <v>6.6301749406587063E-2</v>
      </c>
      <c r="AS73" s="45">
        <f t="shared" si="585"/>
        <v>6.4533039289232555E-2</v>
      </c>
      <c r="AT73" s="45">
        <f t="shared" si="585"/>
        <v>5.5874084486202437E-2</v>
      </c>
      <c r="AU73" s="45">
        <f t="shared" si="585"/>
        <v>9.2862932608464427E-2</v>
      </c>
      <c r="AV73" s="45">
        <f t="shared" si="585"/>
        <v>8.8605068848533156E-2</v>
      </c>
      <c r="AW73" s="45">
        <f t="shared" si="585"/>
        <v>8.8953365592088995E-2</v>
      </c>
      <c r="AX73" s="45">
        <f t="shared" si="585"/>
        <v>0.1003540109258196</v>
      </c>
      <c r="AY73" s="45">
        <f t="shared" si="585"/>
        <v>0.12677061375808926</v>
      </c>
      <c r="AZ73" s="45">
        <f t="shared" si="585"/>
        <v>0.10739639797167345</v>
      </c>
      <c r="BA73" s="45">
        <f t="shared" si="585"/>
        <v>9.6027575695816644E-2</v>
      </c>
      <c r="BB73" s="45">
        <f t="shared" si="585"/>
        <v>9.7464945957565594E-2</v>
      </c>
      <c r="BC73" s="45">
        <f t="shared" si="585"/>
        <v>8.0268773970060603E-2</v>
      </c>
      <c r="BD73" s="45">
        <f t="shared" si="585"/>
        <v>7.9879977923400403E-2</v>
      </c>
      <c r="BE73" s="45">
        <f t="shared" si="585"/>
        <v>9.3925815641418289E-2</v>
      </c>
      <c r="BF73" s="45">
        <f t="shared" si="585"/>
        <v>7.6854373026850289E-2</v>
      </c>
      <c r="BG73" s="45">
        <f t="shared" si="585"/>
        <v>7.8098768255038004E-2</v>
      </c>
      <c r="BH73" s="45">
        <f t="shared" si="585"/>
        <v>7.4079828741109119E-2</v>
      </c>
      <c r="BI73" s="45">
        <f t="shared" si="585"/>
        <v>8.4902530987737548E-2</v>
      </c>
      <c r="BJ73" s="45">
        <f t="shared" si="585"/>
        <v>9.2645698666377244E-2</v>
      </c>
      <c r="BK73" s="45">
        <f t="shared" si="585"/>
        <v>9.9439116651259915E-2</v>
      </c>
      <c r="BL73" s="45">
        <f t="shared" si="585"/>
        <v>0.11590399113977358</v>
      </c>
      <c r="BM73" s="45">
        <f t="shared" si="585"/>
        <v>0.18669109262951977</v>
      </c>
      <c r="BN73" s="45">
        <f t="shared" si="585"/>
        <v>0.10605489553461693</v>
      </c>
      <c r="BO73" s="45">
        <f t="shared" ref="BO73:CT73" si="586">+BO72/BO41</f>
        <v>0.1151452417223286</v>
      </c>
      <c r="BP73" s="45">
        <f t="shared" si="586"/>
        <v>0.15095350127197243</v>
      </c>
      <c r="BQ73" s="45">
        <f t="shared" si="586"/>
        <v>0.15106619890887577</v>
      </c>
      <c r="BR73" s="45">
        <f t="shared" si="586"/>
        <v>0.14628113435468718</v>
      </c>
      <c r="BS73" s="45">
        <f t="shared" si="586"/>
        <v>0.14643254056457003</v>
      </c>
      <c r="BT73" s="45">
        <f t="shared" si="586"/>
        <v>0.13471435062716419</v>
      </c>
      <c r="BU73" s="45">
        <f t="shared" si="586"/>
        <v>0.15109373645718452</v>
      </c>
      <c r="BV73" s="45">
        <f t="shared" si="586"/>
        <v>0.17063351195406581</v>
      </c>
      <c r="BW73" s="45">
        <f t="shared" si="586"/>
        <v>0.15711203276612784</v>
      </c>
      <c r="BX73" s="45">
        <f t="shared" si="586"/>
        <v>0.13028956849148096</v>
      </c>
      <c r="BY73" s="45">
        <f t="shared" si="586"/>
        <v>0.14788891397606682</v>
      </c>
      <c r="BZ73" s="45">
        <f t="shared" si="586"/>
        <v>0.14998346701937032</v>
      </c>
      <c r="CA73" s="45">
        <f t="shared" si="586"/>
        <v>0.10839455146093842</v>
      </c>
      <c r="CB73" s="45">
        <f t="shared" si="586"/>
        <v>9.5236285917834035E-2</v>
      </c>
      <c r="CC73" s="45">
        <f t="shared" si="586"/>
        <v>8.3503571710994595E-2</v>
      </c>
      <c r="CD73" s="45">
        <f t="shared" si="586"/>
        <v>0.11880020821902394</v>
      </c>
      <c r="CE73" s="45">
        <f t="shared" si="586"/>
        <v>7.3173420600659164E-2</v>
      </c>
      <c r="CF73" s="45">
        <f t="shared" si="586"/>
        <v>5.9211396621111141E-2</v>
      </c>
      <c r="CG73" s="45">
        <f t="shared" si="586"/>
        <v>7.8412769120850295E-2</v>
      </c>
      <c r="CH73" s="45">
        <f t="shared" si="586"/>
        <v>0.12325044163609195</v>
      </c>
      <c r="CI73" s="45">
        <f t="shared" ref="CI73:CJ73" si="587">+CI72/CI41</f>
        <v>0.11321367404978758</v>
      </c>
      <c r="CJ73" s="45">
        <f t="shared" si="587"/>
        <v>0.10754219350835004</v>
      </c>
      <c r="CK73" s="45">
        <f t="shared" ref="CK73:CL73" si="588">+CK72/CK41</f>
        <v>0.13775995076695186</v>
      </c>
      <c r="CL73" s="45">
        <f t="shared" si="588"/>
        <v>0.13226419423609426</v>
      </c>
      <c r="CM73" s="48">
        <f t="shared" si="586"/>
        <v>0.12595144942481656</v>
      </c>
      <c r="CN73" s="48">
        <f t="shared" si="586"/>
        <v>0.12783675477726442</v>
      </c>
      <c r="CO73" s="48">
        <f t="shared" si="586"/>
        <v>0.13603873979961467</v>
      </c>
      <c r="CP73" s="48">
        <f t="shared" si="586"/>
        <v>0.14005015584776334</v>
      </c>
      <c r="CQ73" s="48">
        <f t="shared" si="586"/>
        <v>0.12861149353025939</v>
      </c>
      <c r="CR73" s="48">
        <f t="shared" si="586"/>
        <v>0.13033889162395662</v>
      </c>
      <c r="CS73" s="48">
        <f t="shared" si="586"/>
        <v>0.13538725359636877</v>
      </c>
      <c r="CT73" s="48">
        <f t="shared" si="586"/>
        <v>0.1444083502396307</v>
      </c>
      <c r="CU73" s="48">
        <f t="shared" ref="CU73:DB73" si="589">+CU72/CU41</f>
        <v>0.14346947769927318</v>
      </c>
      <c r="CV73" s="48">
        <f t="shared" si="589"/>
        <v>0.14522991284440898</v>
      </c>
      <c r="CW73" s="48">
        <f t="shared" si="589"/>
        <v>0.14910700959824419</v>
      </c>
      <c r="CX73" s="48">
        <f t="shared" si="589"/>
        <v>0.15594646920542102</v>
      </c>
      <c r="CY73" s="48">
        <f t="shared" si="589"/>
        <v>0.15527877031524351</v>
      </c>
      <c r="CZ73" s="48">
        <f t="shared" si="589"/>
        <v>0.1573701754541913</v>
      </c>
      <c r="DA73" s="48">
        <f t="shared" si="589"/>
        <v>0.16054752800265978</v>
      </c>
      <c r="DB73" s="48">
        <f t="shared" si="589"/>
        <v>0.16494304270257035</v>
      </c>
      <c r="DE73" s="48">
        <v>0.12803965313836199</v>
      </c>
    </row>
    <row r="74" spans="1:110" s="39" customFormat="1" x14ac:dyDescent="0.2">
      <c r="A74" s="39" t="s">
        <v>451</v>
      </c>
      <c r="C74" s="39">
        <f t="shared" ref="C74:E74" si="590">+IF(B72&lt;0,1-C72/B72,C72/B72-1)</f>
        <v>-0.33169431677644601</v>
      </c>
      <c r="D74" s="39">
        <f t="shared" si="590"/>
        <v>5.8226905462267942E-2</v>
      </c>
      <c r="E74" s="39">
        <f t="shared" si="590"/>
        <v>0.35848040871473752</v>
      </c>
      <c r="F74" s="39">
        <f t="shared" ref="F74:AE74" si="591">+IF(E72&lt;0,1-F72/E72,F72/E72-1)</f>
        <v>0.53744324524529308</v>
      </c>
      <c r="G74" s="39">
        <f t="shared" si="591"/>
        <v>0.72956385941209101</v>
      </c>
      <c r="H74" s="39">
        <f t="shared" si="591"/>
        <v>1.8085504701180626</v>
      </c>
      <c r="I74" s="39">
        <f t="shared" si="591"/>
        <v>-0.53299417566235541</v>
      </c>
      <c r="J74" s="39">
        <f t="shared" si="591"/>
        <v>3.8245977009786714E-2</v>
      </c>
      <c r="K74" s="39">
        <f t="shared" si="591"/>
        <v>1.3204436961133639</v>
      </c>
      <c r="L74" s="39">
        <f t="shared" si="591"/>
        <v>0.4926480016965904</v>
      </c>
      <c r="M74" s="39">
        <f t="shared" si="591"/>
        <v>-0.21770258697329781</v>
      </c>
      <c r="N74" s="39">
        <f t="shared" si="591"/>
        <v>-0.33226069834609206</v>
      </c>
      <c r="O74" s="39">
        <f t="shared" si="591"/>
        <v>-0.35774828069875897</v>
      </c>
      <c r="P74" s="39">
        <f t="shared" si="591"/>
        <v>0.86392102357155243</v>
      </c>
      <c r="Q74" s="39">
        <f t="shared" si="591"/>
        <v>0.41966909943528696</v>
      </c>
      <c r="R74" s="39">
        <f t="shared" si="591"/>
        <v>0.1979576170648305</v>
      </c>
      <c r="S74" s="39">
        <f t="shared" si="591"/>
        <v>-0.10345831957902107</v>
      </c>
      <c r="T74" s="39">
        <f t="shared" si="591"/>
        <v>0.28128045742998631</v>
      </c>
      <c r="U74" s="39">
        <f t="shared" si="591"/>
        <v>0.54822678251462165</v>
      </c>
      <c r="V74" s="39">
        <f t="shared" si="591"/>
        <v>0.30827601266513938</v>
      </c>
      <c r="W74" s="39">
        <f t="shared" si="591"/>
        <v>0.57639891508449814</v>
      </c>
      <c r="X74" s="39">
        <f t="shared" si="591"/>
        <v>0.14474938059843634</v>
      </c>
      <c r="Y74" s="39">
        <f t="shared" si="591"/>
        <v>-0.38228493206433722</v>
      </c>
      <c r="Z74" s="39">
        <f t="shared" ref="Z74:AA74" si="592">+IF(Y72&lt;0,1-Z72/Y72,Z72/Y72-1)</f>
        <v>-6.3584161232604242E-2</v>
      </c>
      <c r="AA74" s="39">
        <f t="shared" si="592"/>
        <v>0.5351460688530385</v>
      </c>
      <c r="AB74" s="40">
        <f t="shared" si="591"/>
        <v>0.2586195344706701</v>
      </c>
      <c r="AC74" s="40">
        <f t="shared" si="591"/>
        <v>0.1860033911977621</v>
      </c>
      <c r="AD74" s="40">
        <f t="shared" si="591"/>
        <v>0.28397981027411445</v>
      </c>
      <c r="AE74" s="40">
        <f t="shared" si="591"/>
        <v>0.25288683928610634</v>
      </c>
      <c r="AM74" s="39">
        <f>+IF(AI72&lt;0,1-AM72/AI72,AM72/AI72-1)</f>
        <v>0.98955495004541238</v>
      </c>
      <c r="AN74" s="39">
        <f t="shared" ref="AN74" si="593">+IF(AJ72&lt;0,1-AN72/AJ72,AN72/AJ72-1)</f>
        <v>-0.36610934182590049</v>
      </c>
      <c r="AO74" s="39">
        <f t="shared" ref="AO74" si="594">+IF(AK72&lt;0,1-AO72/AK72,AO72/AK72-1)</f>
        <v>-0.19260504201680495</v>
      </c>
      <c r="AP74" s="39">
        <f t="shared" ref="AP74" si="595">+IF(AL72&lt;0,1-AP72/AL72,AP72/AL72-1)</f>
        <v>-0.1695447409733114</v>
      </c>
      <c r="AQ74" s="39">
        <f t="shared" ref="AQ74" si="596">+IF(AM72&lt;0,1-AQ72/AM72,AQ72/AM72-1)</f>
        <v>1.1113900935859435</v>
      </c>
      <c r="AR74" s="39">
        <f t="shared" ref="AR74" si="597">+IF(AN72&lt;0,1-AR72/AN72,AR72/AN72-1)</f>
        <v>0.64308143186099409</v>
      </c>
      <c r="AS74" s="39">
        <f t="shared" ref="AS74" si="598">+IF(AO72&lt;0,1-AS72/AO72,AS72/AO72-1)</f>
        <v>-9.1590341382228324E-3</v>
      </c>
      <c r="AT74" s="39">
        <f t="shared" ref="AT74" si="599">+IF(AP72&lt;0,1-AT72/AP72,AT72/AP72-1)</f>
        <v>0.14215500945179271</v>
      </c>
      <c r="AU74" s="39">
        <f t="shared" ref="AU74" si="600">+IF(AQ72&lt;0,1-AU72/AQ72,AU72/AQ72-1)</f>
        <v>0.22616216216216212</v>
      </c>
      <c r="AV74" s="39">
        <f t="shared" ref="AV74" si="601">+IF(AR72&lt;0,1-AV72/AR72,AV72/AR72-1)</f>
        <v>0.30105745954898699</v>
      </c>
      <c r="AW74" s="39">
        <f t="shared" ref="AW74" si="602">+IF(AS72&lt;0,1-AW72/AS72,AW72/AS72-1)</f>
        <v>0.35686274509804417</v>
      </c>
      <c r="AX74" s="39">
        <f t="shared" ref="AX74" si="603">+IF(AT72&lt;0,1-AX72/AT72,AX72/AT72-1)</f>
        <v>0.84856007944390011</v>
      </c>
      <c r="AY74" s="39">
        <f t="shared" ref="AY74" si="604">+IF(AU72&lt;0,1-AY72/AU72,AY72/AU72-1)</f>
        <v>0.36272262387585741</v>
      </c>
      <c r="AZ74" s="39">
        <f t="shared" ref="AZ74" si="605">+IF(AV72&lt;0,1-AZ72/AV72,AZ72/AV72-1)</f>
        <v>0.20289855072463969</v>
      </c>
      <c r="BA74" s="39">
        <f t="shared" ref="BA74" si="606">+IF(AW72&lt;0,1-BA72/AW72,BA72/AW72-1)</f>
        <v>0.11860033030553163</v>
      </c>
      <c r="BB74" s="39">
        <f t="shared" ref="BB74" si="607">+IF(AX72&lt;0,1-BB72/AX72,BB72/AX72-1)</f>
        <v>0.1569522786283446</v>
      </c>
      <c r="BC74" s="39">
        <f t="shared" ref="BC74" si="608">+IF(AY72&lt;0,1-BC72/AY72,BC72/AY72-1)</f>
        <v>-0.32835144927536264</v>
      </c>
      <c r="BD74" s="39">
        <f t="shared" ref="BD74" si="609">+IF(AZ72&lt;0,1-BD72/AZ72,BD72/AZ72-1)</f>
        <v>-0.1634646694887667</v>
      </c>
      <c r="BE74" s="39">
        <f t="shared" ref="BE74" si="610">+IF(BA72&lt;0,1-BE72/BA72,BE72/BA72-1)</f>
        <v>0.21085171172833683</v>
      </c>
      <c r="BF74" s="39">
        <f t="shared" ref="BF74" si="611">+IF(BB72&lt;0,1-BF72/BB72,BF72/BB72-1)</f>
        <v>-4.1092710106795494E-2</v>
      </c>
      <c r="BG74" s="39">
        <f t="shared" ref="BG74" si="612">+IF(BC72&lt;0,1-BG72/BC72,BG72/BC72-1)</f>
        <v>0.25026490704171134</v>
      </c>
      <c r="BH74" s="39">
        <f t="shared" ref="BH74" si="613">+IF(BD72&lt;0,1-BH72/BD72,BH72/BD72-1)</f>
        <v>0.25272479564032846</v>
      </c>
      <c r="BI74" s="39">
        <f t="shared" ref="BI74" si="614">+IF(BE72&lt;0,1-BI72/BE72,BI72/BE72-1)</f>
        <v>0.17032464563328853</v>
      </c>
      <c r="BJ74" s="39">
        <f t="shared" ref="BJ74" si="615">+IF(BF72&lt;0,1-BJ72/BF72,BJ72/BF72-1)</f>
        <v>0.44701799693325794</v>
      </c>
      <c r="BK74" s="39">
        <f t="shared" ref="BK74" si="616">+IF(BG72&lt;0,1-BK72/BG72,BK72/BG72-1)</f>
        <v>0.35095153709839022</v>
      </c>
      <c r="BL74" s="39">
        <f t="shared" ref="BL74" si="617">+IF(BH72&lt;0,1-BL72/BH72,BL72/BH72-1)</f>
        <v>0.56086382350656327</v>
      </c>
      <c r="BM74" s="39">
        <f t="shared" ref="BM74" si="618">+IF(BI72&lt;0,1-BM72/BI72,BM72/BI72-1)</f>
        <v>1.2495930194699501</v>
      </c>
      <c r="BN74" s="39">
        <f t="shared" ref="BN74" si="619">+IF(BJ72&lt;0,1-BN72/BJ72,BN72/BJ72-1)</f>
        <v>8.2877858337981447E-2</v>
      </c>
      <c r="BO74" s="39">
        <f t="shared" ref="BO74" si="620">+IF(BK72&lt;0,1-BO72/BK72,BO72/BK72-1)</f>
        <v>8.7259039580243059E-3</v>
      </c>
      <c r="BP74" s="39">
        <f t="shared" ref="BP74" si="621">+IF(BL72&lt;0,1-BP72/BL72,BP72/BL72-1)</f>
        <v>0.5710944109888989</v>
      </c>
      <c r="BQ74" s="39">
        <f t="shared" ref="BQ74" si="622">+IF(BM72&lt;0,1-BQ72/BM72,BQ72/BM72-1)</f>
        <v>-6.1423567893015396E-2</v>
      </c>
      <c r="BR74" s="39">
        <f t="shared" ref="BR74" si="623">+IF(BN72&lt;0,1-BR72/BN72,BR72/BN72-1)</f>
        <v>0.96461681087762763</v>
      </c>
      <c r="BS74" s="39">
        <f t="shared" ref="BS74" si="624">+IF(BO72&lt;0,1-BS72/BO72,BS72/BO72-1)</f>
        <v>1.2348617628766902</v>
      </c>
      <c r="BT74" s="39">
        <f t="shared" ref="BT74" si="625">+IF(BP72&lt;0,1-BT72/BP72,BT72/BP72-1)</f>
        <v>0.21151165737455924</v>
      </c>
      <c r="BU74" s="39">
        <f t="shared" ref="BU74" si="626">+IF(BQ72&lt;0,1-BU72/BQ72,BU72/BQ72-1)</f>
        <v>0.55910562837316879</v>
      </c>
      <c r="BV74" s="39">
        <f t="shared" ref="BV74" si="627">+IF(BR72&lt;0,1-BV72/BR72,BV72/BR72-1)</f>
        <v>0.58775724210250435</v>
      </c>
      <c r="BW74" s="39">
        <f t="shared" ref="BW74" si="628">+IF(BS72&lt;0,1-BW72/BS72,BW72/BS72-1)</f>
        <v>0.53815017202995175</v>
      </c>
      <c r="BX74" s="39">
        <f t="shared" ref="BX74" si="629">+IF(BT72&lt;0,1-BX72/BT72,BX72/BT72-1)</f>
        <v>0.2576545953719438</v>
      </c>
      <c r="BY74" s="39">
        <f t="shared" ref="BY74" si="630">+IF(BU72&lt;0,1-BY72/BU72,BY72/BU72-1)</f>
        <v>1.0602524033706651E-2</v>
      </c>
      <c r="BZ74" s="39">
        <f t="shared" ref="BZ74" si="631">+IF(BV72&lt;0,1-BZ72/BV72,BZ72/BV72-1)</f>
        <v>-7.1328324940146959E-2</v>
      </c>
      <c r="CA74" s="39">
        <f t="shared" ref="CA74" si="632">+IF(BW72&lt;0,1-CA72/BW72,CA72/BW72-1)</f>
        <v>-0.40906250000000055</v>
      </c>
      <c r="CB74" s="39">
        <f t="shared" ref="CB74" si="633">+IF(BX72&lt;0,1-CB72/BX72,CB72/BX72-1)</f>
        <v>-0.37466475394499044</v>
      </c>
      <c r="CC74" s="39">
        <f t="shared" ref="CC74" si="634">+IF(BY72&lt;0,1-CC72/BY72,CC72/BY72-1)</f>
        <v>-0.50395380700724179</v>
      </c>
      <c r="CD74" s="39">
        <f t="shared" ref="CD74" si="635">+IF(BZ72&lt;0,1-CD72/BZ72,CD72/BZ72-1)</f>
        <v>-0.24933771890834755</v>
      </c>
      <c r="CE74" s="39">
        <f t="shared" ref="CE74" si="636">+IF(CA72&lt;0,1-CE72/CA72,CE72/CA72-1)</f>
        <v>-0.29800439756185693</v>
      </c>
      <c r="CF74" s="39">
        <f t="shared" ref="CF74" si="637">+IF(CB72&lt;0,1-CF72/CB72,CF72/CB72-1)</f>
        <v>-0.33034111310592318</v>
      </c>
      <c r="CG74" s="39">
        <f t="shared" ref="CG74" si="638">+IF(CC72&lt;0,1-CG72/CC72,CG72/CC72-1)</f>
        <v>6.9644477765063995E-2</v>
      </c>
      <c r="CH74" s="39">
        <f t="shared" ref="CH74:CL74" si="639">+IF(CD72&lt;0,1-CH72/CD72,CH72/CD72-1)</f>
        <v>0.24596764643187097</v>
      </c>
      <c r="CI74" s="39">
        <f t="shared" si="639"/>
        <v>0.71405915470620762</v>
      </c>
      <c r="CJ74" s="39">
        <f t="shared" si="639"/>
        <v>0.92721676099692196</v>
      </c>
      <c r="CK74" s="39">
        <f t="shared" si="639"/>
        <v>0.86623874870886675</v>
      </c>
      <c r="CL74" s="39">
        <f t="shared" si="639"/>
        <v>0.12863551686119368</v>
      </c>
      <c r="CM74" s="40">
        <f t="shared" ref="CM74" si="640">+CM72/CI72-1</f>
        <v>0.25415404270281261</v>
      </c>
      <c r="CN74" s="40">
        <f t="shared" ref="CN74" si="641">+CN72/CJ72-1</f>
        <v>0.35047251586626915</v>
      </c>
      <c r="CO74" s="40">
        <f t="shared" ref="CO74" si="642">+CO72/CK72-1</f>
        <v>0.15520416969076778</v>
      </c>
      <c r="CP74" s="40">
        <f t="shared" ref="CP74" si="643">+CP72/CL72-1</f>
        <v>0.2899348867774254</v>
      </c>
      <c r="CQ74" s="40">
        <f t="shared" ref="CQ74" si="644">+CQ72/CM72-1</f>
        <v>0.18076733362725728</v>
      </c>
      <c r="CR74" s="40">
        <f t="shared" ref="CR74" si="645">+CR72/CN72-1</f>
        <v>0.18608174710941339</v>
      </c>
      <c r="CS74" s="40">
        <f t="shared" ref="CS74" si="646">+CS72/CO72-1</f>
        <v>0.16424573878418514</v>
      </c>
      <c r="CT74" s="40">
        <f t="shared" ref="CT74" si="647">+CT72/CP72-1</f>
        <v>0.20625929640785245</v>
      </c>
      <c r="CU74" s="40">
        <f t="shared" ref="CU74" si="648">+CU72/CQ72-1</f>
        <v>0.29940971042520426</v>
      </c>
      <c r="CV74" s="40">
        <f t="shared" ref="CV74" si="649">+CV72/CR72-1</f>
        <v>0.30028773832533218</v>
      </c>
      <c r="CW74" s="40">
        <f t="shared" ref="CW74" si="650">+CW72/CS72-1</f>
        <v>0.28622604626652826</v>
      </c>
      <c r="CX74" s="40">
        <f t="shared" ref="CX74" si="651">+CX72/CT72-1</f>
        <v>0.26065702815729108</v>
      </c>
      <c r="CY74" s="40">
        <f t="shared" ref="CY74" si="652">+CY72/CU72-1</f>
        <v>0.26280533586914512</v>
      </c>
      <c r="CZ74" s="40">
        <f t="shared" ref="CZ74" si="653">+CZ72/CV72-1</f>
        <v>0.26482190161231256</v>
      </c>
      <c r="DA74" s="40">
        <f t="shared" ref="DA74" si="654">+DA72/CW72-1</f>
        <v>0.25688338807543776</v>
      </c>
      <c r="DB74" s="40">
        <f t="shared" ref="DB74" si="655">+DB72/CX72-1</f>
        <v>0.23451384529108221</v>
      </c>
      <c r="DE74" s="40">
        <v>0.15559323375244305</v>
      </c>
    </row>
    <row r="75" spans="1:110" s="39" customFormat="1" x14ac:dyDescent="0.2">
      <c r="A75" s="39" t="s">
        <v>452</v>
      </c>
      <c r="AB75" s="40"/>
      <c r="AC75" s="40"/>
      <c r="AD75" s="40"/>
      <c r="AE75" s="40"/>
      <c r="AJ75" s="39">
        <f>+IF(AI72&lt;0,1-AJ72/AI72,AJ72/AI72-1)</f>
        <v>2.4223433242506807</v>
      </c>
      <c r="AK75" s="39">
        <f t="shared" ref="AK75:AM75" si="656">+IF(AJ72&lt;0,1-AK72/AJ72,AK72/AJ72-1)</f>
        <v>0.1843152866242026</v>
      </c>
      <c r="AL75" s="39">
        <f t="shared" si="656"/>
        <v>-0.28627450980392177</v>
      </c>
      <c r="AM75" s="39">
        <f t="shared" si="656"/>
        <v>-0.31224489795918309</v>
      </c>
      <c r="AN75" s="39">
        <f t="shared" ref="AN75" si="657">+IF(AM72&lt;0,1-AN72/AM72,AN72/AM72-1)</f>
        <v>9.0390321844331378E-2</v>
      </c>
      <c r="AO75" s="39">
        <f t="shared" ref="AO75" si="658">+IF(AN72&lt;0,1-AO72/AN72,AO72/AN72-1)</f>
        <v>0.50847812434582118</v>
      </c>
      <c r="AP75" s="39">
        <f t="shared" ref="AP75" si="659">+IF(AO72&lt;0,1-AP72/AO72,AP72/AO72-1)</f>
        <v>-0.26588953649736424</v>
      </c>
      <c r="AQ75" s="39">
        <f t="shared" ref="AQ75" si="660">+IF(AP72&lt;0,1-AQ72/AP72,AQ72/AP72-1)</f>
        <v>0.74858223062382145</v>
      </c>
      <c r="AR75" s="39">
        <f t="shared" ref="AR75" si="661">+IF(AQ72&lt;0,1-AR72/AQ72,AR72/AQ72-1)</f>
        <v>-0.15145945945946171</v>
      </c>
      <c r="AS75" s="39">
        <f t="shared" ref="AS75" si="662">+IF(AR72&lt;0,1-AS72/AR72,AS72/AR72-1)</f>
        <v>-9.0329978341192274E-2</v>
      </c>
      <c r="AT75" s="39">
        <f t="shared" ref="AT75" si="663">+IF(AS72&lt;0,1-AT72/AS72,AT72/AS72-1)</f>
        <v>-0.15378151260504136</v>
      </c>
      <c r="AU75" s="39">
        <f t="shared" ref="AU75" si="664">+IF(AT72&lt;0,1-AU72/AT72,AU72/AT72-1)</f>
        <v>0.87719298245614818</v>
      </c>
      <c r="AV75" s="39">
        <f t="shared" ref="AV75" si="665">+IF(AU72&lt;0,1-AV72/AU72,AV72/AU72-1)</f>
        <v>-9.9629694939166624E-2</v>
      </c>
      <c r="AW75" s="39">
        <f t="shared" ref="AW75" si="666">+IF(AV72&lt;0,1-AW72/AV72,AW72/AV72-1)</f>
        <v>-5.1312181746963059E-2</v>
      </c>
      <c r="AX75" s="39">
        <f t="shared" ref="AX75" si="667">+IF(AW72&lt;0,1-AX72/AW72,AX72/AW72-1)</f>
        <v>0.15286952931461739</v>
      </c>
      <c r="AY75" s="39">
        <f t="shared" ref="AY75" si="668">+IF(AX72&lt;0,1-AY72/AX72,AY72/AX72-1)</f>
        <v>0.38383024442653579</v>
      </c>
      <c r="AZ75" s="39">
        <f t="shared" ref="AZ75" si="669">+IF(AY72&lt;0,1-AZ72/AY72,AZ72/AY72-1)</f>
        <v>-0.20522774327122095</v>
      </c>
      <c r="BA75" s="39">
        <f t="shared" ref="BA75" si="670">+IF(AZ72&lt;0,1-BA72/AZ72,BA72/AZ72-1)</f>
        <v>-0.11779550634972435</v>
      </c>
      <c r="BB75" s="39">
        <f t="shared" ref="BB75" si="671">+IF(BA72&lt;0,1-BB72/BA72,BB72/BA72-1)</f>
        <v>0.19239641967334209</v>
      </c>
      <c r="BC75" s="39">
        <f t="shared" ref="BC75" si="672">+IF(BB72&lt;0,1-BC72/BB72,BC72/BB72-1)</f>
        <v>-0.1966413867822322</v>
      </c>
      <c r="BD75" s="39">
        <f t="shared" ref="BD75" si="673">+IF(BC72&lt;0,1-BD72/BC72,BD72/BC72-1)</f>
        <v>-1.011463250168565E-2</v>
      </c>
      <c r="BE75" s="39">
        <f t="shared" ref="BE75" si="674">+IF(BD72&lt;0,1-BE72/BD72,BE72/BD72-1)</f>
        <v>0.27695601401323322</v>
      </c>
      <c r="BF75" s="39">
        <f t="shared" ref="BF75" si="675">+IF(BE72&lt;0,1-BF72/BE72,BF72/BE72-1)</f>
        <v>-5.5707971345830831E-2</v>
      </c>
      <c r="BG75" s="39">
        <f t="shared" ref="BG75" si="676">+IF(BF72&lt;0,1-BG72/BF72,BG72/BF72-1)</f>
        <v>4.7453797110807105E-2</v>
      </c>
      <c r="BH75" s="39">
        <f t="shared" ref="BH75" si="677">+IF(BG72&lt;0,1-BH72/BG72,BH72/BG72-1)</f>
        <v>-8.1670390631011225E-3</v>
      </c>
      <c r="BI75" s="39">
        <f t="shared" ref="BI75" si="678">+IF(BH72&lt;0,1-BI72/BH72,BI72/BH72-1)</f>
        <v>0.19296201351666076</v>
      </c>
      <c r="BJ75" s="39">
        <f t="shared" ref="BJ75" si="679">+IF(BI72&lt;0,1-BJ72/BI72,BJ72/BI72-1)</f>
        <v>0.16754574461157756</v>
      </c>
      <c r="BK75" s="39">
        <f t="shared" ref="BK75" si="680">+IF(BJ72&lt;0,1-BK72/BJ72,BK72/BJ72-1)</f>
        <v>-2.208588957055091E-2</v>
      </c>
      <c r="BL75" s="39">
        <f t="shared" ref="BL75" si="681">+IF(BK72&lt;0,1-BL72/BK72,BL72/BK72-1)</f>
        <v>0.14594502110185914</v>
      </c>
      <c r="BM75" s="39">
        <f t="shared" ref="BM75" si="682">+IF(BL72&lt;0,1-BM72/BL72,BM72/BL72-1)</f>
        <v>0.71935499925347068</v>
      </c>
      <c r="BN75" s="39">
        <f t="shared" ref="BN75" si="683">+IF(BM72&lt;0,1-BN72/BM72,BN72/BM72-1)</f>
        <v>-0.4379830376009497</v>
      </c>
      <c r="BO75" s="39">
        <f t="shared" ref="BO75" si="684">+IF(BN72&lt;0,1-BO72/BN72,BO72/BN72-1)</f>
        <v>-8.9050267820353746E-2</v>
      </c>
      <c r="BP75" s="39">
        <f t="shared" ref="BP75" si="685">+IF(BO72&lt;0,1-BP72/BO72,BP72/BO72-1)</f>
        <v>0.78481370498105663</v>
      </c>
      <c r="BQ75" s="39">
        <f t="shared" ref="BQ75" si="686">+IF(BP72&lt;0,1-BQ72/BP72,BQ72/BP72-1)</f>
        <v>2.7147744551445863E-2</v>
      </c>
      <c r="BR75" s="39">
        <f t="shared" ref="BR75" si="687">+IF(BQ72&lt;0,1-BR72/BQ72,BR72/BQ72-1)</f>
        <v>0.17640709329221305</v>
      </c>
      <c r="BS75" s="39">
        <f t="shared" ref="BS75" si="688">+IF(BR72&lt;0,1-BS72/BR72,BS72/BR72-1)</f>
        <v>3.6256390090445123E-2</v>
      </c>
      <c r="BT75" s="39">
        <f t="shared" ref="BT75" si="689">+IF(BS72&lt;0,1-BT72/BS72,BT72/BS72-1)</f>
        <v>-3.2458004452539768E-2</v>
      </c>
      <c r="BU75" s="39">
        <f t="shared" ref="BU75" si="690">+IF(BT72&lt;0,1-BU72/BT72,BU72/BT72-1)</f>
        <v>0.32184599294025218</v>
      </c>
      <c r="BV75" s="39">
        <f t="shared" ref="BV75" si="691">+IF(BU72&lt;0,1-BV72/BU72,BV72/BU72-1)</f>
        <v>0.19802587332357557</v>
      </c>
      <c r="BW75" s="39">
        <f t="shared" ref="BW75" si="692">+IF(BV72&lt;0,1-BW72/BV72,BW72/BV72-1)</f>
        <v>3.8801287872525236E-3</v>
      </c>
      <c r="BX75" s="39">
        <f t="shared" ref="BX75" si="693">+IF(BW72&lt;0,1-BX72/BW72,BX72/BW72-1)</f>
        <v>-0.20889802631578858</v>
      </c>
      <c r="BY75" s="39">
        <f t="shared" ref="BY75" si="694">+IF(BX72&lt;0,1-BY72/BX72,BY72/BX72-1)</f>
        <v>6.2184244994697657E-2</v>
      </c>
      <c r="BZ75" s="39">
        <f t="shared" ref="BZ75" si="695">+IF(BY72&lt;0,1-BZ72/BY72,BZ72/BY72-1)</f>
        <v>0.10090037189273882</v>
      </c>
      <c r="CA75" s="39">
        <f t="shared" ref="CA75" si="696">+IF(BZ72&lt;0,1-CA72/BZ72,CA72/BZ72-1)</f>
        <v>-0.3612054404835997</v>
      </c>
      <c r="CB75" s="39">
        <f t="shared" ref="CB75" si="697">+IF(CA72&lt;0,1-CB72/CA72,CB72/CA72-1)</f>
        <v>-0.16284895209997574</v>
      </c>
      <c r="CC75" s="39">
        <f t="shared" ref="CC75" si="698">+IF(CB72&lt;0,1-CC72/CB72,CC72/CB72-1)</f>
        <v>-0.15742403085311263</v>
      </c>
      <c r="CD75" s="39">
        <f t="shared" ref="CD75" si="699">+IF(CC72&lt;0,1-CD72/CC72,CD72/CC72-1)</f>
        <v>0.66598271712109791</v>
      </c>
      <c r="CE75" s="39">
        <f t="shared" ref="CE75" si="700">+IF(CD72&lt;0,1-CE72/CD72,CE72/CD72-1)</f>
        <v>-0.40261954951327539</v>
      </c>
      <c r="CF75" s="39">
        <f t="shared" ref="CF75" si="701">+IF(CE72&lt;0,1-CF72/CE72,CF72/CE72-1)</f>
        <v>-0.20141146618031924</v>
      </c>
      <c r="CG75" s="39">
        <f t="shared" ref="CG75" si="702">+IF(CF72&lt;0,1-CG72/CF72,CG72/CF72-1)</f>
        <v>0.34584450402144995</v>
      </c>
      <c r="CH75" s="39">
        <f t="shared" ref="CH75:CL75" si="703">+IF(CG72&lt;0,1-CH72/CG72,CH72/CG72-1)</f>
        <v>0.94060793861590541</v>
      </c>
      <c r="CI75" s="39">
        <f t="shared" si="703"/>
        <v>-0.17819260160438066</v>
      </c>
      <c r="CJ75" s="39">
        <f t="shared" si="703"/>
        <v>-0.10210029607697979</v>
      </c>
      <c r="CK75" s="39">
        <f t="shared" si="703"/>
        <v>0.30326137358957284</v>
      </c>
      <c r="CL75" s="39">
        <f t="shared" si="703"/>
        <v>0.17361138564933709</v>
      </c>
      <c r="CM75" s="40">
        <f t="shared" ref="CM75" si="704">+CM72/CL72-1</f>
        <v>-8.679723823744856E-2</v>
      </c>
      <c r="CN75" s="40">
        <f t="shared" ref="CN75" si="705">+CN72/CM72-1</f>
        <v>-3.3141997820886893E-2</v>
      </c>
      <c r="CO75" s="40">
        <f t="shared" ref="CO75" si="706">+CO72/CN72-1</f>
        <v>0.11481940970998461</v>
      </c>
      <c r="CP75" s="40">
        <f t="shared" ref="CP75" si="707">+CP72/CO72-1</f>
        <v>0.31048892445871301</v>
      </c>
      <c r="CQ75" s="40">
        <f t="shared" ref="CQ75" si="708">+CQ72/CP72-1</f>
        <v>-0.16408184543235049</v>
      </c>
      <c r="CR75" s="40">
        <f t="shared" ref="CR75" si="709">+CR72/CQ72-1</f>
        <v>-2.8790350332192682E-2</v>
      </c>
      <c r="CS75" s="40">
        <f t="shared" ref="CS75" si="710">+CS72/CR72-1</f>
        <v>9.4295355637927791E-2</v>
      </c>
      <c r="CT75" s="40">
        <f t="shared" ref="CT75" si="711">+CT72/CS72-1</f>
        <v>0.35777988727591081</v>
      </c>
      <c r="CU75" s="40">
        <f t="shared" ref="CU75" si="712">+CU72/CT72-1</f>
        <v>-9.9530117280305141E-2</v>
      </c>
      <c r="CV75" s="40">
        <f t="shared" ref="CV75" si="713">+CV72/CU72-1</f>
        <v>-2.8134091445991993E-2</v>
      </c>
      <c r="CW75" s="40">
        <f t="shared" ref="CW75" si="714">+CW72/CV72-1</f>
        <v>8.2461325477666492E-2</v>
      </c>
      <c r="CX75" s="40">
        <f t="shared" ref="CX75" si="715">+CX72/CW72-1</f>
        <v>0.33078844309944788</v>
      </c>
      <c r="CY75" s="40">
        <f t="shared" ref="CY75" si="716">+CY72/CX72-1</f>
        <v>-9.7995610788744525E-2</v>
      </c>
      <c r="CZ75" s="40">
        <f t="shared" ref="CZ75" si="717">+CZ72/CY72-1</f>
        <v>-2.6582125008668078E-2</v>
      </c>
      <c r="DA75" s="40">
        <f t="shared" ref="DA75" si="718">+DA72/CZ72-1</f>
        <v>7.5667377749141229E-2</v>
      </c>
      <c r="DB75" s="40">
        <f t="shared" ref="DB75" si="719">+DB72/DA72-1</f>
        <v>0.30710356564997965</v>
      </c>
      <c r="DE75" s="40">
        <v>0.2016433614307378</v>
      </c>
    </row>
    <row r="76" spans="1:110" s="75" customFormat="1" x14ac:dyDescent="0.2">
      <c r="A76" s="23" t="s">
        <v>23</v>
      </c>
      <c r="B76" s="75">
        <f>'Annual Raw'!C32</f>
        <v>0</v>
      </c>
      <c r="C76" s="75">
        <f>'Annual Raw'!D32</f>
        <v>0</v>
      </c>
      <c r="D76" s="75">
        <f>'Annual Raw'!E32</f>
        <v>0</v>
      </c>
      <c r="E76" s="75">
        <f>'Annual Raw'!F32</f>
        <v>0</v>
      </c>
      <c r="F76" s="75">
        <f>'Annual Raw'!G32</f>
        <v>0</v>
      </c>
      <c r="G76" s="75">
        <f>'Annual Raw'!H32</f>
        <v>0</v>
      </c>
      <c r="H76" s="75">
        <f>'Annual Raw'!I32</f>
        <v>0</v>
      </c>
      <c r="I76" s="75">
        <f>'Annual Raw'!J32</f>
        <v>0</v>
      </c>
      <c r="J76" s="75">
        <f>'Annual Raw'!K32</f>
        <v>0</v>
      </c>
      <c r="K76" s="75">
        <f>'Annual Raw'!L32</f>
        <v>0</v>
      </c>
      <c r="L76" s="75">
        <f>'Annual Raw'!M32</f>
        <v>0</v>
      </c>
      <c r="M76" s="75">
        <f>'Annual Raw'!N32</f>
        <v>0</v>
      </c>
      <c r="N76" s="75">
        <f>'Annual Raw'!O32</f>
        <v>0</v>
      </c>
      <c r="O76" s="75">
        <f>'Annual Raw'!P32</f>
        <v>0</v>
      </c>
      <c r="P76" s="75">
        <f>'Annual Raw'!Q32</f>
        <v>0</v>
      </c>
      <c r="Q76" s="75">
        <f>'Annual Raw'!R32</f>
        <v>0</v>
      </c>
      <c r="R76" s="75">
        <f>'Annual Raw'!S32</f>
        <v>0</v>
      </c>
      <c r="S76" s="75">
        <f>'Annual Raw'!T32</f>
        <v>0</v>
      </c>
      <c r="T76" s="75">
        <f>'Annual Raw'!U32</f>
        <v>0</v>
      </c>
      <c r="U76" s="75">
        <f>'Annual Raw'!V32</f>
        <v>0</v>
      </c>
      <c r="V76" s="75">
        <f>'Annual Raw'!W32</f>
        <v>0</v>
      </c>
      <c r="W76" s="75">
        <f>'Annual Raw'!X32</f>
        <v>0</v>
      </c>
      <c r="X76" s="75">
        <f>'Annual Raw'!Y32</f>
        <v>0</v>
      </c>
      <c r="Y76" s="75">
        <f>'Annual Raw'!Z32</f>
        <v>0</v>
      </c>
      <c r="Z76" s="75">
        <f>'Annual Raw'!AA32</f>
        <v>0</v>
      </c>
      <c r="AA76" s="75">
        <f>'Annual Raw'!AB32</f>
        <v>0</v>
      </c>
      <c r="AB76" s="76">
        <f t="shared" ref="AB76:AB77" si="720">+SUM(CM76:CP76)</f>
        <v>0</v>
      </c>
      <c r="AC76" s="76">
        <f t="shared" ref="AC76:AC77" si="721">+SUM(CQ76:CT76)</f>
        <v>0</v>
      </c>
      <c r="AD76" s="76">
        <f t="shared" ref="AD76:AD77" si="722">+SUM(CU76:CX76)</f>
        <v>0</v>
      </c>
      <c r="AE76" s="76">
        <f t="shared" ref="AE76:AE77" si="723">+SUM(CY76:DB76)</f>
        <v>0</v>
      </c>
      <c r="AI76" s="75">
        <f>'QTR Raw'!C34</f>
        <v>0</v>
      </c>
      <c r="AJ76" s="75">
        <f>'QTR Raw'!D34</f>
        <v>0</v>
      </c>
      <c r="AK76" s="75">
        <f>'QTR Raw'!E34</f>
        <v>0</v>
      </c>
      <c r="AL76" s="75">
        <f>'QTR Raw'!F34</f>
        <v>0</v>
      </c>
      <c r="AM76" s="75">
        <f>'QTR Raw'!G34</f>
        <v>0</v>
      </c>
      <c r="AN76" s="75">
        <f>'QTR Raw'!H34</f>
        <v>0</v>
      </c>
      <c r="AO76" s="75">
        <f>'QTR Raw'!I34</f>
        <v>0</v>
      </c>
      <c r="AP76" s="75">
        <f>'QTR Raw'!J34</f>
        <v>0</v>
      </c>
      <c r="AQ76" s="75">
        <f>'QTR Raw'!K34</f>
        <v>0</v>
      </c>
      <c r="AR76" s="75">
        <f>'QTR Raw'!L34</f>
        <v>0</v>
      </c>
      <c r="AS76" s="75">
        <f>'QTR Raw'!M34</f>
        <v>0</v>
      </c>
      <c r="AT76" s="75">
        <f>'QTR Raw'!N34</f>
        <v>0</v>
      </c>
      <c r="AU76" s="75">
        <f>'QTR Raw'!O34</f>
        <v>0</v>
      </c>
      <c r="AV76" s="75">
        <f>'QTR Raw'!P34</f>
        <v>0</v>
      </c>
      <c r="AW76" s="75">
        <f>'QTR Raw'!Q34</f>
        <v>0</v>
      </c>
      <c r="AX76" s="75">
        <f>'QTR Raw'!R34</f>
        <v>0</v>
      </c>
      <c r="AY76" s="75">
        <f>'QTR Raw'!S34</f>
        <v>0</v>
      </c>
      <c r="AZ76" s="75">
        <f>'QTR Raw'!T34</f>
        <v>0</v>
      </c>
      <c r="BA76" s="75">
        <f>'QTR Raw'!U34</f>
        <v>0</v>
      </c>
      <c r="BB76" s="75">
        <f>'QTR Raw'!V34</f>
        <v>0</v>
      </c>
      <c r="BC76" s="75">
        <f>'QTR Raw'!W34</f>
        <v>0</v>
      </c>
      <c r="BD76" s="75">
        <f>'QTR Raw'!X34</f>
        <v>0</v>
      </c>
      <c r="BE76" s="75">
        <f>'QTR Raw'!Y34</f>
        <v>0</v>
      </c>
      <c r="BF76" s="75">
        <f>'QTR Raw'!Z34</f>
        <v>0</v>
      </c>
      <c r="BG76" s="75">
        <f>'QTR Raw'!AA34</f>
        <v>0</v>
      </c>
      <c r="BH76" s="75">
        <f>'QTR Raw'!AB34</f>
        <v>0</v>
      </c>
      <c r="BI76" s="75">
        <f>'QTR Raw'!AC34</f>
        <v>0</v>
      </c>
      <c r="BJ76" s="75">
        <f>'QTR Raw'!AD34</f>
        <v>0</v>
      </c>
      <c r="BK76" s="75">
        <f>'QTR Raw'!AE34</f>
        <v>0</v>
      </c>
      <c r="BL76" s="75">
        <f>'QTR Raw'!AF34</f>
        <v>0</v>
      </c>
      <c r="BM76" s="75">
        <f>'QTR Raw'!AG34</f>
        <v>0</v>
      </c>
      <c r="BN76" s="75">
        <f>'QTR Raw'!AH34</f>
        <v>0</v>
      </c>
      <c r="BO76" s="75">
        <f>'QTR Raw'!AI34</f>
        <v>0</v>
      </c>
      <c r="BP76" s="75">
        <f>'QTR Raw'!AJ34</f>
        <v>0</v>
      </c>
      <c r="BQ76" s="75">
        <f>'QTR Raw'!AK34</f>
        <v>0</v>
      </c>
      <c r="BR76" s="75">
        <f>'QTR Raw'!AL34</f>
        <v>0</v>
      </c>
      <c r="BS76" s="75">
        <f>'QTR Raw'!AM34</f>
        <v>0</v>
      </c>
      <c r="BT76" s="75">
        <f>'QTR Raw'!AN34</f>
        <v>0</v>
      </c>
      <c r="BU76" s="75">
        <f>'QTR Raw'!AO34</f>
        <v>0</v>
      </c>
      <c r="BV76" s="75">
        <f>'QTR Raw'!AP34</f>
        <v>0</v>
      </c>
      <c r="BW76" s="75">
        <f>'QTR Raw'!AQ34</f>
        <v>0</v>
      </c>
      <c r="BX76" s="75">
        <f>'QTR Raw'!AR34</f>
        <v>0</v>
      </c>
      <c r="BY76" s="75">
        <f>'QTR Raw'!AS34</f>
        <v>0</v>
      </c>
      <c r="BZ76" s="75">
        <f>'QTR Raw'!AT34</f>
        <v>0</v>
      </c>
      <c r="CA76" s="75">
        <f>'QTR Raw'!AU34</f>
        <v>0</v>
      </c>
      <c r="CB76" s="75">
        <f>'QTR Raw'!AV34</f>
        <v>0</v>
      </c>
      <c r="CC76" s="75">
        <f>'QTR Raw'!AW34</f>
        <v>0</v>
      </c>
      <c r="CD76" s="75">
        <f>'QTR Raw'!AX34</f>
        <v>0</v>
      </c>
      <c r="CE76" s="75">
        <f>'QTR Raw'!AY34</f>
        <v>0</v>
      </c>
      <c r="CF76" s="75">
        <f>'QTR Raw'!AZ34</f>
        <v>0</v>
      </c>
      <c r="CG76" s="75">
        <f>'QTR Raw'!BA34</f>
        <v>0</v>
      </c>
      <c r="CH76" s="75">
        <f>'QTR Raw'!BB34</f>
        <v>0</v>
      </c>
      <c r="CI76" s="75">
        <f>'QTR Raw'!BC34</f>
        <v>0</v>
      </c>
      <c r="CJ76" s="75">
        <f>'QTR Raw'!BD34</f>
        <v>0</v>
      </c>
      <c r="CK76" s="75">
        <f>'QTR Raw'!BE34</f>
        <v>0</v>
      </c>
      <c r="CL76" s="75">
        <f>'QTR Raw'!BF34</f>
        <v>0</v>
      </c>
      <c r="CM76" s="76">
        <f t="shared" ref="CM76:CM77" si="724">+CL76</f>
        <v>0</v>
      </c>
      <c r="CN76" s="76">
        <f t="shared" ref="CN76:CN77" si="725">+CM76</f>
        <v>0</v>
      </c>
      <c r="CO76" s="76">
        <f t="shared" ref="CO76:CO77" si="726">+CN76</f>
        <v>0</v>
      </c>
      <c r="CP76" s="76">
        <f t="shared" ref="CP76:CP77" si="727">+CO76</f>
        <v>0</v>
      </c>
      <c r="CQ76" s="76">
        <f t="shared" ref="CQ76:CQ77" si="728">+CP76</f>
        <v>0</v>
      </c>
      <c r="CR76" s="76">
        <f t="shared" ref="CR76:CR77" si="729">+CQ76</f>
        <v>0</v>
      </c>
      <c r="CS76" s="76">
        <f t="shared" ref="CS76:CS77" si="730">+CR76</f>
        <v>0</v>
      </c>
      <c r="CT76" s="76">
        <f t="shared" ref="CT76:CT77" si="731">+CS76</f>
        <v>0</v>
      </c>
      <c r="CU76" s="76">
        <f t="shared" ref="CU76:CU77" si="732">+CT76</f>
        <v>0</v>
      </c>
      <c r="CV76" s="76">
        <f t="shared" ref="CV76:CV77" si="733">+CU76</f>
        <v>0</v>
      </c>
      <c r="CW76" s="76">
        <f t="shared" ref="CW76:CW77" si="734">+CV76</f>
        <v>0</v>
      </c>
      <c r="CX76" s="76">
        <f t="shared" ref="CX76:CX77" si="735">+CW76</f>
        <v>0</v>
      </c>
      <c r="CY76" s="76">
        <f t="shared" ref="CY76:CY77" si="736">+CX76</f>
        <v>0</v>
      </c>
      <c r="CZ76" s="76">
        <f t="shared" ref="CZ76:CZ77" si="737">+CY76</f>
        <v>0</v>
      </c>
      <c r="DA76" s="76">
        <f t="shared" ref="DA76:DA77" si="738">+CZ76</f>
        <v>0</v>
      </c>
      <c r="DB76" s="76">
        <f t="shared" ref="DB76:DB77" si="739">+DA76</f>
        <v>0</v>
      </c>
      <c r="DE76" s="76">
        <v>0</v>
      </c>
      <c r="DF76" s="75">
        <v>0</v>
      </c>
    </row>
    <row r="77" spans="1:110" s="75" customFormat="1" x14ac:dyDescent="0.2">
      <c r="A77" s="23" t="s">
        <v>24</v>
      </c>
      <c r="B77" s="75">
        <f>'Annual Raw'!C33+'Annual Raw'!C28</f>
        <v>0</v>
      </c>
      <c r="C77" s="75">
        <f>'Annual Raw'!D33+'Annual Raw'!D28</f>
        <v>0</v>
      </c>
      <c r="D77" s="75">
        <f>'Annual Raw'!E33+'Annual Raw'!E28</f>
        <v>0</v>
      </c>
      <c r="E77" s="75">
        <f>'Annual Raw'!F33+'Annual Raw'!F28</f>
        <v>0</v>
      </c>
      <c r="F77" s="75">
        <f>'Annual Raw'!G33+'Annual Raw'!G28</f>
        <v>0</v>
      </c>
      <c r="G77" s="75">
        <f>'Annual Raw'!H33+'Annual Raw'!H28</f>
        <v>0</v>
      </c>
      <c r="H77" s="75">
        <f>'Annual Raw'!I33+'Annual Raw'!I28</f>
        <v>0</v>
      </c>
      <c r="I77" s="75">
        <f>'Annual Raw'!J33+'Annual Raw'!J28</f>
        <v>0</v>
      </c>
      <c r="J77" s="75">
        <f>'Annual Raw'!K33+'Annual Raw'!K28</f>
        <v>0</v>
      </c>
      <c r="K77" s="75">
        <f>'Annual Raw'!L33+'Annual Raw'!L28</f>
        <v>0</v>
      </c>
      <c r="L77" s="75">
        <f>'Annual Raw'!M33+'Annual Raw'!M28</f>
        <v>0</v>
      </c>
      <c r="M77" s="75">
        <f>'Annual Raw'!N33+'Annual Raw'!N28</f>
        <v>0</v>
      </c>
      <c r="N77" s="75">
        <f>'Annual Raw'!O33+'Annual Raw'!O28</f>
        <v>0</v>
      </c>
      <c r="O77" s="75">
        <f>'Annual Raw'!P33+'Annual Raw'!P28</f>
        <v>0</v>
      </c>
      <c r="P77" s="75">
        <f>'Annual Raw'!Q33+'Annual Raw'!Q28</f>
        <v>0</v>
      </c>
      <c r="Q77" s="75">
        <f>'Annual Raw'!R33+'Annual Raw'!R28</f>
        <v>0</v>
      </c>
      <c r="R77" s="75">
        <f>'Annual Raw'!S33+'Annual Raw'!S28</f>
        <v>0</v>
      </c>
      <c r="S77" s="75">
        <f>'Annual Raw'!T33+'Annual Raw'!T28</f>
        <v>0</v>
      </c>
      <c r="T77" s="75">
        <f>'Annual Raw'!U33+'Annual Raw'!U28</f>
        <v>0</v>
      </c>
      <c r="U77" s="75">
        <f>'Annual Raw'!V33+'Annual Raw'!V28</f>
        <v>0</v>
      </c>
      <c r="V77" s="75">
        <f>'Annual Raw'!W33+'Annual Raw'!W28</f>
        <v>0</v>
      </c>
      <c r="W77" s="75">
        <f>'Annual Raw'!X33+'Annual Raw'!X28</f>
        <v>0</v>
      </c>
      <c r="X77" s="75">
        <f>'Annual Raw'!Y33+'Annual Raw'!Y28</f>
        <v>0</v>
      </c>
      <c r="Y77" s="75">
        <f>'Annual Raw'!Z33+'Annual Raw'!Z28</f>
        <v>0</v>
      </c>
      <c r="Z77" s="75">
        <f>'Annual Raw'!AA33+'Annual Raw'!AA28</f>
        <v>0</v>
      </c>
      <c r="AA77" s="75">
        <f>'Annual Raw'!AB33+'Annual Raw'!AB28</f>
        <v>0</v>
      </c>
      <c r="AB77" s="76">
        <f t="shared" si="720"/>
        <v>0</v>
      </c>
      <c r="AC77" s="76">
        <f t="shared" si="721"/>
        <v>0</v>
      </c>
      <c r="AD77" s="76">
        <f t="shared" si="722"/>
        <v>0</v>
      </c>
      <c r="AE77" s="76">
        <f t="shared" si="723"/>
        <v>0</v>
      </c>
      <c r="AI77" s="75">
        <f>'QTR Raw'!C35</f>
        <v>0</v>
      </c>
      <c r="AJ77" s="75">
        <f>'QTR Raw'!D35</f>
        <v>0</v>
      </c>
      <c r="AK77" s="75">
        <f>'QTR Raw'!E35</f>
        <v>0</v>
      </c>
      <c r="AL77" s="75">
        <f>'QTR Raw'!F35</f>
        <v>0</v>
      </c>
      <c r="AM77" s="75">
        <f>'QTR Raw'!G35</f>
        <v>0</v>
      </c>
      <c r="AN77" s="75">
        <f>'QTR Raw'!H35</f>
        <v>0</v>
      </c>
      <c r="AO77" s="75">
        <f>'QTR Raw'!I35</f>
        <v>0</v>
      </c>
      <c r="AP77" s="75">
        <f>'QTR Raw'!J35</f>
        <v>0</v>
      </c>
      <c r="AQ77" s="75">
        <f>'QTR Raw'!K35</f>
        <v>0</v>
      </c>
      <c r="AR77" s="75">
        <f>'QTR Raw'!L35</f>
        <v>0</v>
      </c>
      <c r="AS77" s="75">
        <f>'QTR Raw'!M35</f>
        <v>0</v>
      </c>
      <c r="AT77" s="75">
        <f>'QTR Raw'!N35</f>
        <v>0</v>
      </c>
      <c r="AU77" s="75">
        <f>'QTR Raw'!O35</f>
        <v>0</v>
      </c>
      <c r="AV77" s="75">
        <f>'QTR Raw'!P35</f>
        <v>0</v>
      </c>
      <c r="AW77" s="75">
        <f>'QTR Raw'!Q35</f>
        <v>0</v>
      </c>
      <c r="AX77" s="75">
        <f>'QTR Raw'!R35</f>
        <v>0</v>
      </c>
      <c r="AY77" s="75">
        <f>'QTR Raw'!S35</f>
        <v>0</v>
      </c>
      <c r="AZ77" s="75">
        <f>'QTR Raw'!T35</f>
        <v>0</v>
      </c>
      <c r="BA77" s="75">
        <f>'QTR Raw'!U35</f>
        <v>0</v>
      </c>
      <c r="BB77" s="75">
        <f>'QTR Raw'!V35</f>
        <v>0</v>
      </c>
      <c r="BC77" s="75">
        <f>'QTR Raw'!W35</f>
        <v>0</v>
      </c>
      <c r="BD77" s="75">
        <f>'QTR Raw'!X35</f>
        <v>0</v>
      </c>
      <c r="BE77" s="75">
        <f>'QTR Raw'!Y35</f>
        <v>0</v>
      </c>
      <c r="BF77" s="75">
        <f>'QTR Raw'!Z35</f>
        <v>0</v>
      </c>
      <c r="BG77" s="75">
        <f>'QTR Raw'!AA35</f>
        <v>0</v>
      </c>
      <c r="BH77" s="75">
        <f>'QTR Raw'!AB35</f>
        <v>0</v>
      </c>
      <c r="BI77" s="75">
        <f>'QTR Raw'!AC35</f>
        <v>0</v>
      </c>
      <c r="BJ77" s="75">
        <f>'QTR Raw'!AD35</f>
        <v>0</v>
      </c>
      <c r="BK77" s="75">
        <f>'QTR Raw'!AE35</f>
        <v>0</v>
      </c>
      <c r="BL77" s="75">
        <f>'QTR Raw'!AF35</f>
        <v>0</v>
      </c>
      <c r="BM77" s="75">
        <f>'QTR Raw'!AG35</f>
        <v>0</v>
      </c>
      <c r="BN77" s="75">
        <f>'QTR Raw'!AH35</f>
        <v>0</v>
      </c>
      <c r="BO77" s="75">
        <f>'QTR Raw'!AI35</f>
        <v>0</v>
      </c>
      <c r="BP77" s="75">
        <f>'QTR Raw'!AJ35</f>
        <v>0</v>
      </c>
      <c r="BQ77" s="75">
        <f>'QTR Raw'!AK35</f>
        <v>0</v>
      </c>
      <c r="BR77" s="75">
        <f>'QTR Raw'!AL35</f>
        <v>0</v>
      </c>
      <c r="BS77" s="75">
        <f>'QTR Raw'!AM35</f>
        <v>0</v>
      </c>
      <c r="BT77" s="75">
        <f>'QTR Raw'!AN35</f>
        <v>0</v>
      </c>
      <c r="BU77" s="75">
        <f>'QTR Raw'!AO35</f>
        <v>0</v>
      </c>
      <c r="BV77" s="75">
        <f>'QTR Raw'!AP35</f>
        <v>0</v>
      </c>
      <c r="BW77" s="75">
        <f>'QTR Raw'!AQ35</f>
        <v>0</v>
      </c>
      <c r="BX77" s="75">
        <f>'QTR Raw'!AR35</f>
        <v>0</v>
      </c>
      <c r="BY77" s="75">
        <f>'QTR Raw'!AS35</f>
        <v>0</v>
      </c>
      <c r="BZ77" s="75">
        <f>'QTR Raw'!AT35</f>
        <v>0</v>
      </c>
      <c r="CA77" s="75">
        <f>'QTR Raw'!AU35</f>
        <v>0</v>
      </c>
      <c r="CB77" s="75">
        <f>'QTR Raw'!AV35</f>
        <v>0</v>
      </c>
      <c r="CC77" s="75">
        <f>'QTR Raw'!AW35</f>
        <v>0</v>
      </c>
      <c r="CD77" s="75">
        <f>'QTR Raw'!AX35</f>
        <v>0</v>
      </c>
      <c r="CE77" s="75">
        <f>'QTR Raw'!AY35</f>
        <v>0</v>
      </c>
      <c r="CF77" s="75">
        <f>'QTR Raw'!AZ35</f>
        <v>0</v>
      </c>
      <c r="CG77" s="75">
        <f>'QTR Raw'!BA35</f>
        <v>0</v>
      </c>
      <c r="CH77" s="75">
        <f>'QTR Raw'!BB35</f>
        <v>0</v>
      </c>
      <c r="CI77" s="75">
        <f>'QTR Raw'!BC35</f>
        <v>0</v>
      </c>
      <c r="CJ77" s="75">
        <f>'QTR Raw'!BD35</f>
        <v>0</v>
      </c>
      <c r="CK77" s="75">
        <f>'QTR Raw'!BE35</f>
        <v>0</v>
      </c>
      <c r="CL77" s="75">
        <f>'QTR Raw'!BF35</f>
        <v>0</v>
      </c>
      <c r="CM77" s="76">
        <f t="shared" si="724"/>
        <v>0</v>
      </c>
      <c r="CN77" s="76">
        <f t="shared" si="725"/>
        <v>0</v>
      </c>
      <c r="CO77" s="76">
        <f t="shared" si="726"/>
        <v>0</v>
      </c>
      <c r="CP77" s="76">
        <f t="shared" si="727"/>
        <v>0</v>
      </c>
      <c r="CQ77" s="76">
        <f t="shared" si="728"/>
        <v>0</v>
      </c>
      <c r="CR77" s="76">
        <f t="shared" si="729"/>
        <v>0</v>
      </c>
      <c r="CS77" s="76">
        <f t="shared" si="730"/>
        <v>0</v>
      </c>
      <c r="CT77" s="76">
        <f t="shared" si="731"/>
        <v>0</v>
      </c>
      <c r="CU77" s="76">
        <f t="shared" si="732"/>
        <v>0</v>
      </c>
      <c r="CV77" s="76">
        <f t="shared" si="733"/>
        <v>0</v>
      </c>
      <c r="CW77" s="76">
        <f t="shared" si="734"/>
        <v>0</v>
      </c>
      <c r="CX77" s="76">
        <f t="shared" si="735"/>
        <v>0</v>
      </c>
      <c r="CY77" s="76">
        <f t="shared" si="736"/>
        <v>0</v>
      </c>
      <c r="CZ77" s="76">
        <f t="shared" si="737"/>
        <v>0</v>
      </c>
      <c r="DA77" s="76">
        <f t="shared" si="738"/>
        <v>0</v>
      </c>
      <c r="DB77" s="76">
        <f t="shared" si="739"/>
        <v>0</v>
      </c>
      <c r="DE77" s="76">
        <v>0</v>
      </c>
      <c r="DF77" s="75">
        <v>0</v>
      </c>
    </row>
    <row r="78" spans="1:110" s="23" customFormat="1" x14ac:dyDescent="0.2">
      <c r="A78" s="23" t="s">
        <v>19</v>
      </c>
      <c r="B78" s="75">
        <f>'Annual Raw'!C29+'Annual Raw'!C31+'Annual Raw'!C34+'Annual Raw'!C36</f>
        <v>0</v>
      </c>
      <c r="C78" s="75">
        <f>'Annual Raw'!D29+'Annual Raw'!D31+'Annual Raw'!D34+'Annual Raw'!D36</f>
        <v>0</v>
      </c>
      <c r="D78" s="75">
        <f>'Annual Raw'!E29+'Annual Raw'!E31+'Annual Raw'!E34+'Annual Raw'!E36</f>
        <v>0</v>
      </c>
      <c r="E78" s="75">
        <f>'Annual Raw'!F29+'Annual Raw'!F31+'Annual Raw'!F34+'Annual Raw'!F36</f>
        <v>0</v>
      </c>
      <c r="F78" s="75">
        <f>'Annual Raw'!G29+'Annual Raw'!G31+'Annual Raw'!G34+'Annual Raw'!G36</f>
        <v>0</v>
      </c>
      <c r="G78" s="75">
        <f>'Annual Raw'!H29+'Annual Raw'!H31+'Annual Raw'!H34+'Annual Raw'!H36</f>
        <v>0</v>
      </c>
      <c r="H78" s="75">
        <f>'Annual Raw'!I29+'Annual Raw'!I31+'Annual Raw'!I34+'Annual Raw'!I36</f>
        <v>0</v>
      </c>
      <c r="I78" s="75">
        <f>'Annual Raw'!J29+'Annual Raw'!J31+'Annual Raw'!J34+'Annual Raw'!J36</f>
        <v>0</v>
      </c>
      <c r="J78" s="75">
        <f>'Annual Raw'!K29+'Annual Raw'!K31+'Annual Raw'!K34+'Annual Raw'!K36</f>
        <v>0</v>
      </c>
      <c r="K78" s="75">
        <f>'Annual Raw'!L29+'Annual Raw'!L31+'Annual Raw'!L34+'Annual Raw'!L36</f>
        <v>0</v>
      </c>
      <c r="L78" s="75">
        <f>'Annual Raw'!M29+'Annual Raw'!M31+'Annual Raw'!M34+'Annual Raw'!M36</f>
        <v>0</v>
      </c>
      <c r="M78" s="75">
        <f>'Annual Raw'!N29+'Annual Raw'!N31+'Annual Raw'!N34+'Annual Raw'!N36</f>
        <v>0</v>
      </c>
      <c r="N78" s="75">
        <f>'Annual Raw'!O29+'Annual Raw'!O31+'Annual Raw'!O34+'Annual Raw'!O36</f>
        <v>0</v>
      </c>
      <c r="O78" s="75">
        <f>'Annual Raw'!P29+'Annual Raw'!P31+'Annual Raw'!P34+'Annual Raw'!P36</f>
        <v>0</v>
      </c>
      <c r="P78" s="75">
        <f>'Annual Raw'!Q29+'Annual Raw'!Q31+'Annual Raw'!Q34+'Annual Raw'!Q36</f>
        <v>0</v>
      </c>
      <c r="Q78" s="75">
        <f>'Annual Raw'!R29+'Annual Raw'!R31+'Annual Raw'!R34+'Annual Raw'!R36</f>
        <v>0</v>
      </c>
      <c r="R78" s="75">
        <f>'Annual Raw'!S29+'Annual Raw'!S31+'Annual Raw'!S34+'Annual Raw'!S36</f>
        <v>0</v>
      </c>
      <c r="S78" s="75">
        <f>'Annual Raw'!T29+'Annual Raw'!T31+'Annual Raw'!T34+'Annual Raw'!T36</f>
        <v>0</v>
      </c>
      <c r="T78" s="75">
        <f>'Annual Raw'!U29+'Annual Raw'!U31+'Annual Raw'!U34+'Annual Raw'!U36</f>
        <v>50.05</v>
      </c>
      <c r="U78" s="75">
        <f>'Annual Raw'!V29+'Annual Raw'!V31+'Annual Raw'!V34+'Annual Raw'!V36</f>
        <v>103.19</v>
      </c>
      <c r="V78" s="75">
        <f>'Annual Raw'!W29+'Annual Raw'!W31+'Annual Raw'!W34+'Annual Raw'!W36</f>
        <v>-0.31</v>
      </c>
      <c r="W78" s="75">
        <f>'Annual Raw'!X29+'Annual Raw'!X31+'Annual Raw'!X34+'Annual Raw'!X36</f>
        <v>0</v>
      </c>
      <c r="X78" s="75">
        <f>'Annual Raw'!Y29+'Annual Raw'!Y31+'Annual Raw'!Y34+'Annual Raw'!Y36</f>
        <v>0</v>
      </c>
      <c r="Y78" s="75">
        <f>'Annual Raw'!Z29+'Annual Raw'!Z31+'Annual Raw'!Z34+'Annual Raw'!Z36</f>
        <v>0</v>
      </c>
      <c r="Z78" s="75">
        <f>'Annual Raw'!AA29+'Annual Raw'!AA31+'Annual Raw'!AA34+'Annual Raw'!AA36</f>
        <v>0</v>
      </c>
      <c r="AA78" s="75">
        <f>'Annual Raw'!AB29+'Annual Raw'!AB31+'Annual Raw'!AB34+'Annual Raw'!AB36</f>
        <v>-84.95</v>
      </c>
      <c r="AB78" s="76">
        <f>+SUM(CM78:CP78)</f>
        <v>0</v>
      </c>
      <c r="AC78" s="76">
        <f>+SUM(CQ78:CT78)</f>
        <v>0</v>
      </c>
      <c r="AD78" s="76">
        <f>+SUM(CU78:CX78)</f>
        <v>0</v>
      </c>
      <c r="AE78" s="76">
        <f>+SUM(CY78:DB78)</f>
        <v>0</v>
      </c>
      <c r="AI78" s="75">
        <f>'QTR Raw'!C26+'QTR Raw'!C31+'QTR Raw'!C32+'QTR Raw'!C33+'QTR Raw'!C36+'QTR Raw'!C37+'QTR Raw'!C39</f>
        <v>0</v>
      </c>
      <c r="AJ78" s="75">
        <f>'QTR Raw'!D26+'QTR Raw'!D31+'QTR Raw'!D32+'QTR Raw'!D33+'QTR Raw'!D36+'QTR Raw'!D37+'QTR Raw'!D39</f>
        <v>0</v>
      </c>
      <c r="AK78" s="75">
        <f>'QTR Raw'!E26+'QTR Raw'!E31+'QTR Raw'!E32+'QTR Raw'!E33+'QTR Raw'!E36+'QTR Raw'!E37+'QTR Raw'!E39</f>
        <v>0</v>
      </c>
      <c r="AL78" s="75">
        <f>'QTR Raw'!F26+'QTR Raw'!F31+'QTR Raw'!F32+'QTR Raw'!F33+'QTR Raw'!F36+'QTR Raw'!F37+'QTR Raw'!F39</f>
        <v>8.18</v>
      </c>
      <c r="AM78" s="75">
        <f>'QTR Raw'!G26+'QTR Raw'!G31+'QTR Raw'!G32+'QTR Raw'!G33+'QTR Raw'!G36+'QTR Raw'!G37+'QTR Raw'!G39</f>
        <v>0</v>
      </c>
      <c r="AN78" s="75">
        <f>'QTR Raw'!H26+'QTR Raw'!H31+'QTR Raw'!H32+'QTR Raw'!H33+'QTR Raw'!H36+'QTR Raw'!H37+'QTR Raw'!H39</f>
        <v>0</v>
      </c>
      <c r="AO78" s="75">
        <f>'QTR Raw'!I26+'QTR Raw'!I31+'QTR Raw'!I32+'QTR Raw'!I33+'QTR Raw'!I36+'QTR Raw'!I37+'QTR Raw'!I39</f>
        <v>0</v>
      </c>
      <c r="AP78" s="75">
        <f>'QTR Raw'!J26+'QTR Raw'!J31+'QTR Raw'!J32+'QTR Raw'!J33+'QTR Raw'!J36+'QTR Raw'!J37+'QTR Raw'!J39</f>
        <v>0</v>
      </c>
      <c r="AQ78" s="75">
        <f>'QTR Raw'!K26+'QTR Raw'!K31+'QTR Raw'!K32+'QTR Raw'!K33+'QTR Raw'!K36+'QTR Raw'!K37+'QTR Raw'!K39</f>
        <v>0</v>
      </c>
      <c r="AR78" s="75">
        <f>'QTR Raw'!L26+'QTR Raw'!L31+'QTR Raw'!L32+'QTR Raw'!L33+'QTR Raw'!L36+'QTR Raw'!L37+'QTR Raw'!L39</f>
        <v>0</v>
      </c>
      <c r="AS78" s="75">
        <f>'QTR Raw'!M26+'QTR Raw'!M31+'QTR Raw'!M32+'QTR Raw'!M33+'QTR Raw'!M36+'QTR Raw'!M37+'QTR Raw'!M39</f>
        <v>0</v>
      </c>
      <c r="AT78" s="75">
        <f>'QTR Raw'!N26+'QTR Raw'!N31+'QTR Raw'!N32+'QTR Raw'!N33+'QTR Raw'!N36+'QTR Raw'!N37+'QTR Raw'!N39</f>
        <v>0</v>
      </c>
      <c r="AU78" s="75">
        <f>'QTR Raw'!O26+'QTR Raw'!O31+'QTR Raw'!O32+'QTR Raw'!O33+'QTR Raw'!O36+'QTR Raw'!O37+'QTR Raw'!O39</f>
        <v>0</v>
      </c>
      <c r="AV78" s="75">
        <f>'QTR Raw'!P26+'QTR Raw'!P31+'QTR Raw'!P32+'QTR Raw'!P33+'QTR Raw'!P36+'QTR Raw'!P37+'QTR Raw'!P39</f>
        <v>0</v>
      </c>
      <c r="AW78" s="75">
        <f>'QTR Raw'!Q26+'QTR Raw'!Q31+'QTR Raw'!Q32+'QTR Raw'!Q33+'QTR Raw'!Q36+'QTR Raw'!Q37+'QTR Raw'!Q39</f>
        <v>0</v>
      </c>
      <c r="AX78" s="75">
        <f>'QTR Raw'!R26+'QTR Raw'!R31+'QTR Raw'!R32+'QTR Raw'!R33+'QTR Raw'!R36+'QTR Raw'!R37+'QTR Raw'!R39</f>
        <v>0</v>
      </c>
      <c r="AY78" s="75">
        <f>'QTR Raw'!S26+'QTR Raw'!S31+'QTR Raw'!S32+'QTR Raw'!S33+'QTR Raw'!S36+'QTR Raw'!S37+'QTR Raw'!S39</f>
        <v>0</v>
      </c>
      <c r="AZ78" s="75">
        <f>'QTR Raw'!T26+'QTR Raw'!T31+'QTR Raw'!T32+'QTR Raw'!T33+'QTR Raw'!T36+'QTR Raw'!T37+'QTR Raw'!T39</f>
        <v>0</v>
      </c>
      <c r="BA78" s="75">
        <f>'QTR Raw'!U26+'QTR Raw'!U31+'QTR Raw'!U32+'QTR Raw'!U33+'QTR Raw'!U36+'QTR Raw'!U37+'QTR Raw'!U39</f>
        <v>0</v>
      </c>
      <c r="BB78" s="75">
        <f>'QTR Raw'!V26+'QTR Raw'!V31+'QTR Raw'!V32+'QTR Raw'!V33+'QTR Raw'!V36+'QTR Raw'!V37+'QTR Raw'!V39</f>
        <v>0</v>
      </c>
      <c r="BC78" s="75">
        <f>'QTR Raw'!W26+'QTR Raw'!W31+'QTR Raw'!W32+'QTR Raw'!W33+'QTR Raw'!W36+'QTR Raw'!W37+'QTR Raw'!W39</f>
        <v>0</v>
      </c>
      <c r="BD78" s="75">
        <f>'QTR Raw'!X26+'QTR Raw'!X31+'QTR Raw'!X32+'QTR Raw'!X33+'QTR Raw'!X36+'QTR Raw'!X37+'QTR Raw'!X39</f>
        <v>0</v>
      </c>
      <c r="BE78" s="75">
        <f>'QTR Raw'!Y26+'QTR Raw'!Y31+'QTR Raw'!Y32+'QTR Raw'!Y33+'QTR Raw'!Y36+'QTR Raw'!Y37+'QTR Raw'!Y39</f>
        <v>0</v>
      </c>
      <c r="BF78" s="75">
        <f>'QTR Raw'!Z26+'QTR Raw'!Z31+'QTR Raw'!Z32+'QTR Raw'!Z33+'QTR Raw'!Z36+'QTR Raw'!Z37+'QTR Raw'!Z39</f>
        <v>0</v>
      </c>
      <c r="BG78" s="75">
        <f>'QTR Raw'!AA26+'QTR Raw'!AA31+'QTR Raw'!AA32+'QTR Raw'!AA33+'QTR Raw'!AA36+'QTR Raw'!AA37+'QTR Raw'!AA39</f>
        <v>4.05</v>
      </c>
      <c r="BH78" s="75">
        <f>'QTR Raw'!AB26+'QTR Raw'!AB31+'QTR Raw'!AB32+'QTR Raw'!AB33+'QTR Raw'!AB36+'QTR Raw'!AB37+'QTR Raw'!AB39</f>
        <v>22.47</v>
      </c>
      <c r="BI78" s="75">
        <f>'QTR Raw'!AC26+'QTR Raw'!AC31+'QTR Raw'!AC32+'QTR Raw'!AC33+'QTR Raw'!AC36+'QTR Raw'!AC37+'QTR Raw'!AC39</f>
        <v>12.14</v>
      </c>
      <c r="BJ78" s="75">
        <f>'QTR Raw'!AD26+'QTR Raw'!AD31+'QTR Raw'!AD32+'QTR Raw'!AD33+'QTR Raw'!AD36+'QTR Raw'!AD37+'QTR Raw'!AD39</f>
        <v>11.59</v>
      </c>
      <c r="BK78" s="75">
        <f>'QTR Raw'!AE26+'QTR Raw'!AE31+'QTR Raw'!AE32+'QTR Raw'!AE33+'QTR Raw'!AE36+'QTR Raw'!AE37+'QTR Raw'!AE39</f>
        <v>13.88</v>
      </c>
      <c r="BL78" s="75">
        <f>'QTR Raw'!AF26+'QTR Raw'!AF31+'QTR Raw'!AF32+'QTR Raw'!AF33+'QTR Raw'!AF36+'QTR Raw'!AF37+'QTR Raw'!AF39</f>
        <v>100.2</v>
      </c>
      <c r="BM78" s="75">
        <f>'QTR Raw'!AG26+'QTR Raw'!AG31+'QTR Raw'!AG32+'QTR Raw'!AG33+'QTR Raw'!AG36+'QTR Raw'!AG37+'QTR Raw'!AG39</f>
        <v>-2.48</v>
      </c>
      <c r="BN78" s="75">
        <f>'QTR Raw'!AH26+'QTR Raw'!AH31+'QTR Raw'!AH32+'QTR Raw'!AH33+'QTR Raw'!AH36+'QTR Raw'!AH37+'QTR Raw'!AH39</f>
        <v>-8.41</v>
      </c>
      <c r="BO78" s="75">
        <f>'QTR Raw'!AI26+'QTR Raw'!AI31+'QTR Raw'!AI32+'QTR Raw'!AI33+'QTR Raw'!AI36+'QTR Raw'!AI37+'QTR Raw'!AI39</f>
        <v>0.22</v>
      </c>
      <c r="BP78" s="75">
        <f>'QTR Raw'!AJ26+'QTR Raw'!AJ31+'QTR Raw'!AJ32+'QTR Raw'!AJ33+'QTR Raw'!AJ36+'QTR Raw'!AJ37+'QTR Raw'!AJ39</f>
        <v>-0.48</v>
      </c>
      <c r="BQ78" s="75">
        <f>'QTR Raw'!AK26+'QTR Raw'!AK31+'QTR Raw'!AK32+'QTR Raw'!AK33+'QTR Raw'!AK36+'QTR Raw'!AK37+'QTR Raw'!AK39</f>
        <v>0.48</v>
      </c>
      <c r="BR78" s="75">
        <f>'QTR Raw'!AL26+'QTR Raw'!AL31+'QTR Raw'!AL32+'QTR Raw'!AL33+'QTR Raw'!AL36+'QTR Raw'!AL37+'QTR Raw'!AL39</f>
        <v>-0.53</v>
      </c>
      <c r="BS78" s="75">
        <f>'QTR Raw'!AM26+'QTR Raw'!AM31+'QTR Raw'!AM32+'QTR Raw'!AM33+'QTR Raw'!AM36+'QTR Raw'!AM37+'QTR Raw'!AM39</f>
        <v>0</v>
      </c>
      <c r="BT78" s="75">
        <f>'QTR Raw'!AN26+'QTR Raw'!AN31+'QTR Raw'!AN32+'QTR Raw'!AN33+'QTR Raw'!AN36+'QTR Raw'!AN37+'QTR Raw'!AN39</f>
        <v>0</v>
      </c>
      <c r="BU78" s="75">
        <f>'QTR Raw'!AO26+'QTR Raw'!AO31+'QTR Raw'!AO32+'QTR Raw'!AO33+'QTR Raw'!AO36+'QTR Raw'!AO37+'QTR Raw'!AO39</f>
        <v>0</v>
      </c>
      <c r="BV78" s="75">
        <f>'QTR Raw'!AP26+'QTR Raw'!AP31+'QTR Raw'!AP32+'QTR Raw'!AP33+'QTR Raw'!AP36+'QTR Raw'!AP37+'QTR Raw'!AP39</f>
        <v>0</v>
      </c>
      <c r="BW78" s="75">
        <f>'QTR Raw'!AQ26+'QTR Raw'!AQ31+'QTR Raw'!AQ32+'QTR Raw'!AQ33+'QTR Raw'!AQ36+'QTR Raw'!AQ37+'QTR Raw'!AQ39</f>
        <v>0</v>
      </c>
      <c r="BX78" s="75">
        <f>'QTR Raw'!AR26+'QTR Raw'!AR31+'QTR Raw'!AR32+'QTR Raw'!AR33+'QTR Raw'!AR36+'QTR Raw'!AR37+'QTR Raw'!AR39</f>
        <v>0</v>
      </c>
      <c r="BY78" s="75">
        <f>'QTR Raw'!AS26+'QTR Raw'!AS31+'QTR Raw'!AS32+'QTR Raw'!AS33+'QTR Raw'!AS36+'QTR Raw'!AS37+'QTR Raw'!AS39</f>
        <v>0</v>
      </c>
      <c r="BZ78" s="75">
        <f>'QTR Raw'!AT26+'QTR Raw'!AT31+'QTR Raw'!AT32+'QTR Raw'!AT33+'QTR Raw'!AT36+'QTR Raw'!AT37+'QTR Raw'!AT39</f>
        <v>0</v>
      </c>
      <c r="CA78" s="75">
        <f>'QTR Raw'!AU26+'QTR Raw'!AU31+'QTR Raw'!AU32+'QTR Raw'!AU33+'QTR Raw'!AU36+'QTR Raw'!AU37+'QTR Raw'!AU39</f>
        <v>0</v>
      </c>
      <c r="CB78" s="75">
        <f>'QTR Raw'!AV26+'QTR Raw'!AV31+'QTR Raw'!AV32+'QTR Raw'!AV33+'QTR Raw'!AV36+'QTR Raw'!AV37+'QTR Raw'!AV39</f>
        <v>0</v>
      </c>
      <c r="CC78" s="75">
        <f>'QTR Raw'!AW26+'QTR Raw'!AW31+'QTR Raw'!AW32+'QTR Raw'!AW33+'QTR Raw'!AW36+'QTR Raw'!AW37+'QTR Raw'!AW39</f>
        <v>0</v>
      </c>
      <c r="CD78" s="75">
        <f>'QTR Raw'!AX26+'QTR Raw'!AX31+'QTR Raw'!AX32+'QTR Raw'!AX33+'QTR Raw'!AX36+'QTR Raw'!AX37+'QTR Raw'!AX39</f>
        <v>0</v>
      </c>
      <c r="CE78" s="75">
        <f>'QTR Raw'!AY26+'QTR Raw'!AY31+'QTR Raw'!AY32+'QTR Raw'!AY33+'QTR Raw'!AY36+'QTR Raw'!AY37+'QTR Raw'!AY39</f>
        <v>0</v>
      </c>
      <c r="CF78" s="75">
        <f>'QTR Raw'!AZ26+'QTR Raw'!AZ31+'QTR Raw'!AZ32+'QTR Raw'!AZ33+'QTR Raw'!AZ36+'QTR Raw'!AZ37+'QTR Raw'!AZ39</f>
        <v>0</v>
      </c>
      <c r="CG78" s="75">
        <f>'QTR Raw'!BA26+'QTR Raw'!BA31+'QTR Raw'!BA32+'QTR Raw'!BA33+'QTR Raw'!BA36+'QTR Raw'!BA37+'QTR Raw'!BA39</f>
        <v>0</v>
      </c>
      <c r="CH78" s="75">
        <f>'QTR Raw'!BB26+'QTR Raw'!BB31+'QTR Raw'!BB32+'QTR Raw'!BB33+'QTR Raw'!BB36+'QTR Raw'!BB37+'QTR Raw'!BB39</f>
        <v>0</v>
      </c>
      <c r="CI78" s="75">
        <f>'QTR Raw'!BC26+'QTR Raw'!BC31+'QTR Raw'!BC32+'QTR Raw'!BC33+'QTR Raw'!BC36+'QTR Raw'!BC37+'QTR Raw'!BC39</f>
        <v>0</v>
      </c>
      <c r="CJ78" s="75">
        <f>'QTR Raw'!BD26+'QTR Raw'!BD31+'QTR Raw'!BD32+'QTR Raw'!BD33+'QTR Raw'!BD36+'QTR Raw'!BD37+'QTR Raw'!BD39</f>
        <v>0</v>
      </c>
      <c r="CK78" s="75">
        <f>'QTR Raw'!BE26+'QTR Raw'!BE31+'QTR Raw'!BE32+'QTR Raw'!BE33+'QTR Raw'!BE36+'QTR Raw'!BE37+'QTR Raw'!BE39</f>
        <v>-73.239999999999995</v>
      </c>
      <c r="CL78" s="75">
        <f>'QTR Raw'!BF26+'QTR Raw'!BF31+'QTR Raw'!BF32+'QTR Raw'!BF33+'QTR Raw'!BF36+'QTR Raw'!BF37+'QTR Raw'!BF39</f>
        <v>-11.71</v>
      </c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E78" s="24"/>
      <c r="DF78" s="23">
        <v>0</v>
      </c>
    </row>
    <row r="79" spans="1:110" s="26" customFormat="1" x14ac:dyDescent="0.2">
      <c r="A79" s="35" t="s">
        <v>25</v>
      </c>
      <c r="B79" s="26">
        <f>B72+B76+B77+B78</f>
        <v>40.186699999999931</v>
      </c>
      <c r="C79" s="26">
        <f>C72+C76+C77+C78</f>
        <v>26.85699999999995</v>
      </c>
      <c r="D79" s="26">
        <f>D72+D76+D77+D78</f>
        <v>28.420800000000074</v>
      </c>
      <c r="E79" s="26">
        <f t="shared" ref="E79:U79" si="740">E72+E76+E77+E78</f>
        <v>38.609099999999913</v>
      </c>
      <c r="F79" s="26">
        <f t="shared" si="740"/>
        <v>59.359299999999912</v>
      </c>
      <c r="G79" s="26">
        <f t="shared" si="740"/>
        <v>102.66569999999999</v>
      </c>
      <c r="H79" s="26">
        <f t="shared" si="740"/>
        <v>288.34179999999992</v>
      </c>
      <c r="I79" s="26">
        <f t="shared" si="740"/>
        <v>134.65730000000022</v>
      </c>
      <c r="J79" s="26">
        <f t="shared" si="740"/>
        <v>139.80740000000017</v>
      </c>
      <c r="K79" s="26">
        <f t="shared" si="740"/>
        <v>324.41519999999991</v>
      </c>
      <c r="L79" s="26">
        <f t="shared" si="740"/>
        <v>484.23769999999962</v>
      </c>
      <c r="M79" s="26">
        <f t="shared" si="740"/>
        <v>378.81790000000001</v>
      </c>
      <c r="N79" s="26">
        <f t="shared" si="740"/>
        <v>252.95159999999993</v>
      </c>
      <c r="O79" s="26">
        <f t="shared" si="740"/>
        <v>162.45859999999976</v>
      </c>
      <c r="P79" s="26">
        <f t="shared" si="740"/>
        <v>302.81000000000097</v>
      </c>
      <c r="Q79" s="26">
        <f t="shared" si="740"/>
        <v>429.89000000000061</v>
      </c>
      <c r="R79" s="26">
        <f t="shared" si="740"/>
        <v>514.99000000000069</v>
      </c>
      <c r="S79" s="26">
        <f t="shared" si="740"/>
        <v>461.71000000000055</v>
      </c>
      <c r="T79" s="26">
        <f t="shared" si="740"/>
        <v>641.62999999999965</v>
      </c>
      <c r="U79" s="26">
        <f t="shared" si="740"/>
        <v>1019.0899999999995</v>
      </c>
      <c r="V79" s="26">
        <f>V72+V76+V77+V78</f>
        <v>1197.9400000000005</v>
      </c>
      <c r="W79" s="26">
        <f>W72+W76+W77+W78</f>
        <v>1888.9200000000005</v>
      </c>
      <c r="X79" s="26">
        <f>X72+X76+X77+X78</f>
        <v>2162.3399999999988</v>
      </c>
      <c r="Y79" s="26">
        <f>Y72+Y76+Y77+Y78</f>
        <v>1335.7100000000003</v>
      </c>
      <c r="Z79" s="26">
        <f>Z72+Z76+Z77+Z78</f>
        <v>1250.7799999999984</v>
      </c>
      <c r="AA79" s="26">
        <f>AA72+AA76+AA77+AA78</f>
        <v>1835.180000000001</v>
      </c>
      <c r="AB79" s="27">
        <f t="shared" ref="AA79:AD79" si="741">AB72+AB76+AB77+AB78</f>
        <v>2416.7131267231689</v>
      </c>
      <c r="AC79" s="27">
        <f t="shared" si="741"/>
        <v>2866.2299638458253</v>
      </c>
      <c r="AD79" s="27">
        <f t="shared" si="741"/>
        <v>3680.1814051807446</v>
      </c>
      <c r="AE79" s="27">
        <f t="shared" ref="AE79" si="742">AE72+AE76+AE77+AE78</f>
        <v>4610.8508487364043</v>
      </c>
      <c r="AI79" s="26">
        <f t="shared" ref="AI79" si="743">AI72+AI76+AI77+AI78</f>
        <v>22.02000000000001</v>
      </c>
      <c r="AJ79" s="26">
        <f t="shared" ref="AJ79" si="744">AJ72+AJ76+AJ77+AJ78</f>
        <v>75.360000000000028</v>
      </c>
      <c r="AK79" s="26">
        <f t="shared" ref="AK79:AM79" si="745">AK72+AK76+AK77+AK78</f>
        <v>89.249999999999943</v>
      </c>
      <c r="AL79" s="26">
        <f t="shared" si="745"/>
        <v>71.879999999999939</v>
      </c>
      <c r="AM79" s="26">
        <f t="shared" si="745"/>
        <v>43.81</v>
      </c>
      <c r="AN79" s="26">
        <f t="shared" ref="AN79:AO79" si="746">AN72+AN76+AN77+AN78</f>
        <v>47.770000000000159</v>
      </c>
      <c r="AO79" s="26">
        <f t="shared" si="746"/>
        <v>72.060000000000116</v>
      </c>
      <c r="AP79" s="26">
        <f t="shared" ref="AP79:CD79" si="747">AP72+AP76+AP77+AP78</f>
        <v>52.90000000000002</v>
      </c>
      <c r="AQ79" s="26">
        <f t="shared" si="747"/>
        <v>92.500000000000185</v>
      </c>
      <c r="AR79" s="26">
        <f t="shared" si="747"/>
        <v>78.489999999999952</v>
      </c>
      <c r="AS79" s="26">
        <f t="shared" si="747"/>
        <v>71.399999999999778</v>
      </c>
      <c r="AT79" s="26">
        <f t="shared" si="747"/>
        <v>60.41999999999986</v>
      </c>
      <c r="AU79" s="26">
        <f t="shared" si="747"/>
        <v>113.42000000000021</v>
      </c>
      <c r="AV79" s="26">
        <f t="shared" si="747"/>
        <v>102.11999999999992</v>
      </c>
      <c r="AW79" s="26">
        <f t="shared" si="747"/>
        <v>96.880000000000052</v>
      </c>
      <c r="AX79" s="26">
        <f t="shared" si="747"/>
        <v>111.69000000000018</v>
      </c>
      <c r="AY79" s="26">
        <f t="shared" si="747"/>
        <v>154.56000000000003</v>
      </c>
      <c r="AZ79" s="26">
        <f t="shared" si="747"/>
        <v>122.84000000000012</v>
      </c>
      <c r="BA79" s="26">
        <f t="shared" si="747"/>
        <v>108.36999999999996</v>
      </c>
      <c r="BB79" s="26">
        <f t="shared" si="747"/>
        <v>129.22000000000003</v>
      </c>
      <c r="BC79" s="26">
        <f t="shared" si="747"/>
        <v>103.80999999999997</v>
      </c>
      <c r="BD79" s="26">
        <f t="shared" si="747"/>
        <v>102.75999999999999</v>
      </c>
      <c r="BE79" s="26">
        <f t="shared" si="747"/>
        <v>131.21999999999983</v>
      </c>
      <c r="BF79" s="26">
        <f t="shared" si="747"/>
        <v>123.90999999999991</v>
      </c>
      <c r="BG79" s="26">
        <f t="shared" si="747"/>
        <v>133.84000000000003</v>
      </c>
      <c r="BH79" s="26">
        <f t="shared" si="747"/>
        <v>151.20000000000013</v>
      </c>
      <c r="BI79" s="26">
        <f t="shared" si="747"/>
        <v>165.70999999999992</v>
      </c>
      <c r="BJ79" s="26">
        <f t="shared" si="747"/>
        <v>190.88999999999987</v>
      </c>
      <c r="BK79" s="26">
        <f t="shared" si="747"/>
        <v>189.22000000000008</v>
      </c>
      <c r="BL79" s="26">
        <f t="shared" si="747"/>
        <v>301.13000000000011</v>
      </c>
      <c r="BM79" s="26">
        <f t="shared" si="747"/>
        <v>342.99</v>
      </c>
      <c r="BN79" s="26">
        <f t="shared" si="747"/>
        <v>185.74999999999994</v>
      </c>
      <c r="BO79" s="26">
        <f t="shared" si="747"/>
        <v>177.09000000000006</v>
      </c>
      <c r="BP79" s="26">
        <f t="shared" si="747"/>
        <v>315.19999999999959</v>
      </c>
      <c r="BQ79" s="26">
        <f t="shared" si="747"/>
        <v>324.73</v>
      </c>
      <c r="BR79" s="26">
        <f t="shared" si="747"/>
        <v>380.92000000000007</v>
      </c>
      <c r="BS79" s="26">
        <f t="shared" si="747"/>
        <v>395.28000000000031</v>
      </c>
      <c r="BT79" s="26">
        <f t="shared" si="747"/>
        <v>382.45000000000039</v>
      </c>
      <c r="BU79" s="26">
        <f t="shared" si="747"/>
        <v>505.53999999999996</v>
      </c>
      <c r="BV79" s="26">
        <f t="shared" si="747"/>
        <v>605.65000000000032</v>
      </c>
      <c r="BW79" s="26">
        <f t="shared" si="747"/>
        <v>607.99999999999977</v>
      </c>
      <c r="BX79" s="26">
        <f t="shared" si="747"/>
        <v>480.99000000000035</v>
      </c>
      <c r="BY79" s="26">
        <f t="shared" si="747"/>
        <v>510.9</v>
      </c>
      <c r="BZ79" s="26">
        <f t="shared" si="747"/>
        <v>562.45000000000027</v>
      </c>
      <c r="CA79" s="26">
        <f t="shared" si="747"/>
        <v>359.28999999999951</v>
      </c>
      <c r="CB79" s="26">
        <f t="shared" si="747"/>
        <v>300.77999999999929</v>
      </c>
      <c r="CC79" s="26">
        <f t="shared" si="747"/>
        <v>253.43000000000018</v>
      </c>
      <c r="CD79" s="26">
        <f t="shared" si="747"/>
        <v>422.21000000000015</v>
      </c>
      <c r="CE79" s="26">
        <f t="shared" ref="CE79:CF79" si="748">CE72+CE76+CE77+CE78</f>
        <v>252.22000000000008</v>
      </c>
      <c r="CF79" s="26">
        <f t="shared" si="748"/>
        <v>201.41999999999996</v>
      </c>
      <c r="CG79" s="26">
        <f t="shared" ref="CG79:CH79" si="749">CG72+CG76+CG77+CG78</f>
        <v>271.08000000000038</v>
      </c>
      <c r="CH79" s="26">
        <f t="shared" si="749"/>
        <v>526.0600000000004</v>
      </c>
      <c r="CI79" s="26">
        <f t="shared" ref="CI79:CJ79" si="750">CI72+CI76+CI77+CI78</f>
        <v>432.31999999999982</v>
      </c>
      <c r="CJ79" s="26">
        <f t="shared" si="750"/>
        <v>388.17999999999995</v>
      </c>
      <c r="CK79" s="26">
        <f t="shared" ref="CK79:CL79" si="751">CK72+CK76+CK77+CK78</f>
        <v>432.66000000000031</v>
      </c>
      <c r="CL79" s="26">
        <f t="shared" si="751"/>
        <v>582.02</v>
      </c>
      <c r="CM79" s="27">
        <f t="shared" ref="CM79:DB79" si="752">CM72+CM76+CM77+CM78</f>
        <v>542.19587574127968</v>
      </c>
      <c r="CN79" s="27">
        <f t="shared" si="752"/>
        <v>524.2264212089683</v>
      </c>
      <c r="CO79" s="27">
        <f t="shared" si="752"/>
        <v>584.41778944655982</v>
      </c>
      <c r="CP79" s="27">
        <f t="shared" si="752"/>
        <v>765.87304032636075</v>
      </c>
      <c r="CQ79" s="27">
        <f t="shared" si="752"/>
        <v>640.20717850272649</v>
      </c>
      <c r="CR79" s="27">
        <f t="shared" si="752"/>
        <v>621.7753895484484</v>
      </c>
      <c r="CS79" s="27">
        <f t="shared" si="752"/>
        <v>680.40592103283041</v>
      </c>
      <c r="CT79" s="27">
        <f t="shared" si="752"/>
        <v>923.84147476181874</v>
      </c>
      <c r="CU79" s="27">
        <f t="shared" si="752"/>
        <v>831.89142443036485</v>
      </c>
      <c r="CV79" s="27">
        <f t="shared" si="752"/>
        <v>808.4869150223044</v>
      </c>
      <c r="CW79" s="27">
        <f t="shared" si="752"/>
        <v>875.15581766639309</v>
      </c>
      <c r="CX79" s="27">
        <f t="shared" si="752"/>
        <v>1164.6472480616835</v>
      </c>
      <c r="CY79" s="27">
        <f t="shared" si="752"/>
        <v>1050.5169296344484</v>
      </c>
      <c r="CZ79" s="27">
        <f t="shared" si="752"/>
        <v>1022.5919572871833</v>
      </c>
      <c r="DA79" s="27">
        <f t="shared" si="752"/>
        <v>1099.9688092024662</v>
      </c>
      <c r="DB79" s="27">
        <f t="shared" si="752"/>
        <v>1437.7731526123057</v>
      </c>
      <c r="DE79" s="27">
        <v>607.91137654781062</v>
      </c>
      <c r="DF79" s="26">
        <v>0</v>
      </c>
    </row>
    <row r="80" spans="1:110" s="25" customFormat="1" x14ac:dyDescent="0.2">
      <c r="A80" s="145" t="s">
        <v>486</v>
      </c>
      <c r="AB80" s="17"/>
      <c r="AC80" s="17"/>
      <c r="AD80" s="17"/>
      <c r="AE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E80" s="118"/>
    </row>
    <row r="81" spans="1:110" s="1" customFormat="1" x14ac:dyDescent="0.2">
      <c r="AB81" s="20"/>
      <c r="AC81" s="20"/>
      <c r="AD81" s="20"/>
      <c r="AE81" s="20"/>
      <c r="BV81" s="176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E81" s="118"/>
    </row>
    <row r="82" spans="1:110" s="22" customFormat="1" x14ac:dyDescent="0.2">
      <c r="A82" s="22" t="s">
        <v>434</v>
      </c>
      <c r="B82" s="22">
        <f>'Annual Raw'!C35</f>
        <v>40.186700000000002</v>
      </c>
      <c r="C82" s="22">
        <f>'Annual Raw'!D35</f>
        <v>26.856999999999999</v>
      </c>
      <c r="D82" s="22">
        <f>'Annual Raw'!E35</f>
        <v>28.4208</v>
      </c>
      <c r="E82" s="22">
        <f>'Annual Raw'!F35</f>
        <v>38.609099999999998</v>
      </c>
      <c r="F82" s="22">
        <f>'Annual Raw'!G35</f>
        <v>59.359299999999998</v>
      </c>
      <c r="G82" s="22">
        <f>'Annual Raw'!H35</f>
        <v>102.6657</v>
      </c>
      <c r="H82" s="22">
        <f>'Annual Raw'!I35</f>
        <v>288.34179999999998</v>
      </c>
      <c r="I82" s="22">
        <f>'Annual Raw'!J35</f>
        <v>134.65729999999999</v>
      </c>
      <c r="J82" s="22">
        <f>'Annual Raw'!K35</f>
        <v>139.8074</v>
      </c>
      <c r="K82" s="22">
        <f>'Annual Raw'!L35</f>
        <v>324.41520000000003</v>
      </c>
      <c r="L82" s="22">
        <f>'Annual Raw'!M35</f>
        <v>484.23770000000002</v>
      </c>
      <c r="M82" s="22">
        <f>'Annual Raw'!N35</f>
        <v>378.81790000000001</v>
      </c>
      <c r="N82" s="22">
        <f>'Annual Raw'!O35</f>
        <v>252.95160000000001</v>
      </c>
      <c r="O82" s="22">
        <f>'Annual Raw'!P35</f>
        <v>162.45859999999999</v>
      </c>
      <c r="P82" s="22">
        <f>'Annual Raw'!Q35</f>
        <v>302.81</v>
      </c>
      <c r="Q82" s="22">
        <f>'Annual Raw'!R35</f>
        <v>429.89</v>
      </c>
      <c r="R82" s="22">
        <f>'Annual Raw'!S35</f>
        <v>514.99</v>
      </c>
      <c r="S82" s="22">
        <f>'Annual Raw'!T35</f>
        <v>461.71</v>
      </c>
      <c r="T82" s="22">
        <f>'Annual Raw'!U35</f>
        <v>641.63</v>
      </c>
      <c r="U82" s="22">
        <f>'Annual Raw'!V35</f>
        <v>1019.09</v>
      </c>
      <c r="V82" s="22">
        <f>'Annual Raw'!W35</f>
        <v>1197.94</v>
      </c>
      <c r="W82" s="22">
        <f>'Annual Raw'!X35</f>
        <v>1888.92</v>
      </c>
      <c r="X82" s="22">
        <f>'Annual Raw'!Y35</f>
        <v>2162.34</v>
      </c>
      <c r="Y82" s="22">
        <f>'Annual Raw'!Z35</f>
        <v>1335.71</v>
      </c>
      <c r="Z82" s="22">
        <f>'Annual Raw'!AA35</f>
        <v>1250.78</v>
      </c>
      <c r="AA82" s="22">
        <f>'Annual Raw'!AB35</f>
        <v>1835.18</v>
      </c>
      <c r="AB82" s="21">
        <f t="shared" ref="AA82:AD82" si="753">+AB79</f>
        <v>2416.7131267231689</v>
      </c>
      <c r="AC82" s="21">
        <f t="shared" si="753"/>
        <v>2866.2299638458253</v>
      </c>
      <c r="AD82" s="21">
        <f t="shared" si="753"/>
        <v>3680.1814051807446</v>
      </c>
      <c r="AE82" s="21">
        <f t="shared" ref="AE82" si="754">+AE79</f>
        <v>4610.8508487364043</v>
      </c>
      <c r="AI82" s="22">
        <f>'QTR Raw'!C42</f>
        <v>22.02</v>
      </c>
      <c r="AJ82" s="22">
        <f>'QTR Raw'!D42</f>
        <v>75.36</v>
      </c>
      <c r="AK82" s="22">
        <f>'QTR Raw'!E42</f>
        <v>89.25</v>
      </c>
      <c r="AL82" s="22">
        <f>'QTR Raw'!F42</f>
        <v>71.88</v>
      </c>
      <c r="AM82" s="22">
        <f>'QTR Raw'!G42</f>
        <v>43.81</v>
      </c>
      <c r="AN82" s="22">
        <f>'QTR Raw'!H42</f>
        <v>47.77</v>
      </c>
      <c r="AO82" s="22">
        <f>'QTR Raw'!I42</f>
        <v>72.06</v>
      </c>
      <c r="AP82" s="22">
        <f>'QTR Raw'!J42</f>
        <v>52.9</v>
      </c>
      <c r="AQ82" s="22">
        <f>'QTR Raw'!K42</f>
        <v>92.5</v>
      </c>
      <c r="AR82" s="22">
        <f>'QTR Raw'!L42</f>
        <v>78.489999999999995</v>
      </c>
      <c r="AS82" s="22">
        <f>'QTR Raw'!M42</f>
        <v>71.400000000000006</v>
      </c>
      <c r="AT82" s="22">
        <f>'QTR Raw'!N42</f>
        <v>60.42</v>
      </c>
      <c r="AU82" s="22">
        <f>'QTR Raw'!O42</f>
        <v>113.42</v>
      </c>
      <c r="AV82" s="22">
        <f>'QTR Raw'!P42</f>
        <v>102.12</v>
      </c>
      <c r="AW82" s="22">
        <f>'QTR Raw'!Q42</f>
        <v>96.88</v>
      </c>
      <c r="AX82" s="22">
        <f>'QTR Raw'!R42</f>
        <v>111.69</v>
      </c>
      <c r="AY82" s="22">
        <f>'QTR Raw'!S42</f>
        <v>154.56</v>
      </c>
      <c r="AZ82" s="22">
        <f>'QTR Raw'!T42</f>
        <v>122.84</v>
      </c>
      <c r="BA82" s="22">
        <f>'QTR Raw'!U42</f>
        <v>108.37</v>
      </c>
      <c r="BB82" s="22">
        <f>'QTR Raw'!V42</f>
        <v>129.22</v>
      </c>
      <c r="BC82" s="22">
        <f>'QTR Raw'!W42</f>
        <v>103.81</v>
      </c>
      <c r="BD82" s="22">
        <f>'QTR Raw'!X42</f>
        <v>102.76</v>
      </c>
      <c r="BE82" s="22">
        <f>'QTR Raw'!Y42</f>
        <v>131.22</v>
      </c>
      <c r="BF82" s="22">
        <f>'QTR Raw'!Z42</f>
        <v>123.91</v>
      </c>
      <c r="BG82" s="22">
        <f>'QTR Raw'!AA42</f>
        <v>133.84</v>
      </c>
      <c r="BH82" s="22">
        <f>'QTR Raw'!AB42</f>
        <v>151.19999999999999</v>
      </c>
      <c r="BI82" s="22">
        <f>'QTR Raw'!AC42</f>
        <v>165.71</v>
      </c>
      <c r="BJ82" s="22">
        <f>'QTR Raw'!AD42</f>
        <v>190.89</v>
      </c>
      <c r="BK82" s="22">
        <f>'QTR Raw'!AE42</f>
        <v>189.22</v>
      </c>
      <c r="BL82" s="22">
        <f>'QTR Raw'!AF42</f>
        <v>301.13</v>
      </c>
      <c r="BM82" s="22">
        <f>'QTR Raw'!AG42</f>
        <v>342.99</v>
      </c>
      <c r="BN82" s="22">
        <f>'QTR Raw'!AH42</f>
        <v>185.75</v>
      </c>
      <c r="BO82" s="22">
        <f>'QTR Raw'!AI42</f>
        <v>177.09</v>
      </c>
      <c r="BP82" s="22">
        <f>'QTR Raw'!AJ42</f>
        <v>315.2</v>
      </c>
      <c r="BQ82" s="22">
        <f>'QTR Raw'!AK42</f>
        <v>324.73</v>
      </c>
      <c r="BR82" s="22">
        <f>'QTR Raw'!AL42</f>
        <v>380.92</v>
      </c>
      <c r="BS82" s="22">
        <f>'QTR Raw'!AM42</f>
        <v>395.28</v>
      </c>
      <c r="BT82" s="22">
        <f>'QTR Raw'!AN42</f>
        <v>382.45</v>
      </c>
      <c r="BU82" s="22">
        <f>'QTR Raw'!AO42</f>
        <v>505.54</v>
      </c>
      <c r="BV82" s="22">
        <f>'QTR Raw'!AP42</f>
        <v>605.65</v>
      </c>
      <c r="BW82" s="22">
        <f>'QTR Raw'!AQ42</f>
        <v>608</v>
      </c>
      <c r="BX82" s="22">
        <f>'QTR Raw'!AR42</f>
        <v>480.99</v>
      </c>
      <c r="BY82" s="22">
        <f>'QTR Raw'!AS42</f>
        <v>510.9</v>
      </c>
      <c r="BZ82" s="22">
        <f>'QTR Raw'!AT42</f>
        <v>562.45000000000005</v>
      </c>
      <c r="CA82" s="22">
        <f>'QTR Raw'!AU42</f>
        <v>359.29</v>
      </c>
      <c r="CB82" s="22">
        <f>'QTR Raw'!AV42</f>
        <v>300.77999999999997</v>
      </c>
      <c r="CC82" s="22">
        <f>'QTR Raw'!AW42</f>
        <v>253.43</v>
      </c>
      <c r="CD82" s="22">
        <f>'QTR Raw'!AX42</f>
        <v>422.21</v>
      </c>
      <c r="CE82" s="22">
        <f>'QTR Raw'!AY42</f>
        <v>252.22</v>
      </c>
      <c r="CF82" s="22">
        <f>'QTR Raw'!AZ42</f>
        <v>201.42</v>
      </c>
      <c r="CG82" s="22">
        <f>'QTR Raw'!BA42</f>
        <v>271.08</v>
      </c>
      <c r="CH82" s="22">
        <f>'QTR Raw'!BB42</f>
        <v>526.05999999999995</v>
      </c>
      <c r="CI82" s="22">
        <f>'QTR Raw'!BC42</f>
        <v>432.32</v>
      </c>
      <c r="CJ82" s="22">
        <f>'QTR Raw'!BD42</f>
        <v>388.18</v>
      </c>
      <c r="CK82" s="22">
        <f>'QTR Raw'!BE42</f>
        <v>432.66</v>
      </c>
      <c r="CL82" s="22">
        <f>'QTR Raw'!BF42</f>
        <v>582.02</v>
      </c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E82" s="118"/>
      <c r="DF82" s="22">
        <v>0</v>
      </c>
    </row>
    <row r="83" spans="1:110" s="25" customFormat="1" x14ac:dyDescent="0.2">
      <c r="A83" s="36" t="s">
        <v>435</v>
      </c>
      <c r="B83" s="25">
        <f t="shared" ref="B83:V83" si="755">B82-B79</f>
        <v>7.1054273576010019E-14</v>
      </c>
      <c r="C83" s="25">
        <f>C82-C79</f>
        <v>4.9737991503207013E-14</v>
      </c>
      <c r="D83" s="25">
        <f t="shared" si="755"/>
        <v>-7.460698725481052E-14</v>
      </c>
      <c r="E83" s="25">
        <f t="shared" si="755"/>
        <v>8.5265128291212022E-14</v>
      </c>
      <c r="F83" s="25">
        <f t="shared" si="755"/>
        <v>8.5265128291212022E-14</v>
      </c>
      <c r="G83" s="25">
        <f t="shared" si="755"/>
        <v>0</v>
      </c>
      <c r="H83" s="25">
        <f t="shared" si="755"/>
        <v>0</v>
      </c>
      <c r="I83" s="25">
        <f t="shared" si="755"/>
        <v>-2.2737367544323206E-13</v>
      </c>
      <c r="J83" s="25">
        <f t="shared" si="755"/>
        <v>0</v>
      </c>
      <c r="K83" s="25">
        <f t="shared" si="755"/>
        <v>0</v>
      </c>
      <c r="L83" s="25">
        <f t="shared" si="755"/>
        <v>0</v>
      </c>
      <c r="M83" s="25">
        <f t="shared" si="755"/>
        <v>0</v>
      </c>
      <c r="N83" s="25">
        <f t="shared" si="755"/>
        <v>0</v>
      </c>
      <c r="O83" s="25">
        <f t="shared" si="755"/>
        <v>2.2737367544323206E-13</v>
      </c>
      <c r="P83" s="25">
        <f t="shared" si="755"/>
        <v>-9.6633812063373625E-13</v>
      </c>
      <c r="Q83" s="25">
        <f t="shared" si="755"/>
        <v>-6.2527760746888816E-13</v>
      </c>
      <c r="R83" s="25">
        <f t="shared" si="755"/>
        <v>0</v>
      </c>
      <c r="S83" s="25">
        <f t="shared" si="755"/>
        <v>-5.6843418860808015E-13</v>
      </c>
      <c r="T83" s="25">
        <f t="shared" si="755"/>
        <v>0</v>
      </c>
      <c r="U83" s="25">
        <f t="shared" si="755"/>
        <v>0</v>
      </c>
      <c r="V83" s="25">
        <f t="shared" si="755"/>
        <v>0</v>
      </c>
      <c r="W83" s="25">
        <f t="shared" ref="W83" si="756">W82-W79</f>
        <v>0</v>
      </c>
      <c r="X83" s="25">
        <f t="shared" ref="X83:Y83" si="757">X82-X79</f>
        <v>0</v>
      </c>
      <c r="Y83" s="25">
        <f t="shared" si="757"/>
        <v>0</v>
      </c>
      <c r="Z83" s="25">
        <f t="shared" ref="Z83:AA83" si="758">Z82-Z79</f>
        <v>0</v>
      </c>
      <c r="AA83" s="25">
        <f t="shared" si="758"/>
        <v>0</v>
      </c>
      <c r="AB83" s="17">
        <f t="shared" ref="AA83:AD83" si="759">AB82-AB79</f>
        <v>0</v>
      </c>
      <c r="AC83" s="17">
        <f t="shared" si="759"/>
        <v>0</v>
      </c>
      <c r="AD83" s="17">
        <f t="shared" si="759"/>
        <v>0</v>
      </c>
      <c r="AE83" s="17">
        <f t="shared" ref="AE83" si="760">AE82-AE79</f>
        <v>0</v>
      </c>
      <c r="AI83" s="25">
        <f t="shared" ref="AI83" si="761">AI82-AI79</f>
        <v>0</v>
      </c>
      <c r="AJ83" s="25">
        <f t="shared" ref="AJ83" si="762">AJ82-AJ79</f>
        <v>0</v>
      </c>
      <c r="AK83" s="25">
        <f t="shared" ref="AK83:AM83" si="763">AK82-AK79</f>
        <v>0</v>
      </c>
      <c r="AL83" s="25">
        <f t="shared" si="763"/>
        <v>0</v>
      </c>
      <c r="AM83" s="25">
        <f t="shared" si="763"/>
        <v>0</v>
      </c>
      <c r="AN83" s="25">
        <f t="shared" ref="AN83:AO83" si="764">AN82-AN79</f>
        <v>-1.5631940186722204E-13</v>
      </c>
      <c r="AO83" s="25">
        <f t="shared" si="764"/>
        <v>-1.1368683772161603E-13</v>
      </c>
      <c r="AP83" s="25">
        <f t="shared" ref="AP83:CD83" si="765">AP82-AP79</f>
        <v>0</v>
      </c>
      <c r="AQ83" s="25">
        <f t="shared" si="765"/>
        <v>-1.8474111129762605E-13</v>
      </c>
      <c r="AR83" s="25">
        <f t="shared" si="765"/>
        <v>0</v>
      </c>
      <c r="AS83" s="25">
        <f t="shared" si="765"/>
        <v>2.2737367544323206E-13</v>
      </c>
      <c r="AT83" s="25">
        <f t="shared" si="765"/>
        <v>1.4210854715202004E-13</v>
      </c>
      <c r="AU83" s="25">
        <f t="shared" si="765"/>
        <v>-2.1316282072803006E-13</v>
      </c>
      <c r="AV83" s="25">
        <f t="shared" si="765"/>
        <v>0</v>
      </c>
      <c r="AW83" s="25">
        <f t="shared" si="765"/>
        <v>0</v>
      </c>
      <c r="AX83" s="25">
        <f t="shared" si="765"/>
        <v>-1.8474111129762605E-13</v>
      </c>
      <c r="AY83" s="25">
        <f t="shared" si="765"/>
        <v>0</v>
      </c>
      <c r="AZ83" s="25">
        <f t="shared" si="765"/>
        <v>-1.1368683772161603E-13</v>
      </c>
      <c r="BA83" s="25">
        <f t="shared" si="765"/>
        <v>0</v>
      </c>
      <c r="BB83" s="25">
        <f t="shared" si="765"/>
        <v>0</v>
      </c>
      <c r="BC83" s="25">
        <f t="shared" si="765"/>
        <v>0</v>
      </c>
      <c r="BD83" s="25">
        <f t="shared" si="765"/>
        <v>0</v>
      </c>
      <c r="BE83" s="25">
        <f t="shared" si="765"/>
        <v>0</v>
      </c>
      <c r="BF83" s="25">
        <f t="shared" si="765"/>
        <v>0</v>
      </c>
      <c r="BG83" s="25">
        <f t="shared" si="765"/>
        <v>0</v>
      </c>
      <c r="BH83" s="25">
        <f t="shared" si="765"/>
        <v>0</v>
      </c>
      <c r="BI83" s="25">
        <f t="shared" si="765"/>
        <v>0</v>
      </c>
      <c r="BJ83" s="25">
        <f t="shared" si="765"/>
        <v>0</v>
      </c>
      <c r="BK83" s="25">
        <f t="shared" si="765"/>
        <v>0</v>
      </c>
      <c r="BL83" s="25">
        <f t="shared" si="765"/>
        <v>0</v>
      </c>
      <c r="BM83" s="25">
        <f t="shared" si="765"/>
        <v>0</v>
      </c>
      <c r="BN83" s="25">
        <f t="shared" si="765"/>
        <v>0</v>
      </c>
      <c r="BO83" s="25">
        <f t="shared" si="765"/>
        <v>0</v>
      </c>
      <c r="BP83" s="25">
        <f t="shared" si="765"/>
        <v>0</v>
      </c>
      <c r="BQ83" s="25">
        <f t="shared" si="765"/>
        <v>0</v>
      </c>
      <c r="BR83" s="25">
        <f t="shared" si="765"/>
        <v>0</v>
      </c>
      <c r="BS83" s="25">
        <f t="shared" si="765"/>
        <v>0</v>
      </c>
      <c r="BT83" s="25">
        <f t="shared" si="765"/>
        <v>0</v>
      </c>
      <c r="BU83" s="25">
        <f t="shared" si="765"/>
        <v>0</v>
      </c>
      <c r="BV83" s="25">
        <f t="shared" si="765"/>
        <v>0</v>
      </c>
      <c r="BW83" s="25">
        <f t="shared" si="765"/>
        <v>0</v>
      </c>
      <c r="BX83" s="25">
        <f t="shared" si="765"/>
        <v>0</v>
      </c>
      <c r="BY83" s="25">
        <f t="shared" si="765"/>
        <v>0</v>
      </c>
      <c r="BZ83" s="25">
        <f t="shared" si="765"/>
        <v>0</v>
      </c>
      <c r="CA83" s="25">
        <f t="shared" si="765"/>
        <v>5.1159076974727213E-13</v>
      </c>
      <c r="CB83" s="25">
        <f t="shared" si="765"/>
        <v>6.8212102632969618E-13</v>
      </c>
      <c r="CC83" s="25">
        <f t="shared" si="765"/>
        <v>0</v>
      </c>
      <c r="CD83" s="25">
        <f t="shared" si="765"/>
        <v>0</v>
      </c>
      <c r="CE83" s="25">
        <f t="shared" ref="CE83:CF83" si="766">CE82-CE79</f>
        <v>0</v>
      </c>
      <c r="CF83" s="25">
        <f t="shared" si="766"/>
        <v>0</v>
      </c>
      <c r="CG83" s="25">
        <f t="shared" ref="CG83:CH83" si="767">CG82-CG79</f>
        <v>0</v>
      </c>
      <c r="CH83" s="25">
        <f t="shared" si="767"/>
        <v>0</v>
      </c>
      <c r="CI83" s="25">
        <f t="shared" ref="CI83:CJ83" si="768">CI82-CI79</f>
        <v>0</v>
      </c>
      <c r="CJ83" s="25">
        <f t="shared" si="768"/>
        <v>0</v>
      </c>
      <c r="CK83" s="25">
        <f t="shared" ref="CK83:CL83" si="769">CK82-CK79</f>
        <v>0</v>
      </c>
      <c r="CL83" s="25">
        <f t="shared" si="769"/>
        <v>0</v>
      </c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E83" s="118"/>
      <c r="DF83" s="25">
        <v>0</v>
      </c>
    </row>
    <row r="84" spans="1:110" s="1" customFormat="1" x14ac:dyDescent="0.2">
      <c r="A84" s="144" t="s">
        <v>487</v>
      </c>
      <c r="AB84" s="20"/>
      <c r="AC84" s="20"/>
      <c r="AD84" s="20"/>
      <c r="AE84" s="20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E84" s="118"/>
    </row>
    <row r="85" spans="1:110" s="38" customFormat="1" x14ac:dyDescent="0.2">
      <c r="A85" s="38" t="s">
        <v>350</v>
      </c>
      <c r="B85" s="39">
        <f t="shared" ref="B85:AE85" si="770">(B79-B78)/B151</f>
        <v>8.0801762463523996E-2</v>
      </c>
      <c r="C85" s="39">
        <f t="shared" si="770"/>
        <v>7.9389806699994653E-2</v>
      </c>
      <c r="D85" s="39">
        <f t="shared" si="770"/>
        <v>7.9838036163196693E-2</v>
      </c>
      <c r="E85" s="39">
        <f t="shared" si="770"/>
        <v>9.5400930458735517E-2</v>
      </c>
      <c r="F85" s="39">
        <f t="shared" si="770"/>
        <v>0.1313578816432939</v>
      </c>
      <c r="G85" s="39">
        <f t="shared" si="770"/>
        <v>0.18306691200241362</v>
      </c>
      <c r="H85" s="39">
        <f t="shared" si="770"/>
        <v>0.34539890065752826</v>
      </c>
      <c r="I85" s="39">
        <f t="shared" si="770"/>
        <v>0.14515532502520029</v>
      </c>
      <c r="J85" s="39">
        <f t="shared" si="770"/>
        <v>0.14335481525177604</v>
      </c>
      <c r="K85" s="39">
        <f t="shared" si="770"/>
        <v>0.25467113989747525</v>
      </c>
      <c r="L85" s="39">
        <f t="shared" si="770"/>
        <v>0.28518517689645134</v>
      </c>
      <c r="M85" s="39">
        <f t="shared" si="770"/>
        <v>0.20459713659637743</v>
      </c>
      <c r="N85" s="39">
        <f t="shared" si="770"/>
        <v>0.12847178910423906</v>
      </c>
      <c r="O85" s="39">
        <f t="shared" si="770"/>
        <v>7.8609504622303761E-2</v>
      </c>
      <c r="P85" s="39">
        <f t="shared" si="770"/>
        <v>0.13186636125312495</v>
      </c>
      <c r="Q85" s="39">
        <f t="shared" si="770"/>
        <v>0.15558925507966059</v>
      </c>
      <c r="R85" s="39">
        <f t="shared" si="770"/>
        <v>0.16181118938246647</v>
      </c>
      <c r="S85" s="39">
        <f t="shared" si="770"/>
        <v>0.12952899821294828</v>
      </c>
      <c r="T85" s="39">
        <f t="shared" si="770"/>
        <v>0.14326503231806098</v>
      </c>
      <c r="U85" s="39">
        <f t="shared" si="770"/>
        <v>0.18565590717812736</v>
      </c>
      <c r="V85" s="39">
        <f t="shared" si="770"/>
        <v>0.17476321462220815</v>
      </c>
      <c r="W85" s="39">
        <f t="shared" si="770"/>
        <v>0.22053013533581781</v>
      </c>
      <c r="X85" s="39">
        <f t="shared" si="770"/>
        <v>0.20938602989236993</v>
      </c>
      <c r="Y85" s="39">
        <f t="shared" si="770"/>
        <v>0.11636097855043379</v>
      </c>
      <c r="Z85" s="39">
        <f t="shared" si="770"/>
        <v>9.9062267348845934E-2</v>
      </c>
      <c r="AA85" s="39">
        <f t="shared" ref="AA85" si="771">(AA79-AA78)/AA151</f>
        <v>0.13673451657651353</v>
      </c>
      <c r="AB85" s="40">
        <f t="shared" si="770"/>
        <v>0.14682809760170618</v>
      </c>
      <c r="AC85" s="40">
        <f t="shared" si="770"/>
        <v>0.14831180787645212</v>
      </c>
      <c r="AD85" s="40">
        <f t="shared" si="770"/>
        <v>0.15996696001236757</v>
      </c>
      <c r="AE85" s="40">
        <f t="shared" si="770"/>
        <v>0.16695857751546259</v>
      </c>
      <c r="AF85" s="39"/>
      <c r="AG85" s="39"/>
      <c r="AH85" s="39"/>
      <c r="AI85" s="39"/>
      <c r="AJ85" s="39"/>
      <c r="AK85" s="39"/>
      <c r="AL85" s="39">
        <f t="shared" ref="AL85:BQ85" si="772">(SUM(AI79:AL79)-SUM(AI78:AL78))/AL151</f>
        <v>0.12714012179203929</v>
      </c>
      <c r="AM85" s="39">
        <f t="shared" si="772"/>
        <v>0.1351987837475282</v>
      </c>
      <c r="AN85" s="39">
        <f t="shared" si="772"/>
        <v>0.11616240790092491</v>
      </c>
      <c r="AO85" s="39">
        <f t="shared" si="772"/>
        <v>0.10442187650714481</v>
      </c>
      <c r="AP85" s="39">
        <f t="shared" si="772"/>
        <v>0.1047777573476045</v>
      </c>
      <c r="AQ85" s="39">
        <f t="shared" si="772"/>
        <v>0.12283943755905094</v>
      </c>
      <c r="AR85" s="39">
        <f t="shared" si="772"/>
        <v>0.1286476241811457</v>
      </c>
      <c r="AS85" s="39">
        <f t="shared" si="772"/>
        <v>0.1244967051313942</v>
      </c>
      <c r="AT85" s="39">
        <f t="shared" si="772"/>
        <v>0.13186636125312443</v>
      </c>
      <c r="AU85" s="39">
        <f t="shared" si="772"/>
        <v>0.13434117920456798</v>
      </c>
      <c r="AV85" s="39">
        <f t="shared" si="772"/>
        <v>0.14060596247647181</v>
      </c>
      <c r="AW85" s="39">
        <f t="shared" si="772"/>
        <v>0.14522480553727024</v>
      </c>
      <c r="AX85" s="39">
        <f t="shared" si="772"/>
        <v>0.1534973108744907</v>
      </c>
      <c r="AY85" s="39">
        <f t="shared" si="772"/>
        <v>0.15946653687695805</v>
      </c>
      <c r="AZ85" s="39">
        <f t="shared" si="772"/>
        <v>0.16900071290709615</v>
      </c>
      <c r="BA85" s="39">
        <f t="shared" si="772"/>
        <v>0.16671358481460638</v>
      </c>
      <c r="BB85" s="39">
        <f t="shared" si="772"/>
        <v>0.16181118938246628</v>
      </c>
      <c r="BC85" s="39">
        <f t="shared" si="772"/>
        <v>0.14125794545515405</v>
      </c>
      <c r="BD85" s="39">
        <f t="shared" si="772"/>
        <v>0.13275150935501223</v>
      </c>
      <c r="BE85" s="39">
        <f t="shared" si="772"/>
        <v>0.13431329126665931</v>
      </c>
      <c r="BF85" s="39">
        <f t="shared" si="772"/>
        <v>0.12952619279400079</v>
      </c>
      <c r="BG85" s="39">
        <f t="shared" si="772"/>
        <v>0.13186349662148453</v>
      </c>
      <c r="BH85" s="39">
        <f t="shared" si="772"/>
        <v>0.1363790842037628</v>
      </c>
      <c r="BI85" s="39">
        <f t="shared" si="772"/>
        <v>0.13631566231355144</v>
      </c>
      <c r="BJ85" s="39">
        <f t="shared" si="772"/>
        <v>0.14321901934240192</v>
      </c>
      <c r="BK85" s="39">
        <f t="shared" si="772"/>
        <v>0.14749136851075259</v>
      </c>
      <c r="BL85" s="39">
        <f t="shared" si="772"/>
        <v>0.15531594751401184</v>
      </c>
      <c r="BM85" s="39">
        <f t="shared" si="772"/>
        <v>0.18355681044984701</v>
      </c>
      <c r="BN85" s="39">
        <f t="shared" si="772"/>
        <v>0.18565590717812755</v>
      </c>
      <c r="BO85" s="39">
        <f t="shared" si="772"/>
        <v>0.17952179962077411</v>
      </c>
      <c r="BP85" s="39">
        <f t="shared" si="772"/>
        <v>0.18912639575492607</v>
      </c>
      <c r="BQ85" s="39">
        <f t="shared" si="772"/>
        <v>0.17483549076067684</v>
      </c>
      <c r="BR85" s="39">
        <f t="shared" ref="BR85:CW85" si="773">(SUM(BO79:BR79)-SUM(BO78:BR78))/BR151</f>
        <v>0.17476321462220804</v>
      </c>
      <c r="BS85" s="39">
        <f t="shared" si="773"/>
        <v>0.19535557179695795</v>
      </c>
      <c r="BT85" s="39">
        <f t="shared" si="773"/>
        <v>0.19708300728185335</v>
      </c>
      <c r="BU85" s="39">
        <f t="shared" si="773"/>
        <v>0.20724882881604298</v>
      </c>
      <c r="BV85" s="39">
        <f t="shared" si="773"/>
        <v>0.22053013533581786</v>
      </c>
      <c r="BW85" s="39">
        <f t="shared" si="773"/>
        <v>0.22910253167868699</v>
      </c>
      <c r="BX85" s="39">
        <f t="shared" si="773"/>
        <v>0.23850629225687631</v>
      </c>
      <c r="BY85" s="39">
        <f t="shared" si="773"/>
        <v>0.22654079355117701</v>
      </c>
      <c r="BZ85" s="39">
        <f t="shared" si="773"/>
        <v>0.20938602989237007</v>
      </c>
      <c r="CA85" s="39">
        <f t="shared" si="773"/>
        <v>0.17907253559216721</v>
      </c>
      <c r="CB85" s="39">
        <f t="shared" si="773"/>
        <v>0.15973556485047186</v>
      </c>
      <c r="CC85" s="39">
        <f t="shared" si="773"/>
        <v>0.13290572738635087</v>
      </c>
      <c r="CD85" s="39">
        <f t="shared" si="773"/>
        <v>0.11636097855043366</v>
      </c>
      <c r="CE85" s="39">
        <f t="shared" si="773"/>
        <v>0.10473232156191499</v>
      </c>
      <c r="CF85" s="39">
        <f t="shared" si="773"/>
        <v>9.4127766974430108E-2</v>
      </c>
      <c r="CG85" s="39">
        <f t="shared" si="773"/>
        <v>9.3486594410513574E-2</v>
      </c>
      <c r="CH85" s="39">
        <f t="shared" si="773"/>
        <v>9.9062267348846128E-2</v>
      </c>
      <c r="CI85" s="39">
        <f t="shared" si="773"/>
        <v>0.10957443875722522</v>
      </c>
      <c r="CJ85" s="39">
        <f t="shared" si="773"/>
        <v>0.12196067137025941</v>
      </c>
      <c r="CK85" s="39">
        <f t="shared" si="773"/>
        <v>0.1352527839676175</v>
      </c>
      <c r="CL85" s="39">
        <f t="shared" si="773"/>
        <v>0.13673451657651345</v>
      </c>
      <c r="CM85" s="40">
        <f t="shared" si="773"/>
        <v>0.1391849171870124</v>
      </c>
      <c r="CN85" s="40">
        <f t="shared" si="773"/>
        <v>0.14335999489445966</v>
      </c>
      <c r="CO85" s="40">
        <f t="shared" si="773"/>
        <v>0.14302454975531065</v>
      </c>
      <c r="CP85" s="40">
        <f t="shared" si="773"/>
        <v>0.14682809760170615</v>
      </c>
      <c r="CQ85" s="40">
        <f t="shared" si="773"/>
        <v>0.14706265758173748</v>
      </c>
      <c r="CR85" s="40">
        <f t="shared" si="773"/>
        <v>0.14740738248689109</v>
      </c>
      <c r="CS85" s="40">
        <f t="shared" si="773"/>
        <v>0.14717323637973528</v>
      </c>
      <c r="CT85" s="40">
        <f t="shared" si="773"/>
        <v>0.1483118078764521</v>
      </c>
      <c r="CU85" s="40">
        <f t="shared" si="773"/>
        <v>0.15170035330842951</v>
      </c>
      <c r="CV85" s="40">
        <f t="shared" si="773"/>
        <v>0.1547559445515311</v>
      </c>
      <c r="CW85" s="40">
        <f t="shared" si="773"/>
        <v>0.15747164837216113</v>
      </c>
      <c r="CX85" s="40">
        <f t="shared" ref="CX85:DB85" si="774">(SUM(CU79:CX79)-SUM(CU78:CX78))/CX151</f>
        <v>0.15996696001236763</v>
      </c>
      <c r="CY85" s="40">
        <f t="shared" si="774"/>
        <v>0.16206941518155868</v>
      </c>
      <c r="CZ85" s="40">
        <f t="shared" si="774"/>
        <v>0.16399828692851659</v>
      </c>
      <c r="DA85" s="40">
        <f t="shared" si="774"/>
        <v>0.16569506890277899</v>
      </c>
      <c r="DB85" s="40">
        <f t="shared" si="774"/>
        <v>0.16695857751546253</v>
      </c>
      <c r="DE85" s="120"/>
    </row>
    <row r="86" spans="1:110" s="38" customFormat="1" x14ac:dyDescent="0.2">
      <c r="A86" s="38" t="s">
        <v>351</v>
      </c>
      <c r="B86" s="39">
        <f t="shared" ref="B86:AE86" si="775">+B65/B160</f>
        <v>0.11148527796896328</v>
      </c>
      <c r="C86" s="39">
        <f t="shared" si="775"/>
        <v>4.6889473296384321E-2</v>
      </c>
      <c r="D86" s="39">
        <f t="shared" si="775"/>
        <v>0.12438889108441062</v>
      </c>
      <c r="E86" s="39">
        <f t="shared" si="775"/>
        <v>0.10286731434202059</v>
      </c>
      <c r="F86" s="39">
        <f t="shared" si="775"/>
        <v>9.5822481216513933E-2</v>
      </c>
      <c r="G86" s="39">
        <f t="shared" si="775"/>
        <v>0.15721081346738994</v>
      </c>
      <c r="H86" s="39">
        <f t="shared" si="775"/>
        <v>0.35187577014180421</v>
      </c>
      <c r="I86" s="39">
        <f t="shared" si="775"/>
        <v>0.14904575832650468</v>
      </c>
      <c r="J86" s="39">
        <f t="shared" si="775"/>
        <v>0.12610278664864522</v>
      </c>
      <c r="K86" s="39">
        <f t="shared" si="775"/>
        <v>0.20553632602678701</v>
      </c>
      <c r="L86" s="39">
        <f t="shared" si="775"/>
        <v>0.27359635980561026</v>
      </c>
      <c r="M86" s="39">
        <f t="shared" si="775"/>
        <v>0.2103079924169039</v>
      </c>
      <c r="N86" s="39">
        <f t="shared" si="775"/>
        <v>0.1103700439382015</v>
      </c>
      <c r="O86" s="39">
        <f t="shared" si="775"/>
        <v>6.613534675944821E-2</v>
      </c>
      <c r="P86" s="39">
        <f t="shared" si="775"/>
        <v>9.9853526461406661E-2</v>
      </c>
      <c r="Q86" s="39">
        <f t="shared" si="775"/>
        <v>0.13026336480221604</v>
      </c>
      <c r="R86" s="39">
        <f t="shared" si="775"/>
        <v>0.1228833079100249</v>
      </c>
      <c r="S86" s="39">
        <f t="shared" si="775"/>
        <v>8.8041667847136448E-2</v>
      </c>
      <c r="T86" s="39">
        <f t="shared" si="775"/>
        <v>0.1194522269977835</v>
      </c>
      <c r="U86" s="39">
        <f t="shared" si="775"/>
        <v>0.11874313763482522</v>
      </c>
      <c r="V86" s="39">
        <f t="shared" si="775"/>
        <v>0.16396874127825847</v>
      </c>
      <c r="W86" s="39">
        <f t="shared" si="775"/>
        <v>0.21363337081185757</v>
      </c>
      <c r="X86" s="39">
        <f t="shared" si="775"/>
        <v>0.20120277009027243</v>
      </c>
      <c r="Y86" s="39">
        <f t="shared" si="775"/>
        <v>0.11655952768600537</v>
      </c>
      <c r="Z86" s="39">
        <f t="shared" si="775"/>
        <v>0.11275209295645439</v>
      </c>
      <c r="AA86" s="39">
        <f t="shared" ref="AA86" si="776">+AA65/AA160</f>
        <v>0.13427615452019184</v>
      </c>
      <c r="AB86" s="40">
        <f t="shared" si="775"/>
        <v>0.15184248182728455</v>
      </c>
      <c r="AC86" s="40">
        <f t="shared" si="775"/>
        <v>0.15863685068580269</v>
      </c>
      <c r="AD86" s="40">
        <f t="shared" si="775"/>
        <v>0.17178445549078852</v>
      </c>
      <c r="AE86" s="40">
        <f t="shared" si="775"/>
        <v>0.18044072920229512</v>
      </c>
      <c r="AF86" s="39"/>
      <c r="AG86" s="39"/>
      <c r="AH86" s="39"/>
      <c r="AI86" s="39"/>
      <c r="AJ86" s="39"/>
      <c r="AK86" s="39"/>
      <c r="AL86" s="39">
        <f t="shared" ref="AL86:BQ86" si="777">+SUM(AI65:AL65)/AL160</f>
        <v>0.10393273713425363</v>
      </c>
      <c r="AM86" s="39">
        <f t="shared" si="777"/>
        <v>0.10755110505067983</v>
      </c>
      <c r="AN86" s="39">
        <f t="shared" si="777"/>
        <v>0.1182984585151321</v>
      </c>
      <c r="AO86" s="39">
        <f t="shared" si="777"/>
        <v>0.10023199132581041</v>
      </c>
      <c r="AP86" s="39">
        <f t="shared" si="777"/>
        <v>7.2958494137852034E-2</v>
      </c>
      <c r="AQ86" s="39">
        <f t="shared" si="777"/>
        <v>8.5791377204366845E-2</v>
      </c>
      <c r="AR86" s="39">
        <f t="shared" si="777"/>
        <v>0.11346265446614469</v>
      </c>
      <c r="AS86" s="39">
        <f t="shared" si="777"/>
        <v>0.11740048714566624</v>
      </c>
      <c r="AT86" s="39">
        <f t="shared" si="777"/>
        <v>0.10860820781529169</v>
      </c>
      <c r="AU86" s="39">
        <f t="shared" si="777"/>
        <v>0.12190529026787358</v>
      </c>
      <c r="AV86" s="39">
        <f t="shared" si="777"/>
        <v>0.13541356686363692</v>
      </c>
      <c r="AW86" s="39">
        <f t="shared" si="777"/>
        <v>0.14063661677849559</v>
      </c>
      <c r="AX86" s="39">
        <f t="shared" si="777"/>
        <v>0.137059012285625</v>
      </c>
      <c r="AY86" s="39">
        <f t="shared" si="777"/>
        <v>0.13792010334299534</v>
      </c>
      <c r="AZ86" s="39">
        <f t="shared" si="777"/>
        <v>0.13957113519841188</v>
      </c>
      <c r="BA86" s="39">
        <f t="shared" si="777"/>
        <v>0.1366272317474066</v>
      </c>
      <c r="BB86" s="39">
        <f t="shared" si="777"/>
        <v>0.13206940189027716</v>
      </c>
      <c r="BC86" s="39">
        <f t="shared" si="777"/>
        <v>0.11091776059575603</v>
      </c>
      <c r="BD86" s="39">
        <f t="shared" si="777"/>
        <v>8.9335517575816842E-2</v>
      </c>
      <c r="BE86" s="39">
        <f t="shared" si="777"/>
        <v>8.725086058725802E-2</v>
      </c>
      <c r="BF86" s="39">
        <f t="shared" si="777"/>
        <v>9.3386075599004789E-2</v>
      </c>
      <c r="BG86" s="39">
        <f t="shared" si="777"/>
        <v>0.10596755782238113</v>
      </c>
      <c r="BH86" s="39">
        <f t="shared" si="777"/>
        <v>0.1075277977169702</v>
      </c>
      <c r="BI86" s="39">
        <f t="shared" si="777"/>
        <v>0.11416567822809932</v>
      </c>
      <c r="BJ86" s="39">
        <f t="shared" si="777"/>
        <v>0.12501752493933671</v>
      </c>
      <c r="BK86" s="39">
        <f t="shared" si="777"/>
        <v>0.12662049999868547</v>
      </c>
      <c r="BL86" s="39">
        <f t="shared" si="777"/>
        <v>0.13085546925146604</v>
      </c>
      <c r="BM86" s="39">
        <f t="shared" si="777"/>
        <v>0.13368975156223101</v>
      </c>
      <c r="BN86" s="39">
        <f t="shared" si="777"/>
        <v>0.12664275723471691</v>
      </c>
      <c r="BO86" s="39">
        <f t="shared" si="777"/>
        <v>0.12480483391186852</v>
      </c>
      <c r="BP86" s="39">
        <f t="shared" si="777"/>
        <v>0.138533359013193</v>
      </c>
      <c r="BQ86" s="39">
        <f t="shared" si="777"/>
        <v>0.14855081270098244</v>
      </c>
      <c r="BR86" s="39">
        <f t="shared" ref="BR86:CW86" si="778">+SUM(BO65:BR65)/BR160</f>
        <v>0.16214583630157167</v>
      </c>
      <c r="BS86" s="39">
        <f t="shared" si="778"/>
        <v>0.18263855088859365</v>
      </c>
      <c r="BT86" s="39">
        <f t="shared" si="778"/>
        <v>0.18622905056410444</v>
      </c>
      <c r="BU86" s="39">
        <f t="shared" si="778"/>
        <v>0.20333929161122288</v>
      </c>
      <c r="BV86" s="39">
        <f t="shared" si="778"/>
        <v>0.21363337081185763</v>
      </c>
      <c r="BW86" s="39">
        <f t="shared" si="778"/>
        <v>0.22880959291921235</v>
      </c>
      <c r="BX86" s="39">
        <f t="shared" si="778"/>
        <v>0.2329611054010402</v>
      </c>
      <c r="BY86" s="39">
        <f t="shared" si="778"/>
        <v>0.22168760686937777</v>
      </c>
      <c r="BZ86" s="39">
        <f t="shared" si="778"/>
        <v>0.20120277009027246</v>
      </c>
      <c r="CA86" s="39">
        <f t="shared" si="778"/>
        <v>0.17481449961437195</v>
      </c>
      <c r="CB86" s="39">
        <f t="shared" si="778"/>
        <v>0.15688150543096652</v>
      </c>
      <c r="CC86" s="39">
        <f t="shared" si="778"/>
        <v>0.13647805282657635</v>
      </c>
      <c r="CD86" s="39">
        <f t="shared" si="778"/>
        <v>0.11655952768600529</v>
      </c>
      <c r="CE86" s="39">
        <f t="shared" si="778"/>
        <v>0.10732439398780166</v>
      </c>
      <c r="CF86" s="39">
        <f t="shared" si="778"/>
        <v>9.717685331149796E-2</v>
      </c>
      <c r="CG86" s="39">
        <f t="shared" si="778"/>
        <v>9.7293247328125956E-2</v>
      </c>
      <c r="CH86" s="39">
        <f t="shared" si="778"/>
        <v>0.11275209295645452</v>
      </c>
      <c r="CI86" s="39">
        <f t="shared" si="778"/>
        <v>0.12144740945639945</v>
      </c>
      <c r="CJ86" s="39">
        <f t="shared" si="778"/>
        <v>0.13307626801869532</v>
      </c>
      <c r="CK86" s="39">
        <f t="shared" si="778"/>
        <v>0.13747687701563011</v>
      </c>
      <c r="CL86" s="39">
        <f t="shared" si="778"/>
        <v>0.13381991684819047</v>
      </c>
      <c r="CM86" s="40">
        <f t="shared" si="778"/>
        <v>0.13623650003215401</v>
      </c>
      <c r="CN86" s="40">
        <f t="shared" si="778"/>
        <v>0.13975256071717243</v>
      </c>
      <c r="CO86" s="40">
        <f t="shared" si="778"/>
        <v>0.14545961377498862</v>
      </c>
      <c r="CP86" s="40">
        <f t="shared" si="778"/>
        <v>0.15184248182728452</v>
      </c>
      <c r="CQ86" s="40">
        <f t="shared" si="778"/>
        <v>0.15308226704480929</v>
      </c>
      <c r="CR86" s="40">
        <f t="shared" si="778"/>
        <v>0.15450673527467967</v>
      </c>
      <c r="CS86" s="40">
        <f t="shared" si="778"/>
        <v>0.1562921707358679</v>
      </c>
      <c r="CT86" s="40">
        <f t="shared" si="778"/>
        <v>0.15863685068580263</v>
      </c>
      <c r="CU86" s="40">
        <f t="shared" si="778"/>
        <v>0.16279607755297701</v>
      </c>
      <c r="CV86" s="40">
        <f t="shared" si="778"/>
        <v>0.16633968252598416</v>
      </c>
      <c r="CW86" s="40">
        <f t="shared" si="778"/>
        <v>0.16933935242093495</v>
      </c>
      <c r="CX86" s="40">
        <f t="shared" ref="CX86:DB86" si="779">+SUM(CU65:CX65)/CX160</f>
        <v>0.17178445549078852</v>
      </c>
      <c r="CY86" s="40">
        <f t="shared" si="779"/>
        <v>0.17445264778467984</v>
      </c>
      <c r="CZ86" s="40">
        <f t="shared" si="779"/>
        <v>0.17668249093522137</v>
      </c>
      <c r="DA86" s="40">
        <f t="shared" si="779"/>
        <v>0.17861611706929278</v>
      </c>
      <c r="DB86" s="40">
        <f t="shared" si="779"/>
        <v>0.18044072920229509</v>
      </c>
      <c r="DE86" s="120"/>
    </row>
    <row r="87" spans="1:110" s="1" customFormat="1" x14ac:dyDescent="0.2">
      <c r="A87" s="144" t="s">
        <v>488</v>
      </c>
      <c r="AB87" s="20"/>
      <c r="AC87" s="20"/>
      <c r="AD87" s="20"/>
      <c r="AE87" s="20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E87" s="118"/>
    </row>
    <row r="88" spans="1:110" s="8" customFormat="1" x14ac:dyDescent="0.2">
      <c r="A88" s="12" t="s">
        <v>26</v>
      </c>
      <c r="AB88" s="58"/>
      <c r="AC88" s="58"/>
      <c r="AD88" s="58"/>
      <c r="AE88" s="58"/>
      <c r="CM88" s="54"/>
      <c r="CN88" s="54"/>
      <c r="CO88" s="54"/>
      <c r="CP88" s="54"/>
      <c r="CQ88" s="54"/>
      <c r="CR88" s="54"/>
      <c r="CS88" s="54"/>
      <c r="CT88" s="54"/>
      <c r="CU88" s="54"/>
      <c r="CV88" s="54"/>
      <c r="CW88" s="54"/>
      <c r="CX88" s="54"/>
      <c r="CY88" s="54"/>
      <c r="CZ88" s="54"/>
      <c r="DA88" s="54"/>
      <c r="DB88" s="54"/>
      <c r="DE88" s="126"/>
    </row>
    <row r="89" spans="1:110" s="9" customFormat="1" x14ac:dyDescent="0.2">
      <c r="A89" s="9" t="s">
        <v>453</v>
      </c>
      <c r="N89" s="9">
        <f>N41-SUM(AI41:AL41)</f>
        <v>526.42509999999993</v>
      </c>
      <c r="O89" s="9">
        <f>O41-SUM(AM41:AP41)</f>
        <v>623.83029999999917</v>
      </c>
      <c r="P89" s="9">
        <f>P41-SUM(AQ41:AT41)</f>
        <v>12.600000000000364</v>
      </c>
      <c r="Q89" s="9">
        <f>Q41-SUM(AU41:AX41)</f>
        <v>16.75</v>
      </c>
      <c r="R89" s="9">
        <f>R41-SUM(AY41:BB41)</f>
        <v>4.4499999999998181</v>
      </c>
      <c r="S89" s="9">
        <f>S41-SUM(BC41:BF41)</f>
        <v>0</v>
      </c>
      <c r="T89" s="9">
        <f>T41-SUM(BG41:BJ41)</f>
        <v>-44.109999999999673</v>
      </c>
      <c r="U89" s="9">
        <f>U41-SUM(BK41:BN41)</f>
        <v>31.289999999999964</v>
      </c>
      <c r="V89" s="9">
        <f>V41-SUM(BO41:BR41)</f>
        <v>18.68000000000211</v>
      </c>
      <c r="W89" s="9">
        <f>W41-SUM(BS41:BV41)</f>
        <v>0</v>
      </c>
      <c r="X89" s="9">
        <f>X41-SUM(BW41:BZ41)</f>
        <v>104</v>
      </c>
      <c r="Y89" s="9">
        <f>Y41-SUM(CA41:CD41)</f>
        <v>76.709999999999127</v>
      </c>
      <c r="Z89" s="9">
        <f>Z41-SUM(CE41:CH41)</f>
        <v>119.16999999999825</v>
      </c>
      <c r="AA89" s="9">
        <f>AA41-SUM(CF41:CI41)</f>
        <v>840.8700000000008</v>
      </c>
      <c r="AB89" s="15">
        <f>AB41-SUM(CM41:CP41)</f>
        <v>0</v>
      </c>
      <c r="AC89" s="15">
        <f>AC41-SUM(CQ41:CT41)</f>
        <v>0</v>
      </c>
      <c r="AD89" s="15">
        <f>AD41-SUM(CU41:CX41)</f>
        <v>0</v>
      </c>
      <c r="AE89" s="15">
        <f>AE41-SUM(CY41:DB41)</f>
        <v>0</v>
      </c>
      <c r="CM89" s="59"/>
      <c r="CN89" s="59"/>
      <c r="CO89" s="59"/>
      <c r="CP89" s="59"/>
      <c r="CQ89" s="59"/>
      <c r="CR89" s="59"/>
      <c r="CS89" s="59"/>
      <c r="CT89" s="59"/>
      <c r="CU89" s="59"/>
      <c r="CV89" s="59"/>
      <c r="CW89" s="59"/>
      <c r="CX89" s="59"/>
      <c r="CY89" s="59"/>
      <c r="CZ89" s="59"/>
      <c r="DA89" s="59"/>
      <c r="DB89" s="59"/>
      <c r="DE89" s="127"/>
      <c r="DF89" s="9">
        <v>0</v>
      </c>
    </row>
    <row r="90" spans="1:110" s="9" customFormat="1" x14ac:dyDescent="0.2">
      <c r="A90" s="9" t="s">
        <v>454</v>
      </c>
      <c r="N90" s="9">
        <f>N47-SUM(AI47:AL47)</f>
        <v>267.07989999999995</v>
      </c>
      <c r="O90" s="9">
        <f>O47-SUM(AM47:AP47)</f>
        <v>257.09629999999947</v>
      </c>
      <c r="P90" s="9">
        <f>P47-SUM(AQ47:AT47)</f>
        <v>6.4500000000011823</v>
      </c>
      <c r="Q90" s="9">
        <f>Q47-SUM(AU47:AX47)</f>
        <v>16.980000000000018</v>
      </c>
      <c r="R90" s="9">
        <f>R47-SUM(AY47:BB47)</f>
        <v>-0.58999999999923602</v>
      </c>
      <c r="S90" s="9">
        <f>S47-SUM(BC47:BF47)</f>
        <v>0</v>
      </c>
      <c r="T90" s="9">
        <f>T47-SUM(BG47:BJ47)</f>
        <v>4.430000000000291</v>
      </c>
      <c r="U90" s="9">
        <f>U47-SUM(BK47:BN47)</f>
        <v>31.309999999999491</v>
      </c>
      <c r="V90" s="9">
        <f>V47-SUM(BO47:BR47)</f>
        <v>18.680000000000291</v>
      </c>
      <c r="W90" s="9">
        <f>W47-SUM(BS47:BV47)</f>
        <v>0</v>
      </c>
      <c r="X90" s="9">
        <f>X47-SUM(BW47:BZ47)</f>
        <v>104</v>
      </c>
      <c r="Y90" s="9">
        <f>Y47-SUM(CA47:CD47)</f>
        <v>76.710000000000036</v>
      </c>
      <c r="Z90" s="9">
        <f>Z47-SUM(CE47:CH47)</f>
        <v>119.16999999999916</v>
      </c>
      <c r="AA90" s="9">
        <f>AA47-SUM(CF47:CI47)</f>
        <v>826.00000000000091</v>
      </c>
      <c r="AB90" s="15">
        <f>AB47-SUM(CM47:CP47)</f>
        <v>0</v>
      </c>
      <c r="AC90" s="15">
        <f>AC47-SUM(CQ47:CT47)</f>
        <v>0</v>
      </c>
      <c r="AD90" s="15">
        <f>AD47-SUM(CU47:CX47)</f>
        <v>0</v>
      </c>
      <c r="AE90" s="15">
        <f>AE47-SUM(CY47:DB47)</f>
        <v>0</v>
      </c>
      <c r="CM90" s="59"/>
      <c r="CN90" s="59"/>
      <c r="CO90" s="59"/>
      <c r="CP90" s="59"/>
      <c r="CQ90" s="59"/>
      <c r="CR90" s="59"/>
      <c r="CS90" s="59"/>
      <c r="CT90" s="59"/>
      <c r="CU90" s="59"/>
      <c r="CV90" s="59"/>
      <c r="CW90" s="59"/>
      <c r="CX90" s="59"/>
      <c r="CY90" s="59"/>
      <c r="CZ90" s="59"/>
      <c r="DA90" s="59"/>
      <c r="DB90" s="59"/>
      <c r="DE90" s="127"/>
      <c r="DF90" s="9">
        <v>0</v>
      </c>
    </row>
    <row r="91" spans="1:110" s="9" customFormat="1" x14ac:dyDescent="0.2">
      <c r="A91" s="9" t="s">
        <v>455</v>
      </c>
      <c r="N91" s="9">
        <f>N59-SUM(AI59:AL59)</f>
        <v>86.206900000000019</v>
      </c>
      <c r="O91" s="9">
        <f>O59-SUM(AM59:AP59)</f>
        <v>15.760799999999506</v>
      </c>
      <c r="P91" s="9">
        <f>P59-SUM(AQ59:AT59)</f>
        <v>3.1600000000012187</v>
      </c>
      <c r="Q91" s="9">
        <f>Q59-SUM(AU59:AX59)</f>
        <v>5.260000000000332</v>
      </c>
      <c r="R91" s="9">
        <f>R59-SUM(AY59:BB59)</f>
        <v>4.0500000000006366</v>
      </c>
      <c r="S91" s="9">
        <f>S59-SUM(BC59:BF59)</f>
        <v>0</v>
      </c>
      <c r="T91" s="9">
        <f>T59-SUM(BG59:BJ59)</f>
        <v>8.1799999999998363</v>
      </c>
      <c r="U91" s="9">
        <f>U59-SUM(BK59:BN59)</f>
        <v>27.809999999999491</v>
      </c>
      <c r="V91" s="9">
        <f>V59-SUM(BO59:BR59)</f>
        <v>18.680000000000746</v>
      </c>
      <c r="W91" s="9">
        <f>W59-SUM(BS59:BV59)</f>
        <v>0</v>
      </c>
      <c r="X91" s="9">
        <f>X59-SUM(BW59:BZ59)</f>
        <v>0</v>
      </c>
      <c r="Y91" s="9">
        <f>Y59-SUM(CA59:CD59)</f>
        <v>0</v>
      </c>
      <c r="Z91" s="9">
        <f>Z59-SUM(CE59:CH59)</f>
        <v>0</v>
      </c>
      <c r="AA91" s="9">
        <f>AA59-SUM(CF59:CI59)</f>
        <v>473.47000000000116</v>
      </c>
      <c r="AB91" s="15">
        <f>AB59-SUM(CM59:CP59)</f>
        <v>0</v>
      </c>
      <c r="AC91" s="15">
        <f>AC59-SUM(CQ59:CT59)</f>
        <v>0</v>
      </c>
      <c r="AD91" s="15">
        <f>AD59-SUM(CU59:CX59)</f>
        <v>0</v>
      </c>
      <c r="AE91" s="15">
        <f>AE59-SUM(CY59:DB59)</f>
        <v>0</v>
      </c>
      <c r="CM91" s="59"/>
      <c r="CN91" s="59"/>
      <c r="CO91" s="59"/>
      <c r="CP91" s="59"/>
      <c r="CQ91" s="59"/>
      <c r="CR91" s="59"/>
      <c r="CS91" s="59"/>
      <c r="CT91" s="59"/>
      <c r="CU91" s="59"/>
      <c r="CV91" s="59"/>
      <c r="CW91" s="59"/>
      <c r="CX91" s="59"/>
      <c r="CY91" s="59"/>
      <c r="CZ91" s="59"/>
      <c r="DA91" s="59"/>
      <c r="DB91" s="59"/>
      <c r="DE91" s="127"/>
      <c r="DF91" s="9">
        <v>0</v>
      </c>
    </row>
    <row r="92" spans="1:110" s="9" customFormat="1" x14ac:dyDescent="0.2">
      <c r="A92" s="9" t="s">
        <v>456</v>
      </c>
      <c r="N92" s="9">
        <f>N79-SUM(AI79:AL79)</f>
        <v>-5.558400000000006</v>
      </c>
      <c r="O92" s="9">
        <f>O79-SUM(AM79:AP79)</f>
        <v>-54.081400000000542</v>
      </c>
      <c r="P92" s="9">
        <f>P79-SUM(AQ79:AT79)</f>
        <v>1.1937117960769683E-12</v>
      </c>
      <c r="Q92" s="9">
        <f>Q79-SUM(AU79:AX79)</f>
        <v>5.7800000000002569</v>
      </c>
      <c r="R92" s="9">
        <f>R79-SUM(AY79:BB79)</f>
        <v>0</v>
      </c>
      <c r="S92" s="9">
        <f>S79-SUM(BC79:BF79)</f>
        <v>1.0000000000843556E-2</v>
      </c>
      <c r="T92" s="9">
        <f>T79-SUM(BG79:BJ79)</f>
        <v>-1.0000000000331966E-2</v>
      </c>
      <c r="U92" s="9">
        <f>U79-SUM(BK79:BN79)</f>
        <v>0</v>
      </c>
      <c r="V92" s="9">
        <f>V79-SUM(BO79:BR79)</f>
        <v>0</v>
      </c>
      <c r="W92" s="9">
        <f>W72-SUM(BS72:BV72)</f>
        <v>0</v>
      </c>
      <c r="X92" s="9">
        <f>X72-SUM(BW72:BZ72)</f>
        <v>0</v>
      </c>
      <c r="Y92" s="9">
        <f>Y72-SUM(CA72:CD72)</f>
        <v>0</v>
      </c>
      <c r="Z92" s="9">
        <f>Z72-SUM(CE72:CH72)</f>
        <v>-2.5011104298755527E-12</v>
      </c>
      <c r="AA92" s="9">
        <f>AA72-SUM(CF72:CI72)</f>
        <v>489.25000000000045</v>
      </c>
      <c r="AB92" s="15">
        <f>AB72-SUM(CM72:CP72)</f>
        <v>0</v>
      </c>
      <c r="AC92" s="15">
        <f>AC72-SUM(CQ72:CT72)</f>
        <v>0</v>
      </c>
      <c r="AD92" s="15">
        <f>AD72-SUM(CU72:CX72)</f>
        <v>0</v>
      </c>
      <c r="AE92" s="15">
        <f>AE72-SUM(CY72:DB72)</f>
        <v>0</v>
      </c>
      <c r="CM92" s="59"/>
      <c r="CN92" s="59"/>
      <c r="CO92" s="59"/>
      <c r="CP92" s="59"/>
      <c r="CQ92" s="59"/>
      <c r="CR92" s="59"/>
      <c r="CS92" s="59"/>
      <c r="CT92" s="59"/>
      <c r="CU92" s="59"/>
      <c r="CV92" s="59"/>
      <c r="CW92" s="59"/>
      <c r="CX92" s="59"/>
      <c r="CY92" s="59"/>
      <c r="CZ92" s="59"/>
      <c r="DA92" s="59"/>
      <c r="DB92" s="59"/>
      <c r="DE92" s="127"/>
      <c r="DF92" s="9">
        <v>0</v>
      </c>
    </row>
    <row r="93" spans="1:110" s="8" customFormat="1" x14ac:dyDescent="0.2">
      <c r="A93" s="143" t="s">
        <v>489</v>
      </c>
      <c r="AB93" s="58"/>
      <c r="AC93" s="58"/>
      <c r="AD93" s="58"/>
      <c r="AE93" s="58"/>
      <c r="CM93" s="54"/>
      <c r="CN93" s="54"/>
      <c r="CO93" s="54"/>
      <c r="CP93" s="54"/>
      <c r="CQ93" s="54"/>
      <c r="CR93" s="54"/>
      <c r="CS93" s="54"/>
      <c r="CT93" s="54"/>
      <c r="CU93" s="54"/>
      <c r="CV93" s="54"/>
      <c r="CW93" s="54"/>
      <c r="CX93" s="54"/>
      <c r="CY93" s="54"/>
      <c r="CZ93" s="54"/>
      <c r="DA93" s="54"/>
      <c r="DB93" s="54"/>
      <c r="DE93" s="126"/>
    </row>
    <row r="94" spans="1:110" s="3" customFormat="1" x14ac:dyDescent="0.2">
      <c r="A94" s="3" t="s">
        <v>27</v>
      </c>
      <c r="B94" s="3">
        <f>'Annual Raw'!C104</f>
        <v>64.523799999999994</v>
      </c>
      <c r="C94" s="3">
        <f>'Annual Raw'!D104</f>
        <v>64.524299999999997</v>
      </c>
      <c r="D94" s="3">
        <f>'Annual Raw'!E104</f>
        <v>64.5261</v>
      </c>
      <c r="E94" s="3">
        <f t="shared" ref="E94:Y94" si="780">+F94</f>
        <v>296.42</v>
      </c>
      <c r="F94" s="3">
        <f t="shared" si="780"/>
        <v>296.42</v>
      </c>
      <c r="G94" s="3">
        <f t="shared" si="780"/>
        <v>296.42</v>
      </c>
      <c r="H94" s="3">
        <f t="shared" si="780"/>
        <v>296.42</v>
      </c>
      <c r="I94" s="3">
        <f t="shared" si="780"/>
        <v>296.42</v>
      </c>
      <c r="J94" s="3">
        <f t="shared" si="780"/>
        <v>296.42</v>
      </c>
      <c r="K94" s="3">
        <f t="shared" si="780"/>
        <v>296.42</v>
      </c>
      <c r="L94" s="3">
        <f t="shared" si="780"/>
        <v>296.42</v>
      </c>
      <c r="M94" s="3">
        <f t="shared" si="780"/>
        <v>296.42</v>
      </c>
      <c r="N94" s="3">
        <f t="shared" si="780"/>
        <v>296.42</v>
      </c>
      <c r="O94" s="3">
        <f t="shared" si="780"/>
        <v>296.42</v>
      </c>
      <c r="P94" s="3">
        <f t="shared" si="780"/>
        <v>296.42</v>
      </c>
      <c r="Q94" s="3">
        <f t="shared" si="780"/>
        <v>296.42</v>
      </c>
      <c r="R94" s="3">
        <f t="shared" si="780"/>
        <v>296.42</v>
      </c>
      <c r="S94" s="3">
        <f t="shared" si="780"/>
        <v>296.42</v>
      </c>
      <c r="T94" s="3">
        <f t="shared" si="780"/>
        <v>296.42</v>
      </c>
      <c r="U94" s="3">
        <f t="shared" si="780"/>
        <v>296.42</v>
      </c>
      <c r="V94" s="3">
        <f t="shared" si="780"/>
        <v>296.42</v>
      </c>
      <c r="W94" s="3">
        <f t="shared" si="780"/>
        <v>296.42</v>
      </c>
      <c r="X94" s="3">
        <f t="shared" si="780"/>
        <v>296.42</v>
      </c>
      <c r="Y94" s="3">
        <f t="shared" si="780"/>
        <v>296.42</v>
      </c>
      <c r="Z94" s="3">
        <f>+AA94</f>
        <v>296.42</v>
      </c>
      <c r="AA94" s="3">
        <f>+AB94</f>
        <v>296.42</v>
      </c>
      <c r="AB94" s="37">
        <f>CP94</f>
        <v>296.42</v>
      </c>
      <c r="AC94" s="37">
        <f>CT94</f>
        <v>296.42</v>
      </c>
      <c r="AD94" s="37">
        <f>CX94</f>
        <v>296.42</v>
      </c>
      <c r="AE94" s="37">
        <f>DB94</f>
        <v>296.42</v>
      </c>
      <c r="AI94" s="3">
        <f t="shared" ref="AI94:CH94" si="781">+AJ94</f>
        <v>296.42</v>
      </c>
      <c r="AJ94" s="3">
        <f t="shared" si="781"/>
        <v>296.42</v>
      </c>
      <c r="AK94" s="3">
        <f t="shared" si="781"/>
        <v>296.42</v>
      </c>
      <c r="AL94" s="3">
        <f t="shared" si="781"/>
        <v>296.42</v>
      </c>
      <c r="AM94" s="3">
        <f t="shared" si="781"/>
        <v>296.42</v>
      </c>
      <c r="AN94" s="3">
        <f t="shared" si="781"/>
        <v>296.42</v>
      </c>
      <c r="AO94" s="3">
        <f t="shared" si="781"/>
        <v>296.42</v>
      </c>
      <c r="AP94" s="3">
        <f t="shared" si="781"/>
        <v>296.42</v>
      </c>
      <c r="AQ94" s="3">
        <f t="shared" si="781"/>
        <v>296.42</v>
      </c>
      <c r="AR94" s="3">
        <f t="shared" si="781"/>
        <v>296.42</v>
      </c>
      <c r="AS94" s="3">
        <f t="shared" si="781"/>
        <v>296.42</v>
      </c>
      <c r="AT94" s="3">
        <f t="shared" si="781"/>
        <v>296.42</v>
      </c>
      <c r="AU94" s="3">
        <f t="shared" si="781"/>
        <v>296.42</v>
      </c>
      <c r="AV94" s="3">
        <f t="shared" si="781"/>
        <v>296.42</v>
      </c>
      <c r="AW94" s="3">
        <f t="shared" si="781"/>
        <v>296.42</v>
      </c>
      <c r="AX94" s="3">
        <f t="shared" si="781"/>
        <v>296.42</v>
      </c>
      <c r="AY94" s="3">
        <f t="shared" si="781"/>
        <v>296.42</v>
      </c>
      <c r="AZ94" s="3">
        <f t="shared" si="781"/>
        <v>296.42</v>
      </c>
      <c r="BA94" s="3">
        <f t="shared" si="781"/>
        <v>296.42</v>
      </c>
      <c r="BB94" s="3">
        <f t="shared" si="781"/>
        <v>296.42</v>
      </c>
      <c r="BC94" s="3">
        <f t="shared" si="781"/>
        <v>296.42</v>
      </c>
      <c r="BD94" s="3">
        <f t="shared" si="781"/>
        <v>296.42</v>
      </c>
      <c r="BE94" s="3">
        <f t="shared" si="781"/>
        <v>296.42</v>
      </c>
      <c r="BF94" s="3">
        <f t="shared" si="781"/>
        <v>296.42</v>
      </c>
      <c r="BG94" s="3">
        <f t="shared" si="781"/>
        <v>296.42</v>
      </c>
      <c r="BH94" s="3">
        <f t="shared" si="781"/>
        <v>296.42</v>
      </c>
      <c r="BI94" s="3">
        <f t="shared" si="781"/>
        <v>296.42</v>
      </c>
      <c r="BJ94" s="3">
        <f t="shared" si="781"/>
        <v>296.42</v>
      </c>
      <c r="BK94" s="3">
        <f t="shared" si="781"/>
        <v>296.42</v>
      </c>
      <c r="BL94" s="3">
        <f t="shared" si="781"/>
        <v>296.42</v>
      </c>
      <c r="BM94" s="3">
        <f t="shared" si="781"/>
        <v>296.42</v>
      </c>
      <c r="BN94" s="3">
        <f t="shared" si="781"/>
        <v>296.42</v>
      </c>
      <c r="BO94" s="3">
        <f t="shared" si="781"/>
        <v>296.42</v>
      </c>
      <c r="BP94" s="3">
        <f t="shared" si="781"/>
        <v>296.42</v>
      </c>
      <c r="BQ94" s="3">
        <f t="shared" si="781"/>
        <v>296.42</v>
      </c>
      <c r="BR94" s="3">
        <f t="shared" si="781"/>
        <v>296.42</v>
      </c>
      <c r="BS94" s="3">
        <f t="shared" si="781"/>
        <v>296.42</v>
      </c>
      <c r="BT94" s="3">
        <f t="shared" si="781"/>
        <v>296.42</v>
      </c>
      <c r="BU94" s="3">
        <f t="shared" si="781"/>
        <v>296.42</v>
      </c>
      <c r="BV94" s="3">
        <f t="shared" si="781"/>
        <v>296.42</v>
      </c>
      <c r="BW94" s="3">
        <f t="shared" si="781"/>
        <v>296.42</v>
      </c>
      <c r="BX94" s="3">
        <f t="shared" si="781"/>
        <v>296.42</v>
      </c>
      <c r="BY94" s="3">
        <f t="shared" si="781"/>
        <v>296.42</v>
      </c>
      <c r="BZ94" s="3">
        <f t="shared" si="781"/>
        <v>296.42</v>
      </c>
      <c r="CA94" s="3">
        <f t="shared" si="781"/>
        <v>296.42</v>
      </c>
      <c r="CB94" s="3">
        <f t="shared" si="781"/>
        <v>296.42</v>
      </c>
      <c r="CC94" s="3">
        <f t="shared" si="781"/>
        <v>296.42</v>
      </c>
      <c r="CD94" s="3">
        <f t="shared" si="781"/>
        <v>296.42</v>
      </c>
      <c r="CE94" s="3">
        <f t="shared" si="781"/>
        <v>296.42</v>
      </c>
      <c r="CF94" s="3">
        <f t="shared" si="781"/>
        <v>296.42</v>
      </c>
      <c r="CG94" s="3">
        <f t="shared" si="781"/>
        <v>296.42</v>
      </c>
      <c r="CH94" s="3">
        <f t="shared" si="781"/>
        <v>296.42</v>
      </c>
      <c r="CI94" s="3">
        <f>+CJ94</f>
        <v>296.42</v>
      </c>
      <c r="CJ94" s="3">
        <f>'QTR Raw'!BD45</f>
        <v>296.42</v>
      </c>
      <c r="CK94" s="3">
        <f>'QTR Raw'!BE45</f>
        <v>296.42</v>
      </c>
      <c r="CL94" s="3">
        <f>'QTR Raw'!BF45</f>
        <v>296.42</v>
      </c>
      <c r="CM94" s="37">
        <f t="shared" ref="CM94:CM95" si="782">+CL94</f>
        <v>296.42</v>
      </c>
      <c r="CN94" s="37">
        <f t="shared" ref="CN94:CN95" si="783">+CM94</f>
        <v>296.42</v>
      </c>
      <c r="CO94" s="37">
        <f t="shared" ref="CO94:CO95" si="784">+CN94</f>
        <v>296.42</v>
      </c>
      <c r="CP94" s="37">
        <f t="shared" ref="CP94:CP95" si="785">+CO94</f>
        <v>296.42</v>
      </c>
      <c r="CQ94" s="37">
        <f t="shared" ref="CQ94:CQ95" si="786">+CP94</f>
        <v>296.42</v>
      </c>
      <c r="CR94" s="37">
        <f t="shared" ref="CR94:CR95" si="787">+CQ94</f>
        <v>296.42</v>
      </c>
      <c r="CS94" s="37">
        <f t="shared" ref="CS94:CS95" si="788">+CR94</f>
        <v>296.42</v>
      </c>
      <c r="CT94" s="37">
        <f t="shared" ref="CT94:CT95" si="789">+CS94</f>
        <v>296.42</v>
      </c>
      <c r="CU94" s="37">
        <f t="shared" ref="CU94:CU95" si="790">+CT94</f>
        <v>296.42</v>
      </c>
      <c r="CV94" s="37">
        <f t="shared" ref="CV94:CV95" si="791">+CU94</f>
        <v>296.42</v>
      </c>
      <c r="CW94" s="37">
        <f t="shared" ref="CW94:CW95" si="792">+CV94</f>
        <v>296.42</v>
      </c>
      <c r="CX94" s="37">
        <f t="shared" ref="CX94:CX95" si="793">+CW94</f>
        <v>296.42</v>
      </c>
      <c r="CY94" s="37">
        <f t="shared" ref="CY94:CY95" si="794">+CX94</f>
        <v>296.42</v>
      </c>
      <c r="CZ94" s="37">
        <f t="shared" ref="CZ94:CZ95" si="795">+CY94</f>
        <v>296.42</v>
      </c>
      <c r="DA94" s="37">
        <f t="shared" ref="DA94:DA95" si="796">+CZ94</f>
        <v>296.42</v>
      </c>
      <c r="DB94" s="37">
        <f t="shared" ref="DB94:DB95" si="797">+DA94</f>
        <v>296.42</v>
      </c>
      <c r="DE94" s="128"/>
      <c r="DF94" s="3">
        <v>0</v>
      </c>
    </row>
    <row r="95" spans="1:110" s="3" customFormat="1" x14ac:dyDescent="0.2">
      <c r="A95" s="3" t="s">
        <v>28</v>
      </c>
      <c r="B95" s="3">
        <f>'Annual Raw'!C105</f>
        <v>10</v>
      </c>
      <c r="C95" s="3">
        <f>'Annual Raw'!D105</f>
        <v>10</v>
      </c>
      <c r="D95" s="3">
        <f>'Annual Raw'!E105</f>
        <v>10</v>
      </c>
      <c r="E95" s="3">
        <f t="shared" ref="E95:Y95" si="798">+F95</f>
        <v>10</v>
      </c>
      <c r="F95" s="3">
        <f t="shared" si="798"/>
        <v>10</v>
      </c>
      <c r="G95" s="3">
        <f t="shared" si="798"/>
        <v>10</v>
      </c>
      <c r="H95" s="3">
        <f t="shared" si="798"/>
        <v>10</v>
      </c>
      <c r="I95" s="3">
        <f t="shared" si="798"/>
        <v>10</v>
      </c>
      <c r="J95" s="3">
        <f t="shared" si="798"/>
        <v>10</v>
      </c>
      <c r="K95" s="3">
        <f t="shared" si="798"/>
        <v>10</v>
      </c>
      <c r="L95" s="3">
        <f t="shared" si="798"/>
        <v>10</v>
      </c>
      <c r="M95" s="3">
        <f t="shared" si="798"/>
        <v>10</v>
      </c>
      <c r="N95" s="3">
        <f t="shared" si="798"/>
        <v>10</v>
      </c>
      <c r="O95" s="3">
        <f t="shared" si="798"/>
        <v>10</v>
      </c>
      <c r="P95" s="3">
        <f t="shared" si="798"/>
        <v>10</v>
      </c>
      <c r="Q95" s="3">
        <f t="shared" si="798"/>
        <v>10</v>
      </c>
      <c r="R95" s="3">
        <f t="shared" si="798"/>
        <v>10</v>
      </c>
      <c r="S95" s="3">
        <f t="shared" si="798"/>
        <v>10</v>
      </c>
      <c r="T95" s="3">
        <f t="shared" si="798"/>
        <v>10</v>
      </c>
      <c r="U95" s="3">
        <f t="shared" si="798"/>
        <v>10</v>
      </c>
      <c r="V95" s="3">
        <f t="shared" si="798"/>
        <v>10</v>
      </c>
      <c r="W95" s="3">
        <f t="shared" si="798"/>
        <v>10</v>
      </c>
      <c r="X95" s="3">
        <f t="shared" si="798"/>
        <v>10</v>
      </c>
      <c r="Y95" s="3">
        <f t="shared" si="798"/>
        <v>10</v>
      </c>
      <c r="Z95" s="3">
        <f>+AA95</f>
        <v>10</v>
      </c>
      <c r="AA95" s="3">
        <f>+AB95</f>
        <v>10</v>
      </c>
      <c r="AB95" s="37">
        <f>CP95</f>
        <v>10</v>
      </c>
      <c r="AC95" s="37">
        <f>CT95</f>
        <v>10</v>
      </c>
      <c r="AD95" s="37">
        <f>CX95</f>
        <v>10</v>
      </c>
      <c r="AE95" s="37">
        <f>DB95</f>
        <v>10</v>
      </c>
      <c r="AI95" s="3">
        <f t="shared" ref="AI95:CH95" si="799">AJ95</f>
        <v>10</v>
      </c>
      <c r="AJ95" s="3">
        <f t="shared" si="799"/>
        <v>10</v>
      </c>
      <c r="AK95" s="3">
        <f t="shared" si="799"/>
        <v>10</v>
      </c>
      <c r="AL95" s="3">
        <f t="shared" si="799"/>
        <v>10</v>
      </c>
      <c r="AM95" s="3">
        <f t="shared" si="799"/>
        <v>10</v>
      </c>
      <c r="AN95" s="3">
        <f t="shared" si="799"/>
        <v>10</v>
      </c>
      <c r="AO95" s="3">
        <f t="shared" si="799"/>
        <v>10</v>
      </c>
      <c r="AP95" s="3">
        <f t="shared" si="799"/>
        <v>10</v>
      </c>
      <c r="AQ95" s="3">
        <f t="shared" si="799"/>
        <v>10</v>
      </c>
      <c r="AR95" s="3">
        <f t="shared" si="799"/>
        <v>10</v>
      </c>
      <c r="AS95" s="3">
        <f t="shared" si="799"/>
        <v>10</v>
      </c>
      <c r="AT95" s="3">
        <f t="shared" si="799"/>
        <v>10</v>
      </c>
      <c r="AU95" s="3">
        <f t="shared" si="799"/>
        <v>10</v>
      </c>
      <c r="AV95" s="3">
        <f t="shared" si="799"/>
        <v>10</v>
      </c>
      <c r="AW95" s="3">
        <f t="shared" si="799"/>
        <v>10</v>
      </c>
      <c r="AX95" s="3">
        <f t="shared" si="799"/>
        <v>10</v>
      </c>
      <c r="AY95" s="3">
        <f t="shared" si="799"/>
        <v>10</v>
      </c>
      <c r="AZ95" s="3">
        <f t="shared" si="799"/>
        <v>10</v>
      </c>
      <c r="BA95" s="3">
        <f t="shared" si="799"/>
        <v>10</v>
      </c>
      <c r="BB95" s="3">
        <f t="shared" si="799"/>
        <v>10</v>
      </c>
      <c r="BC95" s="3">
        <f t="shared" si="799"/>
        <v>10</v>
      </c>
      <c r="BD95" s="3">
        <f t="shared" si="799"/>
        <v>10</v>
      </c>
      <c r="BE95" s="3">
        <f t="shared" si="799"/>
        <v>10</v>
      </c>
      <c r="BF95" s="3">
        <f t="shared" si="799"/>
        <v>10</v>
      </c>
      <c r="BG95" s="3">
        <f t="shared" si="799"/>
        <v>10</v>
      </c>
      <c r="BH95" s="3">
        <f t="shared" si="799"/>
        <v>10</v>
      </c>
      <c r="BI95" s="3">
        <f t="shared" si="799"/>
        <v>10</v>
      </c>
      <c r="BJ95" s="3">
        <f t="shared" si="799"/>
        <v>10</v>
      </c>
      <c r="BK95" s="3">
        <f t="shared" si="799"/>
        <v>10</v>
      </c>
      <c r="BL95" s="3">
        <f t="shared" si="799"/>
        <v>10</v>
      </c>
      <c r="BM95" s="3">
        <f t="shared" si="799"/>
        <v>10</v>
      </c>
      <c r="BN95" s="3">
        <f t="shared" si="799"/>
        <v>10</v>
      </c>
      <c r="BO95" s="3">
        <f t="shared" si="799"/>
        <v>10</v>
      </c>
      <c r="BP95" s="3">
        <f t="shared" si="799"/>
        <v>10</v>
      </c>
      <c r="BQ95" s="3">
        <f t="shared" si="799"/>
        <v>10</v>
      </c>
      <c r="BR95" s="3">
        <f t="shared" si="799"/>
        <v>10</v>
      </c>
      <c r="BS95" s="3">
        <f t="shared" si="799"/>
        <v>10</v>
      </c>
      <c r="BT95" s="3">
        <f t="shared" si="799"/>
        <v>10</v>
      </c>
      <c r="BU95" s="3">
        <f t="shared" si="799"/>
        <v>10</v>
      </c>
      <c r="BV95" s="3">
        <f t="shared" si="799"/>
        <v>10</v>
      </c>
      <c r="BW95" s="3">
        <f t="shared" si="799"/>
        <v>10</v>
      </c>
      <c r="BX95" s="3">
        <f t="shared" si="799"/>
        <v>10</v>
      </c>
      <c r="BY95" s="3">
        <f t="shared" si="799"/>
        <v>10</v>
      </c>
      <c r="BZ95" s="3">
        <f t="shared" si="799"/>
        <v>10</v>
      </c>
      <c r="CA95" s="3">
        <f t="shared" si="799"/>
        <v>10</v>
      </c>
      <c r="CB95" s="3">
        <f t="shared" si="799"/>
        <v>10</v>
      </c>
      <c r="CC95" s="3">
        <f t="shared" si="799"/>
        <v>10</v>
      </c>
      <c r="CD95" s="3">
        <f t="shared" si="799"/>
        <v>10</v>
      </c>
      <c r="CE95" s="3">
        <f t="shared" si="799"/>
        <v>10</v>
      </c>
      <c r="CF95" s="3">
        <f t="shared" si="799"/>
        <v>10</v>
      </c>
      <c r="CG95" s="3">
        <f t="shared" si="799"/>
        <v>10</v>
      </c>
      <c r="CH95" s="3">
        <f t="shared" si="799"/>
        <v>10</v>
      </c>
      <c r="CI95" s="3">
        <f>CJ95</f>
        <v>10</v>
      </c>
      <c r="CJ95" s="3">
        <f>'QTR Raw'!BD46</f>
        <v>10</v>
      </c>
      <c r="CK95" s="3">
        <f>'QTR Raw'!BE46</f>
        <v>10</v>
      </c>
      <c r="CL95" s="3">
        <f>'QTR Raw'!BF46</f>
        <v>10</v>
      </c>
      <c r="CM95" s="37">
        <f t="shared" si="782"/>
        <v>10</v>
      </c>
      <c r="CN95" s="37">
        <f t="shared" si="783"/>
        <v>10</v>
      </c>
      <c r="CO95" s="37">
        <f t="shared" si="784"/>
        <v>10</v>
      </c>
      <c r="CP95" s="37">
        <f t="shared" si="785"/>
        <v>10</v>
      </c>
      <c r="CQ95" s="37">
        <f t="shared" si="786"/>
        <v>10</v>
      </c>
      <c r="CR95" s="37">
        <f t="shared" si="787"/>
        <v>10</v>
      </c>
      <c r="CS95" s="37">
        <f t="shared" si="788"/>
        <v>10</v>
      </c>
      <c r="CT95" s="37">
        <f t="shared" si="789"/>
        <v>10</v>
      </c>
      <c r="CU95" s="37">
        <f t="shared" si="790"/>
        <v>10</v>
      </c>
      <c r="CV95" s="37">
        <f t="shared" si="791"/>
        <v>10</v>
      </c>
      <c r="CW95" s="37">
        <f t="shared" si="792"/>
        <v>10</v>
      </c>
      <c r="CX95" s="37">
        <f t="shared" si="793"/>
        <v>10</v>
      </c>
      <c r="CY95" s="37">
        <f t="shared" si="794"/>
        <v>10</v>
      </c>
      <c r="CZ95" s="37">
        <f t="shared" si="795"/>
        <v>10</v>
      </c>
      <c r="DA95" s="37">
        <f t="shared" si="796"/>
        <v>10</v>
      </c>
      <c r="DB95" s="37">
        <f t="shared" si="797"/>
        <v>10</v>
      </c>
      <c r="DE95" s="128"/>
      <c r="DF95" s="3">
        <v>0</v>
      </c>
    </row>
    <row r="96" spans="1:110" s="3" customFormat="1" x14ac:dyDescent="0.2">
      <c r="A96" s="3" t="s">
        <v>29</v>
      </c>
      <c r="B96" s="3">
        <f>B94/B95</f>
        <v>6.4523799999999998</v>
      </c>
      <c r="C96" s="3">
        <f t="shared" ref="C96:W96" si="800">C94/C95</f>
        <v>6.4524299999999997</v>
      </c>
      <c r="D96" s="3">
        <f t="shared" si="800"/>
        <v>6.45261</v>
      </c>
      <c r="E96" s="3">
        <f t="shared" si="800"/>
        <v>29.642000000000003</v>
      </c>
      <c r="F96" s="3">
        <f t="shared" si="800"/>
        <v>29.642000000000003</v>
      </c>
      <c r="G96" s="3">
        <f t="shared" si="800"/>
        <v>29.642000000000003</v>
      </c>
      <c r="H96" s="3">
        <f t="shared" si="800"/>
        <v>29.642000000000003</v>
      </c>
      <c r="I96" s="3">
        <f t="shared" si="800"/>
        <v>29.642000000000003</v>
      </c>
      <c r="J96" s="3">
        <f t="shared" si="800"/>
        <v>29.642000000000003</v>
      </c>
      <c r="K96" s="3">
        <f t="shared" si="800"/>
        <v>29.642000000000003</v>
      </c>
      <c r="L96" s="3">
        <f t="shared" si="800"/>
        <v>29.642000000000003</v>
      </c>
      <c r="M96" s="3">
        <f t="shared" si="800"/>
        <v>29.642000000000003</v>
      </c>
      <c r="N96" s="3">
        <f t="shared" si="800"/>
        <v>29.642000000000003</v>
      </c>
      <c r="O96" s="3">
        <f t="shared" si="800"/>
        <v>29.642000000000003</v>
      </c>
      <c r="P96" s="3">
        <f t="shared" si="800"/>
        <v>29.642000000000003</v>
      </c>
      <c r="Q96" s="3">
        <f t="shared" si="800"/>
        <v>29.642000000000003</v>
      </c>
      <c r="R96" s="3">
        <f t="shared" si="800"/>
        <v>29.642000000000003</v>
      </c>
      <c r="S96" s="3">
        <f t="shared" si="800"/>
        <v>29.642000000000003</v>
      </c>
      <c r="T96" s="3">
        <f t="shared" si="800"/>
        <v>29.642000000000003</v>
      </c>
      <c r="U96" s="3">
        <f t="shared" si="800"/>
        <v>29.642000000000003</v>
      </c>
      <c r="V96" s="3">
        <f>V94/V95</f>
        <v>29.642000000000003</v>
      </c>
      <c r="W96" s="3">
        <f t="shared" si="800"/>
        <v>29.642000000000003</v>
      </c>
      <c r="X96" s="3">
        <f t="shared" ref="X96:Y96" si="801">X94/X95</f>
        <v>29.642000000000003</v>
      </c>
      <c r="Y96" s="3">
        <f t="shared" si="801"/>
        <v>29.642000000000003</v>
      </c>
      <c r="Z96" s="3">
        <f t="shared" ref="Z96:AA96" si="802">Z94/Z95</f>
        <v>29.642000000000003</v>
      </c>
      <c r="AA96" s="3">
        <f t="shared" si="802"/>
        <v>29.642000000000003</v>
      </c>
      <c r="AB96" s="37">
        <f t="shared" ref="AA96:AD96" si="803">AB94/AB95</f>
        <v>29.642000000000003</v>
      </c>
      <c r="AC96" s="37">
        <f t="shared" si="803"/>
        <v>29.642000000000003</v>
      </c>
      <c r="AD96" s="37">
        <f t="shared" si="803"/>
        <v>29.642000000000003</v>
      </c>
      <c r="AE96" s="37">
        <f t="shared" ref="AE96" si="804">AE94/AE95</f>
        <v>29.642000000000003</v>
      </c>
      <c r="AI96" s="3">
        <f t="shared" ref="AI96" si="805">AI94/AI95</f>
        <v>29.642000000000003</v>
      </c>
      <c r="AJ96" s="3">
        <f t="shared" ref="AJ96" si="806">AJ94/AJ95</f>
        <v>29.642000000000003</v>
      </c>
      <c r="AK96" s="3">
        <f t="shared" ref="AK96:AM96" si="807">AK94/AK95</f>
        <v>29.642000000000003</v>
      </c>
      <c r="AL96" s="3">
        <f t="shared" si="807"/>
        <v>29.642000000000003</v>
      </c>
      <c r="AM96" s="3">
        <f t="shared" si="807"/>
        <v>29.642000000000003</v>
      </c>
      <c r="AN96" s="3">
        <f t="shared" ref="AN96:AO96" si="808">AN94/AN95</f>
        <v>29.642000000000003</v>
      </c>
      <c r="AO96" s="3">
        <f t="shared" si="808"/>
        <v>29.642000000000003</v>
      </c>
      <c r="AP96" s="3">
        <f t="shared" ref="AP96:CD96" si="809">AP94/AP95</f>
        <v>29.642000000000003</v>
      </c>
      <c r="AQ96" s="3">
        <f t="shared" si="809"/>
        <v>29.642000000000003</v>
      </c>
      <c r="AR96" s="3">
        <f t="shared" si="809"/>
        <v>29.642000000000003</v>
      </c>
      <c r="AS96" s="3">
        <f t="shared" si="809"/>
        <v>29.642000000000003</v>
      </c>
      <c r="AT96" s="3">
        <f t="shared" si="809"/>
        <v>29.642000000000003</v>
      </c>
      <c r="AU96" s="3">
        <f t="shared" si="809"/>
        <v>29.642000000000003</v>
      </c>
      <c r="AV96" s="3">
        <f t="shared" si="809"/>
        <v>29.642000000000003</v>
      </c>
      <c r="AW96" s="3">
        <f t="shared" si="809"/>
        <v>29.642000000000003</v>
      </c>
      <c r="AX96" s="3">
        <f t="shared" si="809"/>
        <v>29.642000000000003</v>
      </c>
      <c r="AY96" s="3">
        <f t="shared" si="809"/>
        <v>29.642000000000003</v>
      </c>
      <c r="AZ96" s="3">
        <f t="shared" si="809"/>
        <v>29.642000000000003</v>
      </c>
      <c r="BA96" s="3">
        <f t="shared" si="809"/>
        <v>29.642000000000003</v>
      </c>
      <c r="BB96" s="3">
        <f t="shared" si="809"/>
        <v>29.642000000000003</v>
      </c>
      <c r="BC96" s="3">
        <f t="shared" si="809"/>
        <v>29.642000000000003</v>
      </c>
      <c r="BD96" s="3">
        <f t="shared" si="809"/>
        <v>29.642000000000003</v>
      </c>
      <c r="BE96" s="3">
        <f t="shared" si="809"/>
        <v>29.642000000000003</v>
      </c>
      <c r="BF96" s="3">
        <f t="shared" si="809"/>
        <v>29.642000000000003</v>
      </c>
      <c r="BG96" s="3">
        <f t="shared" si="809"/>
        <v>29.642000000000003</v>
      </c>
      <c r="BH96" s="3">
        <f t="shared" si="809"/>
        <v>29.642000000000003</v>
      </c>
      <c r="BI96" s="3">
        <f t="shared" si="809"/>
        <v>29.642000000000003</v>
      </c>
      <c r="BJ96" s="3">
        <f t="shared" si="809"/>
        <v>29.642000000000003</v>
      </c>
      <c r="BK96" s="3">
        <f t="shared" si="809"/>
        <v>29.642000000000003</v>
      </c>
      <c r="BL96" s="3">
        <f t="shared" si="809"/>
        <v>29.642000000000003</v>
      </c>
      <c r="BM96" s="3">
        <f t="shared" si="809"/>
        <v>29.642000000000003</v>
      </c>
      <c r="BN96" s="3">
        <f t="shared" si="809"/>
        <v>29.642000000000003</v>
      </c>
      <c r="BO96" s="3">
        <f t="shared" si="809"/>
        <v>29.642000000000003</v>
      </c>
      <c r="BP96" s="3">
        <f t="shared" si="809"/>
        <v>29.642000000000003</v>
      </c>
      <c r="BQ96" s="3">
        <f t="shared" si="809"/>
        <v>29.642000000000003</v>
      </c>
      <c r="BR96" s="3">
        <f t="shared" si="809"/>
        <v>29.642000000000003</v>
      </c>
      <c r="BS96" s="3">
        <f t="shared" si="809"/>
        <v>29.642000000000003</v>
      </c>
      <c r="BT96" s="3">
        <f t="shared" si="809"/>
        <v>29.642000000000003</v>
      </c>
      <c r="BU96" s="3">
        <f t="shared" si="809"/>
        <v>29.642000000000003</v>
      </c>
      <c r="BV96" s="3">
        <f t="shared" si="809"/>
        <v>29.642000000000003</v>
      </c>
      <c r="BW96" s="3">
        <f t="shared" si="809"/>
        <v>29.642000000000003</v>
      </c>
      <c r="BX96" s="3">
        <f t="shared" si="809"/>
        <v>29.642000000000003</v>
      </c>
      <c r="BY96" s="3">
        <f t="shared" si="809"/>
        <v>29.642000000000003</v>
      </c>
      <c r="BZ96" s="3">
        <f t="shared" si="809"/>
        <v>29.642000000000003</v>
      </c>
      <c r="CA96" s="3">
        <f t="shared" si="809"/>
        <v>29.642000000000003</v>
      </c>
      <c r="CB96" s="3">
        <f t="shared" si="809"/>
        <v>29.642000000000003</v>
      </c>
      <c r="CC96" s="3">
        <f t="shared" si="809"/>
        <v>29.642000000000003</v>
      </c>
      <c r="CD96" s="3">
        <f t="shared" si="809"/>
        <v>29.642000000000003</v>
      </c>
      <c r="CE96" s="3">
        <f t="shared" ref="CE96:CF96" si="810">CE94/CE95</f>
        <v>29.642000000000003</v>
      </c>
      <c r="CF96" s="3">
        <f t="shared" si="810"/>
        <v>29.642000000000003</v>
      </c>
      <c r="CG96" s="3">
        <f t="shared" ref="CG96:CH96" si="811">CG94/CG95</f>
        <v>29.642000000000003</v>
      </c>
      <c r="CH96" s="3">
        <f t="shared" si="811"/>
        <v>29.642000000000003</v>
      </c>
      <c r="CI96" s="3">
        <f t="shared" ref="CI96:CJ96" si="812">CI94/CI95</f>
        <v>29.642000000000003</v>
      </c>
      <c r="CJ96" s="3">
        <f t="shared" si="812"/>
        <v>29.642000000000003</v>
      </c>
      <c r="CK96" s="3">
        <f t="shared" ref="CK96:CL96" si="813">CK94/CK95</f>
        <v>29.642000000000003</v>
      </c>
      <c r="CL96" s="3">
        <f t="shared" si="813"/>
        <v>29.642000000000003</v>
      </c>
      <c r="CM96" s="37">
        <f t="shared" ref="CM96:DB96" si="814">CM94/CM95</f>
        <v>29.642000000000003</v>
      </c>
      <c r="CN96" s="37">
        <f t="shared" si="814"/>
        <v>29.642000000000003</v>
      </c>
      <c r="CO96" s="37">
        <f t="shared" si="814"/>
        <v>29.642000000000003</v>
      </c>
      <c r="CP96" s="37">
        <f t="shared" si="814"/>
        <v>29.642000000000003</v>
      </c>
      <c r="CQ96" s="37">
        <f t="shared" si="814"/>
        <v>29.642000000000003</v>
      </c>
      <c r="CR96" s="37">
        <f t="shared" si="814"/>
        <v>29.642000000000003</v>
      </c>
      <c r="CS96" s="37">
        <f t="shared" si="814"/>
        <v>29.642000000000003</v>
      </c>
      <c r="CT96" s="37">
        <f t="shared" si="814"/>
        <v>29.642000000000003</v>
      </c>
      <c r="CU96" s="37">
        <f t="shared" si="814"/>
        <v>29.642000000000003</v>
      </c>
      <c r="CV96" s="37">
        <f t="shared" si="814"/>
        <v>29.642000000000003</v>
      </c>
      <c r="CW96" s="37">
        <f t="shared" si="814"/>
        <v>29.642000000000003</v>
      </c>
      <c r="CX96" s="37">
        <f t="shared" si="814"/>
        <v>29.642000000000003</v>
      </c>
      <c r="CY96" s="37">
        <f t="shared" si="814"/>
        <v>29.642000000000003</v>
      </c>
      <c r="CZ96" s="37">
        <f t="shared" si="814"/>
        <v>29.642000000000003</v>
      </c>
      <c r="DA96" s="37">
        <f t="shared" si="814"/>
        <v>29.642000000000003</v>
      </c>
      <c r="DB96" s="37">
        <f t="shared" si="814"/>
        <v>29.642000000000003</v>
      </c>
      <c r="DE96" s="128"/>
    </row>
    <row r="97" spans="1:110" s="53" customFormat="1" x14ac:dyDescent="0.2">
      <c r="A97" s="53" t="s">
        <v>30</v>
      </c>
      <c r="B97" s="53">
        <f t="shared" ref="B97:AE97" si="815">(B79-B78)/B96</f>
        <v>6.2281979672616821</v>
      </c>
      <c r="C97" s="53">
        <f t="shared" si="815"/>
        <v>4.1623078437115861</v>
      </c>
      <c r="D97" s="53">
        <f t="shared" si="815"/>
        <v>4.4045432778364217</v>
      </c>
      <c r="E97" s="53">
        <f t="shared" si="815"/>
        <v>1.3025133256865229</v>
      </c>
      <c r="F97" s="53">
        <f t="shared" si="815"/>
        <v>2.0025403144187268</v>
      </c>
      <c r="G97" s="53">
        <f t="shared" si="815"/>
        <v>3.4635213548343557</v>
      </c>
      <c r="H97" s="53">
        <f t="shared" si="815"/>
        <v>9.7274745293839793</v>
      </c>
      <c r="I97" s="53">
        <f t="shared" si="815"/>
        <v>4.5427872613184066</v>
      </c>
      <c r="J97" s="53">
        <f t="shared" si="815"/>
        <v>4.716530598475142</v>
      </c>
      <c r="K97" s="53">
        <f t="shared" si="815"/>
        <v>10.944443694757435</v>
      </c>
      <c r="L97" s="53">
        <f t="shared" si="815"/>
        <v>16.336202010660536</v>
      </c>
      <c r="M97" s="53">
        <f t="shared" si="815"/>
        <v>12.779768571621346</v>
      </c>
      <c r="N97" s="53">
        <f t="shared" si="815"/>
        <v>8.533553741312998</v>
      </c>
      <c r="O97" s="53">
        <f t="shared" si="815"/>
        <v>5.4806895621078118</v>
      </c>
      <c r="P97" s="53">
        <f t="shared" si="815"/>
        <v>10.215572498481915</v>
      </c>
      <c r="Q97" s="53">
        <f t="shared" si="815"/>
        <v>14.502732609135705</v>
      </c>
      <c r="R97" s="53">
        <f t="shared" si="815"/>
        <v>17.373658997368619</v>
      </c>
      <c r="S97" s="53">
        <f t="shared" si="815"/>
        <v>15.576209432561923</v>
      </c>
      <c r="T97" s="53">
        <f t="shared" si="815"/>
        <v>19.957492746778208</v>
      </c>
      <c r="U97" s="53">
        <f t="shared" si="815"/>
        <v>30.898724782403324</v>
      </c>
      <c r="V97" s="53">
        <f t="shared" si="815"/>
        <v>40.424060454760152</v>
      </c>
      <c r="W97" s="53">
        <f t="shared" si="815"/>
        <v>63.724445044194063</v>
      </c>
      <c r="X97" s="53">
        <f t="shared" si="815"/>
        <v>72.948518993320235</v>
      </c>
      <c r="Y97" s="53">
        <f t="shared" si="815"/>
        <v>45.0613993657648</v>
      </c>
      <c r="Z97" s="53">
        <f t="shared" si="815"/>
        <v>42.196208083125235</v>
      </c>
      <c r="AA97" s="53">
        <f t="shared" ref="AA97" si="816">(AA79-AA78)/AA96</f>
        <v>64.77734295931451</v>
      </c>
      <c r="AB97" s="54">
        <f t="shared" si="815"/>
        <v>81.530029239699374</v>
      </c>
      <c r="AC97" s="54">
        <f t="shared" si="815"/>
        <v>96.694891162736155</v>
      </c>
      <c r="AD97" s="54">
        <f t="shared" si="815"/>
        <v>124.15428800960611</v>
      </c>
      <c r="AE97" s="54">
        <f t="shared" si="815"/>
        <v>155.55127348817231</v>
      </c>
      <c r="AI97" s="53">
        <f t="shared" ref="AI97:BN97" si="817">(AI79-AI78)/AI96</f>
        <v>0.74286485392348722</v>
      </c>
      <c r="AJ97" s="53">
        <f t="shared" si="817"/>
        <v>2.5423385736455035</v>
      </c>
      <c r="AK97" s="53">
        <f t="shared" si="817"/>
        <v>3.0109304365427412</v>
      </c>
      <c r="AL97" s="53">
        <f t="shared" si="817"/>
        <v>2.1489778017677597</v>
      </c>
      <c r="AM97" s="53">
        <f t="shared" si="817"/>
        <v>1.4779704473382362</v>
      </c>
      <c r="AN97" s="53">
        <f t="shared" si="817"/>
        <v>1.6115646717495498</v>
      </c>
      <c r="AO97" s="53">
        <f t="shared" si="817"/>
        <v>2.4310100533027499</v>
      </c>
      <c r="AP97" s="53">
        <f t="shared" si="817"/>
        <v>1.7846299170096489</v>
      </c>
      <c r="AQ97" s="53">
        <f t="shared" si="817"/>
        <v>3.1205721611227371</v>
      </c>
      <c r="AR97" s="53">
        <f t="shared" si="817"/>
        <v>2.6479319883948431</v>
      </c>
      <c r="AS97" s="53">
        <f t="shared" si="817"/>
        <v>2.4087443492341869</v>
      </c>
      <c r="AT97" s="53">
        <f t="shared" si="817"/>
        <v>2.0383239997301077</v>
      </c>
      <c r="AU97" s="53">
        <f t="shared" si="817"/>
        <v>3.8263275082653059</v>
      </c>
      <c r="AV97" s="53">
        <f t="shared" si="817"/>
        <v>3.4451116658794922</v>
      </c>
      <c r="AW97" s="53">
        <f t="shared" si="817"/>
        <v>3.268335469941301</v>
      </c>
      <c r="AX97" s="53">
        <f t="shared" si="817"/>
        <v>3.7679643748734959</v>
      </c>
      <c r="AY97" s="53">
        <f t="shared" si="817"/>
        <v>5.2142230618716692</v>
      </c>
      <c r="AZ97" s="53">
        <f t="shared" si="817"/>
        <v>4.1441198299709905</v>
      </c>
      <c r="BA97" s="53">
        <f t="shared" si="817"/>
        <v>3.6559611362256241</v>
      </c>
      <c r="BB97" s="53">
        <f t="shared" si="817"/>
        <v>4.359354969300318</v>
      </c>
      <c r="BC97" s="53">
        <f t="shared" si="817"/>
        <v>3.5021253626610878</v>
      </c>
      <c r="BD97" s="53">
        <f t="shared" si="817"/>
        <v>3.4667026516429384</v>
      </c>
      <c r="BE97" s="53">
        <f t="shared" si="817"/>
        <v>4.4268267998110726</v>
      </c>
      <c r="BF97" s="53">
        <f t="shared" si="817"/>
        <v>4.180217259294241</v>
      </c>
      <c r="BG97" s="53">
        <f t="shared" si="817"/>
        <v>4.3785844409958843</v>
      </c>
      <c r="BH97" s="53">
        <f t="shared" si="817"/>
        <v>4.3428243708251841</v>
      </c>
      <c r="BI97" s="53">
        <f t="shared" si="817"/>
        <v>5.1808245057688387</v>
      </c>
      <c r="BJ97" s="53">
        <f t="shared" si="817"/>
        <v>6.0488496052897869</v>
      </c>
      <c r="BK97" s="53">
        <f t="shared" si="817"/>
        <v>5.9152553808784853</v>
      </c>
      <c r="BL97" s="53">
        <f t="shared" si="817"/>
        <v>6.7785574522636836</v>
      </c>
      <c r="BM97" s="53">
        <f t="shared" si="817"/>
        <v>11.654746643276432</v>
      </c>
      <c r="BN97" s="53">
        <f t="shared" si="817"/>
        <v>6.5501653059847484</v>
      </c>
      <c r="BO97" s="53">
        <f t="shared" ref="BO97:CT97" si="818">(BO79-BO78)/BO96</f>
        <v>5.9668713312192176</v>
      </c>
      <c r="BP97" s="53">
        <f t="shared" si="818"/>
        <v>10.649753727818622</v>
      </c>
      <c r="BQ97" s="53">
        <f t="shared" si="818"/>
        <v>10.938870521557249</v>
      </c>
      <c r="BR97" s="53">
        <f t="shared" si="818"/>
        <v>12.868564874165036</v>
      </c>
      <c r="BS97" s="53">
        <f t="shared" si="818"/>
        <v>13.335132582146963</v>
      </c>
      <c r="BT97" s="53">
        <f t="shared" si="818"/>
        <v>12.902300789420428</v>
      </c>
      <c r="BU97" s="53">
        <f t="shared" si="818"/>
        <v>17.054854598205246</v>
      </c>
      <c r="BV97" s="53">
        <f t="shared" si="818"/>
        <v>20.432157074421436</v>
      </c>
      <c r="BW97" s="53">
        <f t="shared" si="818"/>
        <v>20.511436475271566</v>
      </c>
      <c r="BX97" s="53">
        <f t="shared" si="818"/>
        <v>16.226637878685658</v>
      </c>
      <c r="BY97" s="53">
        <f t="shared" si="818"/>
        <v>17.235679103974089</v>
      </c>
      <c r="BZ97" s="53">
        <f t="shared" si="818"/>
        <v>18.974765535388983</v>
      </c>
      <c r="CA97" s="53">
        <f t="shared" si="818"/>
        <v>12.120976992105778</v>
      </c>
      <c r="CB97" s="53">
        <f t="shared" si="818"/>
        <v>10.147088590513436</v>
      </c>
      <c r="CC97" s="53">
        <f t="shared" si="818"/>
        <v>8.549693003171182</v>
      </c>
      <c r="CD97" s="53">
        <f t="shared" si="818"/>
        <v>14.243640779974365</v>
      </c>
      <c r="CE97" s="53">
        <f t="shared" si="818"/>
        <v>8.5088725457121672</v>
      </c>
      <c r="CF97" s="53">
        <f t="shared" si="818"/>
        <v>6.7950880507388147</v>
      </c>
      <c r="CG97" s="53">
        <f t="shared" si="818"/>
        <v>9.1451319074286612</v>
      </c>
      <c r="CH97" s="53">
        <f t="shared" si="818"/>
        <v>17.747115579245676</v>
      </c>
      <c r="CI97" s="53">
        <f t="shared" si="818"/>
        <v>14.584710883206254</v>
      </c>
      <c r="CJ97" s="53">
        <f t="shared" si="818"/>
        <v>13.095607583833747</v>
      </c>
      <c r="CK97" s="53">
        <f t="shared" ref="CK97:CL97" si="819">(CK79-CK78)/CK96</f>
        <v>17.066999527697195</v>
      </c>
      <c r="CL97" s="53">
        <f t="shared" si="819"/>
        <v>20.030024964577287</v>
      </c>
      <c r="CM97" s="54">
        <f t="shared" si="818"/>
        <v>18.29147411582483</v>
      </c>
      <c r="CN97" s="54">
        <f t="shared" si="818"/>
        <v>17.685258120537355</v>
      </c>
      <c r="CO97" s="54">
        <f t="shared" si="818"/>
        <v>19.715869018506165</v>
      </c>
      <c r="CP97" s="54">
        <f t="shared" si="818"/>
        <v>25.837427984831006</v>
      </c>
      <c r="CQ97" s="54">
        <f t="shared" si="818"/>
        <v>21.597975119854478</v>
      </c>
      <c r="CR97" s="54">
        <f t="shared" si="818"/>
        <v>20.976161849687887</v>
      </c>
      <c r="CS97" s="54">
        <f t="shared" si="818"/>
        <v>22.954116491222937</v>
      </c>
      <c r="CT97" s="54">
        <f t="shared" si="818"/>
        <v>31.166637701970807</v>
      </c>
      <c r="CU97" s="54">
        <f t="shared" ref="CU97:DB97" si="820">(CU79-CU78)/CU96</f>
        <v>28.064618596260871</v>
      </c>
      <c r="CV97" s="54">
        <f t="shared" si="820"/>
        <v>27.275046050276782</v>
      </c>
      <c r="CW97" s="54">
        <f t="shared" si="820"/>
        <v>29.524182500046994</v>
      </c>
      <c r="CX97" s="54">
        <f t="shared" si="820"/>
        <v>39.290440863021502</v>
      </c>
      <c r="CY97" s="54">
        <f t="shared" si="820"/>
        <v>35.440150112490663</v>
      </c>
      <c r="CZ97" s="54">
        <f t="shared" si="820"/>
        <v>34.498075611874476</v>
      </c>
      <c r="DA97" s="54">
        <f t="shared" si="820"/>
        <v>37.108454530816616</v>
      </c>
      <c r="DB97" s="54">
        <f t="shared" si="820"/>
        <v>48.504593232990537</v>
      </c>
      <c r="DE97" s="126"/>
    </row>
    <row r="98" spans="1:110" s="3" customFormat="1" x14ac:dyDescent="0.2">
      <c r="A98" s="3" t="s">
        <v>31</v>
      </c>
      <c r="B98" s="3">
        <f>'Annual Raw'!C110</f>
        <v>0.4</v>
      </c>
      <c r="C98" s="3">
        <f>'Annual Raw'!D110</f>
        <v>0.4</v>
      </c>
      <c r="D98" s="3">
        <f>'Annual Raw'!E110</f>
        <v>0.4</v>
      </c>
      <c r="E98" s="3">
        <f>'Annual Raw'!F110</f>
        <v>0.5</v>
      </c>
      <c r="F98" s="3">
        <f>'Annual Raw'!G110</f>
        <v>0.5</v>
      </c>
      <c r="G98" s="3">
        <f>'Annual Raw'!H110</f>
        <v>0.6</v>
      </c>
      <c r="H98" s="3">
        <f>'Annual Raw'!I110</f>
        <v>1.2</v>
      </c>
      <c r="I98" s="3">
        <f>'Annual Raw'!J110</f>
        <v>1</v>
      </c>
      <c r="J98" s="3">
        <f>'Annual Raw'!K110</f>
        <v>2.06</v>
      </c>
      <c r="K98" s="3">
        <f>'Annual Raw'!L110</f>
        <v>2.8</v>
      </c>
      <c r="L98" s="3">
        <f>'Annual Raw'!M110</f>
        <v>2.8</v>
      </c>
      <c r="M98" s="3">
        <f>'Annual Raw'!N110</f>
        <v>2.8</v>
      </c>
      <c r="N98" s="3">
        <f>'Annual Raw'!O110</f>
        <v>2</v>
      </c>
      <c r="O98" s="3">
        <f>'Annual Raw'!P110</f>
        <v>2</v>
      </c>
      <c r="P98" s="3">
        <f>'Annual Raw'!Q110</f>
        <v>2</v>
      </c>
      <c r="Q98" s="3">
        <f>'Annual Raw'!R110</f>
        <v>2</v>
      </c>
      <c r="R98" s="3">
        <f>'Annual Raw'!S110</f>
        <v>2.4</v>
      </c>
      <c r="S98" s="3">
        <f>'Annual Raw'!T110</f>
        <v>2.4</v>
      </c>
      <c r="T98" s="3">
        <f>'Annual Raw'!U110</f>
        <v>2.4</v>
      </c>
      <c r="U98" s="3">
        <f>'Annual Raw'!V110</f>
        <v>2.8</v>
      </c>
      <c r="V98" s="3">
        <f>'Annual Raw'!W110</f>
        <v>4.8</v>
      </c>
      <c r="W98" s="3">
        <f>'Annual Raw'!X110</f>
        <v>16.75</v>
      </c>
      <c r="X98" s="3">
        <f>'Annual Raw'!Y110</f>
        <v>7.2</v>
      </c>
      <c r="Y98" s="3">
        <f>'Annual Raw'!Z110</f>
        <v>7.2</v>
      </c>
      <c r="Z98" s="3">
        <f>'Annual Raw'!AA110</f>
        <v>7.2</v>
      </c>
      <c r="AA98" s="3">
        <f>'Annual Raw'!AB110</f>
        <v>9</v>
      </c>
      <c r="AB98" s="37"/>
      <c r="AC98" s="37"/>
      <c r="AD98" s="37"/>
      <c r="AE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E98" s="128"/>
    </row>
    <row r="99" spans="1:110" s="3" customFormat="1" x14ac:dyDescent="0.2">
      <c r="A99" s="3" t="s">
        <v>32</v>
      </c>
      <c r="B99" s="3">
        <f>B98/B97</f>
        <v>6.4224034319812384E-2</v>
      </c>
      <c r="C99" s="3">
        <f t="shared" ref="C99:U99" si="821">C98/C97</f>
        <v>9.6100532449640869E-2</v>
      </c>
      <c r="D99" s="3">
        <f t="shared" si="821"/>
        <v>9.0815318358385175E-2</v>
      </c>
      <c r="E99" s="3">
        <f t="shared" si="821"/>
        <v>0.38387323195826978</v>
      </c>
      <c r="F99" s="3">
        <f t="shared" si="821"/>
        <v>0.24968286351085719</v>
      </c>
      <c r="G99" s="3">
        <f t="shared" si="821"/>
        <v>0.17323409863274691</v>
      </c>
      <c r="H99" s="3">
        <f t="shared" si="821"/>
        <v>0.1233619267133659</v>
      </c>
      <c r="I99" s="3">
        <f t="shared" si="821"/>
        <v>0.22012917235084881</v>
      </c>
      <c r="J99" s="3">
        <f t="shared" si="821"/>
        <v>0.43676171647566531</v>
      </c>
      <c r="K99" s="3">
        <f t="shared" si="821"/>
        <v>0.25583758097647713</v>
      </c>
      <c r="L99" s="3">
        <f t="shared" si="821"/>
        <v>0.17139846814901041</v>
      </c>
      <c r="M99" s="3">
        <f t="shared" si="821"/>
        <v>0.21909629930370239</v>
      </c>
      <c r="N99" s="3">
        <f t="shared" si="821"/>
        <v>0.23436894647039208</v>
      </c>
      <c r="O99" s="3">
        <f t="shared" si="821"/>
        <v>0.36491758515708056</v>
      </c>
      <c r="P99" s="3">
        <f t="shared" si="821"/>
        <v>0.19577953171955953</v>
      </c>
      <c r="Q99" s="3">
        <f t="shared" si="821"/>
        <v>0.13790504547674967</v>
      </c>
      <c r="R99" s="3">
        <f t="shared" si="821"/>
        <v>0.13814015806132141</v>
      </c>
      <c r="S99" s="3">
        <f t="shared" si="821"/>
        <v>0.15408113317883501</v>
      </c>
      <c r="T99" s="3">
        <f t="shared" si="821"/>
        <v>0.12025558673383151</v>
      </c>
      <c r="U99" s="3">
        <f t="shared" si="821"/>
        <v>9.0618626487607878E-2</v>
      </c>
      <c r="V99" s="3">
        <f>V98/V97</f>
        <v>0.11874116419778839</v>
      </c>
      <c r="W99" s="3">
        <f t="shared" ref="W99" si="822">W98/W97</f>
        <v>0.26285046481587354</v>
      </c>
      <c r="X99" s="3">
        <f t="shared" ref="X99:Y99" si="823">X98/X97</f>
        <v>9.8699741946224995E-2</v>
      </c>
      <c r="Y99" s="3">
        <f t="shared" si="823"/>
        <v>0.15978198860531101</v>
      </c>
      <c r="Z99" s="3">
        <f t="shared" ref="Z99:AA99" si="824">Z98/Z97</f>
        <v>0.17063144597771016</v>
      </c>
      <c r="AA99" s="3">
        <f t="shared" si="824"/>
        <v>0.1389374677756193</v>
      </c>
      <c r="AB99" s="37">
        <f t="shared" ref="AA99:AD99" si="825">AB98/AB97</f>
        <v>0</v>
      </c>
      <c r="AC99" s="37">
        <f t="shared" si="825"/>
        <v>0</v>
      </c>
      <c r="AD99" s="37">
        <f t="shared" si="825"/>
        <v>0</v>
      </c>
      <c r="AE99" s="37">
        <f t="shared" ref="AE99" si="826">AE98/AE97</f>
        <v>0</v>
      </c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E99" s="128"/>
    </row>
    <row r="100" spans="1:110" s="3" customFormat="1" x14ac:dyDescent="0.2">
      <c r="A100" s="3" t="s">
        <v>33</v>
      </c>
      <c r="B100" s="3">
        <f>+B97</f>
        <v>6.2281979672616821</v>
      </c>
      <c r="C100" s="3">
        <f t="shared" ref="C100:U100" si="827">+C97</f>
        <v>4.1623078437115861</v>
      </c>
      <c r="D100" s="3">
        <f t="shared" si="827"/>
        <v>4.4045432778364217</v>
      </c>
      <c r="E100" s="3">
        <f t="shared" si="827"/>
        <v>1.3025133256865229</v>
      </c>
      <c r="F100" s="3">
        <f t="shared" si="827"/>
        <v>2.0025403144187268</v>
      </c>
      <c r="G100" s="3">
        <f t="shared" si="827"/>
        <v>3.4635213548343557</v>
      </c>
      <c r="H100" s="3">
        <f t="shared" si="827"/>
        <v>9.7274745293839793</v>
      </c>
      <c r="I100" s="3">
        <f t="shared" si="827"/>
        <v>4.5427872613184066</v>
      </c>
      <c r="J100" s="3">
        <f t="shared" si="827"/>
        <v>4.716530598475142</v>
      </c>
      <c r="K100" s="3">
        <f t="shared" si="827"/>
        <v>10.944443694757435</v>
      </c>
      <c r="L100" s="3">
        <f t="shared" si="827"/>
        <v>16.336202010660536</v>
      </c>
      <c r="M100" s="3">
        <f t="shared" si="827"/>
        <v>12.779768571621346</v>
      </c>
      <c r="N100" s="3">
        <f t="shared" si="827"/>
        <v>8.533553741312998</v>
      </c>
      <c r="O100" s="3">
        <f t="shared" si="827"/>
        <v>5.4806895621078118</v>
      </c>
      <c r="P100" s="3">
        <f t="shared" si="827"/>
        <v>10.215572498481915</v>
      </c>
      <c r="Q100" s="3">
        <f t="shared" si="827"/>
        <v>14.502732609135705</v>
      </c>
      <c r="R100" s="3">
        <f t="shared" si="827"/>
        <v>17.373658997368619</v>
      </c>
      <c r="S100" s="3">
        <f t="shared" si="827"/>
        <v>15.576209432561923</v>
      </c>
      <c r="T100" s="3">
        <f>+T97</f>
        <v>19.957492746778208</v>
      </c>
      <c r="U100" s="3">
        <f t="shared" si="827"/>
        <v>30.898724782403324</v>
      </c>
      <c r="V100" s="3">
        <f>+V97</f>
        <v>40.424060454760152</v>
      </c>
      <c r="W100" s="3">
        <f t="shared" ref="W100" si="828">+W97</f>
        <v>63.724445044194063</v>
      </c>
      <c r="X100" s="3">
        <f t="shared" ref="X100:Y100" si="829">+X97</f>
        <v>72.948518993320235</v>
      </c>
      <c r="Y100" s="3">
        <f t="shared" si="829"/>
        <v>45.0613993657648</v>
      </c>
      <c r="Z100" s="3">
        <f t="shared" ref="Z100:AA100" si="830">+Z97</f>
        <v>42.196208083125235</v>
      </c>
      <c r="AA100" s="3">
        <f t="shared" si="830"/>
        <v>64.77734295931451</v>
      </c>
      <c r="AB100" s="37">
        <f t="shared" ref="AA100:AD100" si="831">+AB97</f>
        <v>81.530029239699374</v>
      </c>
      <c r="AC100" s="37">
        <f t="shared" si="831"/>
        <v>96.694891162736155</v>
      </c>
      <c r="AD100" s="37">
        <f t="shared" si="831"/>
        <v>124.15428800960611</v>
      </c>
      <c r="AE100" s="37">
        <f t="shared" ref="AE100" si="832">+AE97</f>
        <v>155.55127348817231</v>
      </c>
      <c r="AL100" s="3">
        <f>SUM(AI97:AL97)</f>
        <v>8.4451116658794927</v>
      </c>
      <c r="AM100" s="3">
        <f t="shared" ref="AM100" si="833">SUM(AJ97:AM97)</f>
        <v>9.1802172592942419</v>
      </c>
      <c r="AN100" s="3">
        <f t="shared" ref="AN100" si="834">SUM(AK97:AN97)</f>
        <v>8.2494433573982864</v>
      </c>
      <c r="AO100" s="3">
        <f t="shared" ref="AO100" si="835">SUM(AL97:AO97)</f>
        <v>7.669522974158296</v>
      </c>
      <c r="AP100" s="3">
        <f t="shared" ref="AP100" si="836">SUM(AM97:AP97)</f>
        <v>7.3051750894001852</v>
      </c>
      <c r="AQ100" s="3">
        <f t="shared" ref="AQ100" si="837">SUM(AN97:AQ97)</f>
        <v>8.947776803184686</v>
      </c>
      <c r="AR100" s="3">
        <f t="shared" ref="AR100" si="838">SUM(AO97:AR97)</f>
        <v>9.9841441198299794</v>
      </c>
      <c r="AS100" s="3">
        <f t="shared" ref="AS100" si="839">SUM(AP97:AS97)</f>
        <v>9.9618784157614151</v>
      </c>
      <c r="AT100" s="3">
        <f t="shared" ref="AT100" si="840">SUM(AQ97:AT97)</f>
        <v>10.215572498481876</v>
      </c>
      <c r="AU100" s="3">
        <f t="shared" ref="AU100" si="841">SUM(AR97:AU97)</f>
        <v>10.921327845624443</v>
      </c>
      <c r="AV100" s="3">
        <f t="shared" ref="AV100" si="842">SUM(AS97:AV97)</f>
        <v>11.718507523109093</v>
      </c>
      <c r="AW100" s="3">
        <f t="shared" ref="AW100" si="843">SUM(AT97:AW97)</f>
        <v>12.578098643816206</v>
      </c>
      <c r="AX100" s="3">
        <f t="shared" ref="AX100" si="844">SUM(AU97:AX97)</f>
        <v>14.307739018959595</v>
      </c>
      <c r="AY100" s="3">
        <f t="shared" ref="AY100" si="845">SUM(AV97:AY97)</f>
        <v>15.695634572565959</v>
      </c>
      <c r="AZ100" s="3">
        <f t="shared" ref="AZ100" si="846">SUM(AW97:AZ97)</f>
        <v>16.394642736657456</v>
      </c>
      <c r="BA100" s="3">
        <f t="shared" ref="BA100" si="847">SUM(AX97:BA97)</f>
        <v>16.782268402941778</v>
      </c>
      <c r="BB100" s="3">
        <f t="shared" ref="BB100" si="848">SUM(AY97:BB97)</f>
        <v>17.373658997368601</v>
      </c>
      <c r="BC100" s="3">
        <f t="shared" ref="BC100" si="849">SUM(AZ97:BC97)</f>
        <v>15.661561298158022</v>
      </c>
      <c r="BD100" s="3">
        <f t="shared" ref="BD100" si="850">SUM(BA97:BD97)</f>
        <v>14.984144119829969</v>
      </c>
      <c r="BE100" s="3">
        <f t="shared" ref="BE100" si="851">SUM(BB97:BE97)</f>
        <v>15.755009783415417</v>
      </c>
      <c r="BF100" s="3">
        <f t="shared" ref="BF100" si="852">SUM(BC97:BF97)</f>
        <v>15.575872073409339</v>
      </c>
      <c r="BG100" s="3">
        <f t="shared" ref="BG100" si="853">SUM(BD97:BG97)</f>
        <v>16.452331151744136</v>
      </c>
      <c r="BH100" s="3">
        <f t="shared" ref="BH100" si="854">SUM(BE97:BH97)</f>
        <v>17.32845287092638</v>
      </c>
      <c r="BI100" s="3">
        <f t="shared" ref="BI100" si="855">SUM(BF97:BI97)</f>
        <v>18.082450576884149</v>
      </c>
      <c r="BJ100" s="3">
        <f t="shared" ref="BJ100" si="856">SUM(BG97:BJ97)</f>
        <v>19.951082922879692</v>
      </c>
      <c r="BK100" s="3">
        <f t="shared" ref="BK100" si="857">SUM(BH97:BK97)</f>
        <v>21.487753862762297</v>
      </c>
      <c r="BL100" s="3">
        <f t="shared" ref="BL100" si="858">SUM(BI97:BL97)</f>
        <v>23.923486944200793</v>
      </c>
      <c r="BM100" s="3">
        <f t="shared" ref="BM100" si="859">SUM(BJ97:BM97)</f>
        <v>30.397409081708389</v>
      </c>
      <c r="BN100" s="3">
        <f t="shared" ref="BN100" si="860">SUM(BK97:BN97)</f>
        <v>30.898724782403349</v>
      </c>
      <c r="BO100" s="3">
        <f t="shared" ref="BO100" si="861">SUM(BL97:BO97)</f>
        <v>30.950340732744081</v>
      </c>
      <c r="BP100" s="3">
        <f t="shared" ref="BP100" si="862">SUM(BM97:BP97)</f>
        <v>34.821537008299018</v>
      </c>
      <c r="BQ100" s="3">
        <f t="shared" ref="BQ100" si="863">SUM(BN97:BQ97)</f>
        <v>34.105660886579834</v>
      </c>
      <c r="BR100" s="3">
        <f t="shared" ref="BR100" si="864">SUM(BO97:BR97)</f>
        <v>40.424060454760124</v>
      </c>
      <c r="BS100" s="3">
        <f t="shared" ref="BS100" si="865">SUM(BP97:BS97)</f>
        <v>47.792321705687868</v>
      </c>
      <c r="BT100" s="3">
        <f t="shared" ref="BT100" si="866">SUM(BQ97:BT97)</f>
        <v>50.044868767289678</v>
      </c>
      <c r="BU100" s="3">
        <f t="shared" ref="BU100" si="867">SUM(BR97:BU97)</f>
        <v>56.160852843937676</v>
      </c>
      <c r="BV100" s="3">
        <f t="shared" ref="BV100" si="868">SUM(BS97:BV97)</f>
        <v>63.72444504419407</v>
      </c>
      <c r="BW100" s="3">
        <f t="shared" ref="BW100" si="869">SUM(BT97:BW97)</f>
        <v>70.900748937318681</v>
      </c>
      <c r="BX100" s="3">
        <f t="shared" ref="BX100" si="870">SUM(BU97:BX97)</f>
        <v>74.225086026583909</v>
      </c>
      <c r="BY100" s="3">
        <f t="shared" ref="BY100" si="871">SUM(BV97:BY97)</f>
        <v>74.405910532352749</v>
      </c>
      <c r="BZ100" s="3">
        <f t="shared" ref="BZ100" si="872">SUM(BW97:BZ97)</f>
        <v>72.948518993320292</v>
      </c>
      <c r="CA100" s="3">
        <f t="shared" ref="CA100" si="873">SUM(BX97:CA97)</f>
        <v>64.558059510154507</v>
      </c>
      <c r="CB100" s="3">
        <f t="shared" ref="CB100" si="874">SUM(BY97:CB97)</f>
        <v>58.47851022198229</v>
      </c>
      <c r="CC100" s="3">
        <f t="shared" ref="CC100" si="875">SUM(BZ97:CC97)</f>
        <v>49.792524121179383</v>
      </c>
      <c r="CD100" s="3">
        <f t="shared" ref="CD100" si="876">SUM(CA97:CD97)</f>
        <v>45.061399365764764</v>
      </c>
      <c r="CE100" s="3">
        <f t="shared" ref="CE100" si="877">SUM(CB97:CE97)</f>
        <v>41.449294919371148</v>
      </c>
      <c r="CF100" s="3">
        <f t="shared" ref="CF100" si="878">SUM(CC97:CF97)</f>
        <v>38.097294379596526</v>
      </c>
      <c r="CG100" s="3">
        <f t="shared" ref="CG100" si="879">SUM(CD97:CG97)</f>
        <v>38.692733283854011</v>
      </c>
      <c r="CH100" s="3">
        <f t="shared" ref="CH100:CL100" si="880">SUM(CE97:CH97)</f>
        <v>42.196208083125313</v>
      </c>
      <c r="CI100" s="3">
        <f t="shared" si="880"/>
        <v>48.272046420619404</v>
      </c>
      <c r="CJ100" s="3">
        <f t="shared" si="880"/>
        <v>54.572565953714339</v>
      </c>
      <c r="CK100" s="3">
        <f t="shared" si="880"/>
        <v>62.494433573982874</v>
      </c>
      <c r="CL100" s="3">
        <f t="shared" si="880"/>
        <v>64.777342959314495</v>
      </c>
      <c r="CM100" s="37">
        <f t="shared" ref="CM100" si="881">SUM(CJ97:CM97)</f>
        <v>68.484106191933051</v>
      </c>
      <c r="CN100" s="37">
        <f t="shared" ref="CN100" si="882">SUM(CK97:CN97)</f>
        <v>73.073756728636667</v>
      </c>
      <c r="CO100" s="37">
        <f t="shared" ref="CO100" si="883">SUM(CL97:CO97)</f>
        <v>75.722626219445644</v>
      </c>
      <c r="CP100" s="37">
        <f t="shared" ref="CP100" si="884">SUM(CM97:CP97)</f>
        <v>81.53002923969936</v>
      </c>
      <c r="CQ100" s="37">
        <f t="shared" ref="CQ100" si="885">SUM(CN97:CQ97)</f>
        <v>84.836530243729015</v>
      </c>
      <c r="CR100" s="37">
        <f t="shared" ref="CR100" si="886">SUM(CO97:CR97)</f>
        <v>88.12743397287953</v>
      </c>
      <c r="CS100" s="37">
        <f t="shared" ref="CS100" si="887">SUM(CP97:CS97)</f>
        <v>91.365681445596309</v>
      </c>
      <c r="CT100" s="37">
        <f t="shared" ref="CT100" si="888">SUM(CQ97:CT97)</f>
        <v>96.694891162736099</v>
      </c>
      <c r="CU100" s="37">
        <f t="shared" ref="CU100" si="889">SUM(CR97:CU97)</f>
        <v>103.1615346391425</v>
      </c>
      <c r="CV100" s="37">
        <f t="shared" ref="CV100" si="890">SUM(CS97:CV97)</f>
        <v>109.4604188397314</v>
      </c>
      <c r="CW100" s="37">
        <f t="shared" ref="CW100" si="891">SUM(CT97:CW97)</f>
        <v>116.03048484855545</v>
      </c>
      <c r="CX100" s="37">
        <f t="shared" ref="CX100" si="892">SUM(CU97:CX97)</f>
        <v>124.15428800960615</v>
      </c>
      <c r="CY100" s="37">
        <f t="shared" ref="CY100" si="893">SUM(CV97:CY97)</f>
        <v>131.52981952583593</v>
      </c>
      <c r="CZ100" s="37">
        <f t="shared" ref="CZ100" si="894">SUM(CW97:CZ97)</f>
        <v>138.75284908743362</v>
      </c>
      <c r="DA100" s="37">
        <f t="shared" ref="DA100" si="895">SUM(CX97:DA97)</f>
        <v>146.33712111820324</v>
      </c>
      <c r="DB100" s="37">
        <f t="shared" ref="DB100" si="896">SUM(CY97:DB97)</f>
        <v>155.55127348817228</v>
      </c>
      <c r="DE100" s="128"/>
    </row>
    <row r="101" spans="1:110" s="97" customFormat="1" x14ac:dyDescent="0.2">
      <c r="A101" s="97" t="s">
        <v>425</v>
      </c>
      <c r="C101" s="101">
        <f t="shared" ref="C101:AA101" si="897">+C100/B100-1</f>
        <v>-0.33169949548960698</v>
      </c>
      <c r="D101" s="101">
        <f t="shared" si="897"/>
        <v>5.819738549391662E-2</v>
      </c>
      <c r="E101" s="101">
        <f t="shared" si="897"/>
        <v>-0.70427959415434849</v>
      </c>
      <c r="F101" s="101">
        <f t="shared" si="897"/>
        <v>0.53744324524529286</v>
      </c>
      <c r="G101" s="101">
        <f t="shared" si="897"/>
        <v>0.72956385941209123</v>
      </c>
      <c r="H101" s="101">
        <f t="shared" si="897"/>
        <v>1.8085504701180626</v>
      </c>
      <c r="I101" s="101">
        <f t="shared" si="897"/>
        <v>-0.53299417566235541</v>
      </c>
      <c r="J101" s="101">
        <f t="shared" si="897"/>
        <v>3.8245977009786714E-2</v>
      </c>
      <c r="K101" s="101">
        <f t="shared" si="897"/>
        <v>1.3204436961133639</v>
      </c>
      <c r="L101" s="101">
        <f t="shared" si="897"/>
        <v>0.49264800169659062</v>
      </c>
      <c r="M101" s="101">
        <f t="shared" si="897"/>
        <v>-0.21770258697329792</v>
      </c>
      <c r="N101" s="101">
        <f t="shared" si="897"/>
        <v>-0.33226069834609206</v>
      </c>
      <c r="O101" s="101">
        <f t="shared" si="897"/>
        <v>-0.35774828069875886</v>
      </c>
      <c r="P101" s="101">
        <f t="shared" si="897"/>
        <v>0.8639210235715522</v>
      </c>
      <c r="Q101" s="101">
        <f t="shared" si="897"/>
        <v>0.41966909943528696</v>
      </c>
      <c r="R101" s="101">
        <f t="shared" si="897"/>
        <v>0.19795761706483028</v>
      </c>
      <c r="S101" s="101">
        <f t="shared" si="897"/>
        <v>-0.10345831957902096</v>
      </c>
      <c r="T101" s="101">
        <f t="shared" si="897"/>
        <v>0.28128045742998631</v>
      </c>
      <c r="U101" s="101">
        <f t="shared" si="897"/>
        <v>0.54822678251462165</v>
      </c>
      <c r="V101" s="101">
        <f t="shared" si="897"/>
        <v>0.3082760126651396</v>
      </c>
      <c r="W101" s="101">
        <f t="shared" si="897"/>
        <v>0.57639891508449792</v>
      </c>
      <c r="X101" s="101">
        <f t="shared" si="897"/>
        <v>0.14474938059843612</v>
      </c>
      <c r="Y101" s="101">
        <f t="shared" si="897"/>
        <v>-0.38228493206433711</v>
      </c>
      <c r="Z101" s="101">
        <f t="shared" si="897"/>
        <v>-6.3584161232604353E-2</v>
      </c>
      <c r="AA101" s="101">
        <f t="shared" si="897"/>
        <v>0.5351460688530385</v>
      </c>
      <c r="AB101" s="167">
        <f t="shared" ref="AB101" si="898">+AB100/AA100-1</f>
        <v>0.2586195344706701</v>
      </c>
      <c r="AC101" s="167">
        <f t="shared" ref="AC101" si="899">+AC100/AB100-1</f>
        <v>0.1860033911977621</v>
      </c>
      <c r="AD101" s="167">
        <f t="shared" ref="AD101" si="900">+AD100/AC100-1</f>
        <v>0.28397981027411445</v>
      </c>
      <c r="AE101" s="167">
        <f t="shared" ref="AE101" si="901">+AE100/AD100-1</f>
        <v>0.25288683928610634</v>
      </c>
      <c r="AL101" s="169"/>
      <c r="AM101" s="169"/>
      <c r="AN101" s="169"/>
      <c r="AO101" s="169"/>
      <c r="AP101" s="169">
        <f t="shared" ref="AP101:CL101" si="902">+IF(AL100&lt;0,1-AP100/AL100,AP100/AL100-1)</f>
        <v>-0.13498182399232872</v>
      </c>
      <c r="AQ101" s="169">
        <f t="shared" si="902"/>
        <v>-2.5319711891810481E-2</v>
      </c>
      <c r="AR101" s="169">
        <f t="shared" si="902"/>
        <v>0.21028094712305334</v>
      </c>
      <c r="AS101" s="169">
        <f t="shared" si="902"/>
        <v>0.29889152810767827</v>
      </c>
      <c r="AT101" s="169">
        <f t="shared" si="902"/>
        <v>0.39840214279116726</v>
      </c>
      <c r="AU101" s="169">
        <f t="shared" si="902"/>
        <v>0.22056328469629816</v>
      </c>
      <c r="AV101" s="169">
        <f t="shared" si="902"/>
        <v>0.17371177563777485</v>
      </c>
      <c r="AW101" s="169">
        <f t="shared" si="902"/>
        <v>0.26262318398862194</v>
      </c>
      <c r="AX101" s="169">
        <f t="shared" si="902"/>
        <v>0.40058122254879502</v>
      </c>
      <c r="AY101" s="169">
        <f t="shared" si="902"/>
        <v>0.43715441880579653</v>
      </c>
      <c r="AZ101" s="169">
        <f t="shared" si="902"/>
        <v>0.39903846153846345</v>
      </c>
      <c r="BA101" s="169">
        <f t="shared" si="902"/>
        <v>0.33424525265529503</v>
      </c>
      <c r="BB101" s="169">
        <f t="shared" si="902"/>
        <v>0.21428403008653341</v>
      </c>
      <c r="BC101" s="169">
        <f t="shared" si="902"/>
        <v>-2.1708758731866507E-3</v>
      </c>
      <c r="BD101" s="169">
        <f t="shared" si="902"/>
        <v>-8.6034117332346338E-2</v>
      </c>
      <c r="BE101" s="169">
        <f t="shared" si="902"/>
        <v>-6.1210951634303012E-2</v>
      </c>
      <c r="BF101" s="169">
        <f t="shared" si="902"/>
        <v>-0.10347773743179556</v>
      </c>
      <c r="BG101" s="169">
        <f t="shared" si="902"/>
        <v>5.0491125280026639E-2</v>
      </c>
      <c r="BH101" s="169">
        <f t="shared" si="902"/>
        <v>0.15645262968299667</v>
      </c>
      <c r="BI101" s="169">
        <f t="shared" si="902"/>
        <v>0.1477270293997992</v>
      </c>
      <c r="BJ101" s="169">
        <f t="shared" si="902"/>
        <v>0.28089668615984476</v>
      </c>
      <c r="BK101" s="169">
        <f t="shared" si="902"/>
        <v>0.30606135170603754</v>
      </c>
      <c r="BL101" s="169">
        <f t="shared" si="902"/>
        <v>0.38058989584347369</v>
      </c>
      <c r="BM101" s="169">
        <f t="shared" si="902"/>
        <v>0.68104477611940339</v>
      </c>
      <c r="BN101" s="169">
        <f t="shared" si="902"/>
        <v>0.54872419215746016</v>
      </c>
      <c r="BO101" s="169">
        <f t="shared" si="902"/>
        <v>0.44037114955882828</v>
      </c>
      <c r="BP101" s="169">
        <f t="shared" si="902"/>
        <v>0.45553769354429252</v>
      </c>
      <c r="BQ101" s="169">
        <f t="shared" si="902"/>
        <v>0.12199236437893912</v>
      </c>
      <c r="BR101" s="169">
        <f t="shared" si="902"/>
        <v>0.3082760126651376</v>
      </c>
      <c r="BS101" s="169">
        <f t="shared" si="902"/>
        <v>0.54416140740982932</v>
      </c>
      <c r="BT101" s="169">
        <f t="shared" si="902"/>
        <v>0.43718149935088979</v>
      </c>
      <c r="BU101" s="169">
        <f t="shared" si="902"/>
        <v>0.64667246973174164</v>
      </c>
      <c r="BV101" s="169">
        <f t="shared" si="902"/>
        <v>0.57639891508449925</v>
      </c>
      <c r="BW101" s="169">
        <f t="shared" si="902"/>
        <v>0.48351756949444513</v>
      </c>
      <c r="BX101" s="169">
        <f t="shared" si="902"/>
        <v>0.48317075965835876</v>
      </c>
      <c r="BY101" s="169">
        <f t="shared" si="902"/>
        <v>0.32487144985342842</v>
      </c>
      <c r="BZ101" s="169">
        <f t="shared" si="902"/>
        <v>0.14474938059843678</v>
      </c>
      <c r="CA101" s="169">
        <f t="shared" si="902"/>
        <v>-8.9458708437220702E-2</v>
      </c>
      <c r="CB101" s="169">
        <f t="shared" si="902"/>
        <v>-0.2121462789408145</v>
      </c>
      <c r="CC101" s="169">
        <f t="shared" si="902"/>
        <v>-0.33079880664145778</v>
      </c>
      <c r="CD101" s="169">
        <f t="shared" si="902"/>
        <v>-0.38228493206433811</v>
      </c>
      <c r="CE101" s="169">
        <f t="shared" si="902"/>
        <v>-0.3579532093455895</v>
      </c>
      <c r="CF101" s="169">
        <f t="shared" si="902"/>
        <v>-0.34852488144823479</v>
      </c>
      <c r="CG101" s="169">
        <f t="shared" si="902"/>
        <v>-0.22292083065144408</v>
      </c>
      <c r="CH101" s="169">
        <f t="shared" si="902"/>
        <v>-6.358416123260191E-2</v>
      </c>
      <c r="CI101" s="169">
        <f t="shared" si="902"/>
        <v>0.1646047662456056</v>
      </c>
      <c r="CJ101" s="169">
        <f t="shared" si="902"/>
        <v>0.43245253612921508</v>
      </c>
      <c r="CK101" s="169">
        <f t="shared" si="902"/>
        <v>0.61514652158370553</v>
      </c>
      <c r="CL101" s="169">
        <f t="shared" si="902"/>
        <v>0.53514606885303517</v>
      </c>
      <c r="CM101" s="102">
        <f t="shared" ref="CM101:DB101" si="903">+IF(CI100&lt;0,1-CM100/CI100,CM100/CI100-1)</f>
        <v>0.41871147527485109</v>
      </c>
      <c r="CN101" s="102">
        <f t="shared" si="903"/>
        <v>0.33901999020192841</v>
      </c>
      <c r="CO101" s="102">
        <f t="shared" si="903"/>
        <v>0.21166993424786895</v>
      </c>
      <c r="CP101" s="102">
        <f t="shared" si="903"/>
        <v>0.25861953447067032</v>
      </c>
      <c r="CQ101" s="102">
        <f t="shared" si="903"/>
        <v>0.23877692155267072</v>
      </c>
      <c r="CR101" s="102">
        <f t="shared" si="903"/>
        <v>0.20600661466120473</v>
      </c>
      <c r="CS101" s="102">
        <f t="shared" si="903"/>
        <v>0.20658363301897098</v>
      </c>
      <c r="CT101" s="102">
        <f t="shared" si="903"/>
        <v>0.18600339119776166</v>
      </c>
      <c r="CU101" s="102">
        <f t="shared" si="903"/>
        <v>0.21600369961816113</v>
      </c>
      <c r="CV101" s="102">
        <f t="shared" si="903"/>
        <v>0.24206973816367916</v>
      </c>
      <c r="CW101" s="102">
        <f t="shared" si="903"/>
        <v>0.26995697960886766</v>
      </c>
      <c r="CX101" s="102">
        <f t="shared" si="903"/>
        <v>0.28397981027411556</v>
      </c>
      <c r="CY101" s="102">
        <f t="shared" si="903"/>
        <v>0.27498897710202996</v>
      </c>
      <c r="CZ101" s="102">
        <f t="shared" si="903"/>
        <v>0.26760751108207703</v>
      </c>
      <c r="DA101" s="102">
        <f t="shared" si="903"/>
        <v>0.26119546349568767</v>
      </c>
      <c r="DB101" s="102">
        <f t="shared" si="903"/>
        <v>0.25288683928610567</v>
      </c>
      <c r="DE101" s="129"/>
    </row>
    <row r="102" spans="1:110" s="138" customFormat="1" x14ac:dyDescent="0.2">
      <c r="A102" s="138" t="s">
        <v>424</v>
      </c>
      <c r="AB102" s="139"/>
      <c r="AC102" s="139"/>
      <c r="AD102" s="139"/>
      <c r="AE102" s="139"/>
      <c r="CM102" s="139"/>
      <c r="CN102" s="139"/>
      <c r="CO102" s="139"/>
      <c r="CP102" s="139">
        <v>77.2</v>
      </c>
      <c r="CQ102" s="139"/>
      <c r="CR102" s="139"/>
      <c r="CS102" s="139"/>
      <c r="CT102" s="139">
        <v>94.4</v>
      </c>
      <c r="CU102" s="139"/>
      <c r="CV102" s="139"/>
      <c r="CW102" s="139"/>
      <c r="CX102" s="139"/>
      <c r="CY102" s="139"/>
      <c r="CZ102" s="139"/>
      <c r="DA102" s="139"/>
      <c r="DB102" s="139"/>
      <c r="DE102" s="140"/>
    </row>
    <row r="103" spans="1:110" s="138" customFormat="1" x14ac:dyDescent="0.2">
      <c r="A103" s="138" t="s">
        <v>436</v>
      </c>
      <c r="AB103" s="139"/>
      <c r="AC103" s="139"/>
      <c r="AD103" s="139"/>
      <c r="AE103" s="139"/>
      <c r="CM103" s="139"/>
      <c r="CN103" s="139"/>
      <c r="CO103" s="139"/>
      <c r="CP103" s="139">
        <f>CP100/CP102-1</f>
        <v>5.6088461654136834E-2</v>
      </c>
      <c r="CQ103" s="139"/>
      <c r="CR103" s="139"/>
      <c r="CS103" s="139"/>
      <c r="CT103" s="139">
        <f>CT100/CT102-1</f>
        <v>2.4310287740848535E-2</v>
      </c>
      <c r="CU103" s="139"/>
      <c r="CV103" s="139"/>
      <c r="CW103" s="139"/>
      <c r="CX103" s="139"/>
      <c r="CY103" s="139"/>
      <c r="CZ103" s="139"/>
      <c r="DA103" s="139"/>
      <c r="DB103" s="139"/>
      <c r="DE103" s="140"/>
    </row>
    <row r="104" spans="1:110" s="3" customFormat="1" x14ac:dyDescent="0.2">
      <c r="A104" s="3" t="s">
        <v>34</v>
      </c>
      <c r="B104" s="3">
        <f>'Annual Raw'!C112</f>
        <v>26.43</v>
      </c>
      <c r="C104" s="3">
        <f>'Annual Raw'!D112</f>
        <v>23.89</v>
      </c>
      <c r="D104" s="3">
        <f>'Annual Raw'!E112</f>
        <v>31.65</v>
      </c>
      <c r="E104" s="3">
        <f>'Annual Raw'!F112</f>
        <v>0</v>
      </c>
      <c r="F104" s="3">
        <f>'Annual Raw'!G112</f>
        <v>37.049999999999997</v>
      </c>
      <c r="G104" s="3">
        <f>'Annual Raw'!H112</f>
        <v>39.4</v>
      </c>
      <c r="H104" s="3">
        <f>'Annual Raw'!I112</f>
        <v>42.42</v>
      </c>
      <c r="I104" s="3">
        <f>'Annual Raw'!J112</f>
        <v>42.39</v>
      </c>
      <c r="J104" s="3">
        <f>'Annual Raw'!K112</f>
        <v>46.2</v>
      </c>
      <c r="K104" s="3">
        <f>'Annual Raw'!L112</f>
        <v>47.25</v>
      </c>
      <c r="L104" s="3">
        <f>'Annual Raw'!M112</f>
        <v>47.44</v>
      </c>
      <c r="M104" s="3">
        <f>'Annual Raw'!N112</f>
        <v>49.95</v>
      </c>
      <c r="N104" s="3">
        <f>'Annual Raw'!O112</f>
        <v>50.71</v>
      </c>
      <c r="O104" s="3">
        <f>'Annual Raw'!P112</f>
        <v>52.38</v>
      </c>
      <c r="P104" s="3">
        <f>'Annual Raw'!Q112</f>
        <v>52.38</v>
      </c>
      <c r="Q104" s="3">
        <f>'Annual Raw'!R112</f>
        <v>52.38</v>
      </c>
      <c r="R104" s="3">
        <f>'Annual Raw'!S112</f>
        <v>52.38</v>
      </c>
      <c r="S104" s="3">
        <f>'Annual Raw'!T112</f>
        <v>52.38</v>
      </c>
      <c r="T104" s="3">
        <f>'Annual Raw'!U112</f>
        <v>52.32</v>
      </c>
      <c r="U104" s="3">
        <f>'Annual Raw'!V112</f>
        <v>52.32</v>
      </c>
      <c r="V104" s="3">
        <f>'Annual Raw'!W112</f>
        <v>50.77</v>
      </c>
      <c r="W104" s="3">
        <f>'Annual Raw'!X112</f>
        <v>50.73</v>
      </c>
      <c r="X104" s="3">
        <f>'Annual Raw'!Y112</f>
        <v>50.53</v>
      </c>
      <c r="Y104" s="3">
        <f>'Annual Raw'!Z112</f>
        <v>50.3</v>
      </c>
      <c r="Z104" s="3">
        <f>'Annual Raw'!AA112</f>
        <v>50.26</v>
      </c>
      <c r="AA104" s="3">
        <f>'Annual Raw'!AB112</f>
        <v>50.26</v>
      </c>
      <c r="AB104" s="37"/>
      <c r="AC104" s="37"/>
      <c r="AD104" s="37"/>
      <c r="AE104" s="37"/>
      <c r="AI104" s="3">
        <f>'QTR Raw'!C49</f>
        <v>49.95</v>
      </c>
      <c r="AJ104" s="3">
        <f>'QTR Raw'!D49</f>
        <v>50.71</v>
      </c>
      <c r="AK104" s="3">
        <f>'QTR Raw'!E49</f>
        <v>50.71</v>
      </c>
      <c r="AL104" s="3">
        <f>'QTR Raw'!F49</f>
        <v>50.71</v>
      </c>
      <c r="AM104" s="3">
        <f>'QTR Raw'!G49</f>
        <v>51.78</v>
      </c>
      <c r="AN104" s="3">
        <f>'QTR Raw'!H49</f>
        <v>52.1</v>
      </c>
      <c r="AO104" s="3">
        <f>'QTR Raw'!I49</f>
        <v>52.38</v>
      </c>
      <c r="AP104" s="3">
        <f>'QTR Raw'!J49</f>
        <v>52.38</v>
      </c>
      <c r="AQ104" s="3">
        <f>'QTR Raw'!K49</f>
        <v>52.38</v>
      </c>
      <c r="AR104" s="3">
        <f>'QTR Raw'!L49</f>
        <v>52.38</v>
      </c>
      <c r="AS104" s="3">
        <f>'QTR Raw'!M49</f>
        <v>52.38</v>
      </c>
      <c r="AT104" s="3">
        <f>'QTR Raw'!N49</f>
        <v>52.38</v>
      </c>
      <c r="AU104" s="3">
        <f>'QTR Raw'!O49</f>
        <v>52.38</v>
      </c>
      <c r="AV104" s="3">
        <f>'QTR Raw'!P49</f>
        <v>52.38</v>
      </c>
      <c r="AW104" s="3">
        <f>'QTR Raw'!Q49</f>
        <v>52.38</v>
      </c>
      <c r="AX104" s="3">
        <f>'QTR Raw'!R49</f>
        <v>52.38</v>
      </c>
      <c r="AY104" s="3">
        <f>'QTR Raw'!S49</f>
        <v>52.38</v>
      </c>
      <c r="AZ104" s="3">
        <f>'QTR Raw'!T49</f>
        <v>52.38</v>
      </c>
      <c r="BA104" s="3">
        <f>'QTR Raw'!U49</f>
        <v>52.38</v>
      </c>
      <c r="BB104" s="3">
        <f>'QTR Raw'!V49</f>
        <v>52.38</v>
      </c>
      <c r="BC104" s="3">
        <f>'QTR Raw'!W49</f>
        <v>52.38</v>
      </c>
      <c r="BD104" s="3">
        <f>'QTR Raw'!X49</f>
        <v>52.38</v>
      </c>
      <c r="BE104" s="3">
        <f>'QTR Raw'!Y49</f>
        <v>52.38</v>
      </c>
      <c r="BF104" s="3">
        <f>'QTR Raw'!Z49</f>
        <v>52.38</v>
      </c>
      <c r="BG104" s="3">
        <f>'QTR Raw'!AA49</f>
        <v>52.38</v>
      </c>
      <c r="BH104" s="3">
        <f>'QTR Raw'!AB49</f>
        <v>52.32</v>
      </c>
      <c r="BI104" s="3">
        <f>'QTR Raw'!AC49</f>
        <v>52.32</v>
      </c>
      <c r="BJ104" s="3">
        <f>'QTR Raw'!AD49</f>
        <v>52.32</v>
      </c>
      <c r="BK104" s="3">
        <f>'QTR Raw'!AE49</f>
        <v>52.32</v>
      </c>
      <c r="BL104" s="3">
        <f>'QTR Raw'!AF49</f>
        <v>52.32</v>
      </c>
      <c r="BM104" s="3">
        <f>'QTR Raw'!AG49</f>
        <v>52.32</v>
      </c>
      <c r="BN104" s="3">
        <f>'QTR Raw'!AH49</f>
        <v>52.32</v>
      </c>
      <c r="BO104" s="3">
        <f>'QTR Raw'!AI49</f>
        <v>52.32</v>
      </c>
      <c r="BP104" s="3">
        <f>'QTR Raw'!AJ49</f>
        <v>52.32</v>
      </c>
      <c r="BQ104" s="3">
        <f>'QTR Raw'!AK49</f>
        <v>50.77</v>
      </c>
      <c r="BR104" s="3">
        <f>'QTR Raw'!AL49</f>
        <v>50.77</v>
      </c>
      <c r="BS104" s="3">
        <f>'QTR Raw'!AM49</f>
        <v>50.77</v>
      </c>
      <c r="BT104" s="3">
        <f>'QTR Raw'!AN49</f>
        <v>50.77</v>
      </c>
      <c r="BU104" s="3">
        <f>'QTR Raw'!AO49</f>
        <v>50.73</v>
      </c>
      <c r="BV104" s="3">
        <f>'QTR Raw'!AP49</f>
        <v>50.73</v>
      </c>
      <c r="BW104" s="3">
        <f>'QTR Raw'!AQ49</f>
        <v>50.73</v>
      </c>
      <c r="BX104" s="3">
        <f>'QTR Raw'!AR49</f>
        <v>50.53</v>
      </c>
      <c r="BY104" s="3">
        <f>'QTR Raw'!AS49</f>
        <v>50.53</v>
      </c>
      <c r="BZ104" s="3">
        <f>'QTR Raw'!AT49</f>
        <v>50.53</v>
      </c>
      <c r="CA104" s="3">
        <f>'QTR Raw'!AU49</f>
        <v>50.53</v>
      </c>
      <c r="CB104" s="3">
        <f>'QTR Raw'!AV49</f>
        <v>50.53</v>
      </c>
      <c r="CC104" s="3">
        <f>'QTR Raw'!AW49</f>
        <v>50.53</v>
      </c>
      <c r="CD104" s="3">
        <f>'QTR Raw'!AX49</f>
        <v>50.3</v>
      </c>
      <c r="CE104" s="3">
        <f>'QTR Raw'!AY49</f>
        <v>50.26</v>
      </c>
      <c r="CF104" s="3">
        <f>'QTR Raw'!AZ49</f>
        <v>50.26</v>
      </c>
      <c r="CG104" s="3">
        <f>'QTR Raw'!BA49</f>
        <v>50.26</v>
      </c>
      <c r="CH104" s="3">
        <f>'QTR Raw'!BB49</f>
        <v>50.26</v>
      </c>
      <c r="CI104" s="3">
        <f>'QTR Raw'!BC49</f>
        <v>50.26</v>
      </c>
      <c r="CJ104" s="3">
        <f>'QTR Raw'!BD49</f>
        <v>50.26</v>
      </c>
      <c r="CK104" s="3">
        <f>'QTR Raw'!BE49</f>
        <v>50.26</v>
      </c>
      <c r="CL104" s="3">
        <f>'QTR Raw'!BF49</f>
        <v>50.26</v>
      </c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E104" s="128"/>
    </row>
    <row r="105" spans="1:110" s="3" customFormat="1" x14ac:dyDescent="0.2">
      <c r="A105" s="3" t="s">
        <v>35</v>
      </c>
      <c r="B105" s="3">
        <f>'Annual Raw'!C113</f>
        <v>0</v>
      </c>
      <c r="C105" s="3">
        <f>'Annual Raw'!D113</f>
        <v>0</v>
      </c>
      <c r="D105" s="3">
        <f>'Annual Raw'!E113</f>
        <v>0</v>
      </c>
      <c r="E105" s="3">
        <f>'Annual Raw'!F113</f>
        <v>0</v>
      </c>
      <c r="F105" s="3">
        <f>'Annual Raw'!G113</f>
        <v>0</v>
      </c>
      <c r="G105" s="3">
        <f>'Annual Raw'!H113</f>
        <v>0</v>
      </c>
      <c r="H105" s="3">
        <f>'Annual Raw'!I113</f>
        <v>0</v>
      </c>
      <c r="I105" s="3">
        <f>'Annual Raw'!J113</f>
        <v>0</v>
      </c>
      <c r="J105" s="3">
        <f>'Annual Raw'!K113</f>
        <v>75.62</v>
      </c>
      <c r="K105" s="3">
        <f>'Annual Raw'!L113</f>
        <v>18.190000000000001</v>
      </c>
      <c r="L105" s="3">
        <f>'Annual Raw'!M113</f>
        <v>0</v>
      </c>
      <c r="M105" s="3">
        <f>'Annual Raw'!N113</f>
        <v>0</v>
      </c>
      <c r="N105" s="3">
        <f>'Annual Raw'!O113</f>
        <v>0</v>
      </c>
      <c r="O105" s="3">
        <f>'Annual Raw'!P113</f>
        <v>0</v>
      </c>
      <c r="P105" s="3">
        <f>'Annual Raw'!Q113</f>
        <v>0</v>
      </c>
      <c r="Q105" s="3">
        <f>'Annual Raw'!R113</f>
        <v>0</v>
      </c>
      <c r="R105" s="3">
        <f>'Annual Raw'!S113</f>
        <v>0</v>
      </c>
      <c r="S105" s="3">
        <f>'Annual Raw'!T113</f>
        <v>0</v>
      </c>
      <c r="T105" s="3">
        <f>'Annual Raw'!U113</f>
        <v>0</v>
      </c>
      <c r="U105" s="3">
        <f>'Annual Raw'!V113</f>
        <v>0</v>
      </c>
      <c r="V105" s="3">
        <f>'Annual Raw'!W113</f>
        <v>0</v>
      </c>
      <c r="W105" s="3">
        <f>'Annual Raw'!X113</f>
        <v>0</v>
      </c>
      <c r="X105" s="3">
        <f>'Annual Raw'!Y113</f>
        <v>0</v>
      </c>
      <c r="Y105" s="3">
        <f>'Annual Raw'!Z113</f>
        <v>0</v>
      </c>
      <c r="Z105" s="3">
        <f>'Annual Raw'!AA113</f>
        <v>0</v>
      </c>
      <c r="AA105" s="3">
        <f>'Annual Raw'!AB113</f>
        <v>0</v>
      </c>
      <c r="AB105" s="37"/>
      <c r="AC105" s="37"/>
      <c r="AD105" s="37"/>
      <c r="AE105" s="37"/>
      <c r="AI105" s="3">
        <f>'QTR Raw'!C50</f>
        <v>0</v>
      </c>
      <c r="AJ105" s="3">
        <f>'QTR Raw'!D50</f>
        <v>3.61</v>
      </c>
      <c r="AK105" s="3">
        <f>'QTR Raw'!E50</f>
        <v>0</v>
      </c>
      <c r="AL105" s="3">
        <f>'QTR Raw'!F50</f>
        <v>0</v>
      </c>
      <c r="AM105" s="3">
        <f>'QTR Raw'!G50</f>
        <v>0</v>
      </c>
      <c r="AN105" s="3">
        <f>'QTR Raw'!H50</f>
        <v>0</v>
      </c>
      <c r="AO105" s="3">
        <f>'QTR Raw'!I50</f>
        <v>0</v>
      </c>
      <c r="AP105" s="3">
        <f>'QTR Raw'!J50</f>
        <v>0</v>
      </c>
      <c r="AQ105" s="3">
        <f>'QTR Raw'!K50</f>
        <v>0</v>
      </c>
      <c r="AR105" s="3">
        <f>'QTR Raw'!L50</f>
        <v>0</v>
      </c>
      <c r="AS105" s="3">
        <f>'QTR Raw'!M50</f>
        <v>0</v>
      </c>
      <c r="AT105" s="3">
        <f>'QTR Raw'!N50</f>
        <v>0</v>
      </c>
      <c r="AU105" s="3">
        <f>'QTR Raw'!O50</f>
        <v>0</v>
      </c>
      <c r="AV105" s="3">
        <f>'QTR Raw'!P50</f>
        <v>0</v>
      </c>
      <c r="AW105" s="3">
        <f>'QTR Raw'!Q50</f>
        <v>0</v>
      </c>
      <c r="AX105" s="3">
        <f>'QTR Raw'!R50</f>
        <v>0</v>
      </c>
      <c r="AY105" s="3">
        <f>'QTR Raw'!S50</f>
        <v>0</v>
      </c>
      <c r="AZ105" s="3">
        <f>'QTR Raw'!T50</f>
        <v>0</v>
      </c>
      <c r="BA105" s="3">
        <f>'QTR Raw'!U50</f>
        <v>0</v>
      </c>
      <c r="BB105" s="3">
        <f>'QTR Raw'!V50</f>
        <v>0</v>
      </c>
      <c r="BC105" s="3">
        <f>'QTR Raw'!W50</f>
        <v>0</v>
      </c>
      <c r="BD105" s="3">
        <f>'QTR Raw'!X50</f>
        <v>0</v>
      </c>
      <c r="BE105" s="3">
        <f>'QTR Raw'!Y50</f>
        <v>3.06</v>
      </c>
      <c r="BF105" s="3">
        <f>'QTR Raw'!Z50</f>
        <v>0</v>
      </c>
      <c r="BG105" s="3">
        <f>'QTR Raw'!AA50</f>
        <v>0</v>
      </c>
      <c r="BH105" s="3">
        <f>'QTR Raw'!AB50</f>
        <v>0</v>
      </c>
      <c r="BI105" s="3">
        <f>'QTR Raw'!AC50</f>
        <v>0</v>
      </c>
      <c r="BJ105" s="3">
        <f>'QTR Raw'!AD50</f>
        <v>0</v>
      </c>
      <c r="BK105" s="3">
        <f>'QTR Raw'!AE50</f>
        <v>0</v>
      </c>
      <c r="BL105" s="3">
        <f>'QTR Raw'!AF50</f>
        <v>0</v>
      </c>
      <c r="BM105" s="3">
        <f>'QTR Raw'!AG50</f>
        <v>0</v>
      </c>
      <c r="BN105" s="3">
        <f>'QTR Raw'!AH50</f>
        <v>0</v>
      </c>
      <c r="BO105" s="3">
        <f>'QTR Raw'!AI50</f>
        <v>0</v>
      </c>
      <c r="BP105" s="3">
        <f>'QTR Raw'!AJ50</f>
        <v>0</v>
      </c>
      <c r="BQ105" s="3">
        <f>'QTR Raw'!AK50</f>
        <v>0</v>
      </c>
      <c r="BR105" s="3">
        <f>'QTR Raw'!AL50</f>
        <v>0</v>
      </c>
      <c r="BS105" s="3">
        <f>'QTR Raw'!AM50</f>
        <v>0</v>
      </c>
      <c r="BT105" s="3">
        <f>'QTR Raw'!AN50</f>
        <v>0</v>
      </c>
      <c r="BU105" s="3">
        <f>'QTR Raw'!AO50</f>
        <v>0</v>
      </c>
      <c r="BV105" s="3">
        <f>'QTR Raw'!AP50</f>
        <v>0</v>
      </c>
      <c r="BW105" s="3">
        <f>'QTR Raw'!AQ50</f>
        <v>0</v>
      </c>
      <c r="BX105" s="3">
        <f>'QTR Raw'!AR50</f>
        <v>0</v>
      </c>
      <c r="BY105" s="3">
        <f>'QTR Raw'!AS50</f>
        <v>0</v>
      </c>
      <c r="BZ105" s="3">
        <f>'QTR Raw'!AT50</f>
        <v>0</v>
      </c>
      <c r="CA105" s="3">
        <f>'QTR Raw'!AU50</f>
        <v>0</v>
      </c>
      <c r="CB105" s="3">
        <f>'QTR Raw'!AV50</f>
        <v>0</v>
      </c>
      <c r="CC105" s="3">
        <f>'QTR Raw'!AW50</f>
        <v>0</v>
      </c>
      <c r="CD105" s="3">
        <f>'QTR Raw'!AX50</f>
        <v>0</v>
      </c>
      <c r="CE105" s="3">
        <f>'QTR Raw'!AY50</f>
        <v>0</v>
      </c>
      <c r="CF105" s="3">
        <f>'QTR Raw'!AZ50</f>
        <v>0</v>
      </c>
      <c r="CG105" s="3">
        <f>'QTR Raw'!BA50</f>
        <v>0</v>
      </c>
      <c r="CH105" s="3">
        <f>'QTR Raw'!BB50</f>
        <v>0</v>
      </c>
      <c r="CI105" s="3">
        <f>'QTR Raw'!BC50</f>
        <v>0</v>
      </c>
      <c r="CJ105" s="3">
        <f>'QTR Raw'!BD50</f>
        <v>0</v>
      </c>
      <c r="CK105" s="3">
        <f>'QTR Raw'!BE50</f>
        <v>0</v>
      </c>
      <c r="CL105" s="3">
        <f>'QTR Raw'!BF50</f>
        <v>0</v>
      </c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E105" s="128"/>
    </row>
    <row r="106" spans="1:110" s="3" customFormat="1" x14ac:dyDescent="0.2">
      <c r="AB106" s="37"/>
      <c r="AC106" s="37"/>
      <c r="AD106" s="37"/>
      <c r="AE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E106" s="128"/>
    </row>
    <row r="107" spans="1:110" s="13" customFormat="1" x14ac:dyDescent="0.2">
      <c r="A107" s="13" t="s">
        <v>36</v>
      </c>
      <c r="AB107" s="37"/>
      <c r="AC107" s="37"/>
      <c r="AD107" s="37"/>
      <c r="AE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E107" s="128"/>
    </row>
    <row r="108" spans="1:110" s="13" customFormat="1" x14ac:dyDescent="0.2">
      <c r="A108" s="13" t="s">
        <v>457</v>
      </c>
      <c r="B108" s="13">
        <f>'Annual Raw'!C106</f>
        <v>3.13</v>
      </c>
      <c r="C108" s="13">
        <f>'Annual Raw'!D106</f>
        <v>3.53</v>
      </c>
      <c r="D108" s="13">
        <f>'Annual Raw'!E106</f>
        <v>4.2</v>
      </c>
      <c r="E108" s="13">
        <f>'Annual Raw'!F106</f>
        <v>7.01</v>
      </c>
      <c r="F108" s="13">
        <f>'Annual Raw'!G106</f>
        <v>17.78</v>
      </c>
      <c r="G108" s="13">
        <f>'Annual Raw'!H106</f>
        <v>66.239999999999995</v>
      </c>
      <c r="H108" s="13">
        <f>'Annual Raw'!I106</f>
        <v>24.23</v>
      </c>
      <c r="I108" s="13">
        <f>'Annual Raw'!J106</f>
        <v>20.16</v>
      </c>
      <c r="J108" s="13">
        <f>'Annual Raw'!K106</f>
        <v>14.9</v>
      </c>
      <c r="K108" s="13">
        <f>'Annual Raw'!L106</f>
        <v>39.47</v>
      </c>
      <c r="L108" s="13">
        <f>'Annual Raw'!M106</f>
        <v>63.66</v>
      </c>
      <c r="M108" s="13">
        <f>'Annual Raw'!N106</f>
        <v>49.74</v>
      </c>
      <c r="N108" s="13">
        <f>'Annual Raw'!O106</f>
        <v>33.79</v>
      </c>
      <c r="O108" s="13">
        <f>'Annual Raw'!P106</f>
        <v>72.03</v>
      </c>
      <c r="P108" s="13">
        <f>'Annual Raw'!Q106</f>
        <v>198</v>
      </c>
      <c r="Q108" s="13">
        <f>'Annual Raw'!R106</f>
        <v>261.17</v>
      </c>
      <c r="R108" s="13">
        <f>'Annual Raw'!S106</f>
        <v>325.19</v>
      </c>
      <c r="S108" s="13">
        <f>'Annual Raw'!T106</f>
        <v>391.56</v>
      </c>
      <c r="T108" s="13">
        <f>'Annual Raw'!U106</f>
        <v>480.82</v>
      </c>
      <c r="U108" s="13">
        <f>'Annual Raw'!V106</f>
        <v>555.86</v>
      </c>
      <c r="V108" s="13">
        <f>'Annual Raw'!W106</f>
        <v>1081.3</v>
      </c>
      <c r="W108" s="13">
        <f>'Annual Raw'!X106</f>
        <v>2678.45</v>
      </c>
      <c r="X108" s="13">
        <f>'Annual Raw'!Y106</f>
        <v>2406.1999999999998</v>
      </c>
      <c r="Y108" s="13">
        <f>'Annual Raw'!Z106</f>
        <v>2557.5500000000002</v>
      </c>
      <c r="Z108" s="13">
        <f>'Annual Raw'!AA106</f>
        <v>2939.35</v>
      </c>
      <c r="AA108" s="13">
        <f>'Annual Raw'!AB106</f>
        <v>2437.1999999999998</v>
      </c>
      <c r="AB108" s="37">
        <f>+CP108</f>
        <v>2497</v>
      </c>
      <c r="AC108" s="37">
        <f>+CT108</f>
        <v>2497</v>
      </c>
      <c r="AD108" s="37">
        <f>+CX108</f>
        <v>2497</v>
      </c>
      <c r="AE108" s="37">
        <f>+DB108</f>
        <v>2497</v>
      </c>
      <c r="AJ108" s="13">
        <f>'QTR Share Price'!HP21</f>
        <v>44.82</v>
      </c>
      <c r="AK108" s="13">
        <f>'QTR Share Price'!HQ21</f>
        <v>40.14</v>
      </c>
      <c r="AL108" s="13">
        <f>'QTR Share Price'!HR21</f>
        <v>33.79</v>
      </c>
      <c r="AM108" s="13">
        <f>'QTR Share Price'!HS21</f>
        <v>28.85</v>
      </c>
      <c r="AN108" s="13">
        <f>'QTR Share Price'!HT21</f>
        <v>33</v>
      </c>
      <c r="AO108" s="13">
        <f>'QTR Share Price'!HU21</f>
        <v>44.31</v>
      </c>
      <c r="AP108" s="13">
        <f>'QTR Share Price'!HV21</f>
        <v>72.03</v>
      </c>
      <c r="AQ108" s="13">
        <f>'QTR Share Price'!HW21</f>
        <v>118.5</v>
      </c>
      <c r="AR108" s="13">
        <f>'QTR Share Price'!HX21</f>
        <v>150.5</v>
      </c>
      <c r="AS108" s="13">
        <f>'QTR Share Price'!HY21</f>
        <v>174.59</v>
      </c>
      <c r="AT108" s="13">
        <f>'QTR Share Price'!HZ21</f>
        <v>198</v>
      </c>
      <c r="AU108" s="13">
        <f>'QTR Share Price'!IA21</f>
        <v>245.92</v>
      </c>
      <c r="AV108" s="13">
        <f>'QTR Share Price'!IB21</f>
        <v>224.43</v>
      </c>
      <c r="AW108" s="13">
        <f>'QTR Share Price'!IC21</f>
        <v>252.63</v>
      </c>
      <c r="AX108" s="13">
        <f>'QTR Share Price'!ID21</f>
        <v>261.17</v>
      </c>
      <c r="AY108" s="13">
        <f>'QTR Share Price'!IE21</f>
        <v>262.43</v>
      </c>
      <c r="AZ108" s="13">
        <f>'QTR Share Price'!IF21</f>
        <v>355.02</v>
      </c>
      <c r="BA108" s="13">
        <f>'QTR Share Price'!IG21</f>
        <v>308.44</v>
      </c>
      <c r="BB108" s="13">
        <f>'QTR Share Price'!IH21</f>
        <v>325.19</v>
      </c>
      <c r="BC108" s="13">
        <f>'QTR Share Price'!II21</f>
        <v>307.70999999999998</v>
      </c>
      <c r="BD108" s="13">
        <f>'QTR Share Price'!IJ21</f>
        <v>307.76</v>
      </c>
      <c r="BE108" s="13">
        <f>'QTR Share Price'!IK21</f>
        <v>396.82</v>
      </c>
      <c r="BF108" s="13">
        <f>'QTR Share Price'!IL21</f>
        <v>391.56</v>
      </c>
      <c r="BG108" s="13">
        <f>'QTR Share Price'!IM21</f>
        <v>338.97</v>
      </c>
      <c r="BH108" s="13">
        <f>'QTR Share Price'!IN21</f>
        <v>341.24</v>
      </c>
      <c r="BI108" s="13">
        <f>'QTR Share Price'!IO21</f>
        <v>399.71</v>
      </c>
      <c r="BJ108" s="13">
        <f>'QTR Share Price'!IP21</f>
        <v>480.82</v>
      </c>
      <c r="BK108" s="13">
        <f>'QTR Share Price'!IQ21</f>
        <v>608.70000000000005</v>
      </c>
      <c r="BL108" s="13">
        <f>'QTR Share Price'!IR21</f>
        <v>550.35</v>
      </c>
      <c r="BM108" s="13">
        <f>'QTR Share Price'!IS21</f>
        <v>687.17</v>
      </c>
      <c r="BN108" s="13">
        <f>'QTR Share Price'!IT21</f>
        <v>555.86</v>
      </c>
      <c r="BO108" s="13">
        <f>'QTR Share Price'!IU21</f>
        <v>720.96</v>
      </c>
      <c r="BP108" s="13">
        <f>'QTR Share Price'!IV21</f>
        <v>825.89</v>
      </c>
      <c r="BQ108" s="13">
        <f>'QTR Share Price'!IW21</f>
        <v>1114.3599999999999</v>
      </c>
      <c r="BR108" s="13">
        <f>'QTR Share Price'!IX21</f>
        <v>1081.3</v>
      </c>
      <c r="BS108" s="13">
        <f>'QTR Share Price'!IY21</f>
        <v>1454.94</v>
      </c>
      <c r="BT108" s="13">
        <f>'QTR Share Price'!IZ21</f>
        <v>2257.14</v>
      </c>
      <c r="BU108" s="13">
        <f>'QTR Share Price'!JA21</f>
        <v>2420.5500000000002</v>
      </c>
      <c r="BV108" s="13">
        <f>'QTR Share Price'!JB21</f>
        <v>2678.45</v>
      </c>
      <c r="BW108" s="13">
        <f>'QTR Share Price'!JC21</f>
        <v>2249.35</v>
      </c>
      <c r="BX108" s="13">
        <f>'QTR Share Price'!JD21</f>
        <v>2503.9</v>
      </c>
      <c r="BY108" s="13">
        <f>'QTR Share Price'!JE21</f>
        <v>2291.6</v>
      </c>
      <c r="BZ108" s="13">
        <f>'QTR Share Price'!JF21</f>
        <v>2406.1999999999998</v>
      </c>
      <c r="CA108" s="13">
        <f>'QTR Share Price'!JG21</f>
        <v>2290.25</v>
      </c>
      <c r="CB108" s="13">
        <f>'QTR Share Price'!JH21</f>
        <v>2248.5500000000002</v>
      </c>
      <c r="CC108" s="13">
        <f>'QTR Share Price'!JI21</f>
        <v>2480.0500000000002</v>
      </c>
      <c r="CD108" s="13">
        <f>'QTR Share Price'!JJ21</f>
        <v>2557.5500000000002</v>
      </c>
      <c r="CE108" s="13">
        <f>'QTR Share Price'!JK21</f>
        <v>2432.4</v>
      </c>
      <c r="CF108" s="13">
        <f>'QTR Share Price'!JL21</f>
        <v>2497.3000000000002</v>
      </c>
      <c r="CG108" s="13">
        <f>'QTR Share Price'!JM21</f>
        <v>2237.5</v>
      </c>
      <c r="CH108" s="13">
        <f>'QTR Share Price'!JN21</f>
        <v>2939.35</v>
      </c>
      <c r="CI108" s="13">
        <f>'QTR Share Price'!JO21</f>
        <v>3244.85</v>
      </c>
      <c r="CJ108" s="13">
        <f>'QTR Share Price'!JP21</f>
        <v>2823.35</v>
      </c>
      <c r="CK108" s="13">
        <f>'QTR Share Price'!JQ21</f>
        <v>3074.4</v>
      </c>
      <c r="CL108" s="13">
        <f>'QTR Share Price'!JR21</f>
        <v>2437.1999999999998</v>
      </c>
      <c r="CM108" s="37">
        <v>2497</v>
      </c>
      <c r="CN108" s="37">
        <f t="shared" ref="CN108" si="904">+CM108</f>
        <v>2497</v>
      </c>
      <c r="CO108" s="37">
        <f t="shared" ref="CO108" si="905">+CN108</f>
        <v>2497</v>
      </c>
      <c r="CP108" s="37">
        <f t="shared" ref="CP108" si="906">+CO108</f>
        <v>2497</v>
      </c>
      <c r="CQ108" s="37">
        <f t="shared" ref="CQ108" si="907">+CP108</f>
        <v>2497</v>
      </c>
      <c r="CR108" s="37">
        <f t="shared" ref="CR108" si="908">+CQ108</f>
        <v>2497</v>
      </c>
      <c r="CS108" s="37">
        <f t="shared" ref="CS108" si="909">+CR108</f>
        <v>2497</v>
      </c>
      <c r="CT108" s="37">
        <f t="shared" ref="CT108" si="910">+CS108</f>
        <v>2497</v>
      </c>
      <c r="CU108" s="37">
        <f t="shared" ref="CU108" si="911">+CT108</f>
        <v>2497</v>
      </c>
      <c r="CV108" s="37">
        <f t="shared" ref="CV108" si="912">+CU108</f>
        <v>2497</v>
      </c>
      <c r="CW108" s="37">
        <f t="shared" ref="CW108" si="913">+CV108</f>
        <v>2497</v>
      </c>
      <c r="CX108" s="37">
        <f t="shared" ref="CX108" si="914">+CW108</f>
        <v>2497</v>
      </c>
      <c r="CY108" s="37">
        <f t="shared" ref="CY108" si="915">+CX108</f>
        <v>2497</v>
      </c>
      <c r="CZ108" s="37">
        <f t="shared" ref="CZ108" si="916">+CY108</f>
        <v>2497</v>
      </c>
      <c r="DA108" s="37">
        <f t="shared" ref="DA108" si="917">+CZ108</f>
        <v>2497</v>
      </c>
      <c r="DB108" s="37">
        <f t="shared" ref="DB108" si="918">+DA108</f>
        <v>2497</v>
      </c>
      <c r="DE108" s="128"/>
      <c r="DF108" s="13">
        <v>0</v>
      </c>
    </row>
    <row r="109" spans="1:110" s="13" customFormat="1" x14ac:dyDescent="0.2">
      <c r="A109" s="13" t="s">
        <v>458</v>
      </c>
      <c r="B109" s="13">
        <f>'Annual Raw'!C107</f>
        <v>8.58</v>
      </c>
      <c r="C109" s="13">
        <f>'Annual Raw'!D107</f>
        <v>4.34</v>
      </c>
      <c r="D109" s="13">
        <f>'Annual Raw'!E107</f>
        <v>6.23</v>
      </c>
      <c r="E109" s="13">
        <f>'Annual Raw'!F107</f>
        <v>12.9</v>
      </c>
      <c r="F109" s="13">
        <f>'Annual Raw'!G107</f>
        <v>19.989999999999998</v>
      </c>
      <c r="G109" s="13">
        <f>'Annual Raw'!H107</f>
        <v>70.8</v>
      </c>
      <c r="H109" s="13">
        <f>'Annual Raw'!I107</f>
        <v>74.599999999999994</v>
      </c>
      <c r="I109" s="13">
        <f>'Annual Raw'!J107</f>
        <v>41.48</v>
      </c>
      <c r="J109" s="13">
        <f>'Annual Raw'!K107</f>
        <v>30.49</v>
      </c>
      <c r="K109" s="13">
        <f>'Annual Raw'!L107</f>
        <v>44.91</v>
      </c>
      <c r="L109" s="13">
        <f>'Annual Raw'!M107</f>
        <v>88.86</v>
      </c>
      <c r="M109" s="13">
        <f>'Annual Raw'!N107</f>
        <v>73.599999999999994</v>
      </c>
      <c r="N109" s="13">
        <f>'Annual Raw'!O107</f>
        <v>51.2</v>
      </c>
      <c r="O109" s="13">
        <f>'Annual Raw'!P107</f>
        <v>74.2</v>
      </c>
      <c r="P109" s="13">
        <f>'Annual Raw'!Q107</f>
        <v>204.86</v>
      </c>
      <c r="Q109" s="13">
        <f>'Annual Raw'!R107</f>
        <v>299.11</v>
      </c>
      <c r="R109" s="13">
        <f>'Annual Raw'!S107</f>
        <v>393.9</v>
      </c>
      <c r="S109" s="13">
        <f>'Annual Raw'!T107</f>
        <v>409</v>
      </c>
      <c r="T109" s="13">
        <f>'Annual Raw'!U107</f>
        <v>495.28</v>
      </c>
      <c r="U109" s="13">
        <f>'Annual Raw'!V107</f>
        <v>851.78</v>
      </c>
      <c r="V109" s="13">
        <f>'Annual Raw'!W107</f>
        <v>1215</v>
      </c>
      <c r="W109" s="13">
        <f>'Annual Raw'!X107</f>
        <v>2734</v>
      </c>
      <c r="X109" s="13">
        <f>'Annual Raw'!Y107</f>
        <v>2864.35</v>
      </c>
      <c r="Y109" s="13">
        <f>'Annual Raw'!Z107</f>
        <v>2636.65</v>
      </c>
      <c r="Z109" s="13">
        <f>'Annual Raw'!AA107</f>
        <v>3074.95</v>
      </c>
      <c r="AA109" s="13">
        <f>'Annual Raw'!AB107</f>
        <v>3319</v>
      </c>
      <c r="AB109" s="37">
        <f>+MAX(CM109:CP109)</f>
        <v>3925.1938111769559</v>
      </c>
      <c r="AC109" s="37">
        <f>+MAX(CQ109:CT109)</f>
        <v>4655.2931711643359</v>
      </c>
      <c r="AD109" s="37">
        <f>+MAX(CU109:CX109)</f>
        <v>5977.3024426819702</v>
      </c>
      <c r="AE109" s="37">
        <f>+MAX(CY109:DB109)</f>
        <v>7488.8835648689319</v>
      </c>
      <c r="AJ109" s="13">
        <f>'QTR Share Price'!HP19</f>
        <v>49.6</v>
      </c>
      <c r="AK109" s="13">
        <f>'QTR Share Price'!HQ19</f>
        <v>48.03</v>
      </c>
      <c r="AL109" s="13">
        <f>'QTR Share Price'!HR19</f>
        <v>42</v>
      </c>
      <c r="AM109" s="13">
        <f>'QTR Share Price'!HS19</f>
        <v>37.5</v>
      </c>
      <c r="AN109" s="13">
        <f>'QTR Share Price'!HT19</f>
        <v>34.200000000000003</v>
      </c>
      <c r="AO109" s="13">
        <f>'QTR Share Price'!HU19</f>
        <v>47.69</v>
      </c>
      <c r="AP109" s="13">
        <f>'QTR Share Price'!HV19</f>
        <v>74.2</v>
      </c>
      <c r="AQ109" s="13">
        <f>'QTR Share Price'!HW19</f>
        <v>120.8</v>
      </c>
      <c r="AR109" s="13">
        <f>'QTR Share Price'!HX19</f>
        <v>155</v>
      </c>
      <c r="AS109" s="13">
        <f>'QTR Share Price'!HY19</f>
        <v>191.4</v>
      </c>
      <c r="AT109" s="13">
        <f>'QTR Share Price'!HZ19</f>
        <v>204.86</v>
      </c>
      <c r="AU109" s="13">
        <f>'QTR Share Price'!IA19</f>
        <v>250.02</v>
      </c>
      <c r="AV109" s="13">
        <f>'QTR Share Price'!IB19</f>
        <v>299.11</v>
      </c>
      <c r="AW109" s="13">
        <f>'QTR Share Price'!IC19</f>
        <v>278.60000000000002</v>
      </c>
      <c r="AX109" s="13">
        <f>'QTR Share Price'!ID19</f>
        <v>272.02</v>
      </c>
      <c r="AY109" s="13">
        <f>'QTR Share Price'!IE19</f>
        <v>293.45</v>
      </c>
      <c r="AZ109" s="13">
        <f>'QTR Share Price'!IF19</f>
        <v>364.81</v>
      </c>
      <c r="BA109" s="13">
        <f>'QTR Share Price'!IG19</f>
        <v>393.9</v>
      </c>
      <c r="BB109" s="13">
        <f>'QTR Share Price'!IH19</f>
        <v>356.78</v>
      </c>
      <c r="BC109" s="13">
        <f>'QTR Share Price'!II19</f>
        <v>372</v>
      </c>
      <c r="BD109" s="13">
        <f>'QTR Share Price'!IJ19</f>
        <v>329</v>
      </c>
      <c r="BE109" s="13">
        <f>'QTR Share Price'!IK19</f>
        <v>399.4</v>
      </c>
      <c r="BF109" s="13">
        <f>'QTR Share Price'!IL19</f>
        <v>409</v>
      </c>
      <c r="BG109" s="13">
        <f>'QTR Share Price'!IM19</f>
        <v>488.6</v>
      </c>
      <c r="BH109" s="13">
        <f>'QTR Share Price'!IN19</f>
        <v>416.6</v>
      </c>
      <c r="BI109" s="13">
        <f>'QTR Share Price'!IO19</f>
        <v>455</v>
      </c>
      <c r="BJ109" s="13">
        <f>'QTR Share Price'!IP19</f>
        <v>495.28</v>
      </c>
      <c r="BK109" s="13">
        <f>'QTR Share Price'!IQ19</f>
        <v>615.1</v>
      </c>
      <c r="BL109" s="13">
        <f>'QTR Share Price'!IR19</f>
        <v>618</v>
      </c>
      <c r="BM109" s="13">
        <f>'QTR Share Price'!IS19</f>
        <v>690.96</v>
      </c>
      <c r="BN109" s="13">
        <f>'QTR Share Price'!IT19</f>
        <v>851.78</v>
      </c>
      <c r="BO109" s="13">
        <f>'QTR Share Price'!IU19</f>
        <v>769.94</v>
      </c>
      <c r="BP109" s="13">
        <f>'QTR Share Price'!IV19</f>
        <v>895</v>
      </c>
      <c r="BQ109" s="13">
        <f>'QTR Share Price'!IW19</f>
        <v>1128</v>
      </c>
      <c r="BR109" s="13">
        <f>'QTR Share Price'!IX19</f>
        <v>1215</v>
      </c>
      <c r="BS109" s="13">
        <f>'QTR Share Price'!IY19</f>
        <v>1461.45</v>
      </c>
      <c r="BT109" s="13">
        <f>'QTR Share Price'!IZ19</f>
        <v>2281.8000000000002</v>
      </c>
      <c r="BU109" s="13">
        <f>'QTR Share Price'!JA19</f>
        <v>2544</v>
      </c>
      <c r="BV109" s="13">
        <f>'QTR Share Price'!JB19</f>
        <v>2734</v>
      </c>
      <c r="BW109" s="13">
        <f>'QTR Share Price'!JC19</f>
        <v>2773</v>
      </c>
      <c r="BX109" s="13">
        <f>'QTR Share Price'!JD19</f>
        <v>2864.35</v>
      </c>
      <c r="BY109" s="13">
        <f>'QTR Share Price'!JE19</f>
        <v>2639.8</v>
      </c>
      <c r="BZ109" s="13">
        <f>'QTR Share Price'!JF19</f>
        <v>2433.35</v>
      </c>
      <c r="CA109" s="13">
        <f>'QTR Share Price'!JG19</f>
        <v>2636.65</v>
      </c>
      <c r="CB109" s="13">
        <f>'QTR Share Price'!JH19</f>
        <v>2475.4499999999998</v>
      </c>
      <c r="CC109" s="13">
        <f>'QTR Share Price'!JI19</f>
        <v>2529.6</v>
      </c>
      <c r="CD109" s="13">
        <f>'QTR Share Price'!JJ19</f>
        <v>2600</v>
      </c>
      <c r="CE109" s="13">
        <f>'QTR Share Price'!JK19</f>
        <v>2697.45</v>
      </c>
      <c r="CF109" s="13">
        <f>'QTR Share Price'!JL19</f>
        <v>2658</v>
      </c>
      <c r="CG109" s="13">
        <f>'QTR Share Price'!JM19</f>
        <v>2498.9</v>
      </c>
      <c r="CH109" s="13">
        <f>'QTR Share Price'!JN19</f>
        <v>3074.95</v>
      </c>
      <c r="CI109" s="13">
        <f>'QTR Share Price'!JO19</f>
        <v>3251.3</v>
      </c>
      <c r="CJ109" s="13">
        <f>'QTR Share Price'!JP19</f>
        <v>3319</v>
      </c>
      <c r="CK109" s="13">
        <f>'QTR Share Price'!JQ19</f>
        <v>3238.75</v>
      </c>
      <c r="CL109" s="13">
        <f>'QTR Share Price'!JR19</f>
        <v>3118.65</v>
      </c>
      <c r="CM109" s="37">
        <f t="shared" ref="CM109:DB109" si="919">+CM100*CM117</f>
        <v>3297.1089584458036</v>
      </c>
      <c r="CN109" s="37">
        <f t="shared" si="919"/>
        <v>3518.0737741110711</v>
      </c>
      <c r="CO109" s="37">
        <f t="shared" si="919"/>
        <v>3645.6013394621218</v>
      </c>
      <c r="CP109" s="37">
        <f t="shared" si="919"/>
        <v>3925.1938111769559</v>
      </c>
      <c r="CQ109" s="37">
        <f t="shared" si="919"/>
        <v>4084.3824855672246</v>
      </c>
      <c r="CR109" s="37">
        <f t="shared" si="919"/>
        <v>4242.8202424440606</v>
      </c>
      <c r="CS109" s="37">
        <f t="shared" si="919"/>
        <v>4398.7229087070336</v>
      </c>
      <c r="CT109" s="37">
        <f t="shared" si="919"/>
        <v>4655.2931711643359</v>
      </c>
      <c r="CU109" s="37">
        <f t="shared" si="919"/>
        <v>4966.6242131053659</v>
      </c>
      <c r="CV109" s="37">
        <f t="shared" si="919"/>
        <v>5269.8786276080518</v>
      </c>
      <c r="CW109" s="37">
        <f t="shared" si="919"/>
        <v>5586.1888592779169</v>
      </c>
      <c r="CX109" s="37">
        <f t="shared" si="919"/>
        <v>5977.3024426819702</v>
      </c>
      <c r="CY109" s="37">
        <f t="shared" si="919"/>
        <v>6332.3911251173849</v>
      </c>
      <c r="CZ109" s="37">
        <f t="shared" si="919"/>
        <v>6680.1377308468745</v>
      </c>
      <c r="DA109" s="37">
        <f t="shared" si="919"/>
        <v>7045.2760475514588</v>
      </c>
      <c r="DB109" s="37">
        <f t="shared" si="919"/>
        <v>7488.8835648689319</v>
      </c>
      <c r="DE109" s="128"/>
      <c r="DF109" s="13">
        <v>0</v>
      </c>
    </row>
    <row r="110" spans="1:110" s="13" customFormat="1" x14ac:dyDescent="0.2">
      <c r="A110" s="13" t="s">
        <v>459</v>
      </c>
      <c r="B110" s="13">
        <f>'Annual Raw'!C108</f>
        <v>3.07</v>
      </c>
      <c r="C110" s="13">
        <f>'Annual Raw'!D108</f>
        <v>2.6</v>
      </c>
      <c r="D110" s="13">
        <f>'Annual Raw'!E108</f>
        <v>3.45</v>
      </c>
      <c r="E110" s="13">
        <f>'Annual Raw'!F108</f>
        <v>4.2</v>
      </c>
      <c r="F110" s="13">
        <f>'Annual Raw'!G108</f>
        <v>6.37</v>
      </c>
      <c r="G110" s="13">
        <f>'Annual Raw'!H108</f>
        <v>17.48</v>
      </c>
      <c r="H110" s="13">
        <f>'Annual Raw'!I108</f>
        <v>22</v>
      </c>
      <c r="I110" s="13">
        <f>'Annual Raw'!J108</f>
        <v>18.100000000000001</v>
      </c>
      <c r="J110" s="13">
        <f>'Annual Raw'!K108</f>
        <v>12.43</v>
      </c>
      <c r="K110" s="13">
        <f>'Annual Raw'!L108</f>
        <v>14.68</v>
      </c>
      <c r="L110" s="13">
        <f>'Annual Raw'!M108</f>
        <v>38.61</v>
      </c>
      <c r="M110" s="13">
        <f>'Annual Raw'!N108</f>
        <v>46.05</v>
      </c>
      <c r="N110" s="13">
        <f>'Annual Raw'!O108</f>
        <v>32.72</v>
      </c>
      <c r="O110" s="13">
        <f>'Annual Raw'!P108</f>
        <v>25.11</v>
      </c>
      <c r="P110" s="13">
        <f>'Annual Raw'!Q108</f>
        <v>65.22</v>
      </c>
      <c r="Q110" s="13">
        <f>'Annual Raw'!R108</f>
        <v>179.81</v>
      </c>
      <c r="R110" s="13">
        <f>'Annual Raw'!S108</f>
        <v>233.1</v>
      </c>
      <c r="S110" s="13">
        <f>'Annual Raw'!T108</f>
        <v>284</v>
      </c>
      <c r="T110" s="13">
        <f>'Annual Raw'!U108</f>
        <v>306.2</v>
      </c>
      <c r="U110" s="13">
        <f>'Annual Raw'!V108</f>
        <v>440.2</v>
      </c>
      <c r="V110" s="13">
        <f>'Annual Raw'!W108</f>
        <v>513.16</v>
      </c>
      <c r="W110" s="13">
        <f>'Annual Raw'!X108</f>
        <v>1082</v>
      </c>
      <c r="X110" s="13">
        <f>'Annual Raw'!Y108</f>
        <v>2002.5</v>
      </c>
      <c r="Y110" s="13">
        <f>'Annual Raw'!Z108</f>
        <v>2050</v>
      </c>
      <c r="Z110" s="13">
        <f>'Annual Raw'!AA108</f>
        <v>2088.5500000000002</v>
      </c>
      <c r="AA110" s="13">
        <f>'Annual Raw'!AB108</f>
        <v>2313.75</v>
      </c>
      <c r="AB110" s="37">
        <f>+MIN(CM110:CP110)</f>
        <v>2446.1500497343332</v>
      </c>
      <c r="AC110" s="37">
        <f>+MIN(CQ110:CT110)</f>
        <v>3030.2342282658092</v>
      </c>
      <c r="AD110" s="37">
        <f>+MIN(CU110:CX110)</f>
        <v>3684.7760322808076</v>
      </c>
      <c r="AE110" s="37">
        <f>+MIN(CY110:DB110)</f>
        <v>4698.0488242477832</v>
      </c>
      <c r="AJ110" s="13">
        <f>+'QTR Share Price'!HP20</f>
        <v>39.200000000000003</v>
      </c>
      <c r="AK110" s="13">
        <f>+'QTR Share Price'!HQ20</f>
        <v>39.6</v>
      </c>
      <c r="AL110" s="13">
        <f>+'QTR Share Price'!HR20</f>
        <v>32.72</v>
      </c>
      <c r="AM110" s="13">
        <f>+'QTR Share Price'!HS20</f>
        <v>28</v>
      </c>
      <c r="AN110" s="13">
        <f>+'QTR Share Price'!HT20</f>
        <v>25.11</v>
      </c>
      <c r="AO110" s="13">
        <f>+'QTR Share Price'!HU20</f>
        <v>31.8</v>
      </c>
      <c r="AP110" s="13">
        <f>+'QTR Share Price'!HV20</f>
        <v>39.4</v>
      </c>
      <c r="AQ110" s="13">
        <f>+'QTR Share Price'!HW20</f>
        <v>65.22</v>
      </c>
      <c r="AR110" s="13">
        <f>+'QTR Share Price'!HX20</f>
        <v>99.6</v>
      </c>
      <c r="AS110" s="13">
        <f>+'QTR Share Price'!HY20</f>
        <v>130.36000000000001</v>
      </c>
      <c r="AT110" s="13">
        <f>+'QTR Share Price'!HZ20</f>
        <v>168.6</v>
      </c>
      <c r="AU110" s="13">
        <f>+'QTR Share Price'!IA20</f>
        <v>179.81</v>
      </c>
      <c r="AV110" s="13">
        <f>+'QTR Share Price'!IB20</f>
        <v>203.8</v>
      </c>
      <c r="AW110" s="13">
        <f>+'QTR Share Price'!IC20</f>
        <v>223.6</v>
      </c>
      <c r="AX110" s="13">
        <f>+'QTR Share Price'!ID20</f>
        <v>204.4</v>
      </c>
      <c r="AY110" s="13">
        <f>+'QTR Share Price'!IE20</f>
        <v>233.1</v>
      </c>
      <c r="AZ110" s="13">
        <f>+'QTR Share Price'!IF20</f>
        <v>259.22000000000003</v>
      </c>
      <c r="BA110" s="13">
        <f>+'QTR Share Price'!IG20</f>
        <v>270.43</v>
      </c>
      <c r="BB110" s="13">
        <f>+'QTR Share Price'!IH20</f>
        <v>301.8</v>
      </c>
      <c r="BC110" s="13">
        <f>+'QTR Share Price'!II20</f>
        <v>301.05</v>
      </c>
      <c r="BD110" s="13">
        <f>+'QTR Share Price'!IJ20</f>
        <v>284</v>
      </c>
      <c r="BE110" s="13">
        <f>+'QTR Share Price'!IK20</f>
        <v>306.45</v>
      </c>
      <c r="BF110" s="13">
        <f>+'QTR Share Price'!IL20</f>
        <v>325.39999999999998</v>
      </c>
      <c r="BG110" s="13">
        <f>+'QTR Share Price'!IM20</f>
        <v>322.91000000000003</v>
      </c>
      <c r="BH110" s="13">
        <f>+'QTR Share Price'!IN20</f>
        <v>306.2</v>
      </c>
      <c r="BI110" s="13">
        <f>+'QTR Share Price'!IO20</f>
        <v>323.32</v>
      </c>
      <c r="BJ110" s="13">
        <f>+'QTR Share Price'!IP20</f>
        <v>389.64</v>
      </c>
      <c r="BK110" s="13">
        <f>+'QTR Share Price'!IQ20</f>
        <v>440.2</v>
      </c>
      <c r="BL110" s="13">
        <f>+'QTR Share Price'!IR20</f>
        <v>510.37</v>
      </c>
      <c r="BM110" s="13">
        <f>+'QTR Share Price'!IS20</f>
        <v>518</v>
      </c>
      <c r="BN110" s="13">
        <f>+'QTR Share Price'!IT20</f>
        <v>498.44</v>
      </c>
      <c r="BO110" s="13">
        <f>+'QTR Share Price'!IU20</f>
        <v>513.16</v>
      </c>
      <c r="BP110" s="13">
        <f>+'QTR Share Price'!IV20</f>
        <v>717.2</v>
      </c>
      <c r="BQ110" s="13">
        <f>+'QTR Share Price'!IW20</f>
        <v>818.01</v>
      </c>
      <c r="BR110" s="13">
        <f>+'QTR Share Price'!IX20</f>
        <v>1026.6300000000001</v>
      </c>
      <c r="BS110" s="13">
        <f>+'QTR Share Price'!IY20</f>
        <v>1082</v>
      </c>
      <c r="BT110" s="13">
        <f>+'QTR Share Price'!IZ20</f>
        <v>1450</v>
      </c>
      <c r="BU110" s="13">
        <f>+'QTR Share Price'!JA20</f>
        <v>1975</v>
      </c>
      <c r="BV110" s="13">
        <f>+'QTR Share Price'!JB20</f>
        <v>2106.35</v>
      </c>
      <c r="BW110" s="13">
        <f>+'QTR Share Price'!JC20</f>
        <v>2081</v>
      </c>
      <c r="BX110" s="13">
        <f>+'QTR Share Price'!JD20</f>
        <v>2002.5</v>
      </c>
      <c r="BY110" s="13">
        <f>+'QTR Share Price'!JE20</f>
        <v>2209</v>
      </c>
      <c r="BZ110" s="13">
        <f>+'QTR Share Price'!JF20</f>
        <v>2082.15</v>
      </c>
      <c r="CA110" s="13">
        <f>+'QTR Share Price'!JG20</f>
        <v>2285</v>
      </c>
      <c r="CB110" s="13">
        <f>+'QTR Share Price'!JH20</f>
        <v>2050</v>
      </c>
      <c r="CC110" s="13">
        <f>+'QTR Share Price'!JI20</f>
        <v>2081.25</v>
      </c>
      <c r="CD110" s="13">
        <f>+'QTR Share Price'!JJ20</f>
        <v>2205.0500000000002</v>
      </c>
      <c r="CE110" s="13">
        <f>+'QTR Share Price'!JK20</f>
        <v>2088.5500000000002</v>
      </c>
      <c r="CF110" s="13">
        <f>+'QTR Share Price'!JL20</f>
        <v>2283.85</v>
      </c>
      <c r="CG110" s="13">
        <f>+'QTR Share Price'!JM20</f>
        <v>2127.5500000000002</v>
      </c>
      <c r="CH110" s="13">
        <f>+'QTR Share Price'!JN20</f>
        <v>2200</v>
      </c>
      <c r="CI110" s="13">
        <f>+'QTR Share Price'!JO20</f>
        <v>2569.9499999999998</v>
      </c>
      <c r="CJ110" s="13">
        <f>+'QTR Share Price'!JP20</f>
        <v>2790</v>
      </c>
      <c r="CK110" s="13">
        <f>+'QTR Share Price'!JQ20</f>
        <v>2771</v>
      </c>
      <c r="CL110" s="13">
        <f>+'QTR Share Price'!JR20</f>
        <v>2313.75</v>
      </c>
      <c r="CM110" s="37">
        <f t="shared" ref="CM110:DB110" si="920">+CM118*CM100</f>
        <v>2446.1500497343332</v>
      </c>
      <c r="CN110" s="37">
        <f t="shared" si="920"/>
        <v>2610.0855161205936</v>
      </c>
      <c r="CO110" s="37">
        <f t="shared" si="920"/>
        <v>2704.6991804724748</v>
      </c>
      <c r="CP110" s="37">
        <f t="shared" si="920"/>
        <v>2912.1309478815133</v>
      </c>
      <c r="CQ110" s="37">
        <f t="shared" si="920"/>
        <v>3030.2342282658092</v>
      </c>
      <c r="CR110" s="37">
        <f t="shared" si="920"/>
        <v>3147.7803972728402</v>
      </c>
      <c r="CS110" s="37">
        <f t="shared" si="920"/>
        <v>3263.4457633979123</v>
      </c>
      <c r="CT110" s="37">
        <f t="shared" si="920"/>
        <v>3453.7971797994269</v>
      </c>
      <c r="CU110" s="37">
        <f t="shared" si="920"/>
        <v>3684.7760322808076</v>
      </c>
      <c r="CV110" s="37">
        <f t="shared" si="920"/>
        <v>3909.762773837439</v>
      </c>
      <c r="CW110" s="37">
        <f t="shared" si="920"/>
        <v>4144.4357248021679</v>
      </c>
      <c r="CX110" s="37">
        <f t="shared" si="920"/>
        <v>4434.6058476441431</v>
      </c>
      <c r="CY110" s="37">
        <f t="shared" si="920"/>
        <v>4698.0488242477832</v>
      </c>
      <c r="CZ110" s="37">
        <f t="shared" si="920"/>
        <v>4956.0446586654334</v>
      </c>
      <c r="DA110" s="37">
        <f t="shared" si="920"/>
        <v>5226.9435348699562</v>
      </c>
      <c r="DB110" s="37">
        <f t="shared" si="920"/>
        <v>5556.0593039345522</v>
      </c>
      <c r="DE110" s="128"/>
      <c r="DF110" s="13">
        <v>0</v>
      </c>
    </row>
    <row r="111" spans="1:110" s="14" customFormat="1" x14ac:dyDescent="0.2">
      <c r="AB111" s="16"/>
      <c r="AC111" s="16"/>
      <c r="AD111" s="16"/>
      <c r="AE111" s="16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E111" s="128"/>
    </row>
    <row r="112" spans="1:110" s="51" customFormat="1" x14ac:dyDescent="0.2">
      <c r="A112" s="51" t="s">
        <v>346</v>
      </c>
      <c r="AB112" s="48">
        <f t="shared" ref="AB112:AD112" si="921">+AB109/AB108-1</f>
        <v>0.57196388112813623</v>
      </c>
      <c r="AC112" s="48">
        <f t="shared" si="921"/>
        <v>0.86435449385836449</v>
      </c>
      <c r="AD112" s="48">
        <f t="shared" si="921"/>
        <v>1.3937935293079575</v>
      </c>
      <c r="AE112" s="48">
        <f t="shared" ref="AE112" si="922">+AE109/AE108-1</f>
        <v>1.9991524088381785</v>
      </c>
      <c r="CM112" s="48">
        <f t="shared" ref="CM112:DB112" si="923">+CM109/CM108-1</f>
        <v>0.32042809709483522</v>
      </c>
      <c r="CN112" s="48">
        <f t="shared" si="923"/>
        <v>0.40892021390110966</v>
      </c>
      <c r="CO112" s="48">
        <f t="shared" si="923"/>
        <v>0.45999252681702907</v>
      </c>
      <c r="CP112" s="48">
        <f t="shared" si="923"/>
        <v>0.57196388112813623</v>
      </c>
      <c r="CQ112" s="48">
        <f t="shared" si="923"/>
        <v>0.63571585325079072</v>
      </c>
      <c r="CR112" s="48">
        <f t="shared" si="923"/>
        <v>0.69916709749461781</v>
      </c>
      <c r="CS112" s="48">
        <f t="shared" si="923"/>
        <v>0.76160308718743841</v>
      </c>
      <c r="CT112" s="48">
        <f t="shared" si="923"/>
        <v>0.86435449385836449</v>
      </c>
      <c r="CU112" s="48">
        <f t="shared" si="923"/>
        <v>0.98903652907703887</v>
      </c>
      <c r="CV112" s="48">
        <f t="shared" si="923"/>
        <v>1.1104840318814784</v>
      </c>
      <c r="CW112" s="48">
        <f t="shared" si="923"/>
        <v>1.2371601358742157</v>
      </c>
      <c r="CX112" s="48">
        <f t="shared" si="923"/>
        <v>1.3937935293079575</v>
      </c>
      <c r="CY112" s="48">
        <f t="shared" si="923"/>
        <v>1.5359996496265058</v>
      </c>
      <c r="CZ112" s="48">
        <f t="shared" si="923"/>
        <v>1.6752654108317477</v>
      </c>
      <c r="DA112" s="48">
        <f t="shared" si="923"/>
        <v>1.821496214477957</v>
      </c>
      <c r="DB112" s="48">
        <f t="shared" si="923"/>
        <v>1.9991524088381785</v>
      </c>
      <c r="DE112" s="124"/>
    </row>
    <row r="113" spans="1:109" s="51" customFormat="1" x14ac:dyDescent="0.2">
      <c r="A113" s="51" t="s">
        <v>347</v>
      </c>
      <c r="AB113" s="48">
        <f t="shared" ref="AB113:AD113" si="924">+AB110/AB108-1</f>
        <v>-2.0364417407155333E-2</v>
      </c>
      <c r="AC113" s="48">
        <f t="shared" si="924"/>
        <v>0.21354995124782095</v>
      </c>
      <c r="AD113" s="48">
        <f t="shared" si="924"/>
        <v>0.47568123038878962</v>
      </c>
      <c r="AE113" s="48">
        <f t="shared" ref="AE113" si="925">+AE110/AE108-1</f>
        <v>0.88147730246206768</v>
      </c>
      <c r="CM113" s="48">
        <f t="shared" ref="CM113:DB113" si="926">+CM110/CM108-1</f>
        <v>-2.0364417407155333E-2</v>
      </c>
      <c r="CN113" s="48">
        <f t="shared" si="926"/>
        <v>4.5288552711491237E-2</v>
      </c>
      <c r="CO113" s="48">
        <f t="shared" si="926"/>
        <v>8.3179487574078781E-2</v>
      </c>
      <c r="CP113" s="48">
        <f t="shared" si="926"/>
        <v>0.16625188141029756</v>
      </c>
      <c r="CQ113" s="48">
        <f t="shared" si="926"/>
        <v>0.21354995124782095</v>
      </c>
      <c r="CR113" s="48">
        <f t="shared" si="926"/>
        <v>0.26062490879969569</v>
      </c>
      <c r="CS113" s="48">
        <f t="shared" si="926"/>
        <v>0.30694664132875937</v>
      </c>
      <c r="CT113" s="48">
        <f t="shared" si="926"/>
        <v>0.38317868634338281</v>
      </c>
      <c r="CU113" s="48">
        <f t="shared" si="926"/>
        <v>0.47568123038878962</v>
      </c>
      <c r="CV113" s="48">
        <f t="shared" si="926"/>
        <v>0.5657840503954501</v>
      </c>
      <c r="CW113" s="48">
        <f t="shared" si="926"/>
        <v>0.65976600913182537</v>
      </c>
      <c r="CX113" s="48">
        <f t="shared" si="926"/>
        <v>0.77597350726637693</v>
      </c>
      <c r="CY113" s="48">
        <f t="shared" si="926"/>
        <v>0.88147730246206768</v>
      </c>
      <c r="CZ113" s="48">
        <f t="shared" si="926"/>
        <v>0.98479962301378987</v>
      </c>
      <c r="DA113" s="48">
        <f t="shared" si="926"/>
        <v>1.0932893611814003</v>
      </c>
      <c r="DB113" s="48">
        <f t="shared" si="926"/>
        <v>1.2250938341748308</v>
      </c>
      <c r="DE113" s="124"/>
    </row>
    <row r="114" spans="1:109" s="14" customFormat="1" x14ac:dyDescent="0.2">
      <c r="AB114" s="16"/>
      <c r="AC114" s="16"/>
      <c r="AD114" s="16"/>
      <c r="AE114" s="16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E114" s="128"/>
    </row>
    <row r="115" spans="1:109" s="13" customFormat="1" x14ac:dyDescent="0.2">
      <c r="A115" s="13" t="s">
        <v>40</v>
      </c>
      <c r="AB115" s="37"/>
      <c r="AC115" s="37"/>
      <c r="AD115" s="37"/>
      <c r="AE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E115" s="128"/>
    </row>
    <row r="116" spans="1:109" s="13" customFormat="1" x14ac:dyDescent="0.2">
      <c r="A116" s="13" t="s">
        <v>460</v>
      </c>
      <c r="B116" s="13">
        <f t="shared" ref="B116:D116" si="927">+B108/B100</f>
        <v>0.5025530685525319</v>
      </c>
      <c r="C116" s="13">
        <f t="shared" si="927"/>
        <v>0.84808719886808059</v>
      </c>
      <c r="D116" s="13">
        <f t="shared" si="927"/>
        <v>0.95356084276304431</v>
      </c>
      <c r="E116" s="13">
        <f t="shared" ref="E116:AE116" si="928">+E108/E100</f>
        <v>5.3819027120549423</v>
      </c>
      <c r="F116" s="13">
        <f t="shared" si="928"/>
        <v>8.8787226264460823</v>
      </c>
      <c r="G116" s="13">
        <f t="shared" si="928"/>
        <v>19.125044489055259</v>
      </c>
      <c r="H116" s="13">
        <f t="shared" si="928"/>
        <v>2.4908829035540467</v>
      </c>
      <c r="I116" s="13">
        <f t="shared" si="928"/>
        <v>4.4378041145931117</v>
      </c>
      <c r="J116" s="13">
        <f t="shared" si="928"/>
        <v>3.1591017356735014</v>
      </c>
      <c r="K116" s="13">
        <f t="shared" si="928"/>
        <v>3.6063961861219829</v>
      </c>
      <c r="L116" s="13">
        <f t="shared" si="928"/>
        <v>3.8968666008450015</v>
      </c>
      <c r="M116" s="13">
        <f t="shared" si="928"/>
        <v>3.8920892597736279</v>
      </c>
      <c r="N116" s="13">
        <f t="shared" si="928"/>
        <v>3.9596633506172738</v>
      </c>
      <c r="O116" s="13">
        <f t="shared" si="928"/>
        <v>13.142506829432257</v>
      </c>
      <c r="P116" s="13">
        <f t="shared" si="928"/>
        <v>19.382173640236392</v>
      </c>
      <c r="Q116" s="13">
        <f t="shared" si="928"/>
        <v>18.008330363581358</v>
      </c>
      <c r="R116" s="13">
        <f t="shared" si="928"/>
        <v>18.71741583331713</v>
      </c>
      <c r="S116" s="13">
        <f t="shared" si="928"/>
        <v>25.138336878126935</v>
      </c>
      <c r="T116" s="13">
        <f t="shared" si="928"/>
        <v>24.092204672233695</v>
      </c>
      <c r="U116" s="13">
        <f t="shared" si="928"/>
        <v>17.989739185500614</v>
      </c>
      <c r="V116" s="13">
        <f t="shared" si="928"/>
        <v>26.748921009805958</v>
      </c>
      <c r="W116" s="13">
        <f t="shared" si="928"/>
        <v>42.031750894691136</v>
      </c>
      <c r="X116" s="13">
        <f t="shared" si="928"/>
        <v>32.984905426528691</v>
      </c>
      <c r="Y116" s="13">
        <f t="shared" si="928"/>
        <v>56.757003466321279</v>
      </c>
      <c r="Z116" s="13">
        <f t="shared" ref="Z116:AA116" si="929">+Z108/Z100</f>
        <v>69.6591028798031</v>
      </c>
      <c r="AA116" s="13">
        <f t="shared" si="929"/>
        <v>37.624266273637708</v>
      </c>
      <c r="AB116" s="37">
        <f t="shared" si="928"/>
        <v>30.626752170771173</v>
      </c>
      <c r="AC116" s="37">
        <f t="shared" si="928"/>
        <v>25.823494602187242</v>
      </c>
      <c r="AD116" s="37">
        <f t="shared" si="928"/>
        <v>20.112072164650499</v>
      </c>
      <c r="AE116" s="37">
        <f t="shared" si="928"/>
        <v>16.052584745890009</v>
      </c>
      <c r="AL116" s="13">
        <f t="shared" ref="AL116:BQ116" si="930">+AL108/AL100</f>
        <v>4.0011312267806503</v>
      </c>
      <c r="AM116" s="13">
        <f t="shared" si="930"/>
        <v>3.1426271497868599</v>
      </c>
      <c r="AN116" s="13">
        <f t="shared" si="930"/>
        <v>4.0002699055330631</v>
      </c>
      <c r="AO116" s="13">
        <f t="shared" si="930"/>
        <v>5.7774127738189449</v>
      </c>
      <c r="AP116" s="13">
        <f t="shared" si="930"/>
        <v>9.860133277916308</v>
      </c>
      <c r="AQ116" s="13">
        <f t="shared" si="930"/>
        <v>13.24351317724237</v>
      </c>
      <c r="AR116" s="13">
        <f t="shared" si="930"/>
        <v>15.073900996789986</v>
      </c>
      <c r="AS116" s="13">
        <f t="shared" si="930"/>
        <v>17.525811168681642</v>
      </c>
      <c r="AT116" s="13">
        <f t="shared" si="930"/>
        <v>19.382173640236466</v>
      </c>
      <c r="AU116" s="13">
        <f t="shared" si="930"/>
        <v>22.517408457665354</v>
      </c>
      <c r="AV116" s="13">
        <f t="shared" si="930"/>
        <v>19.151756275909733</v>
      </c>
      <c r="AW116" s="13">
        <f t="shared" si="930"/>
        <v>20.084911651110396</v>
      </c>
      <c r="AX116" s="13">
        <f t="shared" si="930"/>
        <v>18.253757610053984</v>
      </c>
      <c r="AY116" s="13">
        <f t="shared" si="930"/>
        <v>16.719935647501337</v>
      </c>
      <c r="AZ116" s="13">
        <f t="shared" si="930"/>
        <v>21.654634730538906</v>
      </c>
      <c r="BA116" s="13">
        <f t="shared" si="930"/>
        <v>18.37892188316648</v>
      </c>
      <c r="BB116" s="13">
        <f t="shared" si="930"/>
        <v>18.717415833317148</v>
      </c>
      <c r="BC116" s="13">
        <f t="shared" si="930"/>
        <v>19.647466439772526</v>
      </c>
      <c r="BD116" s="13">
        <f t="shared" si="930"/>
        <v>20.539044308357351</v>
      </c>
      <c r="BE116" s="13">
        <f t="shared" si="930"/>
        <v>25.186909145414454</v>
      </c>
      <c r="BF116" s="13">
        <f t="shared" si="930"/>
        <v>25.138881351526987</v>
      </c>
      <c r="BG116" s="13">
        <f t="shared" si="930"/>
        <v>20.603159325787416</v>
      </c>
      <c r="BH116" s="13">
        <f t="shared" si="930"/>
        <v>19.692467789350736</v>
      </c>
      <c r="BI116" s="13">
        <f t="shared" si="930"/>
        <v>22.104857873134328</v>
      </c>
      <c r="BJ116" s="13">
        <f t="shared" si="930"/>
        <v>24.099944943269254</v>
      </c>
      <c r="BK116" s="13">
        <f t="shared" si="930"/>
        <v>28.32776305460483</v>
      </c>
      <c r="BL116" s="13">
        <f t="shared" si="930"/>
        <v>23.004589643793896</v>
      </c>
      <c r="BM116" s="13">
        <f t="shared" si="930"/>
        <v>22.606202987658701</v>
      </c>
      <c r="BN116" s="13">
        <f t="shared" si="930"/>
        <v>17.9897391855006</v>
      </c>
      <c r="BO116" s="13">
        <f t="shared" si="930"/>
        <v>23.294089271116054</v>
      </c>
      <c r="BP116" s="13">
        <f t="shared" si="930"/>
        <v>23.717792807456075</v>
      </c>
      <c r="BQ116" s="13">
        <f t="shared" si="930"/>
        <v>32.673754767745521</v>
      </c>
      <c r="BR116" s="13">
        <f t="shared" ref="BR116:DB116" si="931">+BR108/BR100</f>
        <v>26.748921009805976</v>
      </c>
      <c r="BS116" s="13">
        <f t="shared" si="931"/>
        <v>30.442965482190509</v>
      </c>
      <c r="BT116" s="13">
        <f t="shared" si="931"/>
        <v>45.102326284354483</v>
      </c>
      <c r="BU116" s="13">
        <f t="shared" si="931"/>
        <v>43.100307018597711</v>
      </c>
      <c r="BV116" s="13">
        <f t="shared" si="931"/>
        <v>42.031750894691129</v>
      </c>
      <c r="BW116" s="13">
        <f t="shared" si="931"/>
        <v>31.725334833748875</v>
      </c>
      <c r="BX116" s="13">
        <f t="shared" si="931"/>
        <v>33.733878046341658</v>
      </c>
      <c r="BY116" s="13">
        <f t="shared" si="931"/>
        <v>30.798628544483435</v>
      </c>
      <c r="BZ116" s="13">
        <f t="shared" si="931"/>
        <v>32.984905426528663</v>
      </c>
      <c r="CA116" s="13">
        <f t="shared" si="931"/>
        <v>35.475818470655248</v>
      </c>
      <c r="CB116" s="13">
        <f t="shared" si="931"/>
        <v>38.450876936922405</v>
      </c>
      <c r="CC116" s="13">
        <f t="shared" si="931"/>
        <v>49.807677834615021</v>
      </c>
      <c r="CD116" s="13">
        <f t="shared" si="931"/>
        <v>56.757003466321322</v>
      </c>
      <c r="CE116" s="13">
        <f t="shared" si="931"/>
        <v>58.68374853496551</v>
      </c>
      <c r="CF116" s="13">
        <f t="shared" si="931"/>
        <v>65.550586745536975</v>
      </c>
      <c r="CG116" s="13">
        <f t="shared" si="931"/>
        <v>57.827395743419359</v>
      </c>
      <c r="CH116" s="13">
        <f t="shared" si="931"/>
        <v>69.659102879802973</v>
      </c>
      <c r="CI116" s="13">
        <f t="shared" ref="CI116:CJ116" si="932">+CI108/CI100</f>
        <v>67.220062968243298</v>
      </c>
      <c r="CJ116" s="13">
        <f t="shared" si="932"/>
        <v>51.735701824880678</v>
      </c>
      <c r="CK116" s="13">
        <f t="shared" ref="CK116" si="933">+CK108/CK100</f>
        <v>49.194781425779766</v>
      </c>
      <c r="CL116" s="13">
        <f t="shared" ref="CL116" si="934">+CL108/CL100</f>
        <v>37.624266273637716</v>
      </c>
      <c r="CM116" s="37">
        <f t="shared" si="931"/>
        <v>36.461014662320714</v>
      </c>
      <c r="CN116" s="37">
        <f t="shared" si="931"/>
        <v>34.170954276687105</v>
      </c>
      <c r="CO116" s="37">
        <f t="shared" si="931"/>
        <v>32.975612768152615</v>
      </c>
      <c r="CP116" s="37">
        <f t="shared" si="931"/>
        <v>30.626752170771177</v>
      </c>
      <c r="CQ116" s="37">
        <f t="shared" si="931"/>
        <v>29.433075502101577</v>
      </c>
      <c r="CR116" s="37">
        <f t="shared" si="931"/>
        <v>28.333969201559082</v>
      </c>
      <c r="CS116" s="37">
        <f t="shared" si="931"/>
        <v>27.329736510385889</v>
      </c>
      <c r="CT116" s="37">
        <f t="shared" si="931"/>
        <v>25.823494602187257</v>
      </c>
      <c r="CU116" s="37">
        <f t="shared" si="931"/>
        <v>24.204758185640301</v>
      </c>
      <c r="CV116" s="37">
        <f t="shared" si="931"/>
        <v>22.811898825784972</v>
      </c>
      <c r="CW116" s="37">
        <f t="shared" si="931"/>
        <v>21.520206549676303</v>
      </c>
      <c r="CX116" s="37">
        <f t="shared" si="931"/>
        <v>20.112072164650492</v>
      </c>
      <c r="CY116" s="37">
        <f t="shared" si="931"/>
        <v>18.984288194127135</v>
      </c>
      <c r="CZ116" s="37">
        <f t="shared" si="931"/>
        <v>17.996026866637834</v>
      </c>
      <c r="DA116" s="37">
        <f t="shared" si="931"/>
        <v>17.063339642872009</v>
      </c>
      <c r="DB116" s="37">
        <f t="shared" si="931"/>
        <v>16.052584745890012</v>
      </c>
      <c r="DE116" s="128"/>
    </row>
    <row r="117" spans="1:109" s="13" customFormat="1" x14ac:dyDescent="0.2">
      <c r="A117" s="13" t="s">
        <v>461</v>
      </c>
      <c r="B117" s="13">
        <f t="shared" ref="B117:D117" si="935">+B109/B100</f>
        <v>1.3776055361599757</v>
      </c>
      <c r="C117" s="13">
        <f t="shared" si="935"/>
        <v>1.0426907770786034</v>
      </c>
      <c r="D117" s="13">
        <f t="shared" si="935"/>
        <v>1.4144485834318492</v>
      </c>
      <c r="E117" s="13">
        <f t="shared" ref="E117:AE117" si="936">+E109/E100</f>
        <v>9.9039293845233605</v>
      </c>
      <c r="F117" s="13">
        <f t="shared" si="936"/>
        <v>9.9823208831640695</v>
      </c>
      <c r="G117" s="13">
        <f t="shared" si="936"/>
        <v>20.441623638664137</v>
      </c>
      <c r="H117" s="13">
        <f t="shared" si="936"/>
        <v>7.6689997773475804</v>
      </c>
      <c r="I117" s="13">
        <f t="shared" si="936"/>
        <v>9.1309580691132073</v>
      </c>
      <c r="J117" s="13">
        <f t="shared" si="936"/>
        <v>6.464497444341279</v>
      </c>
      <c r="K117" s="13">
        <f t="shared" si="936"/>
        <v>4.1034520577334241</v>
      </c>
      <c r="L117" s="13">
        <f t="shared" si="936"/>
        <v>5.4394528141860956</v>
      </c>
      <c r="M117" s="13">
        <f t="shared" si="936"/>
        <v>5.759102724554463</v>
      </c>
      <c r="N117" s="13">
        <f t="shared" si="936"/>
        <v>5.9998450296420369</v>
      </c>
      <c r="O117" s="13">
        <f t="shared" si="936"/>
        <v>13.53844240932769</v>
      </c>
      <c r="P117" s="13">
        <f t="shared" si="936"/>
        <v>20.053697434034483</v>
      </c>
      <c r="Q117" s="13">
        <f t="shared" si="936"/>
        <v>20.6243890762753</v>
      </c>
      <c r="R117" s="13">
        <f t="shared" si="936"/>
        <v>22.672253441814377</v>
      </c>
      <c r="S117" s="13">
        <f t="shared" si="936"/>
        <v>26.257993112559802</v>
      </c>
      <c r="T117" s="13">
        <f t="shared" si="936"/>
        <v>24.816744582305027</v>
      </c>
      <c r="U117" s="13">
        <f t="shared" si="936"/>
        <v>27.566833453433802</v>
      </c>
      <c r="V117" s="13">
        <f t="shared" si="936"/>
        <v>30.05635718756519</v>
      </c>
      <c r="W117" s="13">
        <f t="shared" si="936"/>
        <v>42.903472883976022</v>
      </c>
      <c r="X117" s="13">
        <f t="shared" si="936"/>
        <v>39.265361922731884</v>
      </c>
      <c r="Y117" s="13">
        <f t="shared" si="936"/>
        <v>58.512386146693515</v>
      </c>
      <c r="Z117" s="13">
        <f t="shared" ref="Z117:AA117" si="937">+Z109/Z100</f>
        <v>72.872661779049977</v>
      </c>
      <c r="AA117" s="13">
        <f t="shared" si="937"/>
        <v>51.237050616364499</v>
      </c>
      <c r="AB117" s="60">
        <f t="shared" si="936"/>
        <v>48.144148208715023</v>
      </c>
      <c r="AC117" s="60">
        <f t="shared" si="936"/>
        <v>48.144148208715002</v>
      </c>
      <c r="AD117" s="60">
        <f t="shared" si="936"/>
        <v>48.144148208715052</v>
      </c>
      <c r="AE117" s="60">
        <f t="shared" si="936"/>
        <v>48.144148208715023</v>
      </c>
      <c r="AL117" s="13">
        <f t="shared" ref="AL117:BQ117" si="938">+AL109/AL100</f>
        <v>4.9732912555426854</v>
      </c>
      <c r="AM117" s="13">
        <f t="shared" si="938"/>
        <v>4.0848706453035435</v>
      </c>
      <c r="AN117" s="13">
        <f t="shared" si="938"/>
        <v>4.1457342657342657</v>
      </c>
      <c r="AO117" s="13">
        <f t="shared" si="938"/>
        <v>6.2181181490278821</v>
      </c>
      <c r="AP117" s="13">
        <f t="shared" si="938"/>
        <v>10.157182968504651</v>
      </c>
      <c r="AQ117" s="13">
        <f t="shared" si="938"/>
        <v>13.500560268446231</v>
      </c>
      <c r="AR117" s="13">
        <f t="shared" si="938"/>
        <v>15.524615644534537</v>
      </c>
      <c r="AS117" s="13">
        <f t="shared" si="938"/>
        <v>19.21324392969624</v>
      </c>
      <c r="AT117" s="13">
        <f t="shared" si="938"/>
        <v>20.053697434034561</v>
      </c>
      <c r="AU117" s="13">
        <f t="shared" si="938"/>
        <v>22.89282068390327</v>
      </c>
      <c r="AV117" s="13">
        <f t="shared" si="938"/>
        <v>25.524581471672061</v>
      </c>
      <c r="AW117" s="13">
        <f t="shared" si="938"/>
        <v>22.149611629653474</v>
      </c>
      <c r="AX117" s="13">
        <f t="shared" si="938"/>
        <v>19.012088467614518</v>
      </c>
      <c r="AY117" s="13">
        <f t="shared" si="938"/>
        <v>18.696281354110685</v>
      </c>
      <c r="AZ117" s="13">
        <f t="shared" si="938"/>
        <v>22.251781015288994</v>
      </c>
      <c r="BA117" s="13">
        <f t="shared" si="938"/>
        <v>23.471201302617285</v>
      </c>
      <c r="BB117" s="13">
        <f t="shared" si="938"/>
        <v>20.535685663799292</v>
      </c>
      <c r="BC117" s="13">
        <f t="shared" si="938"/>
        <v>23.752421161468202</v>
      </c>
      <c r="BD117" s="13">
        <f t="shared" si="938"/>
        <v>21.956542687319889</v>
      </c>
      <c r="BE117" s="13">
        <f t="shared" si="938"/>
        <v>25.350666581015407</v>
      </c>
      <c r="BF117" s="13">
        <f t="shared" si="938"/>
        <v>26.258561836690511</v>
      </c>
      <c r="BG117" s="13">
        <f t="shared" si="938"/>
        <v>29.697919127296608</v>
      </c>
      <c r="BH117" s="13">
        <f t="shared" si="938"/>
        <v>24.041384600408851</v>
      </c>
      <c r="BI117" s="13">
        <f t="shared" si="938"/>
        <v>25.162518656716422</v>
      </c>
      <c r="BJ117" s="13">
        <f t="shared" si="938"/>
        <v>24.824717631343113</v>
      </c>
      <c r="BK117" s="13">
        <f t="shared" si="938"/>
        <v>28.625607121549912</v>
      </c>
      <c r="BL117" s="13">
        <f t="shared" si="938"/>
        <v>25.832354683137325</v>
      </c>
      <c r="BM117" s="13">
        <f t="shared" si="938"/>
        <v>22.730884666607476</v>
      </c>
      <c r="BN117" s="13">
        <f t="shared" si="938"/>
        <v>27.566833453433777</v>
      </c>
      <c r="BO117" s="13">
        <f t="shared" si="938"/>
        <v>24.87662435281166</v>
      </c>
      <c r="BP117" s="13">
        <f t="shared" si="938"/>
        <v>25.702484062857266</v>
      </c>
      <c r="BQ117" s="13">
        <f t="shared" si="938"/>
        <v>33.073688375405574</v>
      </c>
      <c r="BR117" s="13">
        <f t="shared" ref="BR117:CH117" si="939">+BR109/BR100</f>
        <v>30.056357187565208</v>
      </c>
      <c r="BS117" s="13">
        <f t="shared" si="939"/>
        <v>30.579179831434505</v>
      </c>
      <c r="BT117" s="13">
        <f t="shared" si="939"/>
        <v>45.595084095643188</v>
      </c>
      <c r="BU117" s="13">
        <f t="shared" si="939"/>
        <v>45.298457398241133</v>
      </c>
      <c r="BV117" s="13">
        <f t="shared" si="939"/>
        <v>42.903472883976015</v>
      </c>
      <c r="BW117" s="13">
        <f t="shared" si="939"/>
        <v>39.111011400620463</v>
      </c>
      <c r="BX117" s="13">
        <f t="shared" si="939"/>
        <v>38.590052950213156</v>
      </c>
      <c r="BY117" s="13">
        <f t="shared" si="939"/>
        <v>35.478364300806149</v>
      </c>
      <c r="BZ117" s="13">
        <f t="shared" si="939"/>
        <v>33.357085703450892</v>
      </c>
      <c r="CA117" s="13">
        <f t="shared" si="939"/>
        <v>40.84153117373787</v>
      </c>
      <c r="CB117" s="13">
        <f t="shared" si="939"/>
        <v>42.330934741724469</v>
      </c>
      <c r="CC117" s="13">
        <f t="shared" si="939"/>
        <v>50.802807141163342</v>
      </c>
      <c r="CD117" s="13">
        <f t="shared" si="939"/>
        <v>57.699051440806798</v>
      </c>
      <c r="CE117" s="13">
        <f t="shared" si="939"/>
        <v>65.078308454876961</v>
      </c>
      <c r="CF117" s="13">
        <f t="shared" si="939"/>
        <v>69.768734060640398</v>
      </c>
      <c r="CG117" s="13">
        <f t="shared" si="939"/>
        <v>64.583186245019277</v>
      </c>
      <c r="CH117" s="13">
        <f t="shared" si="939"/>
        <v>72.872661779049835</v>
      </c>
      <c r="CI117" s="13">
        <f t="shared" ref="CI117:CJ117" si="940">+CI109/CI100</f>
        <v>67.353680672033974</v>
      </c>
      <c r="CJ117" s="13">
        <f t="shared" si="940"/>
        <v>60.818104151727191</v>
      </c>
      <c r="CK117" s="13">
        <f t="shared" ref="CK117" si="941">+CK109/CK100</f>
        <v>51.824615646221773</v>
      </c>
      <c r="CL117" s="13">
        <f t="shared" ref="CL117" si="942">+CL109/CL100</f>
        <v>48.144148208715031</v>
      </c>
      <c r="CM117" s="60">
        <f t="shared" ref="CM117:CM118" si="943">+CL117</f>
        <v>48.144148208715031</v>
      </c>
      <c r="CN117" s="60">
        <f t="shared" ref="CN117:CN118" si="944">+CM117</f>
        <v>48.144148208715031</v>
      </c>
      <c r="CO117" s="60">
        <f t="shared" ref="CO117:CO118" si="945">+CN117</f>
        <v>48.144148208715031</v>
      </c>
      <c r="CP117" s="60">
        <f t="shared" ref="CP117:CP118" si="946">+CO117</f>
        <v>48.144148208715031</v>
      </c>
      <c r="CQ117" s="60">
        <f t="shared" ref="CQ117:CQ118" si="947">+CP117</f>
        <v>48.144148208715031</v>
      </c>
      <c r="CR117" s="60">
        <f t="shared" ref="CR117:CR118" si="948">+CQ117</f>
        <v>48.144148208715031</v>
      </c>
      <c r="CS117" s="60">
        <f t="shared" ref="CS117:CS118" si="949">+CR117</f>
        <v>48.144148208715031</v>
      </c>
      <c r="CT117" s="60">
        <f t="shared" ref="CT117:CT118" si="950">+CS117</f>
        <v>48.144148208715031</v>
      </c>
      <c r="CU117" s="60">
        <f t="shared" ref="CU117:CU118" si="951">+CT117</f>
        <v>48.144148208715031</v>
      </c>
      <c r="CV117" s="60">
        <f t="shared" ref="CV117:CV118" si="952">+CU117</f>
        <v>48.144148208715031</v>
      </c>
      <c r="CW117" s="60">
        <f t="shared" ref="CW117:CW118" si="953">+CV117</f>
        <v>48.144148208715031</v>
      </c>
      <c r="CX117" s="60">
        <f t="shared" ref="CX117:CX118" si="954">+CW117</f>
        <v>48.144148208715031</v>
      </c>
      <c r="CY117" s="60">
        <f t="shared" ref="CY117:CY118" si="955">+CX117</f>
        <v>48.144148208715031</v>
      </c>
      <c r="CZ117" s="60">
        <f t="shared" ref="CZ117:CZ118" si="956">+CY117</f>
        <v>48.144148208715031</v>
      </c>
      <c r="DA117" s="60">
        <f t="shared" ref="DA117:DA118" si="957">+CZ117</f>
        <v>48.144148208715031</v>
      </c>
      <c r="DB117" s="60">
        <f t="shared" ref="DB117:DB118" si="958">+DA117</f>
        <v>48.144148208715031</v>
      </c>
      <c r="DE117" s="130"/>
    </row>
    <row r="118" spans="1:109" s="13" customFormat="1" x14ac:dyDescent="0.2">
      <c r="A118" s="13" t="s">
        <v>462</v>
      </c>
      <c r="B118" s="13">
        <f t="shared" ref="B118:D118" si="959">+B110/B100</f>
        <v>0.49291946340456005</v>
      </c>
      <c r="C118" s="13">
        <f t="shared" si="959"/>
        <v>0.62465346092266572</v>
      </c>
      <c r="D118" s="13">
        <f t="shared" si="959"/>
        <v>0.78328212084107218</v>
      </c>
      <c r="E118" s="13">
        <f t="shared" ref="E118:AE118" si="960">+E110/E100</f>
        <v>3.2245351484494664</v>
      </c>
      <c r="F118" s="13">
        <f t="shared" si="960"/>
        <v>3.1809596811283205</v>
      </c>
      <c r="G118" s="13">
        <f t="shared" si="960"/>
        <v>5.0468867401673601</v>
      </c>
      <c r="H118" s="13">
        <f t="shared" si="960"/>
        <v>2.2616353230783752</v>
      </c>
      <c r="I118" s="13">
        <f t="shared" si="960"/>
        <v>3.9843380195503637</v>
      </c>
      <c r="J118" s="13">
        <f t="shared" si="960"/>
        <v>2.635411716404136</v>
      </c>
      <c r="K118" s="13">
        <f t="shared" si="960"/>
        <v>1.3413198888338158</v>
      </c>
      <c r="L118" s="13">
        <f t="shared" si="960"/>
        <v>2.3634624482976045</v>
      </c>
      <c r="M118" s="13">
        <f t="shared" si="960"/>
        <v>3.6033516367626768</v>
      </c>
      <c r="N118" s="13">
        <f t="shared" si="960"/>
        <v>3.8342759642556139</v>
      </c>
      <c r="O118" s="13">
        <f t="shared" si="960"/>
        <v>4.581540281647146</v>
      </c>
      <c r="P118" s="13">
        <f t="shared" si="960"/>
        <v>6.3843705293748361</v>
      </c>
      <c r="Q118" s="13">
        <f t="shared" si="960"/>
        <v>12.398353113587181</v>
      </c>
      <c r="R118" s="13">
        <f t="shared" si="960"/>
        <v>13.416862851705842</v>
      </c>
      <c r="S118" s="13">
        <f t="shared" si="960"/>
        <v>18.232934092828813</v>
      </c>
      <c r="T118" s="13">
        <f t="shared" si="960"/>
        <v>15.342608607458002</v>
      </c>
      <c r="U118" s="13">
        <f t="shared" si="960"/>
        <v>14.246542635658924</v>
      </c>
      <c r="V118" s="13">
        <f t="shared" si="960"/>
        <v>12.694419962445227</v>
      </c>
      <c r="W118" s="13">
        <f t="shared" si="960"/>
        <v>16.979355398852249</v>
      </c>
      <c r="X118" s="13">
        <f t="shared" si="960"/>
        <v>27.450865728793826</v>
      </c>
      <c r="Y118" s="13">
        <f t="shared" si="960"/>
        <v>45.49348286678994</v>
      </c>
      <c r="Z118" s="13">
        <f t="shared" ref="Z118:AA118" si="961">+Z110/Z100</f>
        <v>49.496153680103689</v>
      </c>
      <c r="AA118" s="13">
        <f t="shared" si="961"/>
        <v>35.718507340648799</v>
      </c>
      <c r="AB118" s="60">
        <f t="shared" si="960"/>
        <v>30.003056205740087</v>
      </c>
      <c r="AC118" s="60">
        <f t="shared" si="960"/>
        <v>31.338100615532699</v>
      </c>
      <c r="AD118" s="60">
        <f t="shared" si="960"/>
        <v>29.679007397599573</v>
      </c>
      <c r="AE118" s="60">
        <f t="shared" si="960"/>
        <v>30.202573845240874</v>
      </c>
      <c r="AL118" s="13">
        <f t="shared" ref="AL118:BQ118" si="962">+AL110/AL100</f>
        <v>3.8744307114608727</v>
      </c>
      <c r="AM118" s="13">
        <f t="shared" si="962"/>
        <v>3.0500367484933126</v>
      </c>
      <c r="AN118" s="13">
        <f t="shared" si="962"/>
        <v>3.0438417372101583</v>
      </c>
      <c r="AO118" s="13">
        <f t="shared" si="962"/>
        <v>4.1462813407231423</v>
      </c>
      <c r="AP118" s="13">
        <f t="shared" si="962"/>
        <v>5.3934367784243022</v>
      </c>
      <c r="AQ118" s="13">
        <f t="shared" si="962"/>
        <v>7.2889614297025096</v>
      </c>
      <c r="AR118" s="13">
        <f t="shared" si="962"/>
        <v>9.9758175367460638</v>
      </c>
      <c r="AS118" s="13">
        <f t="shared" si="962"/>
        <v>13.085885468522477</v>
      </c>
      <c r="AT118" s="13">
        <f t="shared" si="962"/>
        <v>16.504214523958929</v>
      </c>
      <c r="AU118" s="13">
        <f t="shared" si="962"/>
        <v>16.46411521947303</v>
      </c>
      <c r="AV118" s="13">
        <f t="shared" si="962"/>
        <v>17.391293182865052</v>
      </c>
      <c r="AW118" s="13">
        <f t="shared" si="962"/>
        <v>17.776931659693165</v>
      </c>
      <c r="AX118" s="13">
        <f t="shared" si="962"/>
        <v>14.285974865011426</v>
      </c>
      <c r="AY118" s="13">
        <f t="shared" si="962"/>
        <v>14.851263191832343</v>
      </c>
      <c r="AZ118" s="13">
        <f t="shared" si="962"/>
        <v>15.811262505915995</v>
      </c>
      <c r="BA118" s="13">
        <f t="shared" si="962"/>
        <v>16.114031399509503</v>
      </c>
      <c r="BB118" s="13">
        <f t="shared" si="962"/>
        <v>17.371124876211187</v>
      </c>
      <c r="BC118" s="13">
        <f t="shared" si="962"/>
        <v>19.222221480268825</v>
      </c>
      <c r="BD118" s="13">
        <f t="shared" si="962"/>
        <v>18.9533681556196</v>
      </c>
      <c r="BE118" s="13">
        <f t="shared" si="962"/>
        <v>19.450955868182703</v>
      </c>
      <c r="BF118" s="13">
        <f t="shared" si="962"/>
        <v>20.891286116525897</v>
      </c>
      <c r="BG118" s="13">
        <f t="shared" si="962"/>
        <v>19.627005864501328</v>
      </c>
      <c r="BH118" s="13">
        <f t="shared" si="962"/>
        <v>17.670359972744095</v>
      </c>
      <c r="BI118" s="13">
        <f t="shared" si="962"/>
        <v>17.880319850746272</v>
      </c>
      <c r="BJ118" s="13">
        <f t="shared" si="962"/>
        <v>19.529766955815965</v>
      </c>
      <c r="BK118" s="13">
        <f t="shared" si="962"/>
        <v>20.486087229566362</v>
      </c>
      <c r="BL118" s="13">
        <f t="shared" si="962"/>
        <v>21.333428575457599</v>
      </c>
      <c r="BM118" s="13">
        <f t="shared" si="962"/>
        <v>17.040926041019265</v>
      </c>
      <c r="BN118" s="13">
        <f t="shared" si="962"/>
        <v>16.131410066601156</v>
      </c>
      <c r="BO118" s="13">
        <f t="shared" si="962"/>
        <v>16.580108258940733</v>
      </c>
      <c r="BP118" s="13">
        <f t="shared" si="962"/>
        <v>20.596448681431546</v>
      </c>
      <c r="BQ118" s="13">
        <f t="shared" si="962"/>
        <v>23.984581407770843</v>
      </c>
      <c r="BR118" s="13">
        <f t="shared" ref="BR118:CH118" si="963">+BR110/BR100</f>
        <v>25.396508625078251</v>
      </c>
      <c r="BS118" s="13">
        <f t="shared" si="963"/>
        <v>22.639619951152714</v>
      </c>
      <c r="BT118" s="13">
        <f t="shared" si="963"/>
        <v>28.973999447227023</v>
      </c>
      <c r="BU118" s="13">
        <f t="shared" si="963"/>
        <v>35.166844874813769</v>
      </c>
      <c r="BV118" s="13">
        <f t="shared" si="963"/>
        <v>33.054034421785978</v>
      </c>
      <c r="BW118" s="13">
        <f t="shared" si="963"/>
        <v>29.350888829675867</v>
      </c>
      <c r="BX118" s="13">
        <f t="shared" si="963"/>
        <v>26.978749465952784</v>
      </c>
      <c r="BY118" s="13">
        <f t="shared" si="963"/>
        <v>29.688501682127729</v>
      </c>
      <c r="BZ118" s="13">
        <f t="shared" si="963"/>
        <v>28.54273162407392</v>
      </c>
      <c r="CA118" s="13">
        <f t="shared" si="963"/>
        <v>35.394496323740746</v>
      </c>
      <c r="CB118" s="13">
        <f t="shared" si="963"/>
        <v>35.055612603985203</v>
      </c>
      <c r="CC118" s="13">
        <f t="shared" si="963"/>
        <v>41.798443375453118</v>
      </c>
      <c r="CD118" s="13">
        <f t="shared" si="963"/>
        <v>48.934343607519629</v>
      </c>
      <c r="CE118" s="13">
        <f t="shared" si="963"/>
        <v>50.388070630941549</v>
      </c>
      <c r="CF118" s="13">
        <f t="shared" si="963"/>
        <v>59.947826668319621</v>
      </c>
      <c r="CG118" s="13">
        <f t="shared" si="963"/>
        <v>54.985776900072345</v>
      </c>
      <c r="CH118" s="13">
        <f t="shared" si="963"/>
        <v>52.137386270966893</v>
      </c>
      <c r="CI118" s="13">
        <f t="shared" ref="CI118:CJ118" si="964">+CI110/CI100</f>
        <v>53.238886489433057</v>
      </c>
      <c r="CJ118" s="13">
        <f t="shared" si="964"/>
        <v>51.124588907297039</v>
      </c>
      <c r="CK118" s="13">
        <f t="shared" ref="CK118" si="965">+CK110/CK100</f>
        <v>44.339949040735014</v>
      </c>
      <c r="CL118" s="13">
        <f t="shared" ref="CL118" si="966">+CL110/CL100</f>
        <v>35.718507340648806</v>
      </c>
      <c r="CM118" s="60">
        <f t="shared" si="943"/>
        <v>35.718507340648806</v>
      </c>
      <c r="CN118" s="60">
        <f t="shared" si="944"/>
        <v>35.718507340648806</v>
      </c>
      <c r="CO118" s="60">
        <f t="shared" si="945"/>
        <v>35.718507340648806</v>
      </c>
      <c r="CP118" s="60">
        <f t="shared" si="946"/>
        <v>35.718507340648806</v>
      </c>
      <c r="CQ118" s="60">
        <f t="shared" si="947"/>
        <v>35.718507340648806</v>
      </c>
      <c r="CR118" s="60">
        <f t="shared" si="948"/>
        <v>35.718507340648806</v>
      </c>
      <c r="CS118" s="60">
        <f t="shared" si="949"/>
        <v>35.718507340648806</v>
      </c>
      <c r="CT118" s="60">
        <f t="shared" si="950"/>
        <v>35.718507340648806</v>
      </c>
      <c r="CU118" s="60">
        <f t="shared" si="951"/>
        <v>35.718507340648806</v>
      </c>
      <c r="CV118" s="60">
        <f t="shared" si="952"/>
        <v>35.718507340648806</v>
      </c>
      <c r="CW118" s="60">
        <f t="shared" si="953"/>
        <v>35.718507340648806</v>
      </c>
      <c r="CX118" s="60">
        <f t="shared" si="954"/>
        <v>35.718507340648806</v>
      </c>
      <c r="CY118" s="60">
        <f t="shared" si="955"/>
        <v>35.718507340648806</v>
      </c>
      <c r="CZ118" s="60">
        <f t="shared" si="956"/>
        <v>35.718507340648806</v>
      </c>
      <c r="DA118" s="60">
        <f t="shared" si="957"/>
        <v>35.718507340648806</v>
      </c>
      <c r="DB118" s="60">
        <f t="shared" si="958"/>
        <v>35.718507340648806</v>
      </c>
      <c r="DE118" s="130"/>
    </row>
    <row r="119" spans="1:109" s="13" customFormat="1" x14ac:dyDescent="0.2">
      <c r="AB119" s="60"/>
      <c r="AC119" s="60"/>
      <c r="AD119" s="60"/>
      <c r="AE119" s="60"/>
      <c r="CM119" s="60"/>
      <c r="CN119" s="60"/>
      <c r="CO119" s="60"/>
      <c r="CP119" s="60"/>
      <c r="CQ119" s="60"/>
      <c r="CR119" s="60"/>
      <c r="CS119" s="60"/>
      <c r="CT119" s="60"/>
      <c r="CU119" s="60"/>
      <c r="CV119" s="60"/>
      <c r="CW119" s="60"/>
      <c r="CX119" s="60"/>
      <c r="CY119" s="60"/>
      <c r="CZ119" s="60"/>
      <c r="DA119" s="60"/>
      <c r="DB119" s="60"/>
      <c r="DE119" s="130"/>
    </row>
    <row r="120" spans="1:109" s="13" customFormat="1" x14ac:dyDescent="0.2">
      <c r="A120" s="13" t="s">
        <v>463</v>
      </c>
      <c r="B120" s="13">
        <f t="shared" ref="B120:AD120" si="967">+B109/C100</f>
        <v>2.0613564210447968</v>
      </c>
      <c r="C120" s="13">
        <f t="shared" si="967"/>
        <v>0.98534620418847907</v>
      </c>
      <c r="D120" s="13">
        <f t="shared" si="967"/>
        <v>4.7830604702000414</v>
      </c>
      <c r="E120" s="13">
        <f t="shared" si="967"/>
        <v>6.4418178785801157</v>
      </c>
      <c r="F120" s="13">
        <f t="shared" si="967"/>
        <v>5.7715827194476841</v>
      </c>
      <c r="G120" s="13">
        <f t="shared" si="967"/>
        <v>7.2783536760885887</v>
      </c>
      <c r="H120" s="13">
        <f t="shared" si="967"/>
        <v>16.421636257373322</v>
      </c>
      <c r="I120" s="13">
        <f t="shared" si="967"/>
        <v>8.7945999997138813</v>
      </c>
      <c r="J120" s="13">
        <f t="shared" si="967"/>
        <v>2.785888515704567</v>
      </c>
      <c r="K120" s="13">
        <f t="shared" si="967"/>
        <v>2.7491090016328776</v>
      </c>
      <c r="L120" s="13">
        <f t="shared" si="967"/>
        <v>6.9531775557596411</v>
      </c>
      <c r="M120" s="13">
        <f t="shared" si="967"/>
        <v>8.6247772301104266</v>
      </c>
      <c r="N120" s="13">
        <f t="shared" si="967"/>
        <v>9.341890180021263</v>
      </c>
      <c r="O120" s="13">
        <f t="shared" si="967"/>
        <v>7.263420626795658</v>
      </c>
      <c r="P120" s="13">
        <f t="shared" si="967"/>
        <v>14.12561380818347</v>
      </c>
      <c r="Q120" s="13">
        <f t="shared" si="967"/>
        <v>17.216292782384105</v>
      </c>
      <c r="R120" s="13">
        <f t="shared" si="967"/>
        <v>25.288565982976298</v>
      </c>
      <c r="S120" s="13">
        <f t="shared" si="967"/>
        <v>20.493556239223786</v>
      </c>
      <c r="T120" s="13">
        <f t="shared" si="967"/>
        <v>16.02914047385087</v>
      </c>
      <c r="U120" s="13">
        <f t="shared" si="967"/>
        <v>21.071114341748373</v>
      </c>
      <c r="V120" s="13">
        <f t="shared" si="967"/>
        <v>19.066466552315603</v>
      </c>
      <c r="W120" s="13">
        <f t="shared" si="967"/>
        <v>37.478485344580434</v>
      </c>
      <c r="X120" s="13">
        <f t="shared" si="967"/>
        <v>63.565491536336467</v>
      </c>
      <c r="Y120" s="13">
        <f t="shared" si="967"/>
        <v>62.485472505156871</v>
      </c>
      <c r="Z120" s="13">
        <f t="shared" ref="Z120:AA120" si="968">+Z109/AA100</f>
        <v>47.469529615182289</v>
      </c>
      <c r="AA120" s="13">
        <f t="shared" si="968"/>
        <v>40.708926894188835</v>
      </c>
      <c r="AB120" s="37">
        <f t="shared" si="967"/>
        <v>40.593600799145733</v>
      </c>
      <c r="AC120" s="37">
        <f t="shared" si="967"/>
        <v>37.496032120969879</v>
      </c>
      <c r="AD120" s="37">
        <f t="shared" si="967"/>
        <v>38.426573493379131</v>
      </c>
      <c r="AE120" s="37"/>
      <c r="AL120" s="13">
        <f t="shared" ref="AL120:BQ120" si="969">+AL109/AP100</f>
        <v>5.7493488500969718</v>
      </c>
      <c r="AM120" s="13">
        <f t="shared" si="969"/>
        <v>4.1909851826716364</v>
      </c>
      <c r="AN120" s="13">
        <f t="shared" si="969"/>
        <v>3.4254313228585884</v>
      </c>
      <c r="AO120" s="13">
        <f t="shared" si="969"/>
        <v>4.7872497544786503</v>
      </c>
      <c r="AP120" s="13">
        <f t="shared" si="969"/>
        <v>7.2634206267956865</v>
      </c>
      <c r="AQ120" s="13">
        <f t="shared" si="969"/>
        <v>11.06092608037563</v>
      </c>
      <c r="AR120" s="13">
        <f t="shared" si="969"/>
        <v>13.226940350069103</v>
      </c>
      <c r="AS120" s="13">
        <f t="shared" si="969"/>
        <v>15.216926295461862</v>
      </c>
      <c r="AT120" s="13">
        <f t="shared" si="969"/>
        <v>14.318125297682196</v>
      </c>
      <c r="AU120" s="13">
        <f t="shared" si="969"/>
        <v>15.929269940891988</v>
      </c>
      <c r="AV120" s="13">
        <f t="shared" si="969"/>
        <v>18.244374385250108</v>
      </c>
      <c r="AW120" s="13">
        <f t="shared" si="969"/>
        <v>16.600854742089812</v>
      </c>
      <c r="AX120" s="13">
        <f t="shared" si="969"/>
        <v>15.657035748266953</v>
      </c>
      <c r="AY120" s="13">
        <f t="shared" si="969"/>
        <v>18.736956961916245</v>
      </c>
      <c r="AZ120" s="13">
        <f t="shared" si="969"/>
        <v>24.346402242435161</v>
      </c>
      <c r="BA120" s="13">
        <f t="shared" si="969"/>
        <v>25.001571272563766</v>
      </c>
      <c r="BB120" s="13">
        <f t="shared" si="969"/>
        <v>22.905940567468068</v>
      </c>
      <c r="BC120" s="13">
        <f t="shared" si="969"/>
        <v>22.610777559055133</v>
      </c>
      <c r="BD120" s="13">
        <f t="shared" si="969"/>
        <v>18.986115058892249</v>
      </c>
      <c r="BE120" s="13">
        <f t="shared" si="969"/>
        <v>22.087714179104477</v>
      </c>
      <c r="BF120" s="13">
        <f t="shared" si="969"/>
        <v>20.500140347317341</v>
      </c>
      <c r="BG120" s="13">
        <f t="shared" si="969"/>
        <v>22.738532985838543</v>
      </c>
      <c r="BH120" s="13">
        <f t="shared" si="969"/>
        <v>17.413849451448236</v>
      </c>
      <c r="BI120" s="13">
        <f t="shared" si="969"/>
        <v>14.968380981976381</v>
      </c>
      <c r="BJ120" s="13">
        <f t="shared" si="969"/>
        <v>16.029140473850855</v>
      </c>
      <c r="BK120" s="13">
        <f t="shared" si="969"/>
        <v>19.873771513902966</v>
      </c>
      <c r="BL120" s="13">
        <f t="shared" si="969"/>
        <v>17.747637040051163</v>
      </c>
      <c r="BM120" s="13">
        <f t="shared" si="969"/>
        <v>20.259393368679287</v>
      </c>
      <c r="BN120" s="13">
        <f t="shared" si="969"/>
        <v>21.071114341748391</v>
      </c>
      <c r="BO120" s="13">
        <f t="shared" si="969"/>
        <v>16.110119209972755</v>
      </c>
      <c r="BP120" s="13">
        <f t="shared" si="969"/>
        <v>17.883951382943575</v>
      </c>
      <c r="BQ120" s="13">
        <f t="shared" si="969"/>
        <v>20.085165072805029</v>
      </c>
      <c r="BR120" s="13">
        <f t="shared" ref="BR120:CL120" si="970">+BR109/BV100</f>
        <v>19.066466552315603</v>
      </c>
      <c r="BS120" s="13">
        <f t="shared" si="970"/>
        <v>20.612617241773087</v>
      </c>
      <c r="BT120" s="13">
        <f t="shared" si="970"/>
        <v>30.741628230417511</v>
      </c>
      <c r="BU120" s="13">
        <f t="shared" si="970"/>
        <v>34.190832177153894</v>
      </c>
      <c r="BV120" s="13">
        <f t="shared" si="970"/>
        <v>37.478485344580406</v>
      </c>
      <c r="BW120" s="13">
        <f t="shared" si="970"/>
        <v>42.953583503603099</v>
      </c>
      <c r="BX120" s="13">
        <f t="shared" si="970"/>
        <v>48.981240957182933</v>
      </c>
      <c r="BY120" s="13">
        <f t="shared" si="970"/>
        <v>53.015990785595747</v>
      </c>
      <c r="BZ120" s="13">
        <f t="shared" si="970"/>
        <v>54.000764162879697</v>
      </c>
      <c r="CA120" s="13">
        <f t="shared" si="970"/>
        <v>63.611456000130246</v>
      </c>
      <c r="CB120" s="13">
        <f t="shared" si="970"/>
        <v>64.977055203315373</v>
      </c>
      <c r="CC120" s="13">
        <f t="shared" si="970"/>
        <v>65.376616881588205</v>
      </c>
      <c r="CD120" s="13">
        <f t="shared" si="970"/>
        <v>61.616911047506328</v>
      </c>
      <c r="CE120" s="13">
        <f t="shared" si="970"/>
        <v>55.880166680644059</v>
      </c>
      <c r="CF120" s="13">
        <f t="shared" si="970"/>
        <v>48.705791152543199</v>
      </c>
      <c r="CG120" s="13">
        <f t="shared" si="970"/>
        <v>39.985961262321446</v>
      </c>
      <c r="CH120" s="13">
        <f t="shared" si="970"/>
        <v>47.469529615182296</v>
      </c>
      <c r="CI120" s="13">
        <f t="shared" si="970"/>
        <v>47.475249087546395</v>
      </c>
      <c r="CJ120" s="13">
        <f t="shared" si="970"/>
        <v>45.41986273300941</v>
      </c>
      <c r="CK120" s="13">
        <f t="shared" si="970"/>
        <v>42.77123181932491</v>
      </c>
      <c r="CL120" s="13">
        <f t="shared" si="970"/>
        <v>38.251550123097935</v>
      </c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E120" s="128"/>
    </row>
    <row r="121" spans="1:109" s="98" customFormat="1" x14ac:dyDescent="0.2">
      <c r="A121" s="98" t="s">
        <v>426</v>
      </c>
      <c r="AB121" s="99"/>
      <c r="AC121" s="99"/>
      <c r="AD121" s="99"/>
      <c r="AE121" s="99"/>
      <c r="AL121" s="168"/>
      <c r="AM121" s="168"/>
      <c r="AN121" s="168"/>
      <c r="AO121" s="168">
        <f t="shared" ref="AO121:CI121" si="971">+CORREL(AL100:AO100,AL117:AO117)</f>
        <v>-0.79784162093864552</v>
      </c>
      <c r="AP121" s="168">
        <f t="shared" si="971"/>
        <v>-0.82200553137692067</v>
      </c>
      <c r="AQ121" s="168">
        <f t="shared" si="971"/>
        <v>0.36342179151407017</v>
      </c>
      <c r="AR121" s="168">
        <f t="shared" si="971"/>
        <v>0.85626896765083982</v>
      </c>
      <c r="AS121" s="168">
        <f t="shared" si="971"/>
        <v>0.90331794700363766</v>
      </c>
      <c r="AT121" s="168">
        <f t="shared" si="971"/>
        <v>0.83005231818527947</v>
      </c>
      <c r="AU121" s="168">
        <f t="shared" si="971"/>
        <v>0.83280012157590178</v>
      </c>
      <c r="AV121" s="168">
        <f t="shared" si="971"/>
        <v>0.9990164364701134</v>
      </c>
      <c r="AW121" s="168">
        <f t="shared" si="971"/>
        <v>0.47579779989398197</v>
      </c>
      <c r="AX121" s="168">
        <f t="shared" si="971"/>
        <v>-0.80260002082988902</v>
      </c>
      <c r="AY121" s="168">
        <f t="shared" si="971"/>
        <v>-0.93349188224610768</v>
      </c>
      <c r="AZ121" s="168">
        <f t="shared" si="971"/>
        <v>-0.17866903475555665</v>
      </c>
      <c r="BA121" s="168">
        <f t="shared" si="971"/>
        <v>0.8236222935080314</v>
      </c>
      <c r="BB121" s="168">
        <f t="shared" si="971"/>
        <v>0.44518586743406657</v>
      </c>
      <c r="BC121" s="168">
        <f t="shared" si="971"/>
        <v>-0.78223933853556316</v>
      </c>
      <c r="BD121" s="168">
        <f t="shared" si="971"/>
        <v>-0.36436310177180742</v>
      </c>
      <c r="BE121" s="168">
        <f t="shared" si="971"/>
        <v>-0.49819753206986311</v>
      </c>
      <c r="BF121" s="168">
        <f t="shared" si="971"/>
        <v>0.77933920588039129</v>
      </c>
      <c r="BG121" s="168">
        <f t="shared" si="971"/>
        <v>0.97073709644965778</v>
      </c>
      <c r="BH121" s="168">
        <f t="shared" si="971"/>
        <v>-0.21727970237164546</v>
      </c>
      <c r="BI121" s="168">
        <f t="shared" si="971"/>
        <v>-0.47510892913480585</v>
      </c>
      <c r="BJ121" s="168">
        <f t="shared" si="971"/>
        <v>-0.59443445484099722</v>
      </c>
      <c r="BK121" s="168">
        <f t="shared" si="971"/>
        <v>0.85319978003100094</v>
      </c>
      <c r="BL121" s="168">
        <f t="shared" si="971"/>
        <v>0.3535568981160101</v>
      </c>
      <c r="BM121" s="168">
        <f t="shared" si="971"/>
        <v>-0.67537597411553496</v>
      </c>
      <c r="BN121" s="168">
        <f t="shared" si="971"/>
        <v>-0.51533670107604124</v>
      </c>
      <c r="BO121" s="168">
        <f t="shared" si="971"/>
        <v>-0.13559393581415621</v>
      </c>
      <c r="BP121" s="168">
        <f t="shared" si="971"/>
        <v>0.25334651741214859</v>
      </c>
      <c r="BQ121" s="168">
        <f t="shared" si="971"/>
        <v>0.37206555859693907</v>
      </c>
      <c r="BR121" s="168">
        <f t="shared" si="971"/>
        <v>0.43018063318344618</v>
      </c>
      <c r="BS121" s="168">
        <f t="shared" si="971"/>
        <v>0.14172320636305513</v>
      </c>
      <c r="BT121" s="168">
        <f t="shared" si="971"/>
        <v>0.52422521284731272</v>
      </c>
      <c r="BU121" s="168">
        <f t="shared" si="971"/>
        <v>0.80459264950144949</v>
      </c>
      <c r="BV121" s="168">
        <f t="shared" si="971"/>
        <v>0.48713012073777845</v>
      </c>
      <c r="BW121" s="168">
        <f t="shared" si="971"/>
        <v>-0.95242065150088762</v>
      </c>
      <c r="BX121" s="168">
        <f t="shared" si="971"/>
        <v>-0.9908053493122797</v>
      </c>
      <c r="BY121" s="168">
        <f t="shared" si="971"/>
        <v>-0.91438843453329599</v>
      </c>
      <c r="BZ121" s="168">
        <f t="shared" si="971"/>
        <v>-0.32430225797840162</v>
      </c>
      <c r="CA121" s="168">
        <f t="shared" si="971"/>
        <v>-0.68730811449216733</v>
      </c>
      <c r="CB121" s="168">
        <f t="shared" si="971"/>
        <v>-0.94167151771116075</v>
      </c>
      <c r="CC121" s="168">
        <f t="shared" si="971"/>
        <v>-0.98484304218230101</v>
      </c>
      <c r="CD121" s="168">
        <f t="shared" si="971"/>
        <v>-0.96917741609846941</v>
      </c>
      <c r="CE121" s="168">
        <f t="shared" si="971"/>
        <v>-0.98569016090655381</v>
      </c>
      <c r="CF121" s="168">
        <f t="shared" si="971"/>
        <v>-0.99745607525792457</v>
      </c>
      <c r="CG121" s="168">
        <f t="shared" si="971"/>
        <v>-0.90671784918204656</v>
      </c>
      <c r="CH121" s="168">
        <f t="shared" si="971"/>
        <v>0.31441224002586915</v>
      </c>
      <c r="CI121" s="168">
        <f t="shared" si="971"/>
        <v>3.5992837688823769E-2</v>
      </c>
      <c r="CJ121" s="168">
        <f>+CORREL(CG100:CJ100,CG117:CJ117)</f>
        <v>-0.53601893999898897</v>
      </c>
      <c r="CK121" s="168">
        <f>+CORREL(CH100:CK100,CH117:CK117)</f>
        <v>-0.99876636297208199</v>
      </c>
      <c r="CL121" s="168">
        <f>+CORREL(CI100:CL100,CI117:CL117)</f>
        <v>-0.99821166150373541</v>
      </c>
      <c r="CM121" s="99"/>
      <c r="CN121" s="99"/>
      <c r="CO121" s="99"/>
      <c r="CP121" s="99"/>
      <c r="CQ121" s="99"/>
      <c r="CR121" s="99"/>
      <c r="CS121" s="99"/>
      <c r="CT121" s="99"/>
      <c r="CU121" s="99"/>
      <c r="CV121" s="99"/>
      <c r="CW121" s="99"/>
      <c r="CX121" s="99"/>
      <c r="CY121" s="99"/>
      <c r="CZ121" s="99"/>
      <c r="DA121" s="99"/>
      <c r="DB121" s="99"/>
      <c r="DE121" s="131"/>
    </row>
    <row r="122" spans="1:109" s="4" customFormat="1" x14ac:dyDescent="0.2">
      <c r="A122" s="3"/>
      <c r="AB122" s="17"/>
      <c r="AC122" s="17"/>
      <c r="AD122" s="17"/>
      <c r="AE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E122" s="118"/>
    </row>
    <row r="123" spans="1:109" s="156" customFormat="1" x14ac:dyDescent="0.2">
      <c r="A123" s="49" t="s">
        <v>505</v>
      </c>
      <c r="E123" s="156">
        <f t="shared" ref="E123:AE123" si="972">+E$151/E$96</f>
        <v>13.653046353147559</v>
      </c>
      <c r="F123" s="156">
        <f t="shared" si="972"/>
        <v>15.244919371162538</v>
      </c>
      <c r="G123" s="156">
        <f t="shared" si="972"/>
        <v>18.919428513595573</v>
      </c>
      <c r="H123" s="156">
        <f t="shared" si="972"/>
        <v>28.163015316105522</v>
      </c>
      <c r="I123" s="156">
        <f t="shared" si="972"/>
        <v>31.296042777140539</v>
      </c>
      <c r="J123" s="156">
        <f t="shared" si="972"/>
        <v>32.901096417245796</v>
      </c>
      <c r="K123" s="156">
        <f t="shared" si="972"/>
        <v>42.974809392078804</v>
      </c>
      <c r="L123" s="156">
        <f t="shared" si="972"/>
        <v>57.282787936036698</v>
      </c>
      <c r="M123" s="156">
        <f t="shared" si="972"/>
        <v>62.463086161527556</v>
      </c>
      <c r="N123" s="156">
        <f t="shared" si="972"/>
        <v>66.423561163214359</v>
      </c>
      <c r="O123" s="156">
        <f t="shared" si="972"/>
        <v>69.720443964644744</v>
      </c>
      <c r="P123" s="156">
        <f t="shared" si="972"/>
        <v>77.469131637541324</v>
      </c>
      <c r="Q123" s="156">
        <f t="shared" si="972"/>
        <v>93.211659132312249</v>
      </c>
      <c r="R123" s="156">
        <f t="shared" si="972"/>
        <v>107.3699480466905</v>
      </c>
      <c r="S123" s="156">
        <f t="shared" si="972"/>
        <v>120.2526820052628</v>
      </c>
      <c r="T123" s="156">
        <f t="shared" si="972"/>
        <v>139.3047027865866</v>
      </c>
      <c r="U123" s="156">
        <f t="shared" si="972"/>
        <v>166.43006544767559</v>
      </c>
      <c r="V123" s="156">
        <f t="shared" si="972"/>
        <v>231.30760407529854</v>
      </c>
      <c r="W123" s="156">
        <f t="shared" si="972"/>
        <v>288.96025909182913</v>
      </c>
      <c r="X123" s="156">
        <f t="shared" si="972"/>
        <v>348.39248363808105</v>
      </c>
      <c r="Y123" s="156">
        <f t="shared" si="972"/>
        <v>387.25524593482214</v>
      </c>
      <c r="Z123" s="156">
        <f t="shared" si="972"/>
        <v>425.95641319748995</v>
      </c>
      <c r="AA123" s="156">
        <f t="shared" si="972"/>
        <v>473.74536131165235</v>
      </c>
      <c r="AB123" s="21">
        <f t="shared" si="972"/>
        <v>555.27539055135162</v>
      </c>
      <c r="AC123" s="21">
        <f t="shared" si="972"/>
        <v>651.97028171408772</v>
      </c>
      <c r="AD123" s="21">
        <f t="shared" si="972"/>
        <v>776.12456972369387</v>
      </c>
      <c r="AE123" s="21">
        <f t="shared" si="972"/>
        <v>931.67584321186621</v>
      </c>
      <c r="AL123" s="156">
        <f t="shared" ref="AL123:BQ123" si="973">+AL$151/AL$96</f>
        <v>66.423655623777066</v>
      </c>
      <c r="AM123" s="156">
        <f t="shared" si="973"/>
        <v>67.901626071115302</v>
      </c>
      <c r="AN123" s="156">
        <f t="shared" si="973"/>
        <v>71.016463126644624</v>
      </c>
      <c r="AO123" s="156">
        <f t="shared" si="973"/>
        <v>73.447473179947366</v>
      </c>
      <c r="AP123" s="156">
        <f t="shared" si="973"/>
        <v>69.720666621685439</v>
      </c>
      <c r="AQ123" s="156">
        <f t="shared" si="973"/>
        <v>72.841238782808176</v>
      </c>
      <c r="AR123" s="156">
        <f t="shared" si="973"/>
        <v>77.608460967546051</v>
      </c>
      <c r="AS123" s="156">
        <f t="shared" si="973"/>
        <v>80.017205316780235</v>
      </c>
      <c r="AT123" s="156">
        <f t="shared" si="973"/>
        <v>77.469131637541324</v>
      </c>
      <c r="AU123" s="156">
        <f t="shared" si="973"/>
        <v>81.295459145806632</v>
      </c>
      <c r="AV123" s="156">
        <f t="shared" si="973"/>
        <v>83.342891842655689</v>
      </c>
      <c r="AW123" s="156">
        <f t="shared" si="973"/>
        <v>86.611227312596995</v>
      </c>
      <c r="AX123" s="156">
        <f t="shared" si="973"/>
        <v>93.211659132312249</v>
      </c>
      <c r="AY123" s="156">
        <f t="shared" si="973"/>
        <v>98.425882194183913</v>
      </c>
      <c r="AZ123" s="156">
        <f t="shared" si="973"/>
        <v>97.009311112610476</v>
      </c>
      <c r="BA123" s="156">
        <f t="shared" si="973"/>
        <v>100.6652722488361</v>
      </c>
      <c r="BB123" s="156">
        <f t="shared" si="973"/>
        <v>107.3699480466905</v>
      </c>
      <c r="BC123" s="156">
        <f t="shared" si="973"/>
        <v>110.87207340935157</v>
      </c>
      <c r="BD123" s="156">
        <f t="shared" si="973"/>
        <v>112.87362526145334</v>
      </c>
      <c r="BE123" s="156">
        <f t="shared" si="973"/>
        <v>117.30045206126441</v>
      </c>
      <c r="BF123" s="156">
        <f t="shared" si="973"/>
        <v>120.2526820052628</v>
      </c>
      <c r="BG123" s="156">
        <f t="shared" si="973"/>
        <v>124.76789690304298</v>
      </c>
      <c r="BH123" s="156">
        <f t="shared" si="973"/>
        <v>127.06092706295121</v>
      </c>
      <c r="BI123" s="156">
        <f t="shared" si="973"/>
        <v>132.65130557992038</v>
      </c>
      <c r="BJ123" s="156">
        <f t="shared" si="973"/>
        <v>139.3047027865866</v>
      </c>
      <c r="BK123" s="156">
        <f t="shared" si="973"/>
        <v>145.68821267120975</v>
      </c>
      <c r="BL123" s="156">
        <f t="shared" si="973"/>
        <v>154.03110451386544</v>
      </c>
      <c r="BM123" s="156">
        <f t="shared" si="973"/>
        <v>165.60218608730852</v>
      </c>
      <c r="BN123" s="156">
        <f t="shared" si="973"/>
        <v>166.43006544767556</v>
      </c>
      <c r="BO123" s="156">
        <f t="shared" si="973"/>
        <v>172.40435868025097</v>
      </c>
      <c r="BP123" s="156">
        <f t="shared" si="973"/>
        <v>184.11780581607178</v>
      </c>
      <c r="BQ123" s="156">
        <f t="shared" si="973"/>
        <v>195.0728695769516</v>
      </c>
      <c r="BR123" s="156">
        <f t="shared" ref="BR123:DB123" si="974">+BR$151/BR$96</f>
        <v>231.30760407529854</v>
      </c>
      <c r="BS123" s="156">
        <f t="shared" si="974"/>
        <v>244.64273665744551</v>
      </c>
      <c r="BT123" s="156">
        <f t="shared" si="974"/>
        <v>253.92787261318398</v>
      </c>
      <c r="BU123" s="156">
        <f t="shared" si="974"/>
        <v>270.9827272113892</v>
      </c>
      <c r="BV123" s="156">
        <f t="shared" si="974"/>
        <v>288.96025909182913</v>
      </c>
      <c r="BW123" s="156">
        <f t="shared" si="974"/>
        <v>309.47169556710071</v>
      </c>
      <c r="BX123" s="156">
        <f t="shared" si="974"/>
        <v>311.20808312529516</v>
      </c>
      <c r="BY123" s="156">
        <f t="shared" si="974"/>
        <v>328.44376222926923</v>
      </c>
      <c r="BZ123" s="156">
        <f t="shared" si="974"/>
        <v>348.3924836380811</v>
      </c>
      <c r="CA123" s="156">
        <f t="shared" si="974"/>
        <v>360.51346063018684</v>
      </c>
      <c r="CB123" s="156">
        <f t="shared" si="974"/>
        <v>366.09574252749479</v>
      </c>
      <c r="CC123" s="156">
        <f t="shared" si="974"/>
        <v>374.64543553066596</v>
      </c>
      <c r="CD123" s="156">
        <f t="shared" si="974"/>
        <v>387.2552459348222</v>
      </c>
      <c r="CE123" s="156">
        <f t="shared" si="974"/>
        <v>395.76411848053431</v>
      </c>
      <c r="CF123" s="156">
        <f t="shared" si="974"/>
        <v>404.74023345253357</v>
      </c>
      <c r="CG123" s="156">
        <f t="shared" si="974"/>
        <v>413.88536535996224</v>
      </c>
      <c r="CH123" s="156">
        <f t="shared" si="974"/>
        <v>425.95641319748995</v>
      </c>
      <c r="CI123" s="156">
        <f t="shared" si="974"/>
        <v>440.54112408069619</v>
      </c>
      <c r="CJ123" s="156">
        <f t="shared" si="974"/>
        <v>447.46036029957492</v>
      </c>
      <c r="CK123" s="156">
        <f t="shared" si="974"/>
        <v>462.05654139396802</v>
      </c>
      <c r="CL123" s="156">
        <f t="shared" si="974"/>
        <v>473.74536131165235</v>
      </c>
      <c r="CM123" s="21">
        <f t="shared" si="974"/>
        <v>492.03683542747717</v>
      </c>
      <c r="CN123" s="21">
        <f t="shared" si="974"/>
        <v>509.72209354801453</v>
      </c>
      <c r="CO123" s="21">
        <f t="shared" si="974"/>
        <v>529.4379625665207</v>
      </c>
      <c r="CP123" s="21">
        <f t="shared" si="974"/>
        <v>555.27539055135162</v>
      </c>
      <c r="CQ123" s="21">
        <f t="shared" si="974"/>
        <v>576.87336567120599</v>
      </c>
      <c r="CR123" s="21">
        <f t="shared" si="974"/>
        <v>597.84952752089396</v>
      </c>
      <c r="CS123" s="21">
        <f t="shared" si="974"/>
        <v>620.80364401211693</v>
      </c>
      <c r="CT123" s="21">
        <f t="shared" si="974"/>
        <v>651.97028171408772</v>
      </c>
      <c r="CU123" s="21">
        <f t="shared" si="974"/>
        <v>680.03490031034858</v>
      </c>
      <c r="CV123" s="21">
        <f t="shared" si="974"/>
        <v>707.3099463606253</v>
      </c>
      <c r="CW123" s="21">
        <f t="shared" si="974"/>
        <v>736.83412886067231</v>
      </c>
      <c r="CX123" s="21">
        <f t="shared" si="974"/>
        <v>776.12456972369387</v>
      </c>
      <c r="CY123" s="21">
        <f t="shared" si="974"/>
        <v>811.56471983618451</v>
      </c>
      <c r="CZ123" s="21">
        <f t="shared" si="974"/>
        <v>846.06279544805898</v>
      </c>
      <c r="DA123" s="21">
        <f t="shared" si="974"/>
        <v>883.17124997887561</v>
      </c>
      <c r="DB123" s="21">
        <f t="shared" si="974"/>
        <v>931.67584321186621</v>
      </c>
      <c r="DE123" s="22"/>
    </row>
    <row r="124" spans="1:109" s="156" customFormat="1" x14ac:dyDescent="0.2">
      <c r="A124" s="49" t="s">
        <v>501</v>
      </c>
      <c r="AB124" s="21"/>
      <c r="AC124" s="21"/>
      <c r="AD124" s="21"/>
      <c r="AE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E124" s="22"/>
    </row>
    <row r="125" spans="1:109" s="156" customFormat="1" x14ac:dyDescent="0.2">
      <c r="A125" s="49" t="s">
        <v>502</v>
      </c>
      <c r="E125" s="156">
        <f t="shared" ref="E125:AE127" si="975">+E108/E$123</f>
        <v>0.51343852636843368</v>
      </c>
      <c r="F125" s="156">
        <f t="shared" si="975"/>
        <v>1.1662901959083398</v>
      </c>
      <c r="G125" s="156">
        <f t="shared" si="975"/>
        <v>3.5011628365201242</v>
      </c>
      <c r="H125" s="156">
        <f t="shared" si="975"/>
        <v>0.8603482165541998</v>
      </c>
      <c r="I125" s="156">
        <f t="shared" si="975"/>
        <v>0.64417089865193433</v>
      </c>
      <c r="J125" s="156">
        <f t="shared" si="975"/>
        <v>0.45287244567903989</v>
      </c>
      <c r="K125" s="156">
        <f t="shared" si="975"/>
        <v>0.91844502764159275</v>
      </c>
      <c r="L125" s="156">
        <f t="shared" si="975"/>
        <v>1.1113285909038548</v>
      </c>
      <c r="M125" s="156">
        <f t="shared" si="975"/>
        <v>0.79631031792719853</v>
      </c>
      <c r="N125" s="156">
        <f t="shared" si="975"/>
        <v>0.50870503490428698</v>
      </c>
      <c r="O125" s="156">
        <f t="shared" si="975"/>
        <v>1.0331259513569138</v>
      </c>
      <c r="P125" s="156">
        <f t="shared" si="975"/>
        <v>2.5558567111142079</v>
      </c>
      <c r="Q125" s="156">
        <f t="shared" si="975"/>
        <v>2.8019027064980571</v>
      </c>
      <c r="R125" s="156">
        <f t="shared" si="975"/>
        <v>3.0286873181552543</v>
      </c>
      <c r="S125" s="156">
        <f t="shared" si="975"/>
        <v>3.2561435925633955</v>
      </c>
      <c r="T125" s="156">
        <f t="shared" si="975"/>
        <v>3.4515704809808998</v>
      </c>
      <c r="U125" s="156">
        <f t="shared" si="975"/>
        <v>3.339901348382023</v>
      </c>
      <c r="V125" s="156">
        <f t="shared" si="975"/>
        <v>4.6747274233492115</v>
      </c>
      <c r="W125" s="156">
        <f t="shared" si="975"/>
        <v>9.2692677132076184</v>
      </c>
      <c r="X125" s="156">
        <f t="shared" si="975"/>
        <v>6.9065783936361314</v>
      </c>
      <c r="Y125" s="156">
        <f t="shared" si="975"/>
        <v>6.6043004629315059</v>
      </c>
      <c r="Z125" s="156">
        <f t="shared" si="975"/>
        <v>6.9005886727598185</v>
      </c>
      <c r="AA125" s="156">
        <f t="shared" ref="AA125" si="976">+AA108/AA$123</f>
        <v>5.1445358604718727</v>
      </c>
      <c r="AB125" s="21">
        <f t="shared" si="975"/>
        <v>4.4968677569532565</v>
      </c>
      <c r="AC125" s="21">
        <f t="shared" si="975"/>
        <v>3.8299291701381932</v>
      </c>
      <c r="AD125" s="21">
        <f t="shared" si="975"/>
        <v>3.2172670437284965</v>
      </c>
      <c r="AE125" s="21">
        <f t="shared" si="975"/>
        <v>2.6801167146202092</v>
      </c>
      <c r="AL125" s="156">
        <f t="shared" ref="AL125:CI127" si="977">+AL108/AL$123</f>
        <v>0.50870431147882356</v>
      </c>
      <c r="AM125" s="156">
        <f t="shared" si="977"/>
        <v>0.42487936842314461</v>
      </c>
      <c r="AN125" s="156">
        <f t="shared" si="977"/>
        <v>0.46468098448032608</v>
      </c>
      <c r="AO125" s="156">
        <f t="shared" si="977"/>
        <v>0.6032882831985229</v>
      </c>
      <c r="AP125" s="156">
        <f t="shared" si="977"/>
        <v>1.033122652008555</v>
      </c>
      <c r="AQ125" s="156">
        <f t="shared" si="977"/>
        <v>1.6268257099983328</v>
      </c>
      <c r="AR125" s="156">
        <f t="shared" si="977"/>
        <v>1.9392215503788355</v>
      </c>
      <c r="AS125" s="156">
        <f t="shared" si="977"/>
        <v>2.1819057452558535</v>
      </c>
      <c r="AT125" s="156">
        <f t="shared" si="977"/>
        <v>2.5558567111142079</v>
      </c>
      <c r="AU125" s="156">
        <f t="shared" si="977"/>
        <v>3.025015204833676</v>
      </c>
      <c r="AV125" s="156">
        <f t="shared" si="977"/>
        <v>2.6928511242890973</v>
      </c>
      <c r="AW125" s="156">
        <f t="shared" si="977"/>
        <v>2.9168273887657605</v>
      </c>
      <c r="AX125" s="156">
        <f t="shared" si="977"/>
        <v>2.8019027064980571</v>
      </c>
      <c r="AY125" s="156">
        <f t="shared" si="977"/>
        <v>2.6662702345126377</v>
      </c>
      <c r="AZ125" s="156">
        <f t="shared" si="977"/>
        <v>3.6596487072038393</v>
      </c>
      <c r="BA125" s="156">
        <f t="shared" si="977"/>
        <v>3.0640159521702999</v>
      </c>
      <c r="BB125" s="156">
        <f t="shared" si="977"/>
        <v>3.0286873181552543</v>
      </c>
      <c r="BC125" s="156">
        <f t="shared" si="977"/>
        <v>2.7753607426813578</v>
      </c>
      <c r="BD125" s="156">
        <f t="shared" si="977"/>
        <v>2.7265891326439116</v>
      </c>
      <c r="BE125" s="156">
        <f t="shared" si="977"/>
        <v>3.3829366641549377</v>
      </c>
      <c r="BF125" s="156">
        <f t="shared" si="977"/>
        <v>3.2561435925633955</v>
      </c>
      <c r="BG125" s="156">
        <f t="shared" si="977"/>
        <v>2.7168046301478763</v>
      </c>
      <c r="BH125" s="156">
        <f t="shared" si="977"/>
        <v>2.6856407228237495</v>
      </c>
      <c r="BI125" s="156">
        <f t="shared" si="977"/>
        <v>3.0132383413232282</v>
      </c>
      <c r="BJ125" s="156">
        <f t="shared" si="977"/>
        <v>3.4515704809808998</v>
      </c>
      <c r="BK125" s="156">
        <f t="shared" si="977"/>
        <v>4.1781005397720046</v>
      </c>
      <c r="BL125" s="156">
        <f t="shared" si="977"/>
        <v>3.5729796376968723</v>
      </c>
      <c r="BM125" s="156">
        <f t="shared" si="977"/>
        <v>4.1495225167964342</v>
      </c>
      <c r="BN125" s="156">
        <f t="shared" si="977"/>
        <v>3.3399013483820235</v>
      </c>
      <c r="BO125" s="156">
        <f t="shared" si="977"/>
        <v>4.1817968264777203</v>
      </c>
      <c r="BP125" s="156">
        <f t="shared" si="977"/>
        <v>4.4856606689362764</v>
      </c>
      <c r="BQ125" s="156">
        <f t="shared" si="977"/>
        <v>5.7125319498127922</v>
      </c>
      <c r="BR125" s="156">
        <f t="shared" si="977"/>
        <v>4.6747274233492115</v>
      </c>
      <c r="BS125" s="156">
        <f t="shared" si="977"/>
        <v>5.9472029289683803</v>
      </c>
      <c r="BT125" s="156">
        <f t="shared" si="977"/>
        <v>8.8889020995279608</v>
      </c>
      <c r="BU125" s="156">
        <f t="shared" si="977"/>
        <v>8.9324881512162531</v>
      </c>
      <c r="BV125" s="156">
        <f t="shared" si="977"/>
        <v>9.2692677132076184</v>
      </c>
      <c r="BW125" s="156">
        <f t="shared" si="977"/>
        <v>7.2683545287659053</v>
      </c>
      <c r="BX125" s="156">
        <f t="shared" si="977"/>
        <v>8.0457421762785888</v>
      </c>
      <c r="BY125" s="156">
        <f t="shared" si="977"/>
        <v>6.9771457507552084</v>
      </c>
      <c r="BZ125" s="156">
        <f t="shared" si="977"/>
        <v>6.9065783936361296</v>
      </c>
      <c r="CA125" s="156">
        <f t="shared" si="977"/>
        <v>6.3527447657476754</v>
      </c>
      <c r="CB125" s="156">
        <f t="shared" si="977"/>
        <v>6.1419725465152819</v>
      </c>
      <c r="CC125" s="156">
        <f t="shared" si="977"/>
        <v>6.6197256520345356</v>
      </c>
      <c r="CD125" s="156">
        <f t="shared" si="977"/>
        <v>6.604300462931505</v>
      </c>
      <c r="CE125" s="156">
        <f t="shared" si="977"/>
        <v>6.1460852220225668</v>
      </c>
      <c r="CF125" s="156">
        <f t="shared" si="977"/>
        <v>6.1701303542210715</v>
      </c>
      <c r="CG125" s="156">
        <f t="shared" si="977"/>
        <v>5.4060862916813042</v>
      </c>
      <c r="CH125" s="156">
        <f t="shared" si="977"/>
        <v>6.9005886727598185</v>
      </c>
      <c r="CI125" s="156">
        <f t="shared" si="977"/>
        <v>7.3656006729705989</v>
      </c>
      <c r="CJ125" s="156">
        <f>+CJ108/CJ$123</f>
        <v>6.309720928374003</v>
      </c>
      <c r="CK125" s="156">
        <f>+CK108/CK$123</f>
        <v>6.6537311445151532</v>
      </c>
      <c r="CL125" s="156">
        <f>+CL108/CL$123</f>
        <v>5.1445358604718727</v>
      </c>
      <c r="CM125" s="21">
        <f t="shared" ref="CM125:DB125" si="978">+CM108/CM$123</f>
        <v>5.0748233063295531</v>
      </c>
      <c r="CN125" s="21">
        <f t="shared" si="978"/>
        <v>4.8987478306446786</v>
      </c>
      <c r="CO125" s="21">
        <f t="shared" si="978"/>
        <v>4.7163221690705015</v>
      </c>
      <c r="CP125" s="21">
        <f t="shared" si="978"/>
        <v>4.4968677569532565</v>
      </c>
      <c r="CQ125" s="21">
        <f t="shared" si="978"/>
        <v>4.3285063041429908</v>
      </c>
      <c r="CR125" s="21">
        <f t="shared" si="978"/>
        <v>4.1766362354660114</v>
      </c>
      <c r="CS125" s="21">
        <f t="shared" si="978"/>
        <v>4.0222057716389035</v>
      </c>
      <c r="CT125" s="21">
        <f t="shared" si="978"/>
        <v>3.8299291701381932</v>
      </c>
      <c r="CU125" s="21">
        <f t="shared" si="978"/>
        <v>3.6718703685067342</v>
      </c>
      <c r="CV125" s="21">
        <f t="shared" si="978"/>
        <v>3.5302769497983175</v>
      </c>
      <c r="CW125" s="21">
        <f t="shared" si="978"/>
        <v>3.3888223986869055</v>
      </c>
      <c r="CX125" s="21">
        <f t="shared" si="978"/>
        <v>3.2172670437284965</v>
      </c>
      <c r="CY125" s="21">
        <f t="shared" si="978"/>
        <v>3.0767724852603537</v>
      </c>
      <c r="CZ125" s="21">
        <f t="shared" si="978"/>
        <v>2.9513175776481644</v>
      </c>
      <c r="DA125" s="21">
        <f t="shared" si="978"/>
        <v>2.8273112378371978</v>
      </c>
      <c r="DB125" s="21">
        <f t="shared" si="978"/>
        <v>2.6801167146202092</v>
      </c>
      <c r="DE125" s="22"/>
    </row>
    <row r="126" spans="1:109" s="156" customFormat="1" x14ac:dyDescent="0.2">
      <c r="A126" s="49" t="s">
        <v>503</v>
      </c>
      <c r="E126" s="156">
        <f t="shared" si="975"/>
        <v>0.94484407848114038</v>
      </c>
      <c r="F126" s="156">
        <f t="shared" si="975"/>
        <v>1.3112565250960466</v>
      </c>
      <c r="G126" s="156">
        <f t="shared" si="975"/>
        <v>3.7421849158457849</v>
      </c>
      <c r="H126" s="156">
        <f t="shared" si="975"/>
        <v>2.6488640922386835</v>
      </c>
      <c r="I126" s="156">
        <f t="shared" si="975"/>
        <v>1.325407186313603</v>
      </c>
      <c r="J126" s="156">
        <f t="shared" si="975"/>
        <v>0.92671683682912243</v>
      </c>
      <c r="K126" s="156">
        <f t="shared" si="975"/>
        <v>1.0450308130576116</v>
      </c>
      <c r="L126" s="156">
        <f t="shared" si="975"/>
        <v>1.5512513130335617</v>
      </c>
      <c r="M126" s="156">
        <f t="shared" si="975"/>
        <v>1.1782959268082389</v>
      </c>
      <c r="N126" s="156">
        <f t="shared" si="975"/>
        <v>0.77081082530628864</v>
      </c>
      <c r="O126" s="156">
        <f t="shared" si="975"/>
        <v>1.0642502511548384</v>
      </c>
      <c r="P126" s="156">
        <f t="shared" si="975"/>
        <v>2.6444081102972561</v>
      </c>
      <c r="Q126" s="156">
        <f t="shared" si="975"/>
        <v>3.208933332850763</v>
      </c>
      <c r="R126" s="156">
        <f t="shared" si="975"/>
        <v>3.6686242954007029</v>
      </c>
      <c r="S126" s="156">
        <f t="shared" si="975"/>
        <v>3.4011715429523668</v>
      </c>
      <c r="T126" s="156">
        <f t="shared" si="975"/>
        <v>3.5553717146129942</v>
      </c>
      <c r="U126" s="156">
        <f t="shared" si="975"/>
        <v>5.1179454728256024</v>
      </c>
      <c r="V126" s="156">
        <f t="shared" si="975"/>
        <v>5.2527456019322045</v>
      </c>
      <c r="W126" s="156">
        <f t="shared" si="975"/>
        <v>9.4615086814798222</v>
      </c>
      <c r="X126" s="156">
        <f t="shared" si="975"/>
        <v>8.2216182452878623</v>
      </c>
      <c r="Y126" s="156">
        <f t="shared" si="975"/>
        <v>6.8085585093501031</v>
      </c>
      <c r="Z126" s="156">
        <f t="shared" si="975"/>
        <v>7.2189311035782753</v>
      </c>
      <c r="AA126" s="156">
        <f t="shared" ref="AA126" si="979">+AA109/AA$123</f>
        <v>7.005873346834953</v>
      </c>
      <c r="AB126" s="21">
        <f t="shared" si="975"/>
        <v>7.0689136921402174</v>
      </c>
      <c r="AC126" s="21">
        <f t="shared" si="975"/>
        <v>7.1403456595063766</v>
      </c>
      <c r="AD126" s="21">
        <f t="shared" si="975"/>
        <v>7.7014730313330171</v>
      </c>
      <c r="AE126" s="21">
        <f t="shared" si="975"/>
        <v>8.0380785006206654</v>
      </c>
      <c r="AL126" s="156">
        <f t="shared" si="977"/>
        <v>0.63230485593698105</v>
      </c>
      <c r="AM126" s="156">
        <f t="shared" si="977"/>
        <v>0.55226954301101983</v>
      </c>
      <c r="AN126" s="156">
        <f t="shared" si="977"/>
        <v>0.48157847482506527</v>
      </c>
      <c r="AO126" s="156">
        <f t="shared" si="977"/>
        <v>0.64930756546462542</v>
      </c>
      <c r="AP126" s="156">
        <f t="shared" si="977"/>
        <v>1.0642468524092015</v>
      </c>
      <c r="AQ126" s="156">
        <f t="shared" si="977"/>
        <v>1.6584012301080049</v>
      </c>
      <c r="AR126" s="156">
        <f t="shared" si="977"/>
        <v>1.997204918994814</v>
      </c>
      <c r="AS126" s="156">
        <f t="shared" si="977"/>
        <v>2.3919855641329417</v>
      </c>
      <c r="AT126" s="156">
        <f t="shared" si="977"/>
        <v>2.6444081102972561</v>
      </c>
      <c r="AU126" s="156">
        <f t="shared" si="977"/>
        <v>3.0754485259942896</v>
      </c>
      <c r="AV126" s="156">
        <f t="shared" si="977"/>
        <v>3.5889083446335692</v>
      </c>
      <c r="AW126" s="156">
        <f t="shared" si="977"/>
        <v>3.2166730416424847</v>
      </c>
      <c r="AX126" s="156">
        <f t="shared" si="977"/>
        <v>2.9183044538867455</v>
      </c>
      <c r="AY126" s="156">
        <f t="shared" si="977"/>
        <v>2.9814312400172751</v>
      </c>
      <c r="AZ126" s="156">
        <f t="shared" si="977"/>
        <v>3.7605668550364282</v>
      </c>
      <c r="BA126" s="156">
        <f t="shared" si="977"/>
        <v>3.912968109064586</v>
      </c>
      <c r="BB126" s="156">
        <f t="shared" si="977"/>
        <v>3.3229037220438249</v>
      </c>
      <c r="BC126" s="156">
        <f t="shared" si="977"/>
        <v>3.3552182128545223</v>
      </c>
      <c r="BD126" s="156">
        <f t="shared" si="977"/>
        <v>2.9147641819594718</v>
      </c>
      <c r="BE126" s="156">
        <f t="shared" si="977"/>
        <v>3.4049314642998891</v>
      </c>
      <c r="BF126" s="156">
        <f t="shared" si="977"/>
        <v>3.4011715429523668</v>
      </c>
      <c r="BG126" s="156">
        <f t="shared" si="977"/>
        <v>3.9160714585073966</v>
      </c>
      <c r="BH126" s="156">
        <f t="shared" si="977"/>
        <v>3.2787420147942039</v>
      </c>
      <c r="BI126" s="156">
        <f t="shared" si="977"/>
        <v>3.4300453961673938</v>
      </c>
      <c r="BJ126" s="156">
        <f t="shared" si="977"/>
        <v>3.5553717146129942</v>
      </c>
      <c r="BK126" s="156">
        <f t="shared" si="977"/>
        <v>4.2220299688085428</v>
      </c>
      <c r="BL126" s="156">
        <f t="shared" si="977"/>
        <v>4.0121766441294939</v>
      </c>
      <c r="BM126" s="156">
        <f t="shared" si="977"/>
        <v>4.1724086881058033</v>
      </c>
      <c r="BN126" s="156">
        <f t="shared" si="977"/>
        <v>5.1179454728256033</v>
      </c>
      <c r="BO126" s="156">
        <f t="shared" si="977"/>
        <v>4.465896372306724</v>
      </c>
      <c r="BP126" s="156">
        <f t="shared" si="977"/>
        <v>4.8610181727566228</v>
      </c>
      <c r="BQ126" s="156">
        <f t="shared" si="977"/>
        <v>5.7824545383797252</v>
      </c>
      <c r="BR126" s="156">
        <f t="shared" si="977"/>
        <v>5.2527456019322045</v>
      </c>
      <c r="BS126" s="156">
        <f t="shared" si="977"/>
        <v>5.9738131610518916</v>
      </c>
      <c r="BT126" s="156">
        <f t="shared" si="977"/>
        <v>8.9860162908383643</v>
      </c>
      <c r="BU126" s="156">
        <f t="shared" si="977"/>
        <v>9.3880522429588922</v>
      </c>
      <c r="BV126" s="156">
        <f t="shared" si="977"/>
        <v>9.4615086814798222</v>
      </c>
      <c r="BW126" s="156">
        <f t="shared" si="977"/>
        <v>8.9604317283961397</v>
      </c>
      <c r="BX126" s="156">
        <f t="shared" si="977"/>
        <v>9.2039704471518728</v>
      </c>
      <c r="BY126" s="156">
        <f t="shared" si="977"/>
        <v>8.0372968026023752</v>
      </c>
      <c r="BZ126" s="156">
        <f t="shared" si="977"/>
        <v>6.9845077442251169</v>
      </c>
      <c r="CA126" s="156">
        <f t="shared" si="977"/>
        <v>7.3135965447477824</v>
      </c>
      <c r="CB126" s="156">
        <f t="shared" si="977"/>
        <v>6.7617557716178212</v>
      </c>
      <c r="CC126" s="156">
        <f t="shared" si="977"/>
        <v>6.7519840363648145</v>
      </c>
      <c r="CD126" s="156">
        <f t="shared" si="977"/>
        <v>6.7139180870840889</v>
      </c>
      <c r="CE126" s="156">
        <f t="shared" si="977"/>
        <v>6.8158023278016655</v>
      </c>
      <c r="CF126" s="156">
        <f t="shared" si="977"/>
        <v>6.567175141760945</v>
      </c>
      <c r="CG126" s="156">
        <f t="shared" si="977"/>
        <v>6.0376621382267759</v>
      </c>
      <c r="CH126" s="156">
        <f t="shared" si="977"/>
        <v>7.2189311035782753</v>
      </c>
      <c r="CI126" s="156">
        <f t="shared" si="977"/>
        <v>7.3802417578714916</v>
      </c>
      <c r="CJ126" s="156">
        <f t="shared" ref="CJ126:CK127" si="980">+CJ109/CJ$123</f>
        <v>7.4174168138110108</v>
      </c>
      <c r="CK126" s="156">
        <f t="shared" si="980"/>
        <v>7.0094235442032433</v>
      </c>
      <c r="CL126" s="156">
        <f t="shared" ref="CL126" si="981">+CL109/CL$123</f>
        <v>6.5829668313066669</v>
      </c>
      <c r="CM126" s="94">
        <f t="shared" ref="CM126:DB126" si="982">+CL126</f>
        <v>6.5829668313066669</v>
      </c>
      <c r="CN126" s="94">
        <f t="shared" si="982"/>
        <v>6.5829668313066669</v>
      </c>
      <c r="CO126" s="94">
        <f t="shared" si="982"/>
        <v>6.5829668313066669</v>
      </c>
      <c r="CP126" s="94">
        <f t="shared" si="982"/>
        <v>6.5829668313066669</v>
      </c>
      <c r="CQ126" s="94">
        <f t="shared" si="982"/>
        <v>6.5829668313066669</v>
      </c>
      <c r="CR126" s="94">
        <f t="shared" si="982"/>
        <v>6.5829668313066669</v>
      </c>
      <c r="CS126" s="94">
        <f t="shared" si="982"/>
        <v>6.5829668313066669</v>
      </c>
      <c r="CT126" s="94">
        <f t="shared" si="982"/>
        <v>6.5829668313066669</v>
      </c>
      <c r="CU126" s="94">
        <f t="shared" si="982"/>
        <v>6.5829668313066669</v>
      </c>
      <c r="CV126" s="94">
        <f t="shared" si="982"/>
        <v>6.5829668313066669</v>
      </c>
      <c r="CW126" s="94">
        <f t="shared" si="982"/>
        <v>6.5829668313066669</v>
      </c>
      <c r="CX126" s="94">
        <f t="shared" si="982"/>
        <v>6.5829668313066669</v>
      </c>
      <c r="CY126" s="94">
        <f t="shared" si="982"/>
        <v>6.5829668313066669</v>
      </c>
      <c r="CZ126" s="94">
        <f t="shared" si="982"/>
        <v>6.5829668313066669</v>
      </c>
      <c r="DA126" s="94">
        <f t="shared" si="982"/>
        <v>6.5829668313066669</v>
      </c>
      <c r="DB126" s="94">
        <f t="shared" si="982"/>
        <v>6.5829668313066669</v>
      </c>
      <c r="DC126" s="94"/>
      <c r="DE126" s="22"/>
    </row>
    <row r="127" spans="1:109" s="156" customFormat="1" x14ac:dyDescent="0.2">
      <c r="A127" s="49" t="s">
        <v>504</v>
      </c>
      <c r="E127" s="156">
        <f t="shared" si="975"/>
        <v>0.30762365345897597</v>
      </c>
      <c r="F127" s="156">
        <f t="shared" si="975"/>
        <v>0.41784412530574377</v>
      </c>
      <c r="G127" s="156">
        <f t="shared" si="975"/>
        <v>0.92391797074836624</v>
      </c>
      <c r="H127" s="156">
        <f t="shared" si="975"/>
        <v>0.78116635427950454</v>
      </c>
      <c r="I127" s="156">
        <f t="shared" si="975"/>
        <v>0.57834788023809591</v>
      </c>
      <c r="J127" s="156">
        <f t="shared" si="975"/>
        <v>0.3777989597174809</v>
      </c>
      <c r="K127" s="156">
        <f t="shared" si="975"/>
        <v>0.34159546505646271</v>
      </c>
      <c r="L127" s="156">
        <f t="shared" si="975"/>
        <v>0.67402445640587239</v>
      </c>
      <c r="M127" s="156">
        <f t="shared" si="975"/>
        <v>0.73723542703151357</v>
      </c>
      <c r="N127" s="156">
        <f t="shared" si="975"/>
        <v>0.49259629304730007</v>
      </c>
      <c r="O127" s="156">
        <f t="shared" si="975"/>
        <v>0.36015261194741227</v>
      </c>
      <c r="P127" s="156">
        <f t="shared" si="975"/>
        <v>0.84188371060034661</v>
      </c>
      <c r="Q127" s="156">
        <f t="shared" si="975"/>
        <v>1.92905052515762</v>
      </c>
      <c r="R127" s="156">
        <f t="shared" si="975"/>
        <v>2.1709985358159529</v>
      </c>
      <c r="S127" s="156">
        <f t="shared" si="975"/>
        <v>2.3616936875268268</v>
      </c>
      <c r="T127" s="156">
        <f t="shared" si="975"/>
        <v>2.1980593179908312</v>
      </c>
      <c r="U127" s="156">
        <f t="shared" si="975"/>
        <v>2.6449547971751275</v>
      </c>
      <c r="V127" s="156">
        <f t="shared" si="975"/>
        <v>2.218517640401259</v>
      </c>
      <c r="W127" s="156">
        <f t="shared" si="975"/>
        <v>3.7444595440238357</v>
      </c>
      <c r="X127" s="156">
        <f t="shared" si="975"/>
        <v>5.7478277920606571</v>
      </c>
      <c r="Y127" s="156">
        <f t="shared" si="975"/>
        <v>5.2936661840470709</v>
      </c>
      <c r="Z127" s="156">
        <f t="shared" si="975"/>
        <v>4.9032012085979959</v>
      </c>
      <c r="AA127" s="156">
        <f t="shared" ref="AA127" si="983">+AA110/AA$123</f>
        <v>4.8839528340582623</v>
      </c>
      <c r="AB127" s="21">
        <f t="shared" si="975"/>
        <v>4.4052916649258824</v>
      </c>
      <c r="AC127" s="21">
        <f t="shared" si="975"/>
        <v>4.6478103577038121</v>
      </c>
      <c r="AD127" s="21">
        <f t="shared" si="975"/>
        <v>4.7476605895785715</v>
      </c>
      <c r="AE127" s="21">
        <f t="shared" si="975"/>
        <v>5.0425787665071304</v>
      </c>
      <c r="AL127" s="156">
        <f t="shared" si="977"/>
        <v>0.49259559252995283</v>
      </c>
      <c r="AM127" s="156">
        <f t="shared" si="977"/>
        <v>0.41236125878156149</v>
      </c>
      <c r="AN127" s="156">
        <f t="shared" si="977"/>
        <v>0.35357998546366631</v>
      </c>
      <c r="AO127" s="156">
        <f t="shared" si="977"/>
        <v>0.43296247812487088</v>
      </c>
      <c r="AP127" s="156">
        <f t="shared" si="977"/>
        <v>0.56511221003938727</v>
      </c>
      <c r="AQ127" s="156">
        <f t="shared" si="977"/>
        <v>0.89537192241427221</v>
      </c>
      <c r="AR127" s="156">
        <f t="shared" si="977"/>
        <v>1.28336522536699</v>
      </c>
      <c r="AS127" s="156">
        <f t="shared" si="977"/>
        <v>1.6291496245578387</v>
      </c>
      <c r="AT127" s="156">
        <f t="shared" si="977"/>
        <v>2.1763507146154315</v>
      </c>
      <c r="AU127" s="156">
        <f t="shared" si="977"/>
        <v>2.2118086531438812</v>
      </c>
      <c r="AV127" s="156">
        <f t="shared" si="977"/>
        <v>2.4453195166872432</v>
      </c>
      <c r="AW127" s="156">
        <f t="shared" si="977"/>
        <v>2.5816514433282824</v>
      </c>
      <c r="AX127" s="156">
        <f t="shared" si="977"/>
        <v>2.1928587249998195</v>
      </c>
      <c r="AY127" s="156">
        <f t="shared" si="977"/>
        <v>2.3682795094497422</v>
      </c>
      <c r="AZ127" s="156">
        <f t="shared" si="977"/>
        <v>2.6721146354610426</v>
      </c>
      <c r="BA127" s="156">
        <f t="shared" si="977"/>
        <v>2.6864279404273574</v>
      </c>
      <c r="BB127" s="156">
        <f t="shared" si="977"/>
        <v>2.8108423771310793</v>
      </c>
      <c r="BC127" s="156">
        <f t="shared" si="977"/>
        <v>2.7152915133867044</v>
      </c>
      <c r="BD127" s="156">
        <f t="shared" si="977"/>
        <v>2.5160882300197263</v>
      </c>
      <c r="BE127" s="156">
        <f t="shared" si="977"/>
        <v>2.6125219009381597</v>
      </c>
      <c r="BF127" s="156">
        <f t="shared" si="977"/>
        <v>2.7059687532437655</v>
      </c>
      <c r="BG127" s="156">
        <f t="shared" si="977"/>
        <v>2.5880856215035273</v>
      </c>
      <c r="BH127" s="156">
        <f t="shared" si="977"/>
        <v>2.4098675106336658</v>
      </c>
      <c r="BI127" s="156">
        <f t="shared" si="977"/>
        <v>2.4373676428326192</v>
      </c>
      <c r="BJ127" s="156">
        <f t="shared" si="977"/>
        <v>2.7970340713976078</v>
      </c>
      <c r="BK127" s="156">
        <f t="shared" si="977"/>
        <v>3.0215210409193958</v>
      </c>
      <c r="BL127" s="156">
        <f t="shared" si="977"/>
        <v>3.3134216729196924</v>
      </c>
      <c r="BM127" s="156">
        <f t="shared" si="977"/>
        <v>3.127978031201236</v>
      </c>
      <c r="BN127" s="156">
        <f t="shared" si="977"/>
        <v>2.9948915699772169</v>
      </c>
      <c r="BO127" s="156">
        <f t="shared" si="977"/>
        <v>2.9764908725523003</v>
      </c>
      <c r="BP127" s="156">
        <f t="shared" si="977"/>
        <v>3.8953321044704472</v>
      </c>
      <c r="BQ127" s="156">
        <f t="shared" si="977"/>
        <v>4.1933560611170204</v>
      </c>
      <c r="BR127" s="156">
        <f t="shared" si="977"/>
        <v>4.4383754874993082</v>
      </c>
      <c r="BS127" s="156">
        <f t="shared" si="977"/>
        <v>4.4227759008232557</v>
      </c>
      <c r="BT127" s="156">
        <f t="shared" si="977"/>
        <v>5.7102829440422589</v>
      </c>
      <c r="BU127" s="156">
        <f t="shared" si="977"/>
        <v>7.2882874134606181</v>
      </c>
      <c r="BV127" s="156">
        <f t="shared" si="977"/>
        <v>7.2894106844312443</v>
      </c>
      <c r="BW127" s="156">
        <f t="shared" si="977"/>
        <v>6.7243629378984373</v>
      </c>
      <c r="BX127" s="156">
        <f t="shared" si="977"/>
        <v>6.4346015048515808</v>
      </c>
      <c r="BY127" s="156">
        <f t="shared" si="977"/>
        <v>6.7256567304146699</v>
      </c>
      <c r="BZ127" s="156">
        <f t="shared" si="977"/>
        <v>5.9764492570482375</v>
      </c>
      <c r="CA127" s="156">
        <f t="shared" si="977"/>
        <v>6.3381822026998966</v>
      </c>
      <c r="CB127" s="156">
        <f t="shared" si="977"/>
        <v>5.5996280804768972</v>
      </c>
      <c r="CC127" s="156">
        <f t="shared" si="977"/>
        <v>5.5552525204317957</v>
      </c>
      <c r="CD127" s="156">
        <f t="shared" si="977"/>
        <v>5.6940481068941429</v>
      </c>
      <c r="CE127" s="156">
        <f t="shared" si="977"/>
        <v>5.2772596162042564</v>
      </c>
      <c r="CF127" s="156">
        <f t="shared" si="977"/>
        <v>5.6427550592591169</v>
      </c>
      <c r="CG127" s="156">
        <f t="shared" si="977"/>
        <v>5.1404330234040492</v>
      </c>
      <c r="CH127" s="156">
        <f t="shared" si="977"/>
        <v>5.1648476976445812</v>
      </c>
      <c r="CI127" s="156">
        <f t="shared" si="977"/>
        <v>5.8336211071392485</v>
      </c>
      <c r="CJ127" s="156">
        <f t="shared" si="980"/>
        <v>6.2351891866624651</v>
      </c>
      <c r="CK127" s="156">
        <f t="shared" si="980"/>
        <v>5.9971015487417025</v>
      </c>
      <c r="CL127" s="156">
        <f t="shared" ref="CL127" si="984">+CL110/CL$123</f>
        <v>4.8839528340582623</v>
      </c>
      <c r="CM127" s="94">
        <f t="shared" ref="CM127:DB127" si="985">+CL127</f>
        <v>4.8839528340582623</v>
      </c>
      <c r="CN127" s="94">
        <f t="shared" si="985"/>
        <v>4.8839528340582623</v>
      </c>
      <c r="CO127" s="94">
        <f t="shared" si="985"/>
        <v>4.8839528340582623</v>
      </c>
      <c r="CP127" s="94">
        <f t="shared" si="985"/>
        <v>4.8839528340582623</v>
      </c>
      <c r="CQ127" s="94">
        <f t="shared" si="985"/>
        <v>4.8839528340582623</v>
      </c>
      <c r="CR127" s="94">
        <f t="shared" si="985"/>
        <v>4.8839528340582623</v>
      </c>
      <c r="CS127" s="94">
        <f t="shared" si="985"/>
        <v>4.8839528340582623</v>
      </c>
      <c r="CT127" s="94">
        <f t="shared" si="985"/>
        <v>4.8839528340582623</v>
      </c>
      <c r="CU127" s="94">
        <f t="shared" si="985"/>
        <v>4.8839528340582623</v>
      </c>
      <c r="CV127" s="94">
        <f t="shared" si="985"/>
        <v>4.8839528340582623</v>
      </c>
      <c r="CW127" s="94">
        <f t="shared" si="985"/>
        <v>4.8839528340582623</v>
      </c>
      <c r="CX127" s="94">
        <f t="shared" si="985"/>
        <v>4.8839528340582623</v>
      </c>
      <c r="CY127" s="94">
        <f t="shared" si="985"/>
        <v>4.8839528340582623</v>
      </c>
      <c r="CZ127" s="94">
        <f t="shared" si="985"/>
        <v>4.8839528340582623</v>
      </c>
      <c r="DA127" s="94">
        <f t="shared" si="985"/>
        <v>4.8839528340582623</v>
      </c>
      <c r="DB127" s="94">
        <f t="shared" si="985"/>
        <v>4.8839528340582623</v>
      </c>
      <c r="DC127" s="94"/>
      <c r="DE127" s="22"/>
    </row>
    <row r="128" spans="1:109" s="4" customFormat="1" x14ac:dyDescent="0.2">
      <c r="A128" s="3"/>
      <c r="AB128" s="17"/>
      <c r="AC128" s="17"/>
      <c r="AD128" s="17"/>
      <c r="AE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E128" s="118"/>
    </row>
    <row r="129" spans="1:110" s="170" customFormat="1" x14ac:dyDescent="0.2">
      <c r="A129" s="170" t="s">
        <v>510</v>
      </c>
      <c r="E129" s="170">
        <f t="shared" ref="E129:Y129" si="986">+E41</f>
        <v>906.09209999999996</v>
      </c>
      <c r="F129" s="170">
        <f t="shared" si="986"/>
        <v>1146.3904</v>
      </c>
      <c r="G129" s="170">
        <f t="shared" si="986"/>
        <v>1372.7054000000001</v>
      </c>
      <c r="H129" s="170">
        <f t="shared" si="986"/>
        <v>1886.5147999999999</v>
      </c>
      <c r="I129" s="170">
        <f t="shared" si="986"/>
        <v>1683.5277000000001</v>
      </c>
      <c r="J129" s="170">
        <f t="shared" si="986"/>
        <v>2023.0054</v>
      </c>
      <c r="K129" s="170">
        <f t="shared" si="986"/>
        <v>2498.6783</v>
      </c>
      <c r="L129" s="170">
        <f t="shared" si="986"/>
        <v>3473.5418999999997</v>
      </c>
      <c r="M129" s="170">
        <f t="shared" si="986"/>
        <v>4001.0034999999998</v>
      </c>
      <c r="N129" s="170">
        <f t="shared" si="986"/>
        <v>3782.9450999999999</v>
      </c>
      <c r="O129" s="170">
        <f t="shared" si="986"/>
        <v>4018.0602999999996</v>
      </c>
      <c r="P129" s="170">
        <f t="shared" si="986"/>
        <v>4539.8500000000004</v>
      </c>
      <c r="Q129" s="170">
        <f t="shared" si="986"/>
        <v>4592.72</v>
      </c>
      <c r="R129" s="170">
        <f t="shared" si="986"/>
        <v>4821.8</v>
      </c>
      <c r="S129" s="170">
        <f t="shared" si="986"/>
        <v>5589.04</v>
      </c>
      <c r="T129" s="170">
        <f t="shared" si="986"/>
        <v>7099.59</v>
      </c>
      <c r="U129" s="170">
        <f t="shared" si="986"/>
        <v>7209.41</v>
      </c>
      <c r="V129" s="170">
        <f t="shared" si="986"/>
        <v>8400.0400000000009</v>
      </c>
      <c r="W129" s="170">
        <f t="shared" si="986"/>
        <v>12433.66</v>
      </c>
      <c r="X129" s="170">
        <f t="shared" si="986"/>
        <v>14870.25</v>
      </c>
      <c r="Y129" s="170">
        <f t="shared" si="986"/>
        <v>13138.52</v>
      </c>
      <c r="Z129" s="170">
        <f>+Z41</f>
        <v>14693.07</v>
      </c>
      <c r="AA129" s="170">
        <f>+AA41</f>
        <v>15786.51</v>
      </c>
      <c r="AB129" s="171">
        <f t="shared" ref="AA129:AE129" si="987">+AB41</f>
        <v>18170.077911743207</v>
      </c>
      <c r="AC129" s="171">
        <f t="shared" si="987"/>
        <v>21171.341530552818</v>
      </c>
      <c r="AD129" s="171">
        <f t="shared" si="987"/>
        <v>24702.894853632497</v>
      </c>
      <c r="AE129" s="171">
        <f t="shared" si="987"/>
        <v>28831.509537231992</v>
      </c>
      <c r="AL129" s="170">
        <f t="shared" ref="AL129:BQ129" si="988">+SUM(AI39:AL39)</f>
        <v>3322.55</v>
      </c>
      <c r="AM129" s="170">
        <f t="shared" si="988"/>
        <v>3335.69</v>
      </c>
      <c r="AN129" s="170">
        <f t="shared" si="988"/>
        <v>3375.84</v>
      </c>
      <c r="AO129" s="170">
        <f t="shared" si="988"/>
        <v>3348.52</v>
      </c>
      <c r="AP129" s="170">
        <f t="shared" si="988"/>
        <v>3417.1500000000005</v>
      </c>
      <c r="AQ129" s="170">
        <f t="shared" si="988"/>
        <v>3748.1099999999997</v>
      </c>
      <c r="AR129" s="170">
        <f t="shared" si="988"/>
        <v>4093.6900000000005</v>
      </c>
      <c r="AS129" s="170">
        <f t="shared" si="988"/>
        <v>4345.2699999999995</v>
      </c>
      <c r="AT129" s="170">
        <f t="shared" si="988"/>
        <v>4539.8499999999995</v>
      </c>
      <c r="AU129" s="170">
        <f t="shared" si="988"/>
        <v>4605.3499999999995</v>
      </c>
      <c r="AV129" s="170">
        <f t="shared" si="988"/>
        <v>4657.59</v>
      </c>
      <c r="AW129" s="170">
        <f t="shared" si="988"/>
        <v>4709.6499999999996</v>
      </c>
      <c r="AX129" s="170">
        <f t="shared" si="988"/>
        <v>4811.63</v>
      </c>
      <c r="AY129" s="170">
        <f t="shared" si="988"/>
        <v>4889.6100000000006</v>
      </c>
      <c r="AZ129" s="170">
        <f t="shared" si="988"/>
        <v>4863.2500000000009</v>
      </c>
      <c r="BA129" s="170">
        <f t="shared" si="988"/>
        <v>4903.4900000000007</v>
      </c>
      <c r="BB129" s="170">
        <f t="shared" si="988"/>
        <v>5136.59</v>
      </c>
      <c r="BC129" s="170">
        <f t="shared" si="988"/>
        <v>5226.3500000000004</v>
      </c>
      <c r="BD129" s="170">
        <f t="shared" si="988"/>
        <v>5297.43</v>
      </c>
      <c r="BE129" s="170">
        <f t="shared" si="988"/>
        <v>5489.0400000000009</v>
      </c>
      <c r="BF129" s="170">
        <f t="shared" si="988"/>
        <v>5684.87</v>
      </c>
      <c r="BG129" s="170">
        <f t="shared" si="988"/>
        <v>5971.99</v>
      </c>
      <c r="BH129" s="170">
        <f t="shared" si="988"/>
        <v>6440.5099999999993</v>
      </c>
      <c r="BI129" s="170">
        <f t="shared" si="988"/>
        <v>6852.23</v>
      </c>
      <c r="BJ129" s="170">
        <f t="shared" si="988"/>
        <v>7176.93</v>
      </c>
      <c r="BK129" s="170">
        <f t="shared" si="988"/>
        <v>7263.99</v>
      </c>
      <c r="BL129" s="170">
        <f t="shared" si="988"/>
        <v>7246.84</v>
      </c>
      <c r="BM129" s="170">
        <f t="shared" si="988"/>
        <v>7288.55</v>
      </c>
      <c r="BN129" s="170">
        <f t="shared" si="988"/>
        <v>7209.41</v>
      </c>
      <c r="BO129" s="170">
        <f t="shared" si="988"/>
        <v>6991.2699999999995</v>
      </c>
      <c r="BP129" s="170">
        <f t="shared" si="988"/>
        <v>7354.2999999999993</v>
      </c>
      <c r="BQ129" s="170">
        <f t="shared" si="988"/>
        <v>7650.2199999999993</v>
      </c>
      <c r="BR129" s="170">
        <f t="shared" ref="BR129:CW129" si="989">+SUM(BO39:BR39)</f>
        <v>8400.0399999999991</v>
      </c>
      <c r="BS129" s="170">
        <f t="shared" si="989"/>
        <v>9554.2899999999991</v>
      </c>
      <c r="BT129" s="170">
        <f t="shared" si="989"/>
        <v>10292.43</v>
      </c>
      <c r="BU129" s="170">
        <f t="shared" si="989"/>
        <v>11491.89</v>
      </c>
      <c r="BV129" s="170">
        <f t="shared" si="989"/>
        <v>12433.660000000002</v>
      </c>
      <c r="BW129" s="170">
        <f t="shared" si="989"/>
        <v>13628.98</v>
      </c>
      <c r="BX129" s="170">
        <f t="shared" si="989"/>
        <v>14517.79</v>
      </c>
      <c r="BY129" s="170">
        <f t="shared" si="989"/>
        <v>14641.58</v>
      </c>
      <c r="BZ129" s="170">
        <f t="shared" si="989"/>
        <v>14870.25</v>
      </c>
      <c r="CA129" s="170">
        <f t="shared" si="989"/>
        <v>14313.91</v>
      </c>
      <c r="CB129" s="170">
        <f t="shared" si="989"/>
        <v>13763.489999999998</v>
      </c>
      <c r="CC129" s="170">
        <f t="shared" si="989"/>
        <v>13346.869999999999</v>
      </c>
      <c r="CD129" s="170">
        <f t="shared" si="989"/>
        <v>13138.52</v>
      </c>
      <c r="CE129" s="170">
        <f t="shared" si="989"/>
        <v>13264.259999999998</v>
      </c>
      <c r="CF129" s="170">
        <f t="shared" si="989"/>
        <v>13511.2</v>
      </c>
      <c r="CG129" s="170">
        <f t="shared" si="989"/>
        <v>13949.47</v>
      </c>
      <c r="CH129" s="170">
        <f t="shared" si="989"/>
        <v>14693.07</v>
      </c>
      <c r="CI129" s="170">
        <f t="shared" si="989"/>
        <v>15047.57</v>
      </c>
      <c r="CJ129" s="170">
        <f t="shared" si="989"/>
        <v>15263.460000000001</v>
      </c>
      <c r="CK129" s="170">
        <f t="shared" si="989"/>
        <v>15484.68</v>
      </c>
      <c r="CL129" s="170">
        <f t="shared" si="989"/>
        <v>15786.51</v>
      </c>
      <c r="CM129" s="171">
        <f t="shared" si="989"/>
        <v>16272.690605450192</v>
      </c>
      <c r="CN129" s="171">
        <f t="shared" si="989"/>
        <v>16733.249424695103</v>
      </c>
      <c r="CO129" s="171">
        <f t="shared" si="989"/>
        <v>17316.685340782009</v>
      </c>
      <c r="CP129" s="171">
        <f t="shared" si="989"/>
        <v>18170.077911743207</v>
      </c>
      <c r="CQ129" s="171">
        <f t="shared" si="989"/>
        <v>18843.115296737469</v>
      </c>
      <c r="CR129" s="171">
        <f t="shared" si="989"/>
        <v>19512.818196096589</v>
      </c>
      <c r="CS129" s="171">
        <f t="shared" si="989"/>
        <v>20242.479899736209</v>
      </c>
      <c r="CT129" s="171">
        <f t="shared" si="989"/>
        <v>21171.341530552818</v>
      </c>
      <c r="CU129" s="171">
        <f t="shared" si="989"/>
        <v>21991.889634285792</v>
      </c>
      <c r="CV129" s="171">
        <f t="shared" si="989"/>
        <v>22788.382763252324</v>
      </c>
      <c r="CW129" s="171">
        <f t="shared" si="989"/>
        <v>23632.068866766735</v>
      </c>
      <c r="CX129" s="171">
        <f t="shared" ref="CX129:DB129" si="990">+SUM(CU39:CX39)</f>
        <v>24702.894853632497</v>
      </c>
      <c r="CY129" s="171">
        <f t="shared" si="990"/>
        <v>25669.869713188225</v>
      </c>
      <c r="CZ129" s="171">
        <f t="shared" si="990"/>
        <v>26600.928406224051</v>
      </c>
      <c r="DA129" s="171">
        <f t="shared" si="990"/>
        <v>27582.97404607616</v>
      </c>
      <c r="DB129" s="171">
        <f t="shared" si="990"/>
        <v>28831.509537231992</v>
      </c>
      <c r="DE129" s="172"/>
      <c r="DF129" s="170">
        <v>0</v>
      </c>
    </row>
    <row r="130" spans="1:110" s="157" customFormat="1" x14ac:dyDescent="0.2">
      <c r="A130" s="157" t="s">
        <v>511</v>
      </c>
      <c r="E130" s="157">
        <f t="shared" ref="E130:AE130" si="991">+E129/E96</f>
        <v>30.567846299170093</v>
      </c>
      <c r="F130" s="157">
        <f t="shared" si="991"/>
        <v>38.674529383982183</v>
      </c>
      <c r="G130" s="157">
        <f t="shared" si="991"/>
        <v>46.309473045003706</v>
      </c>
      <c r="H130" s="157">
        <f t="shared" si="991"/>
        <v>63.643303420821795</v>
      </c>
      <c r="I130" s="157">
        <f t="shared" si="991"/>
        <v>56.795347817286277</v>
      </c>
      <c r="J130" s="157">
        <f t="shared" si="991"/>
        <v>68.24793873557789</v>
      </c>
      <c r="K130" s="157">
        <f t="shared" si="991"/>
        <v>84.295199379259145</v>
      </c>
      <c r="L130" s="157">
        <f t="shared" si="991"/>
        <v>117.18311517441467</v>
      </c>
      <c r="M130" s="157">
        <f t="shared" si="991"/>
        <v>134.97751501248226</v>
      </c>
      <c r="N130" s="157">
        <f t="shared" si="991"/>
        <v>127.62111530935833</v>
      </c>
      <c r="O130" s="157">
        <f t="shared" si="991"/>
        <v>135.55294177181025</v>
      </c>
      <c r="P130" s="157">
        <f t="shared" si="991"/>
        <v>153.15599487214087</v>
      </c>
      <c r="Q130" s="157">
        <f t="shared" si="991"/>
        <v>154.93961271169286</v>
      </c>
      <c r="R130" s="157">
        <f t="shared" si="991"/>
        <v>162.6678361783955</v>
      </c>
      <c r="S130" s="157">
        <f t="shared" si="991"/>
        <v>188.55137979893394</v>
      </c>
      <c r="T130" s="157">
        <f t="shared" si="991"/>
        <v>239.5111665879495</v>
      </c>
      <c r="U130" s="157">
        <f t="shared" si="991"/>
        <v>243.21604480129542</v>
      </c>
      <c r="V130" s="157">
        <f t="shared" si="991"/>
        <v>283.38303758180962</v>
      </c>
      <c r="W130" s="157">
        <f t="shared" si="991"/>
        <v>419.46090007421896</v>
      </c>
      <c r="X130" s="157">
        <f t="shared" si="991"/>
        <v>501.66149382632744</v>
      </c>
      <c r="Y130" s="157">
        <f t="shared" si="991"/>
        <v>443.23999730112678</v>
      </c>
      <c r="Z130" s="157">
        <f t="shared" ref="Z130:AA130" si="992">+Z129/Z96</f>
        <v>495.68416436137909</v>
      </c>
      <c r="AA130" s="157">
        <f t="shared" si="992"/>
        <v>532.5723635382227</v>
      </c>
      <c r="AB130" s="94">
        <f t="shared" si="991"/>
        <v>612.98420861423676</v>
      </c>
      <c r="AC130" s="94">
        <f t="shared" si="991"/>
        <v>714.23458371745551</v>
      </c>
      <c r="AD130" s="94">
        <f t="shared" si="991"/>
        <v>833.37476734473023</v>
      </c>
      <c r="AE130" s="94">
        <f t="shared" si="991"/>
        <v>972.65736243276399</v>
      </c>
      <c r="AL130" s="157">
        <f t="shared" ref="AL130:BQ130" si="993">+AL129/AL96</f>
        <v>112.08926523176574</v>
      </c>
      <c r="AM130" s="157">
        <f t="shared" si="993"/>
        <v>112.53255515822143</v>
      </c>
      <c r="AN130" s="157">
        <f t="shared" si="993"/>
        <v>113.88705215572497</v>
      </c>
      <c r="AO130" s="157">
        <f t="shared" si="993"/>
        <v>112.96538695094797</v>
      </c>
      <c r="AP130" s="157">
        <f t="shared" si="993"/>
        <v>115.28068281492477</v>
      </c>
      <c r="AQ130" s="157">
        <f t="shared" si="993"/>
        <v>126.4459213278456</v>
      </c>
      <c r="AR130" s="157">
        <f t="shared" si="993"/>
        <v>138.10437892180016</v>
      </c>
      <c r="AS130" s="157">
        <f t="shared" si="993"/>
        <v>146.59166048174885</v>
      </c>
      <c r="AT130" s="157">
        <f t="shared" si="993"/>
        <v>153.15599487214084</v>
      </c>
      <c r="AU130" s="157">
        <f t="shared" si="993"/>
        <v>155.36569732136829</v>
      </c>
      <c r="AV130" s="157">
        <f t="shared" si="993"/>
        <v>157.12806153430941</v>
      </c>
      <c r="AW130" s="157">
        <f t="shared" si="993"/>
        <v>158.88435328250452</v>
      </c>
      <c r="AX130" s="157">
        <f t="shared" si="993"/>
        <v>162.32474192024827</v>
      </c>
      <c r="AY130" s="157">
        <f t="shared" si="993"/>
        <v>164.95546859186291</v>
      </c>
      <c r="AZ130" s="157">
        <f t="shared" si="993"/>
        <v>164.06618986573108</v>
      </c>
      <c r="BA130" s="157">
        <f t="shared" si="993"/>
        <v>165.42372309560758</v>
      </c>
      <c r="BB130" s="157">
        <f t="shared" si="993"/>
        <v>173.28756494163684</v>
      </c>
      <c r="BC130" s="157">
        <f t="shared" si="993"/>
        <v>176.31570069495984</v>
      </c>
      <c r="BD130" s="157">
        <f t="shared" si="993"/>
        <v>178.71364955131233</v>
      </c>
      <c r="BE130" s="157">
        <f t="shared" si="993"/>
        <v>185.17778827339586</v>
      </c>
      <c r="BF130" s="157">
        <f t="shared" si="993"/>
        <v>191.78429255785707</v>
      </c>
      <c r="BG130" s="157">
        <f t="shared" si="993"/>
        <v>201.47054854598201</v>
      </c>
      <c r="BH130" s="157">
        <f t="shared" si="993"/>
        <v>217.27649956143307</v>
      </c>
      <c r="BI130" s="157">
        <f t="shared" si="993"/>
        <v>231.16625059037847</v>
      </c>
      <c r="BJ130" s="157">
        <f t="shared" si="993"/>
        <v>242.12030227380066</v>
      </c>
      <c r="BK130" s="157">
        <f t="shared" si="993"/>
        <v>245.05735105593411</v>
      </c>
      <c r="BL130" s="157">
        <f t="shared" si="993"/>
        <v>244.47878010930435</v>
      </c>
      <c r="BM130" s="157">
        <f t="shared" si="993"/>
        <v>245.88590513460628</v>
      </c>
      <c r="BN130" s="157">
        <f t="shared" si="993"/>
        <v>243.21604480129542</v>
      </c>
      <c r="BO130" s="157">
        <f t="shared" si="993"/>
        <v>235.85689224748663</v>
      </c>
      <c r="BP130" s="157">
        <f t="shared" si="993"/>
        <v>248.10404156264755</v>
      </c>
      <c r="BQ130" s="157">
        <f t="shared" si="993"/>
        <v>258.08717360501987</v>
      </c>
      <c r="BR130" s="157">
        <f t="shared" ref="BR130:CW130" si="994">+BR129/BR96</f>
        <v>283.38303758180956</v>
      </c>
      <c r="BS130" s="157">
        <f t="shared" si="994"/>
        <v>322.32271776533292</v>
      </c>
      <c r="BT130" s="157">
        <f t="shared" si="994"/>
        <v>347.22454625193978</v>
      </c>
      <c r="BU130" s="157">
        <f t="shared" si="994"/>
        <v>387.68942716415893</v>
      </c>
      <c r="BV130" s="157">
        <f t="shared" si="994"/>
        <v>419.46090007421901</v>
      </c>
      <c r="BW130" s="157">
        <f t="shared" si="994"/>
        <v>459.78611429728085</v>
      </c>
      <c r="BX130" s="157">
        <f t="shared" si="994"/>
        <v>489.77093313541593</v>
      </c>
      <c r="BY130" s="157">
        <f t="shared" si="994"/>
        <v>493.94710208487953</v>
      </c>
      <c r="BZ130" s="157">
        <f t="shared" si="994"/>
        <v>501.66149382632744</v>
      </c>
      <c r="CA130" s="157">
        <f t="shared" si="994"/>
        <v>482.89285473314885</v>
      </c>
      <c r="CB130" s="157">
        <f t="shared" si="994"/>
        <v>464.32393225828207</v>
      </c>
      <c r="CC130" s="157">
        <f t="shared" si="994"/>
        <v>450.26887524458533</v>
      </c>
      <c r="CD130" s="157">
        <f t="shared" si="994"/>
        <v>443.23999730112678</v>
      </c>
      <c r="CE130" s="157">
        <f t="shared" si="994"/>
        <v>447.48195128533825</v>
      </c>
      <c r="CF130" s="157">
        <f t="shared" si="994"/>
        <v>455.81269819850212</v>
      </c>
      <c r="CG130" s="157">
        <f t="shared" si="994"/>
        <v>470.59813777747786</v>
      </c>
      <c r="CH130" s="157">
        <f t="shared" si="994"/>
        <v>495.68416436137909</v>
      </c>
      <c r="CI130" s="157">
        <f t="shared" si="994"/>
        <v>507.6435463194116</v>
      </c>
      <c r="CJ130" s="157">
        <f t="shared" si="994"/>
        <v>514.92679306389584</v>
      </c>
      <c r="CK130" s="157">
        <f t="shared" ref="CK130" si="995">+CK129/CK96</f>
        <v>522.38985223669113</v>
      </c>
      <c r="CL130" s="157">
        <f t="shared" ref="CL130" si="996">+CL129/CL96</f>
        <v>532.5723635382227</v>
      </c>
      <c r="CM130" s="50">
        <f t="shared" si="994"/>
        <v>548.97411124250016</v>
      </c>
      <c r="CN130" s="50">
        <f t="shared" si="994"/>
        <v>564.51148453866472</v>
      </c>
      <c r="CO130" s="50">
        <f t="shared" si="994"/>
        <v>584.19422916071812</v>
      </c>
      <c r="CP130" s="50">
        <f t="shared" si="994"/>
        <v>612.98420861423676</v>
      </c>
      <c r="CQ130" s="50">
        <f t="shared" si="994"/>
        <v>635.6897407981063</v>
      </c>
      <c r="CR130" s="50">
        <f t="shared" si="994"/>
        <v>658.28278105716845</v>
      </c>
      <c r="CS130" s="50">
        <f t="shared" si="994"/>
        <v>682.89858645625145</v>
      </c>
      <c r="CT130" s="50">
        <f t="shared" si="994"/>
        <v>714.23458371745551</v>
      </c>
      <c r="CU130" s="50">
        <f t="shared" si="994"/>
        <v>741.91652500795453</v>
      </c>
      <c r="CV130" s="50">
        <f t="shared" si="994"/>
        <v>768.78694970826268</v>
      </c>
      <c r="CW130" s="50">
        <f t="shared" si="994"/>
        <v>797.24947259856731</v>
      </c>
      <c r="CX130" s="50">
        <f t="shared" ref="CX130:DB130" si="997">+CX129/CX96</f>
        <v>833.37476734473023</v>
      </c>
      <c r="CY130" s="50">
        <f t="shared" si="997"/>
        <v>865.9965492607862</v>
      </c>
      <c r="CZ130" s="50">
        <f t="shared" si="997"/>
        <v>897.40666642682845</v>
      </c>
      <c r="DA130" s="50">
        <f t="shared" si="997"/>
        <v>930.53687490979553</v>
      </c>
      <c r="DB130" s="50">
        <f t="shared" si="997"/>
        <v>972.65736243276399</v>
      </c>
      <c r="DE130" s="158"/>
    </row>
    <row r="131" spans="1:110" s="157" customFormat="1" x14ac:dyDescent="0.2">
      <c r="AB131" s="94"/>
      <c r="AC131" s="94"/>
      <c r="AD131" s="94"/>
      <c r="AE131" s="94"/>
      <c r="CM131" s="94"/>
      <c r="CN131" s="94"/>
      <c r="CO131" s="94"/>
      <c r="CP131" s="94"/>
      <c r="CQ131" s="94"/>
      <c r="CR131" s="94"/>
      <c r="CS131" s="94"/>
      <c r="CT131" s="94"/>
      <c r="CU131" s="94"/>
      <c r="CV131" s="94"/>
      <c r="CW131" s="94"/>
      <c r="CX131" s="94"/>
      <c r="CY131" s="94"/>
      <c r="CZ131" s="94"/>
      <c r="DA131" s="94"/>
      <c r="DB131" s="94"/>
      <c r="DE131" s="158"/>
    </row>
    <row r="132" spans="1:110" s="157" customFormat="1" x14ac:dyDescent="0.2">
      <c r="A132" s="157" t="s">
        <v>506</v>
      </c>
      <c r="AB132" s="94"/>
      <c r="AC132" s="94"/>
      <c r="AD132" s="94"/>
      <c r="AE132" s="94"/>
      <c r="CM132" s="94"/>
      <c r="CN132" s="94"/>
      <c r="CO132" s="94"/>
      <c r="CP132" s="94"/>
      <c r="CQ132" s="94"/>
      <c r="CR132" s="94"/>
      <c r="CS132" s="94"/>
      <c r="CT132" s="94"/>
      <c r="CU132" s="94"/>
      <c r="CV132" s="94"/>
      <c r="CW132" s="94"/>
      <c r="CX132" s="94"/>
      <c r="CY132" s="94"/>
      <c r="CZ132" s="94"/>
      <c r="DA132" s="94"/>
      <c r="DB132" s="94"/>
      <c r="DE132" s="158"/>
    </row>
    <row r="133" spans="1:110" s="157" customFormat="1" x14ac:dyDescent="0.2">
      <c r="A133" s="157" t="s">
        <v>507</v>
      </c>
      <c r="E133" s="157">
        <f t="shared" ref="E133:AE135" si="998">+E108/E$130</f>
        <v>0.22932593717570213</v>
      </c>
      <c r="F133" s="157">
        <f t="shared" si="998"/>
        <v>0.45973410105318407</v>
      </c>
      <c r="G133" s="157">
        <f t="shared" si="998"/>
        <v>1.4303768893165278</v>
      </c>
      <c r="H133" s="157">
        <f t="shared" si="998"/>
        <v>0.3807156243884226</v>
      </c>
      <c r="I133" s="157">
        <f t="shared" si="998"/>
        <v>0.35495865022001127</v>
      </c>
      <c r="J133" s="157">
        <f t="shared" si="998"/>
        <v>0.21832161199371986</v>
      </c>
      <c r="K133" s="157">
        <f t="shared" si="998"/>
        <v>0.46823544271385403</v>
      </c>
      <c r="L133" s="157">
        <f t="shared" si="998"/>
        <v>0.54325232696919534</v>
      </c>
      <c r="M133" s="157">
        <f t="shared" si="998"/>
        <v>0.36850582110213109</v>
      </c>
      <c r="N133" s="157">
        <f t="shared" si="998"/>
        <v>0.26476809827348541</v>
      </c>
      <c r="O133" s="157">
        <f t="shared" si="998"/>
        <v>0.53137909851676446</v>
      </c>
      <c r="P133" s="157">
        <f t="shared" si="998"/>
        <v>1.2927995418350828</v>
      </c>
      <c r="Q133" s="157">
        <f t="shared" si="998"/>
        <v>1.6856244534829037</v>
      </c>
      <c r="R133" s="157">
        <f t="shared" si="998"/>
        <v>1.9991044796549009</v>
      </c>
      <c r="S133" s="157">
        <f t="shared" si="998"/>
        <v>2.0766753360147718</v>
      </c>
      <c r="T133" s="157">
        <f t="shared" si="998"/>
        <v>2.0075055658143643</v>
      </c>
      <c r="U133" s="157">
        <f t="shared" si="998"/>
        <v>2.2854577725500427</v>
      </c>
      <c r="V133" s="157">
        <f t="shared" si="998"/>
        <v>3.8156835681734846</v>
      </c>
      <c r="W133" s="157">
        <f t="shared" si="998"/>
        <v>6.3854580952028615</v>
      </c>
      <c r="X133" s="157">
        <f t="shared" si="998"/>
        <v>4.796461417931777</v>
      </c>
      <c r="Y133" s="157">
        <f t="shared" si="998"/>
        <v>5.7701245726307073</v>
      </c>
      <c r="Z133" s="157">
        <f>+Z108/Z$130</f>
        <v>5.9298848164474816</v>
      </c>
      <c r="AA133" s="157">
        <f>+AA108/AA$130</f>
        <v>4.5762795196658415</v>
      </c>
      <c r="AB133" s="50">
        <f t="shared" ref="AA133:AE133" si="999">+AB108/AB$130</f>
        <v>4.0735143987557629</v>
      </c>
      <c r="AC133" s="50">
        <f t="shared" si="999"/>
        <v>3.4960502570508258</v>
      </c>
      <c r="AD133" s="50">
        <f t="shared" si="999"/>
        <v>2.9962510239611104</v>
      </c>
      <c r="AE133" s="50">
        <f t="shared" si="999"/>
        <v>2.5671938510336498</v>
      </c>
      <c r="AL133" s="157">
        <f t="shared" ref="AL133:BQ133" si="1000">+AL108/AL130</f>
        <v>0.30145616469278114</v>
      </c>
      <c r="AM133" s="157">
        <f t="shared" si="1000"/>
        <v>0.25637025622884624</v>
      </c>
      <c r="AN133" s="157">
        <f t="shared" si="1000"/>
        <v>0.28976077065263761</v>
      </c>
      <c r="AO133" s="157">
        <f t="shared" si="1000"/>
        <v>0.392244042143992</v>
      </c>
      <c r="AP133" s="157">
        <f t="shared" si="1000"/>
        <v>0.62482280848075145</v>
      </c>
      <c r="AQ133" s="157">
        <f t="shared" si="1000"/>
        <v>0.93715952840231498</v>
      </c>
      <c r="AR133" s="157">
        <f t="shared" si="1000"/>
        <v>1.0897554529043478</v>
      </c>
      <c r="AS133" s="157">
        <f t="shared" si="1000"/>
        <v>1.1909954456224816</v>
      </c>
      <c r="AT133" s="157">
        <f t="shared" si="1000"/>
        <v>1.2927995418350831</v>
      </c>
      <c r="AU133" s="157">
        <f t="shared" si="1000"/>
        <v>1.5828461767292392</v>
      </c>
      <c r="AV133" s="157">
        <f t="shared" si="1000"/>
        <v>1.4283253914578142</v>
      </c>
      <c r="AW133" s="157">
        <f t="shared" si="1000"/>
        <v>1.5900244094571787</v>
      </c>
      <c r="AX133" s="157">
        <f t="shared" si="1000"/>
        <v>1.608935254788918</v>
      </c>
      <c r="AY133" s="157">
        <f t="shared" si="1000"/>
        <v>1.5909142160622216</v>
      </c>
      <c r="AZ133" s="157">
        <f t="shared" si="1000"/>
        <v>2.1638827615277845</v>
      </c>
      <c r="BA133" s="157">
        <f t="shared" si="1000"/>
        <v>1.864545146416124</v>
      </c>
      <c r="BB133" s="157">
        <f t="shared" si="1000"/>
        <v>1.8765916648983083</v>
      </c>
      <c r="BC133" s="157">
        <f t="shared" si="1000"/>
        <v>1.7452217742784162</v>
      </c>
      <c r="BD133" s="157">
        <f t="shared" si="1000"/>
        <v>1.7220844673738018</v>
      </c>
      <c r="BE133" s="157">
        <f t="shared" si="1000"/>
        <v>2.1429135950913092</v>
      </c>
      <c r="BF133" s="157">
        <f t="shared" si="1000"/>
        <v>2.0416687663921955</v>
      </c>
      <c r="BG133" s="157">
        <f t="shared" si="1000"/>
        <v>1.6824791635618952</v>
      </c>
      <c r="BH133" s="157">
        <f t="shared" si="1000"/>
        <v>1.5705334018579278</v>
      </c>
      <c r="BI133" s="157">
        <f t="shared" si="1000"/>
        <v>1.729101886539127</v>
      </c>
      <c r="BJ133" s="157">
        <f t="shared" si="1000"/>
        <v>1.9858722935851403</v>
      </c>
      <c r="BK133" s="157">
        <f t="shared" si="1000"/>
        <v>2.4839083478914485</v>
      </c>
      <c r="BL133" s="157">
        <f t="shared" si="1000"/>
        <v>2.2511156172897429</v>
      </c>
      <c r="BM133" s="157">
        <f t="shared" si="1000"/>
        <v>2.7946701524994686</v>
      </c>
      <c r="BN133" s="157">
        <f t="shared" si="1000"/>
        <v>2.2854577725500427</v>
      </c>
      <c r="BO133" s="157">
        <f t="shared" si="1000"/>
        <v>3.0567688445733041</v>
      </c>
      <c r="BP133" s="157">
        <f t="shared" si="1000"/>
        <v>3.3288051044966895</v>
      </c>
      <c r="BQ133" s="157">
        <f t="shared" si="1000"/>
        <v>4.3177659099999737</v>
      </c>
      <c r="BR133" s="157">
        <f t="shared" ref="BR133:DB133" si="1001">+BR108/BR130</f>
        <v>3.8156835681734851</v>
      </c>
      <c r="BS133" s="157">
        <f t="shared" si="1001"/>
        <v>4.5139232198310921</v>
      </c>
      <c r="BT133" s="157">
        <f t="shared" si="1001"/>
        <v>6.50051969068529</v>
      </c>
      <c r="BU133" s="157">
        <f t="shared" si="1001"/>
        <v>6.2435285318602958</v>
      </c>
      <c r="BV133" s="157">
        <f t="shared" si="1001"/>
        <v>6.3854580952028606</v>
      </c>
      <c r="BW133" s="157">
        <f t="shared" si="1001"/>
        <v>4.892166009488605</v>
      </c>
      <c r="BX133" s="157">
        <f t="shared" si="1001"/>
        <v>5.1123899574246501</v>
      </c>
      <c r="BY133" s="157">
        <f t="shared" si="1001"/>
        <v>4.6393631834815645</v>
      </c>
      <c r="BZ133" s="157">
        <f t="shared" si="1001"/>
        <v>4.796461417931777</v>
      </c>
      <c r="CA133" s="157">
        <f t="shared" si="1001"/>
        <v>4.7427705288072932</v>
      </c>
      <c r="CB133" s="157">
        <f t="shared" si="1001"/>
        <v>4.8426321448992962</v>
      </c>
      <c r="CC133" s="157">
        <f t="shared" si="1001"/>
        <v>5.5079312303184205</v>
      </c>
      <c r="CD133" s="157">
        <f t="shared" si="1001"/>
        <v>5.7701245726307073</v>
      </c>
      <c r="CE133" s="157">
        <f t="shared" si="1001"/>
        <v>5.4357499626816743</v>
      </c>
      <c r="CF133" s="157">
        <f t="shared" si="1001"/>
        <v>5.4787854964769975</v>
      </c>
      <c r="CG133" s="157">
        <f t="shared" si="1001"/>
        <v>4.7545874502758894</v>
      </c>
      <c r="CH133" s="157">
        <f t="shared" si="1001"/>
        <v>5.9298848164474816</v>
      </c>
      <c r="CI133" s="157">
        <f t="shared" si="1001"/>
        <v>6.3919851311540672</v>
      </c>
      <c r="CJ133" s="157">
        <f t="shared" si="1001"/>
        <v>5.4830124165818228</v>
      </c>
      <c r="CK133" s="157">
        <f t="shared" ref="CK133" si="1002">+CK108/CK130</f>
        <v>5.8852598051751803</v>
      </c>
      <c r="CL133" s="157">
        <f t="shared" ref="CL133" si="1003">+CL108/CL130</f>
        <v>4.5762795196658415</v>
      </c>
      <c r="CM133" s="50">
        <f t="shared" si="1001"/>
        <v>4.5484840703116358</v>
      </c>
      <c r="CN133" s="50">
        <f t="shared" si="1001"/>
        <v>4.4232935350121734</v>
      </c>
      <c r="CO133" s="50">
        <f t="shared" si="1001"/>
        <v>4.2742633791287394</v>
      </c>
      <c r="CP133" s="50">
        <f t="shared" si="1001"/>
        <v>4.0735143987557629</v>
      </c>
      <c r="CQ133" s="50">
        <f t="shared" si="1001"/>
        <v>3.9280168291925319</v>
      </c>
      <c r="CR133" s="50">
        <f t="shared" si="1001"/>
        <v>3.7932026658664015</v>
      </c>
      <c r="CS133" s="50">
        <f t="shared" si="1001"/>
        <v>3.6564726439947983</v>
      </c>
      <c r="CT133" s="50">
        <f t="shared" si="1001"/>
        <v>3.4960502570508258</v>
      </c>
      <c r="CU133" s="50">
        <f t="shared" si="1001"/>
        <v>3.3656077413469503</v>
      </c>
      <c r="CV133" s="50">
        <f t="shared" si="1001"/>
        <v>3.2479739685325764</v>
      </c>
      <c r="CW133" s="50">
        <f t="shared" si="1001"/>
        <v>3.1320183779629724</v>
      </c>
      <c r="CX133" s="50">
        <f t="shared" si="1001"/>
        <v>2.9962510239611104</v>
      </c>
      <c r="CY133" s="50">
        <f t="shared" si="1001"/>
        <v>2.8833833138612812</v>
      </c>
      <c r="CZ133" s="50">
        <f t="shared" si="1001"/>
        <v>2.7824620580792141</v>
      </c>
      <c r="DA133" s="50">
        <f t="shared" si="1001"/>
        <v>2.6833971520387672</v>
      </c>
      <c r="DB133" s="50">
        <f t="shared" si="1001"/>
        <v>2.5671938510336498</v>
      </c>
      <c r="DE133" s="106"/>
    </row>
    <row r="134" spans="1:110" s="157" customFormat="1" x14ac:dyDescent="0.2">
      <c r="A134" s="157" t="s">
        <v>508</v>
      </c>
      <c r="E134" s="157">
        <f t="shared" si="998"/>
        <v>0.42201206698524363</v>
      </c>
      <c r="F134" s="157">
        <f t="shared" si="998"/>
        <v>0.51687765354629633</v>
      </c>
      <c r="G134" s="157">
        <f t="shared" si="998"/>
        <v>1.5288448635810714</v>
      </c>
      <c r="H134" s="157">
        <f t="shared" si="998"/>
        <v>1.1721578860658821</v>
      </c>
      <c r="I134" s="157">
        <f t="shared" si="998"/>
        <v>0.73034150848839618</v>
      </c>
      <c r="J134" s="157">
        <f t="shared" si="998"/>
        <v>0.44675341944218244</v>
      </c>
      <c r="K134" s="157">
        <f t="shared" si="998"/>
        <v>0.53277055313603205</v>
      </c>
      <c r="L134" s="157">
        <f t="shared" si="998"/>
        <v>0.7583003734603001</v>
      </c>
      <c r="M134" s="157">
        <f t="shared" si="998"/>
        <v>0.54527600388252606</v>
      </c>
      <c r="N134" s="157">
        <f t="shared" si="998"/>
        <v>0.40118752978995126</v>
      </c>
      <c r="O134" s="157">
        <f t="shared" si="998"/>
        <v>0.54738760391425689</v>
      </c>
      <c r="P134" s="157">
        <f t="shared" si="998"/>
        <v>1.3375904754562378</v>
      </c>
      <c r="Q134" s="157">
        <f t="shared" si="998"/>
        <v>1.9304940471006291</v>
      </c>
      <c r="R134" s="157">
        <f t="shared" si="998"/>
        <v>2.4214989837819902</v>
      </c>
      <c r="S134" s="157">
        <f t="shared" si="998"/>
        <v>2.1691700184647096</v>
      </c>
      <c r="T134" s="157">
        <f t="shared" si="998"/>
        <v>2.067878533830827</v>
      </c>
      <c r="U134" s="157">
        <f t="shared" si="998"/>
        <v>3.5021538184123253</v>
      </c>
      <c r="V134" s="157">
        <f t="shared" si="998"/>
        <v>4.2874831548421195</v>
      </c>
      <c r="W134" s="157">
        <f t="shared" si="998"/>
        <v>6.5178899857322792</v>
      </c>
      <c r="X134" s="157">
        <f t="shared" si="998"/>
        <v>5.7097266488458507</v>
      </c>
      <c r="Y134" s="157">
        <f t="shared" si="998"/>
        <v>5.9485831965853082</v>
      </c>
      <c r="Z134" s="157">
        <f t="shared" ref="Z134:AA135" si="1004">+Z109/Z$130</f>
        <v>6.2034461075867737</v>
      </c>
      <c r="AA134" s="157">
        <f t="shared" si="1004"/>
        <v>6.2320169562493559</v>
      </c>
      <c r="AB134" s="94">
        <f t="shared" si="998"/>
        <v>6.4034175040994556</v>
      </c>
      <c r="AC134" s="94">
        <f t="shared" si="998"/>
        <v>6.5178770074873977</v>
      </c>
      <c r="AD134" s="94">
        <f t="shared" si="998"/>
        <v>7.1724063133404483</v>
      </c>
      <c r="AE134" s="94">
        <f t="shared" si="998"/>
        <v>7.6994056222821312</v>
      </c>
      <c r="AL134" s="157">
        <f t="shared" ref="AL134:BQ134" si="1005">+AL109/AL130</f>
        <v>0.37470135889602868</v>
      </c>
      <c r="AM134" s="157">
        <f t="shared" si="1005"/>
        <v>0.33323690151063201</v>
      </c>
      <c r="AN134" s="157">
        <f t="shared" si="1005"/>
        <v>0.30029752594909714</v>
      </c>
      <c r="AO134" s="157">
        <f t="shared" si="1005"/>
        <v>0.42216471157406854</v>
      </c>
      <c r="AP134" s="157">
        <f t="shared" si="1005"/>
        <v>0.64364643050495296</v>
      </c>
      <c r="AQ134" s="157">
        <f t="shared" si="1005"/>
        <v>0.95534912262446958</v>
      </c>
      <c r="AR134" s="157">
        <f t="shared" si="1005"/>
        <v>1.1223395029911887</v>
      </c>
      <c r="AS134" s="157">
        <f t="shared" si="1005"/>
        <v>1.3056677260561487</v>
      </c>
      <c r="AT134" s="157">
        <f t="shared" si="1005"/>
        <v>1.337590475456238</v>
      </c>
      <c r="AU134" s="157">
        <f t="shared" si="1005"/>
        <v>1.6092355282443249</v>
      </c>
      <c r="AV134" s="157">
        <f t="shared" si="1005"/>
        <v>1.9036065046515476</v>
      </c>
      <c r="AW134" s="157">
        <f t="shared" si="1005"/>
        <v>1.7534766277748883</v>
      </c>
      <c r="AX134" s="157">
        <f t="shared" si="1005"/>
        <v>1.675776574674279</v>
      </c>
      <c r="AY134" s="157">
        <f t="shared" si="1005"/>
        <v>1.7789649685762257</v>
      </c>
      <c r="AZ134" s="157">
        <f t="shared" si="1005"/>
        <v>2.2235538004420912</v>
      </c>
      <c r="BA134" s="157">
        <f t="shared" si="1005"/>
        <v>2.381157869191127</v>
      </c>
      <c r="BB134" s="157">
        <f t="shared" si="1005"/>
        <v>2.0588898004318041</v>
      </c>
      <c r="BC134" s="157">
        <f t="shared" si="1005"/>
        <v>2.1098518086236093</v>
      </c>
      <c r="BD134" s="157">
        <f t="shared" si="1005"/>
        <v>1.8409338113009515</v>
      </c>
      <c r="BE134" s="157">
        <f t="shared" si="1005"/>
        <v>2.1568461516039235</v>
      </c>
      <c r="BF134" s="157">
        <f t="shared" si="1005"/>
        <v>2.1326042635979365</v>
      </c>
      <c r="BG134" s="157">
        <f t="shared" si="1005"/>
        <v>2.425168360965106</v>
      </c>
      <c r="BH134" s="157">
        <f t="shared" si="1005"/>
        <v>1.9173725683214531</v>
      </c>
      <c r="BI134" s="157">
        <f t="shared" si="1005"/>
        <v>1.9682803992276972</v>
      </c>
      <c r="BJ134" s="157">
        <f t="shared" si="1005"/>
        <v>2.0455946707018184</v>
      </c>
      <c r="BK134" s="157">
        <f t="shared" si="1005"/>
        <v>2.510024683404025</v>
      </c>
      <c r="BL134" s="157">
        <f t="shared" si="1005"/>
        <v>2.5278267493141842</v>
      </c>
      <c r="BM134" s="157">
        <f t="shared" si="1005"/>
        <v>2.8100838054208319</v>
      </c>
      <c r="BN134" s="157">
        <f t="shared" si="1005"/>
        <v>3.5021538184123253</v>
      </c>
      <c r="BO134" s="157">
        <f t="shared" si="1005"/>
        <v>3.2644371451824927</v>
      </c>
      <c r="BP134" s="157">
        <f t="shared" si="1005"/>
        <v>3.6073576003154622</v>
      </c>
      <c r="BQ134" s="157">
        <f t="shared" si="1005"/>
        <v>4.3706162698589068</v>
      </c>
      <c r="BR134" s="157">
        <f t="shared" ref="BR134:CJ134" si="1006">+BR109/BR130</f>
        <v>4.2874831548421204</v>
      </c>
      <c r="BS134" s="157">
        <f t="shared" si="1006"/>
        <v>4.5341203689651461</v>
      </c>
      <c r="BT134" s="157">
        <f t="shared" si="1006"/>
        <v>6.5715400153316574</v>
      </c>
      <c r="BU134" s="157">
        <f t="shared" si="1006"/>
        <v>6.5619535167844463</v>
      </c>
      <c r="BV134" s="157">
        <f t="shared" si="1006"/>
        <v>6.5178899857322783</v>
      </c>
      <c r="BW134" s="157">
        <f t="shared" si="1006"/>
        <v>6.0310651273976488</v>
      </c>
      <c r="BX134" s="157">
        <f t="shared" si="1006"/>
        <v>5.8483462496702323</v>
      </c>
      <c r="BY134" s="157">
        <f t="shared" si="1006"/>
        <v>5.3442969679501813</v>
      </c>
      <c r="BZ134" s="157">
        <f t="shared" si="1006"/>
        <v>4.8505815773104022</v>
      </c>
      <c r="CA134" s="157">
        <f t="shared" si="1006"/>
        <v>5.46011392414791</v>
      </c>
      <c r="CB134" s="157">
        <f t="shared" si="1006"/>
        <v>5.3312996122349787</v>
      </c>
      <c r="CC134" s="157">
        <f t="shared" si="1006"/>
        <v>5.6179765892677462</v>
      </c>
      <c r="CD134" s="157">
        <f t="shared" si="1006"/>
        <v>5.8658966154483156</v>
      </c>
      <c r="CE134" s="157">
        <f t="shared" si="1006"/>
        <v>6.0280643548905113</v>
      </c>
      <c r="CF134" s="157">
        <f t="shared" si="1006"/>
        <v>5.8313425898513822</v>
      </c>
      <c r="CG134" s="157">
        <f t="shared" si="1006"/>
        <v>5.3100507617852157</v>
      </c>
      <c r="CH134" s="157">
        <f t="shared" si="1006"/>
        <v>6.2034461075867737</v>
      </c>
      <c r="CI134" s="157">
        <f t="shared" si="1006"/>
        <v>6.4046908969355192</v>
      </c>
      <c r="CJ134" s="157">
        <f t="shared" si="1006"/>
        <v>6.4455764289355102</v>
      </c>
      <c r="CK134" s="157">
        <f t="shared" ref="CK134" si="1007">+CK109/CK130</f>
        <v>6.1998715827514683</v>
      </c>
      <c r="CL134" s="157">
        <f t="shared" ref="CL134" si="1008">+CL109/CL130</f>
        <v>5.8558239471548825</v>
      </c>
      <c r="CM134" s="94">
        <f t="shared" ref="CM134:DB134" si="1009">+CL134</f>
        <v>5.8558239471548825</v>
      </c>
      <c r="CN134" s="94">
        <f t="shared" si="1009"/>
        <v>5.8558239471548825</v>
      </c>
      <c r="CO134" s="94">
        <f t="shared" si="1009"/>
        <v>5.8558239471548825</v>
      </c>
      <c r="CP134" s="94">
        <f t="shared" si="1009"/>
        <v>5.8558239471548825</v>
      </c>
      <c r="CQ134" s="94">
        <f t="shared" si="1009"/>
        <v>5.8558239471548825</v>
      </c>
      <c r="CR134" s="94">
        <f t="shared" si="1009"/>
        <v>5.8558239471548825</v>
      </c>
      <c r="CS134" s="94">
        <f t="shared" si="1009"/>
        <v>5.8558239471548825</v>
      </c>
      <c r="CT134" s="94">
        <f t="shared" si="1009"/>
        <v>5.8558239471548825</v>
      </c>
      <c r="CU134" s="94">
        <f t="shared" si="1009"/>
        <v>5.8558239471548825</v>
      </c>
      <c r="CV134" s="94">
        <f t="shared" si="1009"/>
        <v>5.8558239471548825</v>
      </c>
      <c r="CW134" s="94">
        <f t="shared" si="1009"/>
        <v>5.8558239471548825</v>
      </c>
      <c r="CX134" s="94">
        <f t="shared" si="1009"/>
        <v>5.8558239471548825</v>
      </c>
      <c r="CY134" s="94">
        <f t="shared" si="1009"/>
        <v>5.8558239471548825</v>
      </c>
      <c r="CZ134" s="94">
        <f t="shared" si="1009"/>
        <v>5.8558239471548825</v>
      </c>
      <c r="DA134" s="94">
        <f t="shared" si="1009"/>
        <v>5.8558239471548825</v>
      </c>
      <c r="DB134" s="94">
        <f t="shared" si="1009"/>
        <v>5.8558239471548825</v>
      </c>
      <c r="DE134" s="158"/>
    </row>
    <row r="135" spans="1:110" s="157" customFormat="1" x14ac:dyDescent="0.2">
      <c r="A135" s="157" t="s">
        <v>509</v>
      </c>
      <c r="E135" s="157">
        <f t="shared" si="998"/>
        <v>0.13739927762310258</v>
      </c>
      <c r="F135" s="157">
        <f t="shared" si="998"/>
        <v>0.16470788659779428</v>
      </c>
      <c r="G135" s="157">
        <f t="shared" si="998"/>
        <v>0.37746056801408379</v>
      </c>
      <c r="H135" s="157">
        <f t="shared" si="998"/>
        <v>0.34567658838404031</v>
      </c>
      <c r="I135" s="157">
        <f t="shared" si="998"/>
        <v>0.31868807385824427</v>
      </c>
      <c r="J135" s="157">
        <f t="shared" si="998"/>
        <v>0.18213004275717704</v>
      </c>
      <c r="K135" s="157">
        <f t="shared" si="998"/>
        <v>0.17414989356573035</v>
      </c>
      <c r="L135" s="157">
        <f t="shared" si="998"/>
        <v>0.32948432837387109</v>
      </c>
      <c r="M135" s="157">
        <f t="shared" si="998"/>
        <v>0.34116793449443378</v>
      </c>
      <c r="N135" s="157">
        <f t="shared" si="998"/>
        <v>0.2563839057563907</v>
      </c>
      <c r="O135" s="157">
        <f t="shared" si="998"/>
        <v>0.18524127674241228</v>
      </c>
      <c r="P135" s="157">
        <f t="shared" si="998"/>
        <v>0.42584033393173787</v>
      </c>
      <c r="Q135" s="157">
        <f t="shared" si="998"/>
        <v>1.160516648086537</v>
      </c>
      <c r="R135" s="157">
        <f t="shared" si="998"/>
        <v>1.4329815006843918</v>
      </c>
      <c r="S135" s="157">
        <f t="shared" si="998"/>
        <v>1.5062207463177935</v>
      </c>
      <c r="T135" s="157">
        <f t="shared" si="998"/>
        <v>1.2784372618700517</v>
      </c>
      <c r="U135" s="157">
        <f t="shared" si="998"/>
        <v>1.8099134880662913</v>
      </c>
      <c r="V135" s="157">
        <f t="shared" si="998"/>
        <v>1.8108352722129892</v>
      </c>
      <c r="W135" s="157">
        <f t="shared" si="998"/>
        <v>2.5795014500959494</v>
      </c>
      <c r="X135" s="157">
        <f t="shared" si="998"/>
        <v>3.9917355121803606</v>
      </c>
      <c r="Y135" s="157">
        <f t="shared" si="998"/>
        <v>4.62503386987271</v>
      </c>
      <c r="Z135" s="157">
        <f t="shared" si="1004"/>
        <v>4.2134692817770558</v>
      </c>
      <c r="AA135" s="157">
        <f t="shared" si="1004"/>
        <v>4.3444800339023644</v>
      </c>
      <c r="AB135" s="94">
        <f t="shared" si="998"/>
        <v>3.9905596512254435</v>
      </c>
      <c r="AC135" s="94">
        <f t="shared" si="998"/>
        <v>4.2426316190039621</v>
      </c>
      <c r="AD135" s="94">
        <f t="shared" si="998"/>
        <v>4.4215113975926021</v>
      </c>
      <c r="AE135" s="94">
        <f t="shared" si="998"/>
        <v>4.830116961739999</v>
      </c>
      <c r="AL135" s="157">
        <f t="shared" ref="AL135:BQ135" si="1010">+AL110/AL130</f>
        <v>0.29191020150185848</v>
      </c>
      <c r="AM135" s="157">
        <f t="shared" si="1010"/>
        <v>0.24881688646127192</v>
      </c>
      <c r="AN135" s="157">
        <f t="shared" si="1010"/>
        <v>0.22048160457841606</v>
      </c>
      <c r="AO135" s="157">
        <f t="shared" si="1010"/>
        <v>0.28150215617646007</v>
      </c>
      <c r="AP135" s="157">
        <f t="shared" si="1010"/>
        <v>0.34177451970209088</v>
      </c>
      <c r="AQ135" s="157">
        <f t="shared" si="1010"/>
        <v>0.51579362398648931</v>
      </c>
      <c r="AR135" s="157">
        <f t="shared" si="1010"/>
        <v>0.72119364192208002</v>
      </c>
      <c r="AS135" s="157">
        <f t="shared" si="1010"/>
        <v>0.88927296117387433</v>
      </c>
      <c r="AT135" s="157">
        <f t="shared" si="1010"/>
        <v>1.1008383977444192</v>
      </c>
      <c r="AU135" s="157">
        <f t="shared" si="1010"/>
        <v>1.157333974616479</v>
      </c>
      <c r="AV135" s="157">
        <f t="shared" si="1010"/>
        <v>1.2970312114204987</v>
      </c>
      <c r="AW135" s="157">
        <f t="shared" si="1010"/>
        <v>1.4073129001093503</v>
      </c>
      <c r="AX135" s="157">
        <f t="shared" si="1010"/>
        <v>1.2592042197758351</v>
      </c>
      <c r="AY135" s="157">
        <f t="shared" si="1010"/>
        <v>1.4131086528373427</v>
      </c>
      <c r="AZ135" s="157">
        <f t="shared" si="1010"/>
        <v>1.5799720845113865</v>
      </c>
      <c r="BA135" s="157">
        <f t="shared" si="1010"/>
        <v>1.6347715729001182</v>
      </c>
      <c r="BB135" s="157">
        <f t="shared" si="1010"/>
        <v>1.7416137164928487</v>
      </c>
      <c r="BC135" s="157">
        <f t="shared" si="1010"/>
        <v>1.7074486209304776</v>
      </c>
      <c r="BD135" s="157">
        <f t="shared" si="1010"/>
        <v>1.589134353828177</v>
      </c>
      <c r="BE135" s="157">
        <f t="shared" si="1010"/>
        <v>1.6548961020506316</v>
      </c>
      <c r="BF135" s="157">
        <f t="shared" si="1010"/>
        <v>1.6966978664419767</v>
      </c>
      <c r="BG135" s="157">
        <f t="shared" si="1010"/>
        <v>1.6027652792452771</v>
      </c>
      <c r="BH135" s="157">
        <f t="shared" si="1010"/>
        <v>1.4092642352857152</v>
      </c>
      <c r="BI135" s="157">
        <f t="shared" si="1010"/>
        <v>1.3986470740182395</v>
      </c>
      <c r="BJ135" s="157">
        <f t="shared" si="1010"/>
        <v>1.6092826431357141</v>
      </c>
      <c r="BK135" s="157">
        <f t="shared" si="1010"/>
        <v>1.7963142019743972</v>
      </c>
      <c r="BL135" s="157">
        <f t="shared" si="1010"/>
        <v>2.0875840421480261</v>
      </c>
      <c r="BM135" s="157">
        <f t="shared" si="1010"/>
        <v>2.1066681301493442</v>
      </c>
      <c r="BN135" s="157">
        <f t="shared" si="1010"/>
        <v>2.0493713743565705</v>
      </c>
      <c r="BO135" s="157">
        <f t="shared" si="1010"/>
        <v>2.1757261155698466</v>
      </c>
      <c r="BP135" s="157">
        <f t="shared" si="1010"/>
        <v>2.8907227608337984</v>
      </c>
      <c r="BQ135" s="157">
        <f t="shared" si="1010"/>
        <v>3.1695104742085851</v>
      </c>
      <c r="BR135" s="157">
        <f t="shared" ref="BR135:CJ135" si="1011">+BR110/BR130</f>
        <v>3.6227644701691903</v>
      </c>
      <c r="BS135" s="157">
        <f t="shared" si="1011"/>
        <v>3.3568840803450604</v>
      </c>
      <c r="BT135" s="157">
        <f t="shared" si="1011"/>
        <v>4.1759720493605501</v>
      </c>
      <c r="BU135" s="157">
        <f t="shared" si="1011"/>
        <v>5.0942838819376099</v>
      </c>
      <c r="BV135" s="157">
        <f t="shared" si="1011"/>
        <v>5.0215645835578577</v>
      </c>
      <c r="BW135" s="157">
        <f t="shared" si="1011"/>
        <v>4.5260175009428441</v>
      </c>
      <c r="BX135" s="157">
        <f t="shared" si="1011"/>
        <v>4.0886460680310162</v>
      </c>
      <c r="BY135" s="157">
        <f t="shared" si="1011"/>
        <v>4.4721387992279524</v>
      </c>
      <c r="BZ135" s="157">
        <f t="shared" si="1011"/>
        <v>4.1505079134513547</v>
      </c>
      <c r="CA135" s="157">
        <f t="shared" si="1011"/>
        <v>4.731898551828257</v>
      </c>
      <c r="CB135" s="157">
        <f t="shared" si="1011"/>
        <v>4.4150211901196581</v>
      </c>
      <c r="CC135" s="157">
        <f t="shared" si="1011"/>
        <v>4.6222382101571382</v>
      </c>
      <c r="CD135" s="157">
        <f t="shared" si="1011"/>
        <v>4.9748443584208877</v>
      </c>
      <c r="CE135" s="157">
        <f t="shared" si="1011"/>
        <v>4.6673390826175014</v>
      </c>
      <c r="CF135" s="157">
        <f t="shared" si="1011"/>
        <v>5.0105010435786603</v>
      </c>
      <c r="CG135" s="157">
        <f t="shared" si="1011"/>
        <v>4.5209486166857964</v>
      </c>
      <c r="CH135" s="157">
        <f t="shared" si="1011"/>
        <v>4.4383100332333543</v>
      </c>
      <c r="CI135" s="157">
        <f t="shared" si="1011"/>
        <v>5.06250895659565</v>
      </c>
      <c r="CJ135" s="157">
        <f t="shared" si="1011"/>
        <v>5.418245928511622</v>
      </c>
      <c r="CK135" s="157">
        <f t="shared" ref="CK135" si="1012">+CK110/CK130</f>
        <v>5.3044675124058109</v>
      </c>
      <c r="CL135" s="157">
        <f t="shared" ref="CL135" si="1013">+CL110/CL130</f>
        <v>4.3444800339023644</v>
      </c>
      <c r="CM135" s="94">
        <f t="shared" ref="CM135:DB135" si="1014">+CL135</f>
        <v>4.3444800339023644</v>
      </c>
      <c r="CN135" s="94">
        <f t="shared" si="1014"/>
        <v>4.3444800339023644</v>
      </c>
      <c r="CO135" s="94">
        <f t="shared" si="1014"/>
        <v>4.3444800339023644</v>
      </c>
      <c r="CP135" s="94">
        <f t="shared" si="1014"/>
        <v>4.3444800339023644</v>
      </c>
      <c r="CQ135" s="94">
        <f t="shared" si="1014"/>
        <v>4.3444800339023644</v>
      </c>
      <c r="CR135" s="94">
        <f t="shared" si="1014"/>
        <v>4.3444800339023644</v>
      </c>
      <c r="CS135" s="94">
        <f t="shared" si="1014"/>
        <v>4.3444800339023644</v>
      </c>
      <c r="CT135" s="94">
        <f t="shared" si="1014"/>
        <v>4.3444800339023644</v>
      </c>
      <c r="CU135" s="94">
        <f t="shared" si="1014"/>
        <v>4.3444800339023644</v>
      </c>
      <c r="CV135" s="94">
        <f t="shared" si="1014"/>
        <v>4.3444800339023644</v>
      </c>
      <c r="CW135" s="94">
        <f t="shared" si="1014"/>
        <v>4.3444800339023644</v>
      </c>
      <c r="CX135" s="94">
        <f t="shared" si="1014"/>
        <v>4.3444800339023644</v>
      </c>
      <c r="CY135" s="94">
        <f t="shared" si="1014"/>
        <v>4.3444800339023644</v>
      </c>
      <c r="CZ135" s="94">
        <f t="shared" si="1014"/>
        <v>4.3444800339023644</v>
      </c>
      <c r="DA135" s="94">
        <f t="shared" si="1014"/>
        <v>4.3444800339023644</v>
      </c>
      <c r="DB135" s="94">
        <f t="shared" si="1014"/>
        <v>4.3444800339023644</v>
      </c>
      <c r="DE135" s="158"/>
    </row>
    <row r="136" spans="1:110" s="4" customFormat="1" x14ac:dyDescent="0.2">
      <c r="A136" s="3"/>
      <c r="AB136" s="17"/>
      <c r="AC136" s="17"/>
      <c r="AD136" s="17"/>
      <c r="AE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E136" s="118"/>
    </row>
    <row r="137" spans="1:110" s="4" customFormat="1" x14ac:dyDescent="0.2">
      <c r="A137" s="3"/>
      <c r="AB137" s="17"/>
      <c r="AC137" s="17"/>
      <c r="AD137" s="17"/>
      <c r="AE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E137" s="118"/>
    </row>
    <row r="138" spans="1:110" s="156" customFormat="1" x14ac:dyDescent="0.2">
      <c r="A138" s="49" t="s">
        <v>340</v>
      </c>
      <c r="B138" s="156">
        <f t="shared" ref="B138:AE138" si="1015">+B109*B96</f>
        <v>55.3614204</v>
      </c>
      <c r="C138" s="156">
        <f t="shared" si="1015"/>
        <v>28.003546199999999</v>
      </c>
      <c r="D138" s="156">
        <f t="shared" si="1015"/>
        <v>40.199760300000001</v>
      </c>
      <c r="E138" s="156">
        <f t="shared" si="1015"/>
        <v>382.38180000000006</v>
      </c>
      <c r="F138" s="156">
        <f t="shared" si="1015"/>
        <v>592.54358000000002</v>
      </c>
      <c r="G138" s="156">
        <f t="shared" si="1015"/>
        <v>2098.6536000000001</v>
      </c>
      <c r="H138" s="156">
        <f t="shared" si="1015"/>
        <v>2211.2932000000001</v>
      </c>
      <c r="I138" s="156">
        <f t="shared" si="1015"/>
        <v>1229.55016</v>
      </c>
      <c r="J138" s="156">
        <f t="shared" si="1015"/>
        <v>903.78458000000001</v>
      </c>
      <c r="K138" s="156">
        <f t="shared" si="1015"/>
        <v>1331.2222200000001</v>
      </c>
      <c r="L138" s="156">
        <f t="shared" si="1015"/>
        <v>2633.9881200000004</v>
      </c>
      <c r="M138" s="156">
        <f t="shared" si="1015"/>
        <v>2181.6512000000002</v>
      </c>
      <c r="N138" s="156">
        <f t="shared" si="1015"/>
        <v>1517.6704000000002</v>
      </c>
      <c r="O138" s="156">
        <f t="shared" si="1015"/>
        <v>2199.4364000000005</v>
      </c>
      <c r="P138" s="156">
        <f t="shared" si="1015"/>
        <v>6072.4601200000006</v>
      </c>
      <c r="Q138" s="156">
        <f t="shared" si="1015"/>
        <v>8866.2186200000015</v>
      </c>
      <c r="R138" s="156">
        <f t="shared" si="1015"/>
        <v>11675.9838</v>
      </c>
      <c r="S138" s="156">
        <f t="shared" si="1015"/>
        <v>12123.578000000001</v>
      </c>
      <c r="T138" s="156">
        <f t="shared" si="1015"/>
        <v>14681.089760000001</v>
      </c>
      <c r="U138" s="156">
        <f t="shared" si="1015"/>
        <v>25248.462760000002</v>
      </c>
      <c r="V138" s="156">
        <f t="shared" si="1015"/>
        <v>36015.030000000006</v>
      </c>
      <c r="W138" s="156">
        <f t="shared" si="1015"/>
        <v>81041.228000000003</v>
      </c>
      <c r="X138" s="156">
        <f t="shared" si="1015"/>
        <v>84905.062700000009</v>
      </c>
      <c r="Y138" s="156">
        <f t="shared" si="1015"/>
        <v>78155.579300000012</v>
      </c>
      <c r="Z138" s="156">
        <f t="shared" si="1015"/>
        <v>91147.6679</v>
      </c>
      <c r="AA138" s="156">
        <f t="shared" ref="AA138" si="1016">+AA109*AA96</f>
        <v>98381.79800000001</v>
      </c>
      <c r="AB138" s="21">
        <f t="shared" si="1015"/>
        <v>116350.59495090734</v>
      </c>
      <c r="AC138" s="21">
        <f t="shared" si="1015"/>
        <v>137992.20017965327</v>
      </c>
      <c r="AD138" s="21">
        <f t="shared" si="1015"/>
        <v>177179.19900597897</v>
      </c>
      <c r="AE138" s="21">
        <f t="shared" si="1015"/>
        <v>221985.48662984491</v>
      </c>
      <c r="AL138" s="156">
        <f t="shared" ref="AL138:BQ138" si="1017">+AL109*AL96</f>
        <v>1244.9640000000002</v>
      </c>
      <c r="AM138" s="156">
        <f t="shared" si="1017"/>
        <v>1111.575</v>
      </c>
      <c r="AN138" s="156">
        <f t="shared" si="1017"/>
        <v>1013.7564000000002</v>
      </c>
      <c r="AO138" s="156">
        <f t="shared" si="1017"/>
        <v>1413.62698</v>
      </c>
      <c r="AP138" s="156">
        <f t="shared" si="1017"/>
        <v>2199.4364000000005</v>
      </c>
      <c r="AQ138" s="156">
        <f t="shared" si="1017"/>
        <v>3580.7536000000005</v>
      </c>
      <c r="AR138" s="156">
        <f t="shared" si="1017"/>
        <v>4594.51</v>
      </c>
      <c r="AS138" s="156">
        <f t="shared" si="1017"/>
        <v>5673.4788000000008</v>
      </c>
      <c r="AT138" s="156">
        <f t="shared" si="1017"/>
        <v>6072.4601200000006</v>
      </c>
      <c r="AU138" s="156">
        <f t="shared" si="1017"/>
        <v>7411.0928400000012</v>
      </c>
      <c r="AV138" s="156">
        <f t="shared" si="1017"/>
        <v>8866.2186200000015</v>
      </c>
      <c r="AW138" s="156">
        <f t="shared" si="1017"/>
        <v>8258.2612000000008</v>
      </c>
      <c r="AX138" s="156">
        <f t="shared" si="1017"/>
        <v>8063.21684</v>
      </c>
      <c r="AY138" s="156">
        <f t="shared" si="1017"/>
        <v>8698.4449000000004</v>
      </c>
      <c r="AZ138" s="156">
        <f t="shared" si="1017"/>
        <v>10813.698020000002</v>
      </c>
      <c r="BA138" s="156">
        <f t="shared" si="1017"/>
        <v>11675.9838</v>
      </c>
      <c r="BB138" s="156">
        <f t="shared" si="1017"/>
        <v>10575.672759999999</v>
      </c>
      <c r="BC138" s="156">
        <f t="shared" si="1017"/>
        <v>11026.824000000001</v>
      </c>
      <c r="BD138" s="156">
        <f t="shared" si="1017"/>
        <v>9752.2180000000008</v>
      </c>
      <c r="BE138" s="156">
        <f t="shared" si="1017"/>
        <v>11839.014800000001</v>
      </c>
      <c r="BF138" s="156">
        <f t="shared" si="1017"/>
        <v>12123.578000000001</v>
      </c>
      <c r="BG138" s="156">
        <f t="shared" si="1017"/>
        <v>14483.081200000002</v>
      </c>
      <c r="BH138" s="156">
        <f t="shared" si="1017"/>
        <v>12348.857200000002</v>
      </c>
      <c r="BI138" s="156">
        <f t="shared" si="1017"/>
        <v>13487.11</v>
      </c>
      <c r="BJ138" s="156">
        <f t="shared" si="1017"/>
        <v>14681.089760000001</v>
      </c>
      <c r="BK138" s="156">
        <f t="shared" si="1017"/>
        <v>18232.794200000004</v>
      </c>
      <c r="BL138" s="156">
        <f t="shared" si="1017"/>
        <v>18318.756000000001</v>
      </c>
      <c r="BM138" s="156">
        <f t="shared" si="1017"/>
        <v>20481.436320000004</v>
      </c>
      <c r="BN138" s="156">
        <f t="shared" si="1017"/>
        <v>25248.462760000002</v>
      </c>
      <c r="BO138" s="156">
        <f t="shared" si="1017"/>
        <v>22822.561480000004</v>
      </c>
      <c r="BP138" s="156">
        <f t="shared" si="1017"/>
        <v>26529.590000000004</v>
      </c>
      <c r="BQ138" s="156">
        <f t="shared" si="1017"/>
        <v>33436.176000000007</v>
      </c>
      <c r="BR138" s="156">
        <f t="shared" ref="BR138:CJ138" si="1018">+BR109*BR96</f>
        <v>36015.030000000006</v>
      </c>
      <c r="BS138" s="156">
        <f t="shared" si="1018"/>
        <v>43320.300900000009</v>
      </c>
      <c r="BT138" s="156">
        <f t="shared" si="1018"/>
        <v>67637.115600000019</v>
      </c>
      <c r="BU138" s="156">
        <f t="shared" si="1018"/>
        <v>75409.248000000007</v>
      </c>
      <c r="BV138" s="156">
        <f t="shared" si="1018"/>
        <v>81041.228000000003</v>
      </c>
      <c r="BW138" s="156">
        <f t="shared" si="1018"/>
        <v>82197.266000000003</v>
      </c>
      <c r="BX138" s="156">
        <f t="shared" si="1018"/>
        <v>84905.062700000009</v>
      </c>
      <c r="BY138" s="156">
        <f t="shared" si="1018"/>
        <v>78248.951600000015</v>
      </c>
      <c r="BZ138" s="156">
        <f t="shared" si="1018"/>
        <v>72129.360700000005</v>
      </c>
      <c r="CA138" s="156">
        <f t="shared" si="1018"/>
        <v>78155.579300000012</v>
      </c>
      <c r="CB138" s="156">
        <f t="shared" si="1018"/>
        <v>73377.2889</v>
      </c>
      <c r="CC138" s="156">
        <f t="shared" si="1018"/>
        <v>74982.403200000001</v>
      </c>
      <c r="CD138" s="156">
        <f t="shared" si="1018"/>
        <v>77069.200000000012</v>
      </c>
      <c r="CE138" s="156">
        <f t="shared" si="1018"/>
        <v>79957.812900000004</v>
      </c>
      <c r="CF138" s="156">
        <f t="shared" si="1018"/>
        <v>78788.436000000002</v>
      </c>
      <c r="CG138" s="156">
        <f t="shared" si="1018"/>
        <v>74072.393800000005</v>
      </c>
      <c r="CH138" s="156">
        <f t="shared" si="1018"/>
        <v>91147.6679</v>
      </c>
      <c r="CI138" s="156">
        <f t="shared" si="1018"/>
        <v>96375.034600000014</v>
      </c>
      <c r="CJ138" s="156">
        <f t="shared" si="1018"/>
        <v>98381.79800000001</v>
      </c>
      <c r="CK138" s="156">
        <f t="shared" ref="CK138" si="1019">+CK109*CK96</f>
        <v>96003.027500000011</v>
      </c>
      <c r="CL138" s="156">
        <f t="shared" ref="CL138" si="1020">+CL109*CL96</f>
        <v>92443.023300000015</v>
      </c>
      <c r="CM138" s="21">
        <f t="shared" ref="CM138:DB138" si="1021">+CM109*CM96</f>
        <v>97732.903746250522</v>
      </c>
      <c r="CN138" s="21">
        <f t="shared" si="1021"/>
        <v>104282.74281220038</v>
      </c>
      <c r="CO138" s="21">
        <f t="shared" si="1021"/>
        <v>108062.91490433623</v>
      </c>
      <c r="CP138" s="21">
        <f t="shared" si="1021"/>
        <v>116350.59495090734</v>
      </c>
      <c r="CQ138" s="21">
        <f t="shared" si="1021"/>
        <v>121069.26563718368</v>
      </c>
      <c r="CR138" s="21">
        <f t="shared" si="1021"/>
        <v>125765.67762652686</v>
      </c>
      <c r="CS138" s="21">
        <f t="shared" si="1021"/>
        <v>130386.9444598939</v>
      </c>
      <c r="CT138" s="21">
        <f t="shared" si="1021"/>
        <v>137992.20017965327</v>
      </c>
      <c r="CU138" s="21">
        <f t="shared" si="1021"/>
        <v>147220.67492486926</v>
      </c>
      <c r="CV138" s="21">
        <f t="shared" si="1021"/>
        <v>156209.74227955789</v>
      </c>
      <c r="CW138" s="21">
        <f t="shared" si="1021"/>
        <v>165585.81016671602</v>
      </c>
      <c r="CX138" s="21">
        <f t="shared" si="1021"/>
        <v>177179.19900597897</v>
      </c>
      <c r="CY138" s="21">
        <f t="shared" si="1021"/>
        <v>187704.73773072954</v>
      </c>
      <c r="CZ138" s="21">
        <f t="shared" si="1021"/>
        <v>198012.64261776308</v>
      </c>
      <c r="DA138" s="21">
        <f t="shared" si="1021"/>
        <v>208836.07260152037</v>
      </c>
      <c r="DB138" s="21">
        <f t="shared" si="1021"/>
        <v>221985.48662984491</v>
      </c>
      <c r="DE138" s="22"/>
    </row>
    <row r="139" spans="1:110" s="156" customFormat="1" x14ac:dyDescent="0.2">
      <c r="A139" s="49" t="s">
        <v>341</v>
      </c>
      <c r="B139" s="156">
        <f t="shared" ref="B139:AE139" si="1022">+B110*B96</f>
        <v>19.808806599999997</v>
      </c>
      <c r="C139" s="156">
        <f t="shared" si="1022"/>
        <v>16.776318</v>
      </c>
      <c r="D139" s="156">
        <f t="shared" si="1022"/>
        <v>22.261504500000001</v>
      </c>
      <c r="E139" s="156">
        <f t="shared" si="1022"/>
        <v>124.49640000000002</v>
      </c>
      <c r="F139" s="156">
        <f t="shared" si="1022"/>
        <v>188.81954000000002</v>
      </c>
      <c r="G139" s="156">
        <f t="shared" si="1022"/>
        <v>518.1421600000001</v>
      </c>
      <c r="H139" s="156">
        <f t="shared" si="1022"/>
        <v>652.12400000000002</v>
      </c>
      <c r="I139" s="156">
        <f t="shared" si="1022"/>
        <v>536.52020000000005</v>
      </c>
      <c r="J139" s="156">
        <f t="shared" si="1022"/>
        <v>368.45006000000001</v>
      </c>
      <c r="K139" s="156">
        <f t="shared" si="1022"/>
        <v>435.14456000000001</v>
      </c>
      <c r="L139" s="156">
        <f t="shared" si="1022"/>
        <v>1144.4776200000001</v>
      </c>
      <c r="M139" s="156">
        <f t="shared" si="1022"/>
        <v>1365.0141000000001</v>
      </c>
      <c r="N139" s="156">
        <f t="shared" si="1022"/>
        <v>969.88624000000004</v>
      </c>
      <c r="O139" s="156">
        <f t="shared" si="1022"/>
        <v>744.31062000000009</v>
      </c>
      <c r="P139" s="156">
        <f t="shared" si="1022"/>
        <v>1933.2512400000001</v>
      </c>
      <c r="Q139" s="156">
        <f t="shared" si="1022"/>
        <v>5329.9280200000003</v>
      </c>
      <c r="R139" s="156">
        <f t="shared" si="1022"/>
        <v>6909.5502000000006</v>
      </c>
      <c r="S139" s="156">
        <f t="shared" si="1022"/>
        <v>8418.3280000000013</v>
      </c>
      <c r="T139" s="156">
        <f t="shared" si="1022"/>
        <v>9076.3804</v>
      </c>
      <c r="U139" s="156">
        <f t="shared" si="1022"/>
        <v>13048.4084</v>
      </c>
      <c r="V139" s="156">
        <f t="shared" si="1022"/>
        <v>15211.08872</v>
      </c>
      <c r="W139" s="156">
        <f t="shared" si="1022"/>
        <v>32072.644000000004</v>
      </c>
      <c r="X139" s="156">
        <f t="shared" si="1022"/>
        <v>59358.105000000003</v>
      </c>
      <c r="Y139" s="156">
        <f t="shared" si="1022"/>
        <v>60766.100000000006</v>
      </c>
      <c r="Z139" s="156">
        <f t="shared" si="1022"/>
        <v>61908.799100000011</v>
      </c>
      <c r="AA139" s="156">
        <f t="shared" ref="AA139" si="1023">+AA110*AA96</f>
        <v>68584.177500000005</v>
      </c>
      <c r="AB139" s="21">
        <f t="shared" si="1022"/>
        <v>72508.779774225113</v>
      </c>
      <c r="AC139" s="21">
        <f t="shared" si="1022"/>
        <v>89822.202994255131</v>
      </c>
      <c r="AD139" s="21">
        <f t="shared" si="1022"/>
        <v>109224.13114886772</v>
      </c>
      <c r="AE139" s="21">
        <f t="shared" si="1022"/>
        <v>139259.56324835282</v>
      </c>
      <c r="AL139" s="156">
        <f t="shared" ref="AL139:BQ139" si="1024">+AL110*AL96</f>
        <v>969.88624000000004</v>
      </c>
      <c r="AM139" s="156">
        <f t="shared" si="1024"/>
        <v>829.97600000000011</v>
      </c>
      <c r="AN139" s="156">
        <f t="shared" si="1024"/>
        <v>744.31062000000009</v>
      </c>
      <c r="AO139" s="156">
        <f t="shared" si="1024"/>
        <v>942.61560000000009</v>
      </c>
      <c r="AP139" s="156">
        <f t="shared" si="1024"/>
        <v>1167.8948</v>
      </c>
      <c r="AQ139" s="156">
        <f t="shared" si="1024"/>
        <v>1933.2512400000001</v>
      </c>
      <c r="AR139" s="156">
        <f t="shared" si="1024"/>
        <v>2952.3432000000003</v>
      </c>
      <c r="AS139" s="156">
        <f t="shared" si="1024"/>
        <v>3864.1311200000009</v>
      </c>
      <c r="AT139" s="156">
        <f t="shared" si="1024"/>
        <v>4997.6412</v>
      </c>
      <c r="AU139" s="156">
        <f t="shared" si="1024"/>
        <v>5329.9280200000003</v>
      </c>
      <c r="AV139" s="156">
        <f t="shared" si="1024"/>
        <v>6041.039600000001</v>
      </c>
      <c r="AW139" s="156">
        <f t="shared" si="1024"/>
        <v>6627.9512000000004</v>
      </c>
      <c r="AX139" s="156">
        <f t="shared" si="1024"/>
        <v>6058.8248000000012</v>
      </c>
      <c r="AY139" s="156">
        <f t="shared" si="1024"/>
        <v>6909.5502000000006</v>
      </c>
      <c r="AZ139" s="156">
        <f t="shared" si="1024"/>
        <v>7683.7992400000012</v>
      </c>
      <c r="BA139" s="156">
        <f t="shared" si="1024"/>
        <v>8016.0860600000015</v>
      </c>
      <c r="BB139" s="156">
        <f t="shared" si="1024"/>
        <v>8945.9556000000011</v>
      </c>
      <c r="BC139" s="156">
        <f t="shared" si="1024"/>
        <v>8923.7241000000013</v>
      </c>
      <c r="BD139" s="156">
        <f t="shared" si="1024"/>
        <v>8418.3280000000013</v>
      </c>
      <c r="BE139" s="156">
        <f t="shared" si="1024"/>
        <v>9083.7909</v>
      </c>
      <c r="BF139" s="156">
        <f t="shared" si="1024"/>
        <v>9645.506800000001</v>
      </c>
      <c r="BG139" s="156">
        <f t="shared" si="1024"/>
        <v>9571.698220000002</v>
      </c>
      <c r="BH139" s="156">
        <f t="shared" si="1024"/>
        <v>9076.3804</v>
      </c>
      <c r="BI139" s="156">
        <f t="shared" si="1024"/>
        <v>9583.8514400000004</v>
      </c>
      <c r="BJ139" s="156">
        <f t="shared" si="1024"/>
        <v>11549.70888</v>
      </c>
      <c r="BK139" s="156">
        <f t="shared" si="1024"/>
        <v>13048.4084</v>
      </c>
      <c r="BL139" s="156">
        <f t="shared" si="1024"/>
        <v>15128.387540000002</v>
      </c>
      <c r="BM139" s="156">
        <f t="shared" si="1024"/>
        <v>15354.556000000002</v>
      </c>
      <c r="BN139" s="156">
        <f t="shared" si="1024"/>
        <v>14774.758480000002</v>
      </c>
      <c r="BO139" s="156">
        <f t="shared" si="1024"/>
        <v>15211.08872</v>
      </c>
      <c r="BP139" s="156">
        <f t="shared" si="1024"/>
        <v>21259.242400000003</v>
      </c>
      <c r="BQ139" s="156">
        <f t="shared" si="1024"/>
        <v>24247.452420000001</v>
      </c>
      <c r="BR139" s="156">
        <f t="shared" ref="BR139:CJ139" si="1025">+BR110*BR96</f>
        <v>30431.366460000005</v>
      </c>
      <c r="BS139" s="156">
        <f t="shared" si="1025"/>
        <v>32072.644000000004</v>
      </c>
      <c r="BT139" s="156">
        <f t="shared" si="1025"/>
        <v>42980.9</v>
      </c>
      <c r="BU139" s="156">
        <f t="shared" si="1025"/>
        <v>58542.950000000004</v>
      </c>
      <c r="BV139" s="156">
        <f t="shared" si="1025"/>
        <v>62436.426700000004</v>
      </c>
      <c r="BW139" s="156">
        <f t="shared" si="1025"/>
        <v>61685.002000000008</v>
      </c>
      <c r="BX139" s="156">
        <f t="shared" si="1025"/>
        <v>59358.105000000003</v>
      </c>
      <c r="BY139" s="156">
        <f t="shared" si="1025"/>
        <v>65479.178000000007</v>
      </c>
      <c r="BZ139" s="156">
        <f t="shared" si="1025"/>
        <v>61719.090300000011</v>
      </c>
      <c r="CA139" s="156">
        <f t="shared" si="1025"/>
        <v>67731.97</v>
      </c>
      <c r="CB139" s="156">
        <f t="shared" si="1025"/>
        <v>60766.100000000006</v>
      </c>
      <c r="CC139" s="156">
        <f t="shared" si="1025"/>
        <v>61692.412500000006</v>
      </c>
      <c r="CD139" s="156">
        <f t="shared" si="1025"/>
        <v>65362.092100000009</v>
      </c>
      <c r="CE139" s="156">
        <f t="shared" si="1025"/>
        <v>61908.799100000011</v>
      </c>
      <c r="CF139" s="156">
        <f t="shared" si="1025"/>
        <v>67697.881699999998</v>
      </c>
      <c r="CG139" s="156">
        <f t="shared" si="1025"/>
        <v>63064.837100000012</v>
      </c>
      <c r="CH139" s="156">
        <f t="shared" si="1025"/>
        <v>65212.400000000009</v>
      </c>
      <c r="CI139" s="156">
        <f t="shared" si="1025"/>
        <v>76178.457900000009</v>
      </c>
      <c r="CJ139" s="156">
        <f t="shared" si="1025"/>
        <v>82701.180000000008</v>
      </c>
      <c r="CK139" s="156">
        <f t="shared" ref="CK139" si="1026">+CK110*CK96</f>
        <v>82137.982000000004</v>
      </c>
      <c r="CL139" s="156">
        <f t="shared" ref="CL139" si="1027">+CL110*CL96</f>
        <v>68584.177500000005</v>
      </c>
      <c r="CM139" s="21">
        <f t="shared" ref="CM139:DB139" si="1028">+CM110*CM96</f>
        <v>72508.779774225113</v>
      </c>
      <c r="CN139" s="21">
        <f t="shared" si="1028"/>
        <v>77368.154868846643</v>
      </c>
      <c r="CO139" s="21">
        <f t="shared" si="1028"/>
        <v>80172.693107565108</v>
      </c>
      <c r="CP139" s="21">
        <f t="shared" si="1028"/>
        <v>86321.385557103829</v>
      </c>
      <c r="CQ139" s="21">
        <f t="shared" si="1028"/>
        <v>89822.202994255131</v>
      </c>
      <c r="CR139" s="21">
        <f t="shared" si="1028"/>
        <v>93306.50653596154</v>
      </c>
      <c r="CS139" s="21">
        <f t="shared" si="1028"/>
        <v>96735.059318640924</v>
      </c>
      <c r="CT139" s="21">
        <f t="shared" si="1028"/>
        <v>102377.45600361463</v>
      </c>
      <c r="CU139" s="21">
        <f t="shared" si="1028"/>
        <v>109224.13114886772</v>
      </c>
      <c r="CV139" s="21">
        <f t="shared" si="1028"/>
        <v>115893.18814208938</v>
      </c>
      <c r="CW139" s="21">
        <f t="shared" si="1028"/>
        <v>122849.36375458588</v>
      </c>
      <c r="CX139" s="21">
        <f t="shared" si="1028"/>
        <v>131450.58653586771</v>
      </c>
      <c r="CY139" s="21">
        <f t="shared" si="1028"/>
        <v>139259.56324835282</v>
      </c>
      <c r="CZ139" s="21">
        <f t="shared" si="1028"/>
        <v>146907.07577216078</v>
      </c>
      <c r="DA139" s="21">
        <f t="shared" si="1028"/>
        <v>154937.06026061525</v>
      </c>
      <c r="DB139" s="21">
        <f t="shared" si="1028"/>
        <v>164692.709887228</v>
      </c>
      <c r="DE139" s="22"/>
    </row>
    <row r="140" spans="1:110" s="156" customFormat="1" x14ac:dyDescent="0.2">
      <c r="A140" s="49" t="s">
        <v>80</v>
      </c>
      <c r="B140" s="156">
        <f>+B199</f>
        <v>375.50800000000004</v>
      </c>
      <c r="C140" s="156">
        <f t="shared" ref="C140:W140" si="1029">+C199</f>
        <v>358.95670000000001</v>
      </c>
      <c r="D140" s="156">
        <f t="shared" si="1029"/>
        <v>262.15939999999995</v>
      </c>
      <c r="E140" s="156">
        <f t="shared" si="1029"/>
        <v>200.15040000000002</v>
      </c>
      <c r="F140" s="156">
        <f t="shared" si="1029"/>
        <v>443.53499999999997</v>
      </c>
      <c r="G140" s="156">
        <f t="shared" si="1029"/>
        <v>605.11099999999999</v>
      </c>
      <c r="H140" s="156">
        <f t="shared" si="1029"/>
        <v>468.71690000000001</v>
      </c>
      <c r="I140" s="156">
        <f t="shared" si="1029"/>
        <v>447.59220000000005</v>
      </c>
      <c r="J140" s="156">
        <f t="shared" si="1029"/>
        <v>1009.0439000000001</v>
      </c>
      <c r="K140" s="156">
        <f t="shared" si="1029"/>
        <v>941.20870000000002</v>
      </c>
      <c r="L140" s="156">
        <f t="shared" si="1029"/>
        <v>772.53569999999991</v>
      </c>
      <c r="M140" s="156">
        <f t="shared" si="1029"/>
        <v>954.1280999999999</v>
      </c>
      <c r="N140" s="156">
        <f t="shared" si="1029"/>
        <v>1371.5663</v>
      </c>
      <c r="O140" s="156">
        <f t="shared" si="1029"/>
        <v>2066.3843999999999</v>
      </c>
      <c r="P140" s="156">
        <f t="shared" si="1029"/>
        <v>2233.37</v>
      </c>
      <c r="Q140" s="156">
        <f t="shared" si="1029"/>
        <v>1965.42</v>
      </c>
      <c r="R140" s="156">
        <f t="shared" si="1029"/>
        <v>2129.33</v>
      </c>
      <c r="S140" s="156">
        <f t="shared" si="1029"/>
        <v>2923.4</v>
      </c>
      <c r="T140" s="156">
        <f t="shared" si="1029"/>
        <v>3430.8200000000006</v>
      </c>
      <c r="U140" s="156">
        <f t="shared" si="1029"/>
        <v>3722.8500000000004</v>
      </c>
      <c r="V140" s="156">
        <f t="shared" si="1029"/>
        <v>2696.44</v>
      </c>
      <c r="W140" s="156">
        <f t="shared" si="1029"/>
        <v>2763.2599999999993</v>
      </c>
      <c r="X140" s="156">
        <f t="shared" ref="X140:Y140" si="1030">+X199</f>
        <v>3247.5499999999993</v>
      </c>
      <c r="Y140" s="156">
        <f t="shared" si="1030"/>
        <v>4107.12</v>
      </c>
      <c r="Z140" s="156">
        <f t="shared" ref="Z140:AA140" si="1031">+Z199</f>
        <v>3582.96</v>
      </c>
      <c r="AA140" s="156">
        <f t="shared" si="1031"/>
        <v>3830.0699999999997</v>
      </c>
      <c r="AB140" s="21">
        <f t="shared" ref="AA140:AD140" si="1032">+AB199</f>
        <v>1126.3887688931109</v>
      </c>
      <c r="AC140" s="21">
        <f t="shared" si="1032"/>
        <v>-2242.4227264045721</v>
      </c>
      <c r="AD140" s="21">
        <f t="shared" si="1032"/>
        <v>-6226.7677206280241</v>
      </c>
      <c r="AE140" s="21">
        <f t="shared" ref="AE140" si="1033">+AE199</f>
        <v>-10927.879552797087</v>
      </c>
      <c r="AL140" s="156">
        <f t="shared" ref="AL140:AM140" si="1034">+AL199</f>
        <v>1006.27</v>
      </c>
      <c r="AM140" s="156">
        <f t="shared" si="1034"/>
        <v>955.94899492758043</v>
      </c>
      <c r="AN140" s="156">
        <f t="shared" ref="AN140:AO140" si="1035">+AN199</f>
        <v>809.72</v>
      </c>
      <c r="AO140" s="156">
        <f t="shared" si="1035"/>
        <v>748.22664351988976</v>
      </c>
      <c r="AP140" s="156">
        <f t="shared" ref="AP140:CD140" si="1036">+AP199</f>
        <v>1923.58</v>
      </c>
      <c r="AQ140" s="156">
        <f t="shared" si="1036"/>
        <v>2027.9434862085293</v>
      </c>
      <c r="AR140" s="156">
        <f t="shared" si="1036"/>
        <v>1007.9200000000001</v>
      </c>
      <c r="AS140" s="156">
        <f t="shared" si="1036"/>
        <v>885.83780709055372</v>
      </c>
      <c r="AT140" s="156">
        <f t="shared" si="1036"/>
        <v>1822.9</v>
      </c>
      <c r="AU140" s="156">
        <f t="shared" si="1036"/>
        <v>1812.1180920322561</v>
      </c>
      <c r="AV140" s="156">
        <f t="shared" si="1036"/>
        <v>1437.56</v>
      </c>
      <c r="AW140" s="156">
        <f t="shared" si="1036"/>
        <v>1257.7737771299251</v>
      </c>
      <c r="AX140" s="156">
        <f t="shared" si="1036"/>
        <v>1579.9</v>
      </c>
      <c r="AY140" s="156">
        <f t="shared" si="1036"/>
        <v>1439.6165837375561</v>
      </c>
      <c r="AZ140" s="156">
        <f t="shared" si="1036"/>
        <v>1770.4399999999998</v>
      </c>
      <c r="BA140" s="156">
        <f t="shared" si="1036"/>
        <v>1610.08372559345</v>
      </c>
      <c r="BB140" s="156">
        <f t="shared" si="1036"/>
        <v>1710.5499999999997</v>
      </c>
      <c r="BC140" s="156">
        <f t="shared" si="1036"/>
        <v>1547.0807339527264</v>
      </c>
      <c r="BD140" s="156">
        <f t="shared" si="1036"/>
        <v>2574.65</v>
      </c>
      <c r="BE140" s="156">
        <f t="shared" si="1036"/>
        <v>2514.0168986264325</v>
      </c>
      <c r="BF140" s="156">
        <f t="shared" si="1036"/>
        <v>2539.6</v>
      </c>
      <c r="BG140" s="156">
        <f t="shared" si="1036"/>
        <v>2424.0520131243529</v>
      </c>
      <c r="BH140" s="156">
        <f t="shared" si="1036"/>
        <v>3193.58</v>
      </c>
      <c r="BI140" s="156">
        <f t="shared" si="1036"/>
        <v>3061.6074950853294</v>
      </c>
      <c r="BJ140" s="156">
        <f t="shared" si="1036"/>
        <v>2989.3600000000006</v>
      </c>
      <c r="BK140" s="156">
        <f t="shared" si="1036"/>
        <v>2722.0347956860469</v>
      </c>
      <c r="BL140" s="156">
        <f t="shared" si="1036"/>
        <v>2700.1400000000003</v>
      </c>
      <c r="BM140" s="156">
        <f t="shared" si="1036"/>
        <v>2417.944757049142</v>
      </c>
      <c r="BN140" s="156">
        <f t="shared" si="1036"/>
        <v>2943.1000000000004</v>
      </c>
      <c r="BO140" s="156">
        <f t="shared" si="1036"/>
        <v>2596.1715972936172</v>
      </c>
      <c r="BP140" s="156">
        <f t="shared" si="1036"/>
        <v>3091.9</v>
      </c>
      <c r="BQ140" s="156">
        <f t="shared" si="1036"/>
        <v>2792.3866100065206</v>
      </c>
      <c r="BR140" s="156">
        <f t="shared" si="1036"/>
        <v>2696.44</v>
      </c>
      <c r="BS140" s="156">
        <f t="shared" si="1036"/>
        <v>2341.805286944184</v>
      </c>
      <c r="BT140" s="156">
        <f t="shared" si="1036"/>
        <v>2515.71</v>
      </c>
      <c r="BU140" s="156">
        <f t="shared" si="1036"/>
        <v>2264.0458433516369</v>
      </c>
      <c r="BV140" s="156">
        <f t="shared" si="1036"/>
        <v>2763.2599999999998</v>
      </c>
      <c r="BW140" s="156">
        <f t="shared" si="1036"/>
        <v>2320.8789645350503</v>
      </c>
      <c r="BX140" s="156">
        <f t="shared" si="1036"/>
        <v>3026.83</v>
      </c>
      <c r="BY140" s="156">
        <f t="shared" si="1036"/>
        <v>2369.7067656889612</v>
      </c>
      <c r="BZ140" s="156">
        <f t="shared" si="1036"/>
        <v>3247.5499999999993</v>
      </c>
      <c r="CA140" s="156">
        <f t="shared" si="1036"/>
        <v>2663.949588760458</v>
      </c>
      <c r="CB140" s="156">
        <f t="shared" si="1036"/>
        <v>3906.7200000000003</v>
      </c>
      <c r="CC140" s="156">
        <f t="shared" si="1036"/>
        <v>3565.6439240123877</v>
      </c>
      <c r="CD140" s="156">
        <f t="shared" si="1036"/>
        <v>4107.12</v>
      </c>
      <c r="CE140" s="156">
        <f t="shared" ref="CE140:CF140" si="1037">+CE199</f>
        <v>3783.6040020281584</v>
      </c>
      <c r="CF140" s="156">
        <f t="shared" si="1037"/>
        <v>4537.84</v>
      </c>
      <c r="CG140" s="156">
        <f t="shared" ref="CG140:CH140" si="1038">+CG199</f>
        <v>4289.3517096048836</v>
      </c>
      <c r="CH140" s="156">
        <f t="shared" si="1038"/>
        <v>3582.96</v>
      </c>
      <c r="CI140" s="156">
        <f t="shared" ref="CI140:CJ140" si="1039">+CI199</f>
        <v>2652.0422939068098</v>
      </c>
      <c r="CJ140" s="156">
        <f t="shared" si="1039"/>
        <v>3892.26</v>
      </c>
      <c r="CK140" s="156">
        <f t="shared" ref="CK140" si="1040">+CK199</f>
        <v>3270.1691946024794</v>
      </c>
      <c r="CL140" s="156">
        <f t="shared" ref="CL140" si="1041">+CL199</f>
        <v>3830.0699999999997</v>
      </c>
      <c r="CM140" s="21">
        <f t="shared" ref="CM140:DB140" si="1042">+CM199</f>
        <v>2852.0801355025183</v>
      </c>
      <c r="CN140" s="21">
        <f t="shared" si="1042"/>
        <v>1968.5095604189519</v>
      </c>
      <c r="CO140" s="21">
        <f t="shared" si="1042"/>
        <v>1301.7543337949</v>
      </c>
      <c r="CP140" s="21">
        <f t="shared" si="1042"/>
        <v>1126.3887688931109</v>
      </c>
      <c r="CQ140" s="21">
        <f t="shared" si="1042"/>
        <v>-144.55266706814109</v>
      </c>
      <c r="CR140" s="21">
        <f t="shared" si="1042"/>
        <v>-1196.2514200693431</v>
      </c>
      <c r="CS140" s="21">
        <f t="shared" si="1042"/>
        <v>-1983.1911911177976</v>
      </c>
      <c r="CT140" s="21">
        <f t="shared" si="1042"/>
        <v>-2242.4227264045721</v>
      </c>
      <c r="CU140" s="21">
        <f t="shared" si="1042"/>
        <v>-3753.0331660284428</v>
      </c>
      <c r="CV140" s="21">
        <f t="shared" si="1042"/>
        <v>-4982.3293636428371</v>
      </c>
      <c r="CW140" s="21">
        <f t="shared" si="1042"/>
        <v>-5906.7020639498514</v>
      </c>
      <c r="CX140" s="21">
        <f t="shared" si="1042"/>
        <v>-6226.7677206280241</v>
      </c>
      <c r="CY140" s="21">
        <f t="shared" si="1042"/>
        <v>-8003.2601027363253</v>
      </c>
      <c r="CZ140" s="21">
        <f t="shared" si="1042"/>
        <v>-9447.9439848695783</v>
      </c>
      <c r="DA140" s="21">
        <f t="shared" si="1042"/>
        <v>-10539.436298083674</v>
      </c>
      <c r="DB140" s="21">
        <f t="shared" si="1042"/>
        <v>-10927.879552797087</v>
      </c>
      <c r="DE140" s="22"/>
      <c r="DF140" s="156">
        <v>0</v>
      </c>
    </row>
    <row r="141" spans="1:110" s="156" customFormat="1" x14ac:dyDescent="0.2">
      <c r="A141" s="49" t="s">
        <v>342</v>
      </c>
      <c r="B141" s="156">
        <f>+B138+B140</f>
        <v>430.86942040000002</v>
      </c>
      <c r="C141" s="156">
        <f t="shared" ref="C141:W141" si="1043">+C138+C140</f>
        <v>386.96024620000003</v>
      </c>
      <c r="D141" s="156">
        <f t="shared" si="1043"/>
        <v>302.35916029999993</v>
      </c>
      <c r="E141" s="156">
        <f t="shared" si="1043"/>
        <v>582.5322000000001</v>
      </c>
      <c r="F141" s="156">
        <f t="shared" si="1043"/>
        <v>1036.0785799999999</v>
      </c>
      <c r="G141" s="156">
        <f t="shared" si="1043"/>
        <v>2703.7646</v>
      </c>
      <c r="H141" s="156">
        <f t="shared" si="1043"/>
        <v>2680.0101</v>
      </c>
      <c r="I141" s="156">
        <f t="shared" si="1043"/>
        <v>1677.1423600000001</v>
      </c>
      <c r="J141" s="156">
        <f t="shared" si="1043"/>
        <v>1912.8284800000001</v>
      </c>
      <c r="K141" s="156">
        <f t="shared" si="1043"/>
        <v>2272.4309200000002</v>
      </c>
      <c r="L141" s="156">
        <f t="shared" si="1043"/>
        <v>3406.5238200000003</v>
      </c>
      <c r="M141" s="156">
        <f t="shared" si="1043"/>
        <v>3135.7793000000001</v>
      </c>
      <c r="N141" s="156">
        <f t="shared" si="1043"/>
        <v>2889.2367000000004</v>
      </c>
      <c r="O141" s="156">
        <f t="shared" si="1043"/>
        <v>4265.8208000000004</v>
      </c>
      <c r="P141" s="156">
        <f t="shared" si="1043"/>
        <v>8305.8301200000005</v>
      </c>
      <c r="Q141" s="156">
        <f t="shared" si="1043"/>
        <v>10831.638620000002</v>
      </c>
      <c r="R141" s="156">
        <f t="shared" si="1043"/>
        <v>13805.3138</v>
      </c>
      <c r="S141" s="156">
        <f t="shared" si="1043"/>
        <v>15046.978000000001</v>
      </c>
      <c r="T141" s="156">
        <f t="shared" si="1043"/>
        <v>18111.909760000002</v>
      </c>
      <c r="U141" s="156">
        <f t="shared" si="1043"/>
        <v>28971.312760000001</v>
      </c>
      <c r="V141" s="156">
        <f t="shared" si="1043"/>
        <v>38711.470000000008</v>
      </c>
      <c r="W141" s="156">
        <f t="shared" si="1043"/>
        <v>83804.487999999998</v>
      </c>
      <c r="X141" s="156">
        <f t="shared" ref="X141:Y141" si="1044">+X138+X140</f>
        <v>88152.612700000012</v>
      </c>
      <c r="Y141" s="156">
        <f t="shared" si="1044"/>
        <v>82262.699300000007</v>
      </c>
      <c r="Z141" s="156">
        <f t="shared" ref="Z141:AA141" si="1045">+Z138+Z140</f>
        <v>94730.627900000007</v>
      </c>
      <c r="AA141" s="156">
        <f t="shared" si="1045"/>
        <v>102211.86800000002</v>
      </c>
      <c r="AB141" s="21">
        <f t="shared" ref="AA141:AD141" si="1046">+AB138+AB140</f>
        <v>117476.98371980045</v>
      </c>
      <c r="AC141" s="21">
        <f t="shared" si="1046"/>
        <v>135749.77745324871</v>
      </c>
      <c r="AD141" s="21">
        <f t="shared" si="1046"/>
        <v>170952.43128535093</v>
      </c>
      <c r="AE141" s="21">
        <f t="shared" ref="AE141" si="1047">+AE138+AE140</f>
        <v>211057.60707704781</v>
      </c>
      <c r="AL141" s="156">
        <f t="shared" ref="AL141" si="1048">+AL138+AL140</f>
        <v>2251.2340000000004</v>
      </c>
      <c r="AM141" s="156">
        <f t="shared" ref="AM141:AO141" si="1049">+AM138+AM140</f>
        <v>2067.5239949275806</v>
      </c>
      <c r="AN141" s="156">
        <f t="shared" si="1049"/>
        <v>1823.4764000000002</v>
      </c>
      <c r="AO141" s="156">
        <f t="shared" si="1049"/>
        <v>2161.8536235198899</v>
      </c>
      <c r="AP141" s="156">
        <f t="shared" ref="AP141:CD141" si="1050">+AP138+AP140</f>
        <v>4123.0164000000004</v>
      </c>
      <c r="AQ141" s="156">
        <f t="shared" si="1050"/>
        <v>5608.69708620853</v>
      </c>
      <c r="AR141" s="156">
        <f t="shared" si="1050"/>
        <v>5602.43</v>
      </c>
      <c r="AS141" s="156">
        <f t="shared" si="1050"/>
        <v>6559.3166070905545</v>
      </c>
      <c r="AT141" s="156">
        <f t="shared" si="1050"/>
        <v>7895.3601200000012</v>
      </c>
      <c r="AU141" s="156">
        <f t="shared" si="1050"/>
        <v>9223.2109320322579</v>
      </c>
      <c r="AV141" s="156">
        <f t="shared" si="1050"/>
        <v>10303.778620000001</v>
      </c>
      <c r="AW141" s="156">
        <f t="shared" si="1050"/>
        <v>9516.0349771299261</v>
      </c>
      <c r="AX141" s="156">
        <f t="shared" si="1050"/>
        <v>9643.1168400000006</v>
      </c>
      <c r="AY141" s="156">
        <f t="shared" si="1050"/>
        <v>10138.061483737556</v>
      </c>
      <c r="AZ141" s="156">
        <f t="shared" si="1050"/>
        <v>12584.138020000002</v>
      </c>
      <c r="BA141" s="156">
        <f t="shared" si="1050"/>
        <v>13286.067525593449</v>
      </c>
      <c r="BB141" s="156">
        <f t="shared" si="1050"/>
        <v>12286.222759999999</v>
      </c>
      <c r="BC141" s="156">
        <f t="shared" si="1050"/>
        <v>12573.904733952728</v>
      </c>
      <c r="BD141" s="156">
        <f t="shared" si="1050"/>
        <v>12326.868</v>
      </c>
      <c r="BE141" s="156">
        <f t="shared" si="1050"/>
        <v>14353.031698626433</v>
      </c>
      <c r="BF141" s="156">
        <f t="shared" si="1050"/>
        <v>14663.178000000002</v>
      </c>
      <c r="BG141" s="156">
        <f t="shared" si="1050"/>
        <v>16907.133213124354</v>
      </c>
      <c r="BH141" s="156">
        <f t="shared" si="1050"/>
        <v>15542.437200000002</v>
      </c>
      <c r="BI141" s="156">
        <f t="shared" si="1050"/>
        <v>16548.71749508533</v>
      </c>
      <c r="BJ141" s="156">
        <f t="shared" si="1050"/>
        <v>17670.449760000003</v>
      </c>
      <c r="BK141" s="156">
        <f t="shared" si="1050"/>
        <v>20954.82899568605</v>
      </c>
      <c r="BL141" s="156">
        <f t="shared" si="1050"/>
        <v>21018.896000000001</v>
      </c>
      <c r="BM141" s="156">
        <f t="shared" si="1050"/>
        <v>22899.381077049147</v>
      </c>
      <c r="BN141" s="156">
        <f t="shared" si="1050"/>
        <v>28191.562760000001</v>
      </c>
      <c r="BO141" s="156">
        <f t="shared" si="1050"/>
        <v>25418.733077293622</v>
      </c>
      <c r="BP141" s="156">
        <f t="shared" si="1050"/>
        <v>29621.490000000005</v>
      </c>
      <c r="BQ141" s="156">
        <f t="shared" si="1050"/>
        <v>36228.562610006527</v>
      </c>
      <c r="BR141" s="156">
        <f t="shared" si="1050"/>
        <v>38711.470000000008</v>
      </c>
      <c r="BS141" s="156">
        <f t="shared" si="1050"/>
        <v>45662.106186944191</v>
      </c>
      <c r="BT141" s="156">
        <f t="shared" si="1050"/>
        <v>70152.825600000026</v>
      </c>
      <c r="BU141" s="156">
        <f t="shared" si="1050"/>
        <v>77673.293843351639</v>
      </c>
      <c r="BV141" s="156">
        <f t="shared" si="1050"/>
        <v>83804.487999999998</v>
      </c>
      <c r="BW141" s="156">
        <f t="shared" si="1050"/>
        <v>84518.144964535051</v>
      </c>
      <c r="BX141" s="156">
        <f t="shared" si="1050"/>
        <v>87931.892700000011</v>
      </c>
      <c r="BY141" s="156">
        <f t="shared" si="1050"/>
        <v>80618.658365688971</v>
      </c>
      <c r="BZ141" s="156">
        <f t="shared" si="1050"/>
        <v>75376.910700000008</v>
      </c>
      <c r="CA141" s="156">
        <f t="shared" si="1050"/>
        <v>80819.528888760469</v>
      </c>
      <c r="CB141" s="156">
        <f t="shared" si="1050"/>
        <v>77284.008900000001</v>
      </c>
      <c r="CC141" s="156">
        <f t="shared" si="1050"/>
        <v>78548.047124012388</v>
      </c>
      <c r="CD141" s="156">
        <f t="shared" si="1050"/>
        <v>81176.320000000007</v>
      </c>
      <c r="CE141" s="156">
        <f t="shared" ref="CE141:CF141" si="1051">+CE138+CE140</f>
        <v>83741.41690202817</v>
      </c>
      <c r="CF141" s="156">
        <f t="shared" si="1051"/>
        <v>83326.275999999998</v>
      </c>
      <c r="CG141" s="156">
        <f t="shared" ref="CG141:CH141" si="1052">+CG138+CG140</f>
        <v>78361.745509604894</v>
      </c>
      <c r="CH141" s="156">
        <f t="shared" si="1052"/>
        <v>94730.627900000007</v>
      </c>
      <c r="CI141" s="156">
        <f t="shared" ref="CI141:CJ141" si="1053">+CI138+CI140</f>
        <v>99027.076893906822</v>
      </c>
      <c r="CJ141" s="156">
        <f t="shared" si="1053"/>
        <v>102274.058</v>
      </c>
      <c r="CK141" s="156">
        <f t="shared" ref="CK141" si="1054">+CK138+CK140</f>
        <v>99273.196694602491</v>
      </c>
      <c r="CL141" s="156">
        <f t="shared" ref="CL141" si="1055">+CL138+CL140</f>
        <v>96273.093300000008</v>
      </c>
      <c r="CM141" s="21">
        <f t="shared" ref="CM141:DB141" si="1056">+CM138+CM140</f>
        <v>100584.98388175304</v>
      </c>
      <c r="CN141" s="21">
        <f t="shared" si="1056"/>
        <v>106251.25237261933</v>
      </c>
      <c r="CO141" s="21">
        <f t="shared" si="1056"/>
        <v>109364.66923813113</v>
      </c>
      <c r="CP141" s="21">
        <f t="shared" si="1056"/>
        <v>117476.98371980045</v>
      </c>
      <c r="CQ141" s="21">
        <f t="shared" si="1056"/>
        <v>120924.71297011554</v>
      </c>
      <c r="CR141" s="21">
        <f t="shared" si="1056"/>
        <v>124569.42620645752</v>
      </c>
      <c r="CS141" s="21">
        <f t="shared" si="1056"/>
        <v>128403.7532687761</v>
      </c>
      <c r="CT141" s="21">
        <f t="shared" si="1056"/>
        <v>135749.77745324871</v>
      </c>
      <c r="CU141" s="21">
        <f t="shared" si="1056"/>
        <v>143467.64175884082</v>
      </c>
      <c r="CV141" s="21">
        <f t="shared" si="1056"/>
        <v>151227.41291591505</v>
      </c>
      <c r="CW141" s="21">
        <f t="shared" si="1056"/>
        <v>159679.10810276616</v>
      </c>
      <c r="CX141" s="21">
        <f t="shared" si="1056"/>
        <v>170952.43128535093</v>
      </c>
      <c r="CY141" s="21">
        <f t="shared" si="1056"/>
        <v>179701.47762799321</v>
      </c>
      <c r="CZ141" s="21">
        <f t="shared" si="1056"/>
        <v>188564.6986328935</v>
      </c>
      <c r="DA141" s="21">
        <f t="shared" si="1056"/>
        <v>198296.63630343671</v>
      </c>
      <c r="DB141" s="21">
        <f t="shared" si="1056"/>
        <v>211057.60707704781</v>
      </c>
      <c r="DE141" s="22"/>
    </row>
    <row r="142" spans="1:110" s="156" customFormat="1" x14ac:dyDescent="0.2">
      <c r="A142" s="49" t="s">
        <v>345</v>
      </c>
      <c r="B142" s="156">
        <f>+B139+B140</f>
        <v>395.31680660000006</v>
      </c>
      <c r="C142" s="156">
        <f t="shared" ref="C142:W142" si="1057">+C139+C140</f>
        <v>375.73301800000002</v>
      </c>
      <c r="D142" s="156">
        <f t="shared" si="1057"/>
        <v>284.42090449999995</v>
      </c>
      <c r="E142" s="156">
        <f t="shared" si="1057"/>
        <v>324.64680000000004</v>
      </c>
      <c r="F142" s="156">
        <f t="shared" si="1057"/>
        <v>632.35454000000004</v>
      </c>
      <c r="G142" s="156">
        <f t="shared" si="1057"/>
        <v>1123.2531600000002</v>
      </c>
      <c r="H142" s="156">
        <f t="shared" si="1057"/>
        <v>1120.8409000000001</v>
      </c>
      <c r="I142" s="156">
        <f t="shared" si="1057"/>
        <v>984.11240000000009</v>
      </c>
      <c r="J142" s="156">
        <f t="shared" si="1057"/>
        <v>1377.4939600000002</v>
      </c>
      <c r="K142" s="156">
        <f t="shared" si="1057"/>
        <v>1376.3532600000001</v>
      </c>
      <c r="L142" s="156">
        <f t="shared" si="1057"/>
        <v>1917.01332</v>
      </c>
      <c r="M142" s="156">
        <f t="shared" si="1057"/>
        <v>2319.1422000000002</v>
      </c>
      <c r="N142" s="156">
        <f t="shared" si="1057"/>
        <v>2341.4525400000002</v>
      </c>
      <c r="O142" s="156">
        <f t="shared" si="1057"/>
        <v>2810.6950200000001</v>
      </c>
      <c r="P142" s="156">
        <f t="shared" si="1057"/>
        <v>4166.6212400000004</v>
      </c>
      <c r="Q142" s="156">
        <f t="shared" si="1057"/>
        <v>7295.3480200000004</v>
      </c>
      <c r="R142" s="156">
        <f t="shared" si="1057"/>
        <v>9038.8801999999996</v>
      </c>
      <c r="S142" s="156">
        <f t="shared" si="1057"/>
        <v>11341.728000000001</v>
      </c>
      <c r="T142" s="156">
        <f t="shared" si="1057"/>
        <v>12507.200400000002</v>
      </c>
      <c r="U142" s="156">
        <f t="shared" si="1057"/>
        <v>16771.258399999999</v>
      </c>
      <c r="V142" s="156">
        <f t="shared" si="1057"/>
        <v>17907.528719999998</v>
      </c>
      <c r="W142" s="156">
        <f t="shared" si="1057"/>
        <v>34835.904000000002</v>
      </c>
      <c r="X142" s="156">
        <f t="shared" ref="X142:Y142" si="1058">+X139+X140</f>
        <v>62605.654999999999</v>
      </c>
      <c r="Y142" s="156">
        <f t="shared" si="1058"/>
        <v>64873.220000000008</v>
      </c>
      <c r="Z142" s="156">
        <f t="shared" ref="Z142:AA142" si="1059">+Z139+Z140</f>
        <v>65491.75910000001</v>
      </c>
      <c r="AA142" s="156">
        <f t="shared" si="1059"/>
        <v>72414.247499999998</v>
      </c>
      <c r="AB142" s="21">
        <f t="shared" ref="AA142:AD142" si="1060">+AB139+AB140</f>
        <v>73635.168543118227</v>
      </c>
      <c r="AC142" s="21">
        <f t="shared" si="1060"/>
        <v>87579.780267850554</v>
      </c>
      <c r="AD142" s="21">
        <f t="shared" si="1060"/>
        <v>102997.3634282397</v>
      </c>
      <c r="AE142" s="21">
        <f t="shared" ref="AE142" si="1061">+AE139+AE140</f>
        <v>128331.68369555572</v>
      </c>
      <c r="AL142" s="156">
        <f t="shared" ref="AL142:AM142" si="1062">+AL139+AL140</f>
        <v>1976.15624</v>
      </c>
      <c r="AM142" s="156">
        <f t="shared" si="1062"/>
        <v>1785.9249949275804</v>
      </c>
      <c r="AN142" s="156">
        <f t="shared" ref="AN142:AO142" si="1063">+AN139+AN140</f>
        <v>1554.03062</v>
      </c>
      <c r="AO142" s="156">
        <f t="shared" si="1063"/>
        <v>1690.84224351989</v>
      </c>
      <c r="AP142" s="156">
        <f t="shared" ref="AP142:CD142" si="1064">+AP139+AP140</f>
        <v>3091.4748</v>
      </c>
      <c r="AQ142" s="156">
        <f t="shared" si="1064"/>
        <v>3961.1947262085296</v>
      </c>
      <c r="AR142" s="156">
        <f t="shared" si="1064"/>
        <v>3960.2632000000003</v>
      </c>
      <c r="AS142" s="156">
        <f t="shared" si="1064"/>
        <v>4749.9689270905546</v>
      </c>
      <c r="AT142" s="156">
        <f t="shared" si="1064"/>
        <v>6820.5411999999997</v>
      </c>
      <c r="AU142" s="156">
        <f t="shared" si="1064"/>
        <v>7142.0461120322561</v>
      </c>
      <c r="AV142" s="156">
        <f t="shared" si="1064"/>
        <v>7478.5996000000014</v>
      </c>
      <c r="AW142" s="156">
        <f t="shared" si="1064"/>
        <v>7885.7249771299257</v>
      </c>
      <c r="AX142" s="156">
        <f t="shared" si="1064"/>
        <v>7638.7248000000018</v>
      </c>
      <c r="AY142" s="156">
        <f t="shared" si="1064"/>
        <v>8349.1667837375571</v>
      </c>
      <c r="AZ142" s="156">
        <f t="shared" si="1064"/>
        <v>9454.2392400000008</v>
      </c>
      <c r="BA142" s="156">
        <f t="shared" si="1064"/>
        <v>9626.1697855934508</v>
      </c>
      <c r="BB142" s="156">
        <f t="shared" si="1064"/>
        <v>10656.5056</v>
      </c>
      <c r="BC142" s="156">
        <f t="shared" si="1064"/>
        <v>10470.804833952727</v>
      </c>
      <c r="BD142" s="156">
        <f t="shared" si="1064"/>
        <v>10992.978000000001</v>
      </c>
      <c r="BE142" s="156">
        <f t="shared" si="1064"/>
        <v>11597.807798626432</v>
      </c>
      <c r="BF142" s="156">
        <f t="shared" si="1064"/>
        <v>12185.106800000001</v>
      </c>
      <c r="BG142" s="156">
        <f t="shared" si="1064"/>
        <v>11995.750233124356</v>
      </c>
      <c r="BH142" s="156">
        <f t="shared" si="1064"/>
        <v>12269.9604</v>
      </c>
      <c r="BI142" s="156">
        <f t="shared" si="1064"/>
        <v>12645.458935085329</v>
      </c>
      <c r="BJ142" s="156">
        <f t="shared" si="1064"/>
        <v>14539.068880000001</v>
      </c>
      <c r="BK142" s="156">
        <f t="shared" si="1064"/>
        <v>15770.443195686046</v>
      </c>
      <c r="BL142" s="156">
        <f t="shared" si="1064"/>
        <v>17828.527540000003</v>
      </c>
      <c r="BM142" s="156">
        <f t="shared" si="1064"/>
        <v>17772.500757049143</v>
      </c>
      <c r="BN142" s="156">
        <f t="shared" si="1064"/>
        <v>17717.858480000003</v>
      </c>
      <c r="BO142" s="156">
        <f t="shared" si="1064"/>
        <v>17807.260317293618</v>
      </c>
      <c r="BP142" s="156">
        <f t="shared" si="1064"/>
        <v>24351.142400000004</v>
      </c>
      <c r="BQ142" s="156">
        <f t="shared" si="1064"/>
        <v>27039.839030006522</v>
      </c>
      <c r="BR142" s="156">
        <f t="shared" si="1064"/>
        <v>33127.806460000007</v>
      </c>
      <c r="BS142" s="156">
        <f t="shared" si="1064"/>
        <v>34414.449286944189</v>
      </c>
      <c r="BT142" s="156">
        <f t="shared" si="1064"/>
        <v>45496.61</v>
      </c>
      <c r="BU142" s="156">
        <f t="shared" si="1064"/>
        <v>60806.995843351644</v>
      </c>
      <c r="BV142" s="156">
        <f t="shared" si="1064"/>
        <v>65199.686700000006</v>
      </c>
      <c r="BW142" s="156">
        <f t="shared" si="1064"/>
        <v>64005.880964535056</v>
      </c>
      <c r="BX142" s="156">
        <f t="shared" si="1064"/>
        <v>62384.935000000005</v>
      </c>
      <c r="BY142" s="156">
        <f t="shared" si="1064"/>
        <v>67848.88476568897</v>
      </c>
      <c r="BZ142" s="156">
        <f t="shared" si="1064"/>
        <v>64966.640300000014</v>
      </c>
      <c r="CA142" s="156">
        <f t="shared" si="1064"/>
        <v>70395.919588760458</v>
      </c>
      <c r="CB142" s="156">
        <f t="shared" si="1064"/>
        <v>64672.820000000007</v>
      </c>
      <c r="CC142" s="156">
        <f t="shared" si="1064"/>
        <v>65258.056424012393</v>
      </c>
      <c r="CD142" s="156">
        <f t="shared" si="1064"/>
        <v>69469.212100000004</v>
      </c>
      <c r="CE142" s="156">
        <f t="shared" ref="CE142:CF142" si="1065">+CE139+CE140</f>
        <v>65692.403102028169</v>
      </c>
      <c r="CF142" s="156">
        <f t="shared" si="1065"/>
        <v>72235.721699999995</v>
      </c>
      <c r="CG142" s="156">
        <f t="shared" ref="CG142:CH142" si="1066">+CG139+CG140</f>
        <v>67354.188809604893</v>
      </c>
      <c r="CH142" s="156">
        <f t="shared" si="1066"/>
        <v>68795.360000000015</v>
      </c>
      <c r="CI142" s="156">
        <f t="shared" ref="CI142:CJ142" si="1067">+CI139+CI140</f>
        <v>78830.500193906817</v>
      </c>
      <c r="CJ142" s="156">
        <f t="shared" si="1067"/>
        <v>86593.44</v>
      </c>
      <c r="CK142" s="156">
        <f t="shared" ref="CK142" si="1068">+CK139+CK140</f>
        <v>85408.151194602484</v>
      </c>
      <c r="CL142" s="156">
        <f t="shared" ref="CL142" si="1069">+CL139+CL140</f>
        <v>72414.247499999998</v>
      </c>
      <c r="CM142" s="21">
        <f t="shared" ref="CM142:DB142" si="1070">+CM139+CM140</f>
        <v>75360.859909727631</v>
      </c>
      <c r="CN142" s="21">
        <f t="shared" si="1070"/>
        <v>79336.664429265598</v>
      </c>
      <c r="CO142" s="21">
        <f t="shared" si="1070"/>
        <v>81474.447441360011</v>
      </c>
      <c r="CP142" s="21">
        <f t="shared" si="1070"/>
        <v>87447.774325996943</v>
      </c>
      <c r="CQ142" s="21">
        <f t="shared" si="1070"/>
        <v>89677.650327186988</v>
      </c>
      <c r="CR142" s="21">
        <f t="shared" si="1070"/>
        <v>92110.2551158922</v>
      </c>
      <c r="CS142" s="21">
        <f t="shared" si="1070"/>
        <v>94751.868127523121</v>
      </c>
      <c r="CT142" s="21">
        <f t="shared" si="1070"/>
        <v>100135.03327721005</v>
      </c>
      <c r="CU142" s="21">
        <f t="shared" si="1070"/>
        <v>105471.09798283927</v>
      </c>
      <c r="CV142" s="21">
        <f t="shared" si="1070"/>
        <v>110910.85877844653</v>
      </c>
      <c r="CW142" s="21">
        <f t="shared" si="1070"/>
        <v>116942.66169063603</v>
      </c>
      <c r="CX142" s="21">
        <f t="shared" si="1070"/>
        <v>125223.81881523969</v>
      </c>
      <c r="CY142" s="21">
        <f t="shared" si="1070"/>
        <v>131256.30314561649</v>
      </c>
      <c r="CZ142" s="21">
        <f t="shared" si="1070"/>
        <v>137459.1317872912</v>
      </c>
      <c r="DA142" s="21">
        <f t="shared" si="1070"/>
        <v>144397.62396253156</v>
      </c>
      <c r="DB142" s="21">
        <f t="shared" si="1070"/>
        <v>153764.83033443091</v>
      </c>
      <c r="DE142" s="22"/>
    </row>
    <row r="143" spans="1:110" s="156" customFormat="1" x14ac:dyDescent="0.2">
      <c r="A143" s="49" t="s">
        <v>13</v>
      </c>
      <c r="B143" s="156">
        <f t="shared" ref="B143:AE143" si="1071">+B59</f>
        <v>139.69839999999994</v>
      </c>
      <c r="C143" s="156">
        <f t="shared" si="1071"/>
        <v>90.805999999999955</v>
      </c>
      <c r="D143" s="156">
        <f t="shared" si="1071"/>
        <v>139.16670000000008</v>
      </c>
      <c r="E143" s="156">
        <f t="shared" si="1071"/>
        <v>124.58389999999991</v>
      </c>
      <c r="F143" s="156">
        <f t="shared" si="1071"/>
        <v>146.41769999999991</v>
      </c>
      <c r="G143" s="156">
        <f t="shared" si="1071"/>
        <v>255.4855</v>
      </c>
      <c r="H143" s="156">
        <f t="shared" si="1071"/>
        <v>550.51979999999992</v>
      </c>
      <c r="I143" s="156">
        <f t="shared" si="1071"/>
        <v>319.9177000000002</v>
      </c>
      <c r="J143" s="156">
        <f t="shared" si="1071"/>
        <v>371.27340000000015</v>
      </c>
      <c r="K143" s="156">
        <f t="shared" si="1071"/>
        <v>618.65339999999992</v>
      </c>
      <c r="L143" s="156">
        <f t="shared" si="1071"/>
        <v>900.90449999999964</v>
      </c>
      <c r="M143" s="156">
        <f t="shared" si="1071"/>
        <v>831.42250000000001</v>
      </c>
      <c r="N143" s="156">
        <f t="shared" si="1071"/>
        <v>614.25689999999997</v>
      </c>
      <c r="O143" s="156">
        <f t="shared" si="1071"/>
        <v>505.29079999999976</v>
      </c>
      <c r="P143" s="156">
        <f t="shared" si="1071"/>
        <v>717.46000000000095</v>
      </c>
      <c r="Q143" s="156">
        <f t="shared" si="1071"/>
        <v>962.52000000000066</v>
      </c>
      <c r="R143" s="156">
        <f t="shared" si="1071"/>
        <v>968.99000000000069</v>
      </c>
      <c r="S143" s="156">
        <f t="shared" si="1071"/>
        <v>906.24000000000046</v>
      </c>
      <c r="T143" s="156">
        <f t="shared" si="1071"/>
        <v>1296.9999999999998</v>
      </c>
      <c r="U143" s="156">
        <f t="shared" si="1071"/>
        <v>1454.9399999999996</v>
      </c>
      <c r="V143" s="156">
        <f t="shared" si="1071"/>
        <v>2133.3300000000004</v>
      </c>
      <c r="W143" s="156">
        <f t="shared" si="1071"/>
        <v>3103.2000000000003</v>
      </c>
      <c r="X143" s="156">
        <f t="shared" si="1071"/>
        <v>3529.1999999999994</v>
      </c>
      <c r="Y143" s="156">
        <f t="shared" si="1071"/>
        <v>2584.11</v>
      </c>
      <c r="Z143" s="156">
        <f t="shared" si="1071"/>
        <v>2718.4399999999987</v>
      </c>
      <c r="AA143" s="156">
        <f t="shared" ref="AA143" si="1072">+AA59</f>
        <v>3409.6400000000012</v>
      </c>
      <c r="AB143" s="21">
        <f t="shared" si="1071"/>
        <v>4130.4980116058778</v>
      </c>
      <c r="AC143" s="21">
        <f t="shared" si="1071"/>
        <v>4998.3161847400424</v>
      </c>
      <c r="AD143" s="21">
        <f t="shared" si="1071"/>
        <v>5849.1966388598221</v>
      </c>
      <c r="AE143" s="21">
        <f t="shared" si="1071"/>
        <v>6831.4408608384074</v>
      </c>
      <c r="AL143" s="156">
        <f t="shared" ref="AL143:BQ143" si="1073">+SUM(AI59:AL59)</f>
        <v>528.04999999999995</v>
      </c>
      <c r="AM143" s="156">
        <f t="shared" si="1073"/>
        <v>550.91999999999996</v>
      </c>
      <c r="AN143" s="156">
        <f t="shared" si="1073"/>
        <v>566.58000000000015</v>
      </c>
      <c r="AO143" s="156">
        <f t="shared" si="1073"/>
        <v>516.6700000000003</v>
      </c>
      <c r="AP143" s="156">
        <f t="shared" si="1073"/>
        <v>489.53000000000026</v>
      </c>
      <c r="AQ143" s="156">
        <f t="shared" si="1073"/>
        <v>559.50000000000045</v>
      </c>
      <c r="AR143" s="156">
        <f t="shared" si="1073"/>
        <v>626.06000000000017</v>
      </c>
      <c r="AS143" s="156">
        <f t="shared" si="1073"/>
        <v>661.66999999999985</v>
      </c>
      <c r="AT143" s="156">
        <f t="shared" si="1073"/>
        <v>714.29999999999973</v>
      </c>
      <c r="AU143" s="156">
        <f t="shared" si="1073"/>
        <v>800.21999999999969</v>
      </c>
      <c r="AV143" s="156">
        <f t="shared" si="1073"/>
        <v>844.74999999999977</v>
      </c>
      <c r="AW143" s="156">
        <f t="shared" si="1073"/>
        <v>891.12</v>
      </c>
      <c r="AX143" s="156">
        <f t="shared" si="1073"/>
        <v>957.26000000000033</v>
      </c>
      <c r="AY143" s="156">
        <f t="shared" si="1073"/>
        <v>979.92000000000019</v>
      </c>
      <c r="AZ143" s="156">
        <f t="shared" si="1073"/>
        <v>974.40000000000032</v>
      </c>
      <c r="BA143" s="156">
        <f t="shared" si="1073"/>
        <v>974.00000000000023</v>
      </c>
      <c r="BB143" s="156">
        <f t="shared" si="1073"/>
        <v>964.94</v>
      </c>
      <c r="BC143" s="156">
        <f t="shared" si="1073"/>
        <v>873.5200000000001</v>
      </c>
      <c r="BD143" s="156">
        <f t="shared" si="1073"/>
        <v>844.55000000000007</v>
      </c>
      <c r="BE143" s="156">
        <f t="shared" si="1073"/>
        <v>849.36999999999978</v>
      </c>
      <c r="BF143" s="156">
        <f t="shared" si="1073"/>
        <v>906.23999999999967</v>
      </c>
      <c r="BG143" s="156">
        <f t="shared" si="1073"/>
        <v>1012.0499999999997</v>
      </c>
      <c r="BH143" s="156">
        <f t="shared" si="1073"/>
        <v>1108.6999999999998</v>
      </c>
      <c r="BI143" s="156">
        <f t="shared" si="1073"/>
        <v>1189.07</v>
      </c>
      <c r="BJ143" s="156">
        <f t="shared" si="1073"/>
        <v>1288.82</v>
      </c>
      <c r="BK143" s="156">
        <f t="shared" si="1073"/>
        <v>1329.25</v>
      </c>
      <c r="BL143" s="156">
        <f t="shared" si="1073"/>
        <v>1359.9899999999998</v>
      </c>
      <c r="BM143" s="156">
        <f t="shared" si="1073"/>
        <v>1438.18</v>
      </c>
      <c r="BN143" s="156">
        <f t="shared" si="1073"/>
        <v>1427.13</v>
      </c>
      <c r="BO143" s="156">
        <f t="shared" si="1073"/>
        <v>1445.7200000000003</v>
      </c>
      <c r="BP143" s="156">
        <f t="shared" si="1073"/>
        <v>1687.2099999999996</v>
      </c>
      <c r="BQ143" s="156">
        <f t="shared" si="1073"/>
        <v>1841.6899999999996</v>
      </c>
      <c r="BR143" s="156">
        <f t="shared" ref="BR143:CW143" si="1074">+SUM(BO59:BR59)</f>
        <v>2114.6499999999996</v>
      </c>
      <c r="BS143" s="156">
        <f t="shared" si="1074"/>
        <v>2415.77</v>
      </c>
      <c r="BT143" s="156">
        <f t="shared" si="1074"/>
        <v>2497.630000000001</v>
      </c>
      <c r="BU143" s="156">
        <f t="shared" si="1074"/>
        <v>2800.8700000000008</v>
      </c>
      <c r="BV143" s="156">
        <f t="shared" si="1074"/>
        <v>3103.2000000000007</v>
      </c>
      <c r="BW143" s="156">
        <f t="shared" si="1074"/>
        <v>3433.8000000000006</v>
      </c>
      <c r="BX143" s="156">
        <f t="shared" si="1074"/>
        <v>3548.5600000000004</v>
      </c>
      <c r="BY143" s="156">
        <f t="shared" si="1074"/>
        <v>3534.2000000000003</v>
      </c>
      <c r="BZ143" s="156">
        <f t="shared" si="1074"/>
        <v>3529.2000000000007</v>
      </c>
      <c r="CA143" s="156">
        <f t="shared" si="1074"/>
        <v>3230.48</v>
      </c>
      <c r="CB143" s="156">
        <f t="shared" si="1074"/>
        <v>3087.579999999999</v>
      </c>
      <c r="CC143" s="156">
        <f t="shared" si="1074"/>
        <v>2819.8899999999994</v>
      </c>
      <c r="CD143" s="156">
        <f t="shared" si="1074"/>
        <v>2584.1099999999992</v>
      </c>
      <c r="CE143" s="156">
        <f t="shared" si="1074"/>
        <v>2491.2799999999997</v>
      </c>
      <c r="CF143" s="156">
        <f t="shared" si="1074"/>
        <v>2403.1100000000006</v>
      </c>
      <c r="CG143" s="156">
        <f t="shared" si="1074"/>
        <v>2456.8500000000004</v>
      </c>
      <c r="CH143" s="156">
        <f t="shared" si="1074"/>
        <v>2718.4400000000005</v>
      </c>
      <c r="CI143" s="156">
        <f t="shared" si="1074"/>
        <v>2936.17</v>
      </c>
      <c r="CJ143" s="156">
        <f t="shared" si="1074"/>
        <v>3172.2800000000007</v>
      </c>
      <c r="CK143" s="156">
        <f t="shared" si="1074"/>
        <v>3332.6800000000003</v>
      </c>
      <c r="CL143" s="156">
        <f t="shared" si="1074"/>
        <v>3400.95</v>
      </c>
      <c r="CM143" s="21">
        <f t="shared" si="1074"/>
        <v>3540.8553041936002</v>
      </c>
      <c r="CN143" s="21">
        <f t="shared" si="1074"/>
        <v>3690.4716168520126</v>
      </c>
      <c r="CO143" s="21">
        <f t="shared" si="1074"/>
        <v>3889.4039716926177</v>
      </c>
      <c r="CP143" s="21">
        <f t="shared" si="1074"/>
        <v>4130.4980116058778</v>
      </c>
      <c r="CQ143" s="21">
        <f t="shared" si="1074"/>
        <v>4326.5439052104939</v>
      </c>
      <c r="CR143" s="21">
        <f t="shared" si="1074"/>
        <v>4522.3945677017764</v>
      </c>
      <c r="CS143" s="21">
        <f t="shared" si="1074"/>
        <v>4734.5689819165036</v>
      </c>
      <c r="CT143" s="21">
        <f t="shared" si="1074"/>
        <v>4998.3161847400415</v>
      </c>
      <c r="CU143" s="21">
        <f t="shared" si="1074"/>
        <v>5208.7494166588704</v>
      </c>
      <c r="CV143" s="21">
        <f t="shared" si="1074"/>
        <v>5406.8095978274187</v>
      </c>
      <c r="CW143" s="21">
        <f t="shared" si="1074"/>
        <v>5607.911887658348</v>
      </c>
      <c r="CX143" s="21">
        <f t="shared" ref="CX143:DB143" si="1075">+SUM(CU59:CX59)</f>
        <v>5849.1966388598221</v>
      </c>
      <c r="CY143" s="21">
        <f t="shared" si="1075"/>
        <v>6083.3367617938584</v>
      </c>
      <c r="CZ143" s="21">
        <f t="shared" si="1075"/>
        <v>6305.4985789205512</v>
      </c>
      <c r="DA143" s="21">
        <f t="shared" si="1075"/>
        <v>6537.3636892446948</v>
      </c>
      <c r="DB143" s="21">
        <f t="shared" si="1075"/>
        <v>6831.4408608384074</v>
      </c>
      <c r="DE143" s="22"/>
      <c r="DF143" s="156">
        <v>0</v>
      </c>
    </row>
    <row r="144" spans="1:110" s="156" customFormat="1" x14ac:dyDescent="0.2">
      <c r="A144" s="49" t="s">
        <v>343</v>
      </c>
      <c r="B144" s="156">
        <f>+B141/B143</f>
        <v>3.084283144259349</v>
      </c>
      <c r="C144" s="156">
        <f t="shared" ref="C144:W144" si="1076">+C141/C143</f>
        <v>4.2613951302777373</v>
      </c>
      <c r="D144" s="156">
        <f t="shared" si="1076"/>
        <v>2.1726401524215189</v>
      </c>
      <c r="E144" s="156">
        <f t="shared" si="1076"/>
        <v>4.6758224778643189</v>
      </c>
      <c r="F144" s="156">
        <f t="shared" si="1076"/>
        <v>7.0761839586334201</v>
      </c>
      <c r="G144" s="156">
        <f t="shared" si="1076"/>
        <v>10.582849515921646</v>
      </c>
      <c r="H144" s="156">
        <f t="shared" si="1076"/>
        <v>4.8681447969718805</v>
      </c>
      <c r="I144" s="156">
        <f t="shared" si="1076"/>
        <v>5.2424181594203727</v>
      </c>
      <c r="J144" s="156">
        <f t="shared" si="1076"/>
        <v>5.1520752092662692</v>
      </c>
      <c r="K144" s="156">
        <f t="shared" si="1076"/>
        <v>3.6731890910160692</v>
      </c>
      <c r="L144" s="156">
        <f t="shared" si="1076"/>
        <v>3.7812263342007966</v>
      </c>
      <c r="M144" s="156">
        <f t="shared" si="1076"/>
        <v>3.7715834007378919</v>
      </c>
      <c r="N144" s="156">
        <f t="shared" si="1076"/>
        <v>4.7036292144215235</v>
      </c>
      <c r="O144" s="156">
        <f t="shared" si="1076"/>
        <v>8.4423084687075285</v>
      </c>
      <c r="P144" s="156">
        <f t="shared" si="1076"/>
        <v>11.576715245449209</v>
      </c>
      <c r="Q144" s="156">
        <f t="shared" si="1076"/>
        <v>11.253416677056055</v>
      </c>
      <c r="R144" s="156">
        <f t="shared" si="1076"/>
        <v>14.247116894911185</v>
      </c>
      <c r="S144" s="156">
        <f t="shared" si="1076"/>
        <v>16.603745144774003</v>
      </c>
      <c r="T144" s="156">
        <f t="shared" si="1076"/>
        <v>13.964463962991523</v>
      </c>
      <c r="U144" s="156">
        <f t="shared" si="1076"/>
        <v>19.912376290431226</v>
      </c>
      <c r="V144" s="156">
        <f t="shared" si="1076"/>
        <v>18.146029915671743</v>
      </c>
      <c r="W144" s="156">
        <f t="shared" si="1076"/>
        <v>27.0058288218613</v>
      </c>
      <c r="X144" s="156">
        <f t="shared" ref="X144:Y144" si="1077">+X141/X143</f>
        <v>24.978072282670301</v>
      </c>
      <c r="Y144" s="156">
        <f t="shared" si="1077"/>
        <v>31.834054780949728</v>
      </c>
      <c r="Z144" s="156">
        <f t="shared" ref="Z144:AA144" si="1078">+Z141/Z143</f>
        <v>34.847422749812409</v>
      </c>
      <c r="AA144" s="156">
        <f t="shared" si="1078"/>
        <v>29.977319599723131</v>
      </c>
      <c r="AB144" s="21">
        <f t="shared" ref="AA144:AD144" si="1079">+AB141/AB143</f>
        <v>28.441360676052501</v>
      </c>
      <c r="AC144" s="21">
        <f t="shared" si="1079"/>
        <v>27.159101672618359</v>
      </c>
      <c r="AD144" s="21">
        <f t="shared" si="1079"/>
        <v>29.226651425874188</v>
      </c>
      <c r="AE144" s="21">
        <f t="shared" ref="AE144" si="1080">+AE141/AE143</f>
        <v>30.89503537781416</v>
      </c>
      <c r="AL144" s="156">
        <f t="shared" ref="AL144" si="1081">+AL141/AL143</f>
        <v>4.2632970362655058</v>
      </c>
      <c r="AM144" s="156">
        <f t="shared" ref="AM144:AO144" si="1082">+AM141/AM143</f>
        <v>3.7528570299273594</v>
      </c>
      <c r="AN144" s="156">
        <f t="shared" si="1082"/>
        <v>3.2183917540329694</v>
      </c>
      <c r="AO144" s="156">
        <f t="shared" si="1082"/>
        <v>4.1842058248396246</v>
      </c>
      <c r="AP144" s="156">
        <f t="shared" ref="AP144:CD144" si="1083">+AP141/AP143</f>
        <v>8.422397810144421</v>
      </c>
      <c r="AQ144" s="156">
        <f t="shared" si="1083"/>
        <v>10.024480940497812</v>
      </c>
      <c r="AR144" s="156">
        <f t="shared" si="1083"/>
        <v>8.9487109861674572</v>
      </c>
      <c r="AS144" s="156">
        <f t="shared" si="1083"/>
        <v>9.9132749060567296</v>
      </c>
      <c r="AT144" s="156">
        <f t="shared" si="1083"/>
        <v>11.053283102337959</v>
      </c>
      <c r="AU144" s="156">
        <f t="shared" si="1083"/>
        <v>11.525844057924397</v>
      </c>
      <c r="AV144" s="156">
        <f t="shared" si="1083"/>
        <v>12.19742955904114</v>
      </c>
      <c r="AW144" s="156">
        <f t="shared" si="1083"/>
        <v>10.678735722607422</v>
      </c>
      <c r="AX144" s="156">
        <f t="shared" si="1083"/>
        <v>10.073665294695273</v>
      </c>
      <c r="AY144" s="156">
        <f t="shared" si="1083"/>
        <v>10.345805253222258</v>
      </c>
      <c r="AZ144" s="156">
        <f t="shared" si="1083"/>
        <v>12.914755767651886</v>
      </c>
      <c r="BA144" s="156">
        <f t="shared" si="1083"/>
        <v>13.640726412313599</v>
      </c>
      <c r="BB144" s="156">
        <f t="shared" si="1083"/>
        <v>12.732628723029409</v>
      </c>
      <c r="BC144" s="156">
        <f t="shared" si="1083"/>
        <v>14.394524148219533</v>
      </c>
      <c r="BD144" s="156">
        <f t="shared" si="1083"/>
        <v>14.595782369309099</v>
      </c>
      <c r="BE144" s="156">
        <f t="shared" si="1083"/>
        <v>16.898444374803017</v>
      </c>
      <c r="BF144" s="156">
        <f t="shared" si="1083"/>
        <v>16.180237023305093</v>
      </c>
      <c r="BG144" s="156">
        <f t="shared" si="1083"/>
        <v>16.705827985894331</v>
      </c>
      <c r="BH144" s="156">
        <f t="shared" si="1083"/>
        <v>14.018613872102467</v>
      </c>
      <c r="BI144" s="156">
        <f t="shared" si="1083"/>
        <v>13.917361883728738</v>
      </c>
      <c r="BJ144" s="156">
        <f t="shared" si="1083"/>
        <v>13.710564516379327</v>
      </c>
      <c r="BK144" s="156">
        <f t="shared" si="1083"/>
        <v>15.764400222445778</v>
      </c>
      <c r="BL144" s="156">
        <f t="shared" si="1083"/>
        <v>15.455184229295806</v>
      </c>
      <c r="BM144" s="156">
        <f t="shared" si="1083"/>
        <v>15.92247220587767</v>
      </c>
      <c r="BN144" s="156">
        <f t="shared" si="1083"/>
        <v>19.754025743975671</v>
      </c>
      <c r="BO144" s="156">
        <f t="shared" si="1083"/>
        <v>17.582058128333024</v>
      </c>
      <c r="BP144" s="156">
        <f t="shared" si="1083"/>
        <v>17.556492671333157</v>
      </c>
      <c r="BQ144" s="156">
        <f t="shared" si="1083"/>
        <v>19.671368476783027</v>
      </c>
      <c r="BR144" s="156">
        <f t="shared" si="1083"/>
        <v>18.306324923746253</v>
      </c>
      <c r="BS144" s="156">
        <f t="shared" si="1083"/>
        <v>18.901677803327384</v>
      </c>
      <c r="BT144" s="156">
        <f t="shared" si="1083"/>
        <v>28.087757434047475</v>
      </c>
      <c r="BU144" s="156">
        <f t="shared" si="1083"/>
        <v>27.731845406374312</v>
      </c>
      <c r="BV144" s="156">
        <f t="shared" si="1083"/>
        <v>27.005828821861297</v>
      </c>
      <c r="BW144" s="156">
        <f t="shared" si="1083"/>
        <v>24.61358989007369</v>
      </c>
      <c r="BX144" s="156">
        <f t="shared" si="1083"/>
        <v>24.779598682282391</v>
      </c>
      <c r="BY144" s="156">
        <f t="shared" si="1083"/>
        <v>22.811006271769838</v>
      </c>
      <c r="BZ144" s="156">
        <f t="shared" si="1083"/>
        <v>21.358072849370959</v>
      </c>
      <c r="CA144" s="156">
        <f t="shared" si="1083"/>
        <v>25.017808155060692</v>
      </c>
      <c r="CB144" s="156">
        <f t="shared" si="1083"/>
        <v>25.030609376923035</v>
      </c>
      <c r="CC144" s="156">
        <f t="shared" si="1083"/>
        <v>27.855003962570315</v>
      </c>
      <c r="CD144" s="156">
        <f t="shared" si="1083"/>
        <v>31.413647251858485</v>
      </c>
      <c r="CE144" s="156">
        <f t="shared" ref="CE144:CF144" si="1084">+CE141/CE143</f>
        <v>33.61381173614695</v>
      </c>
      <c r="CF144" s="156">
        <f t="shared" si="1084"/>
        <v>34.674349488787435</v>
      </c>
      <c r="CG144" s="156">
        <f t="shared" ref="CG144:CH144" si="1085">+CG141/CG143</f>
        <v>31.895209520159913</v>
      </c>
      <c r="CH144" s="156">
        <f t="shared" si="1085"/>
        <v>34.847422749812388</v>
      </c>
      <c r="CI144" s="156">
        <f t="shared" ref="CI144:CJ144" si="1086">+CI141/CI143</f>
        <v>33.72661558898389</v>
      </c>
      <c r="CJ144" s="156">
        <f t="shared" si="1086"/>
        <v>32.239921444513087</v>
      </c>
      <c r="CK144" s="156">
        <f t="shared" ref="CK144" si="1087">+CK141/CK143</f>
        <v>29.787797416674412</v>
      </c>
      <c r="CL144" s="156">
        <f t="shared" ref="CL144" si="1088">+CL141/CL143</f>
        <v>28.307706170334765</v>
      </c>
      <c r="CM144" s="21">
        <f t="shared" ref="CM144:DB144" si="1089">+CM141/CM143</f>
        <v>28.406973807324334</v>
      </c>
      <c r="CN144" s="21">
        <f t="shared" si="1089"/>
        <v>28.790697613670332</v>
      </c>
      <c r="CO144" s="21">
        <f t="shared" si="1089"/>
        <v>28.118619211091374</v>
      </c>
      <c r="CP144" s="21">
        <f t="shared" si="1089"/>
        <v>28.441360676052501</v>
      </c>
      <c r="CQ144" s="21">
        <f t="shared" si="1089"/>
        <v>27.94949401171796</v>
      </c>
      <c r="CR144" s="21">
        <f t="shared" si="1089"/>
        <v>27.545015000706169</v>
      </c>
      <c r="CS144" s="21">
        <f t="shared" si="1089"/>
        <v>27.120473639566576</v>
      </c>
      <c r="CT144" s="21">
        <f t="shared" si="1089"/>
        <v>27.159101672618366</v>
      </c>
      <c r="CU144" s="21">
        <f t="shared" si="1089"/>
        <v>27.543586815675138</v>
      </c>
      <c r="CV144" s="21">
        <f t="shared" si="1089"/>
        <v>27.969805516488268</v>
      </c>
      <c r="CW144" s="21">
        <f t="shared" si="1089"/>
        <v>28.473897468713997</v>
      </c>
      <c r="CX144" s="21">
        <f t="shared" si="1089"/>
        <v>29.226651425874188</v>
      </c>
      <c r="CY144" s="21">
        <f t="shared" si="1089"/>
        <v>29.539952276947876</v>
      </c>
      <c r="CZ144" s="21">
        <f t="shared" si="1089"/>
        <v>29.90480392197221</v>
      </c>
      <c r="DA144" s="21">
        <f t="shared" si="1089"/>
        <v>30.332813918502865</v>
      </c>
      <c r="DB144" s="21">
        <f t="shared" si="1089"/>
        <v>30.89503537781416</v>
      </c>
      <c r="DE144" s="22"/>
    </row>
    <row r="145" spans="1:110" s="156" customFormat="1" x14ac:dyDescent="0.2">
      <c r="A145" s="49" t="s">
        <v>344</v>
      </c>
      <c r="B145" s="156">
        <f>+B142/B143</f>
        <v>2.8297876468162859</v>
      </c>
      <c r="C145" s="156">
        <f t="shared" ref="C145:W145" si="1090">+C142/C143</f>
        <v>4.1377554126379339</v>
      </c>
      <c r="D145" s="156">
        <f t="shared" si="1090"/>
        <v>2.0437425368281334</v>
      </c>
      <c r="E145" s="156">
        <f t="shared" si="1090"/>
        <v>2.6058487493167277</v>
      </c>
      <c r="F145" s="156">
        <f t="shared" si="1090"/>
        <v>4.3188394572514142</v>
      </c>
      <c r="G145" s="156">
        <f t="shared" si="1090"/>
        <v>4.3965436786040701</v>
      </c>
      <c r="H145" s="156">
        <f t="shared" si="1090"/>
        <v>2.03596837025662</v>
      </c>
      <c r="I145" s="156">
        <f t="shared" si="1090"/>
        <v>3.0761423953723082</v>
      </c>
      <c r="J145" s="156">
        <f t="shared" si="1090"/>
        <v>3.7101875868295431</v>
      </c>
      <c r="K145" s="156">
        <f t="shared" si="1090"/>
        <v>2.2247566407943449</v>
      </c>
      <c r="L145" s="156">
        <f t="shared" si="1090"/>
        <v>2.1278762843342451</v>
      </c>
      <c r="M145" s="156">
        <f t="shared" si="1090"/>
        <v>2.7893666577462124</v>
      </c>
      <c r="N145" s="156">
        <f t="shared" si="1090"/>
        <v>3.8118457277402995</v>
      </c>
      <c r="O145" s="156">
        <f t="shared" si="1090"/>
        <v>5.5625295770277265</v>
      </c>
      <c r="P145" s="156">
        <f t="shared" si="1090"/>
        <v>5.8074613776377708</v>
      </c>
      <c r="Q145" s="156">
        <f t="shared" si="1090"/>
        <v>7.579424863898927</v>
      </c>
      <c r="R145" s="156">
        <f t="shared" si="1090"/>
        <v>9.3281460076987308</v>
      </c>
      <c r="S145" s="156">
        <f t="shared" si="1090"/>
        <v>12.51514830508474</v>
      </c>
      <c r="T145" s="156">
        <f t="shared" si="1090"/>
        <v>9.6431768696993085</v>
      </c>
      <c r="U145" s="156">
        <f t="shared" si="1090"/>
        <v>11.527113420484696</v>
      </c>
      <c r="V145" s="156">
        <f t="shared" si="1090"/>
        <v>8.3941672033862531</v>
      </c>
      <c r="W145" s="156">
        <f t="shared" si="1090"/>
        <v>11.225800464037123</v>
      </c>
      <c r="X145" s="156">
        <f t="shared" ref="X145:Y145" si="1091">+X142/X143</f>
        <v>17.73933327666327</v>
      </c>
      <c r="Y145" s="156">
        <f t="shared" si="1091"/>
        <v>25.104666597010191</v>
      </c>
      <c r="Z145" s="156">
        <f t="shared" ref="Z145:AA145" si="1092">+Z142/Z143</f>
        <v>24.091669891555465</v>
      </c>
      <c r="AA145" s="156">
        <f t="shared" si="1092"/>
        <v>21.238091851339135</v>
      </c>
      <c r="AB145" s="21">
        <f t="shared" ref="AA145:AD145" si="1093">+AB142/AB143</f>
        <v>17.827188957897583</v>
      </c>
      <c r="AC145" s="21">
        <f t="shared" si="1093"/>
        <v>17.521856767531702</v>
      </c>
      <c r="AD145" s="21">
        <f t="shared" si="1093"/>
        <v>17.608805069736356</v>
      </c>
      <c r="AE145" s="21">
        <f t="shared" ref="AE145" si="1094">+AE142/AE143</f>
        <v>18.785448971859484</v>
      </c>
      <c r="AL145" s="156">
        <f t="shared" ref="AL145:AM145" si="1095">+AL142/AL143</f>
        <v>3.7423657608181049</v>
      </c>
      <c r="AM145" s="156">
        <f t="shared" si="1095"/>
        <v>3.2417138512444286</v>
      </c>
      <c r="AN145" s="156">
        <f t="shared" ref="AN145:AO145" si="1096">+AN142/AN143</f>
        <v>2.7428264675773932</v>
      </c>
      <c r="AO145" s="156">
        <f t="shared" si="1096"/>
        <v>3.2725767772850931</v>
      </c>
      <c r="AP145" s="156">
        <f t="shared" ref="AP145:CD145" si="1097">+AP142/AP143</f>
        <v>6.3151896717259381</v>
      </c>
      <c r="AQ145" s="156">
        <f t="shared" si="1097"/>
        <v>7.0798833354933448</v>
      </c>
      <c r="AR145" s="156">
        <f t="shared" si="1097"/>
        <v>6.3256927451043019</v>
      </c>
      <c r="AS145" s="156">
        <f t="shared" si="1097"/>
        <v>7.1787581832190606</v>
      </c>
      <c r="AT145" s="156">
        <f t="shared" si="1097"/>
        <v>9.5485667086658292</v>
      </c>
      <c r="AU145" s="156">
        <f t="shared" si="1097"/>
        <v>8.9251032366502443</v>
      </c>
      <c r="AV145" s="156">
        <f t="shared" si="1097"/>
        <v>8.8530329683338298</v>
      </c>
      <c r="AW145" s="156">
        <f t="shared" si="1097"/>
        <v>8.8492290343948348</v>
      </c>
      <c r="AX145" s="156">
        <f t="shared" si="1097"/>
        <v>7.9797806238639444</v>
      </c>
      <c r="AY145" s="156">
        <f t="shared" si="1097"/>
        <v>8.5202534734851376</v>
      </c>
      <c r="AZ145" s="156">
        <f t="shared" si="1097"/>
        <v>9.70262647783251</v>
      </c>
      <c r="BA145" s="156">
        <f t="shared" si="1097"/>
        <v>9.8831311967078523</v>
      </c>
      <c r="BB145" s="156">
        <f t="shared" si="1097"/>
        <v>11.043697639231455</v>
      </c>
      <c r="BC145" s="156">
        <f t="shared" si="1097"/>
        <v>11.986909096474866</v>
      </c>
      <c r="BD145" s="156">
        <f t="shared" si="1097"/>
        <v>13.016373216505832</v>
      </c>
      <c r="BE145" s="156">
        <f t="shared" si="1097"/>
        <v>13.654600231496799</v>
      </c>
      <c r="BF145" s="156">
        <f t="shared" si="1097"/>
        <v>13.44578345692091</v>
      </c>
      <c r="BG145" s="156">
        <f t="shared" si="1097"/>
        <v>11.852922516796955</v>
      </c>
      <c r="BH145" s="156">
        <f t="shared" si="1097"/>
        <v>11.066979705961939</v>
      </c>
      <c r="BI145" s="156">
        <f t="shared" si="1097"/>
        <v>10.634747268945755</v>
      </c>
      <c r="BJ145" s="156">
        <f t="shared" si="1097"/>
        <v>11.280915007526266</v>
      </c>
      <c r="BK145" s="156">
        <f t="shared" si="1097"/>
        <v>11.864166406384086</v>
      </c>
      <c r="BL145" s="156">
        <f t="shared" si="1097"/>
        <v>13.109307818439845</v>
      </c>
      <c r="BM145" s="156">
        <f t="shared" si="1097"/>
        <v>12.357633089772589</v>
      </c>
      <c r="BN145" s="156">
        <f t="shared" si="1097"/>
        <v>12.41502769894824</v>
      </c>
      <c r="BO145" s="156">
        <f t="shared" si="1097"/>
        <v>12.31722623834049</v>
      </c>
      <c r="BP145" s="156">
        <f t="shared" si="1097"/>
        <v>14.432786908565033</v>
      </c>
      <c r="BQ145" s="156">
        <f t="shared" si="1097"/>
        <v>14.68207951935805</v>
      </c>
      <c r="BR145" s="156">
        <f t="shared" si="1097"/>
        <v>15.665857924479234</v>
      </c>
      <c r="BS145" s="156">
        <f t="shared" si="1097"/>
        <v>14.245747437439901</v>
      </c>
      <c r="BT145" s="156">
        <f t="shared" si="1097"/>
        <v>18.215912685225586</v>
      </c>
      <c r="BU145" s="156">
        <f t="shared" si="1097"/>
        <v>21.710038610628708</v>
      </c>
      <c r="BV145" s="156">
        <f t="shared" si="1097"/>
        <v>21.010468774168597</v>
      </c>
      <c r="BW145" s="156">
        <f t="shared" si="1097"/>
        <v>18.63995601506641</v>
      </c>
      <c r="BX145" s="156">
        <f t="shared" si="1097"/>
        <v>17.580352311923708</v>
      </c>
      <c r="BY145" s="156">
        <f t="shared" si="1097"/>
        <v>19.197805660598995</v>
      </c>
      <c r="BZ145" s="156">
        <f t="shared" si="1097"/>
        <v>18.408319250821716</v>
      </c>
      <c r="CA145" s="156">
        <f t="shared" si="1097"/>
        <v>21.79116403406319</v>
      </c>
      <c r="CB145" s="156">
        <f t="shared" si="1097"/>
        <v>20.946119614714444</v>
      </c>
      <c r="CC145" s="156">
        <f t="shared" si="1097"/>
        <v>23.142057464657277</v>
      </c>
      <c r="CD145" s="156">
        <f t="shared" si="1097"/>
        <v>26.883225597981522</v>
      </c>
      <c r="CE145" s="156">
        <f t="shared" ref="CE145:CF145" si="1098">+CE142/CE143</f>
        <v>26.368936089892816</v>
      </c>
      <c r="CF145" s="156">
        <f t="shared" si="1098"/>
        <v>30.059265576690198</v>
      </c>
      <c r="CG145" s="156">
        <f t="shared" ref="CG145:CH145" si="1099">+CG142/CG143</f>
        <v>27.414855937320098</v>
      </c>
      <c r="CH145" s="156">
        <f t="shared" si="1099"/>
        <v>25.306926031106077</v>
      </c>
      <c r="CI145" s="156">
        <f t="shared" ref="CI145:CJ145" si="1100">+CI142/CI143</f>
        <v>26.848070852132818</v>
      </c>
      <c r="CJ145" s="156">
        <f t="shared" si="1100"/>
        <v>27.296909478356255</v>
      </c>
      <c r="CK145" s="156">
        <f t="shared" ref="CK145" si="1101">+CK142/CK143</f>
        <v>25.62746834217581</v>
      </c>
      <c r="CL145" s="156">
        <f t="shared" ref="CL145" si="1102">+CL142/CL143</f>
        <v>21.292358752701453</v>
      </c>
      <c r="CM145" s="21">
        <f t="shared" ref="CM145:DB145" si="1103">+CM142/CM143</f>
        <v>21.283236234046122</v>
      </c>
      <c r="CN145" s="21">
        <f t="shared" si="1103"/>
        <v>21.497703455294449</v>
      </c>
      <c r="CO145" s="21">
        <f t="shared" si="1103"/>
        <v>20.947797666258719</v>
      </c>
      <c r="CP145" s="21">
        <f t="shared" si="1103"/>
        <v>21.171242324844631</v>
      </c>
      <c r="CQ145" s="21">
        <f t="shared" si="1103"/>
        <v>20.727317760299954</v>
      </c>
      <c r="CR145" s="21">
        <f t="shared" si="1103"/>
        <v>20.367584857307456</v>
      </c>
      <c r="CS145" s="21">
        <f t="shared" si="1103"/>
        <v>20.012775923093333</v>
      </c>
      <c r="CT145" s="21">
        <f t="shared" si="1103"/>
        <v>20.033753283340555</v>
      </c>
      <c r="CU145" s="21">
        <f t="shared" si="1103"/>
        <v>20.24883317395085</v>
      </c>
      <c r="CV145" s="21">
        <f t="shared" si="1103"/>
        <v>20.513180050396649</v>
      </c>
      <c r="CW145" s="21">
        <f t="shared" si="1103"/>
        <v>20.853156046905521</v>
      </c>
      <c r="CX145" s="21">
        <f t="shared" si="1103"/>
        <v>21.408720982861237</v>
      </c>
      <c r="CY145" s="21">
        <f t="shared" si="1103"/>
        <v>21.576366439215761</v>
      </c>
      <c r="CZ145" s="21">
        <f t="shared" si="1103"/>
        <v>21.799883080906675</v>
      </c>
      <c r="DA145" s="21">
        <f t="shared" si="1103"/>
        <v>22.088051212462801</v>
      </c>
      <c r="DB145" s="21">
        <f t="shared" si="1103"/>
        <v>22.508403932162519</v>
      </c>
      <c r="DE145" s="22"/>
    </row>
    <row r="146" spans="1:110" s="10" customFormat="1" x14ac:dyDescent="0.2">
      <c r="A146" s="143" t="s">
        <v>490</v>
      </c>
      <c r="AB146" s="20"/>
      <c r="AC146" s="20"/>
      <c r="AD146" s="20"/>
      <c r="AE146" s="20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E146" s="123"/>
    </row>
    <row r="147" spans="1:110" x14ac:dyDescent="0.2">
      <c r="A147" s="146" t="s">
        <v>491</v>
      </c>
      <c r="AA147" s="2"/>
    </row>
    <row r="148" spans="1:110" s="23" customFormat="1" outlineLevel="1" x14ac:dyDescent="0.2">
      <c r="A148" s="23" t="s">
        <v>41</v>
      </c>
      <c r="B148" s="23">
        <f>'Annual Raw'!C41</f>
        <v>65.538899999999998</v>
      </c>
      <c r="C148" s="23">
        <f>'Annual Raw'!D41</f>
        <v>65.539400000000001</v>
      </c>
      <c r="D148" s="23">
        <f>'Annual Raw'!E41</f>
        <v>65.541200000000003</v>
      </c>
      <c r="E148" s="23">
        <f>'Annual Raw'!F41</f>
        <v>65.541200000000003</v>
      </c>
      <c r="F148" s="23">
        <f>'Annual Raw'!G41</f>
        <v>65.541200000000003</v>
      </c>
      <c r="G148" s="23">
        <f>'Annual Raw'!H41</f>
        <v>65.541200000000003</v>
      </c>
      <c r="H148" s="23">
        <f>'Annual Raw'!I41</f>
        <v>68.900099999999995</v>
      </c>
      <c r="I148" s="23">
        <f>'Annual Raw'!J41</f>
        <v>68.900099999999995</v>
      </c>
      <c r="J148" s="23">
        <f>'Annual Raw'!K41</f>
        <v>61.700099999999999</v>
      </c>
      <c r="K148" s="23">
        <f>'Annual Raw'!L41</f>
        <v>61.518700000000003</v>
      </c>
      <c r="L148" s="23">
        <f>'Annual Raw'!M41</f>
        <v>61.518700000000003</v>
      </c>
      <c r="M148" s="23">
        <f>'Annual Raw'!N41</f>
        <v>58.435600000000001</v>
      </c>
      <c r="N148" s="23">
        <f>'Annual Raw'!O41</f>
        <v>58.435600000000001</v>
      </c>
      <c r="O148" s="23">
        <f>'Annual Raw'!P41</f>
        <v>58.435600000000001</v>
      </c>
      <c r="P148" s="23">
        <f>'Annual Raw'!Q41</f>
        <v>58.44</v>
      </c>
      <c r="Q148" s="23">
        <f>'Annual Raw'!R41</f>
        <v>58.44</v>
      </c>
      <c r="R148" s="23">
        <f>'Annual Raw'!S41</f>
        <v>58.44</v>
      </c>
      <c r="S148" s="23">
        <f>'Annual Raw'!T41</f>
        <v>58.44</v>
      </c>
      <c r="T148" s="23">
        <f>'Annual Raw'!U41</f>
        <v>58.5</v>
      </c>
      <c r="U148" s="23">
        <f>'Annual Raw'!V41</f>
        <v>58.5</v>
      </c>
      <c r="V148" s="23">
        <f>'Annual Raw'!W41</f>
        <v>60.26</v>
      </c>
      <c r="W148" s="23">
        <f>'Annual Raw'!X41</f>
        <v>297.44</v>
      </c>
      <c r="X148" s="23">
        <f>'Annual Raw'!Y41</f>
        <v>297.44</v>
      </c>
      <c r="Y148" s="23">
        <f>'Annual Raw'!Z41</f>
        <v>297.44</v>
      </c>
      <c r="Z148" s="23">
        <f>'Annual Raw'!AA41</f>
        <v>297.44</v>
      </c>
      <c r="AA148" s="23">
        <f>'Annual Raw'!AB41</f>
        <v>297.44</v>
      </c>
      <c r="AB148" s="24">
        <f>+CP148</f>
        <v>297.44</v>
      </c>
      <c r="AC148" s="24">
        <f>+CT148</f>
        <v>297.44</v>
      </c>
      <c r="AD148" s="24">
        <f>+CX148</f>
        <v>297.44</v>
      </c>
      <c r="AE148" s="24">
        <f>+DB148</f>
        <v>297.44</v>
      </c>
      <c r="AJ148" s="23">
        <f>+'QTR Raw'!D56</f>
        <v>58.44</v>
      </c>
      <c r="AK148" s="23">
        <f t="shared" ref="AK148:CE148" si="1104">+AJ148</f>
        <v>58.44</v>
      </c>
      <c r="AL148" s="23">
        <f>+'QTR Raw'!F56</f>
        <v>58.44</v>
      </c>
      <c r="AM148" s="23">
        <f t="shared" si="1104"/>
        <v>58.44</v>
      </c>
      <c r="AN148" s="23">
        <f>+'QTR Raw'!H56</f>
        <v>58.44</v>
      </c>
      <c r="AO148" s="23">
        <f t="shared" si="1104"/>
        <v>58.44</v>
      </c>
      <c r="AP148" s="23">
        <f>+'QTR Raw'!J56</f>
        <v>58.44</v>
      </c>
      <c r="AQ148" s="23">
        <f t="shared" si="1104"/>
        <v>58.44</v>
      </c>
      <c r="AR148" s="23">
        <f>+'QTR Raw'!L56</f>
        <v>58.44</v>
      </c>
      <c r="AS148" s="23">
        <f t="shared" si="1104"/>
        <v>58.44</v>
      </c>
      <c r="AT148" s="23">
        <f>+'QTR Raw'!N56</f>
        <v>58.44</v>
      </c>
      <c r="AU148" s="23">
        <f t="shared" si="1104"/>
        <v>58.44</v>
      </c>
      <c r="AV148" s="23">
        <f>+'QTR Raw'!P56</f>
        <v>58.44</v>
      </c>
      <c r="AW148" s="23">
        <f t="shared" si="1104"/>
        <v>58.44</v>
      </c>
      <c r="AX148" s="23">
        <f>+'QTR Raw'!R56</f>
        <v>58.44</v>
      </c>
      <c r="AY148" s="23">
        <f t="shared" si="1104"/>
        <v>58.44</v>
      </c>
      <c r="AZ148" s="23">
        <f>+'QTR Raw'!T56</f>
        <v>58.44</v>
      </c>
      <c r="BA148" s="23">
        <f t="shared" si="1104"/>
        <v>58.44</v>
      </c>
      <c r="BB148" s="23">
        <f>+'QTR Raw'!V56</f>
        <v>58.44</v>
      </c>
      <c r="BC148" s="23">
        <f t="shared" si="1104"/>
        <v>58.44</v>
      </c>
      <c r="BD148" s="23">
        <f>+'QTR Raw'!X56</f>
        <v>58.44</v>
      </c>
      <c r="BE148" s="23">
        <f t="shared" si="1104"/>
        <v>58.44</v>
      </c>
      <c r="BF148" s="23">
        <f>+'QTR Raw'!Z56</f>
        <v>58.44</v>
      </c>
      <c r="BG148" s="23">
        <f t="shared" si="1104"/>
        <v>58.44</v>
      </c>
      <c r="BH148" s="23">
        <f>+'QTR Raw'!AB56</f>
        <v>58.5</v>
      </c>
      <c r="BI148" s="23">
        <f t="shared" si="1104"/>
        <v>58.5</v>
      </c>
      <c r="BJ148" s="23">
        <f>+'QTR Raw'!AD56</f>
        <v>58.5</v>
      </c>
      <c r="BK148" s="23">
        <f t="shared" si="1104"/>
        <v>58.5</v>
      </c>
      <c r="BL148" s="23">
        <f>+'QTR Raw'!AF56</f>
        <v>58.5</v>
      </c>
      <c r="BM148" s="23">
        <f t="shared" si="1104"/>
        <v>58.5</v>
      </c>
      <c r="BN148" s="23">
        <f>+'QTR Raw'!AH56</f>
        <v>58.5</v>
      </c>
      <c r="BO148" s="23">
        <f t="shared" si="1104"/>
        <v>58.5</v>
      </c>
      <c r="BP148" s="23">
        <f>+'QTR Raw'!AJ56</f>
        <v>58.5</v>
      </c>
      <c r="BQ148" s="23">
        <f t="shared" si="1104"/>
        <v>58.5</v>
      </c>
      <c r="BR148" s="23">
        <f>+'QTR Raw'!AL56</f>
        <v>60.26</v>
      </c>
      <c r="BS148" s="23">
        <f t="shared" si="1104"/>
        <v>60.26</v>
      </c>
      <c r="BT148" s="23">
        <f>+'QTR Raw'!AN56</f>
        <v>60.26</v>
      </c>
      <c r="BU148" s="23">
        <f t="shared" si="1104"/>
        <v>60.26</v>
      </c>
      <c r="BV148" s="23">
        <f>+'QTR Raw'!AP56</f>
        <v>297.44</v>
      </c>
      <c r="BW148" s="23">
        <f t="shared" si="1104"/>
        <v>297.44</v>
      </c>
      <c r="BX148" s="23">
        <f>+'QTR Raw'!AR56</f>
        <v>297.44</v>
      </c>
      <c r="BY148" s="23">
        <f t="shared" si="1104"/>
        <v>297.44</v>
      </c>
      <c r="BZ148" s="23">
        <f>+'QTR Raw'!AT56</f>
        <v>297.44</v>
      </c>
      <c r="CA148" s="23">
        <f t="shared" si="1104"/>
        <v>297.44</v>
      </c>
      <c r="CB148" s="23">
        <f>+'QTR Raw'!AV56</f>
        <v>297.44</v>
      </c>
      <c r="CC148" s="23">
        <f t="shared" si="1104"/>
        <v>297.44</v>
      </c>
      <c r="CD148" s="23">
        <f>+'QTR Raw'!AX56</f>
        <v>297.44</v>
      </c>
      <c r="CE148" s="23">
        <f t="shared" si="1104"/>
        <v>297.44</v>
      </c>
      <c r="CF148" s="23">
        <f>+'QTR Raw'!AZ56</f>
        <v>297.44</v>
      </c>
      <c r="CG148" s="23">
        <f t="shared" ref="CG148:CG149" si="1105">+CF148</f>
        <v>297.44</v>
      </c>
      <c r="CH148" s="23">
        <f>Z148</f>
        <v>297.44</v>
      </c>
      <c r="CI148" s="23">
        <f>CH148</f>
        <v>297.44</v>
      </c>
      <c r="CJ148" s="23">
        <f>+'QTR Raw'!BD56</f>
        <v>297.44</v>
      </c>
      <c r="CK148" s="23">
        <f t="shared" ref="CK148:DB148" si="1106">CJ148</f>
        <v>297.44</v>
      </c>
      <c r="CL148" s="23">
        <f>+'QTR Raw'!BF56</f>
        <v>297.44</v>
      </c>
      <c r="CM148" s="24">
        <f t="shared" si="1106"/>
        <v>297.44</v>
      </c>
      <c r="CN148" s="24">
        <f t="shared" si="1106"/>
        <v>297.44</v>
      </c>
      <c r="CO148" s="24">
        <f t="shared" si="1106"/>
        <v>297.44</v>
      </c>
      <c r="CP148" s="24">
        <f t="shared" si="1106"/>
        <v>297.44</v>
      </c>
      <c r="CQ148" s="24">
        <f t="shared" si="1106"/>
        <v>297.44</v>
      </c>
      <c r="CR148" s="24">
        <f t="shared" si="1106"/>
        <v>297.44</v>
      </c>
      <c r="CS148" s="24">
        <f t="shared" si="1106"/>
        <v>297.44</v>
      </c>
      <c r="CT148" s="24">
        <f t="shared" si="1106"/>
        <v>297.44</v>
      </c>
      <c r="CU148" s="24">
        <f t="shared" si="1106"/>
        <v>297.44</v>
      </c>
      <c r="CV148" s="24">
        <f t="shared" si="1106"/>
        <v>297.44</v>
      </c>
      <c r="CW148" s="24">
        <f t="shared" si="1106"/>
        <v>297.44</v>
      </c>
      <c r="CX148" s="24">
        <f t="shared" si="1106"/>
        <v>297.44</v>
      </c>
      <c r="CY148" s="24">
        <f t="shared" si="1106"/>
        <v>297.44</v>
      </c>
      <c r="CZ148" s="24">
        <f t="shared" si="1106"/>
        <v>297.44</v>
      </c>
      <c r="DA148" s="24">
        <f t="shared" si="1106"/>
        <v>297.44</v>
      </c>
      <c r="DB148" s="24">
        <f t="shared" si="1106"/>
        <v>297.44</v>
      </c>
      <c r="DE148" s="121"/>
      <c r="DF148" s="23">
        <v>0</v>
      </c>
    </row>
    <row r="149" spans="1:110" s="23" customFormat="1" outlineLevel="1" x14ac:dyDescent="0.2">
      <c r="A149" s="23" t="s">
        <v>42</v>
      </c>
      <c r="B149" s="23">
        <f>'Annual Raw'!C42</f>
        <v>5.4000000000000003E-3</v>
      </c>
      <c r="C149" s="23">
        <f>'Annual Raw'!D42</f>
        <v>5.4000000000000003E-3</v>
      </c>
      <c r="D149" s="23">
        <f>'Annual Raw'!E42</f>
        <v>5.4000000000000003E-3</v>
      </c>
      <c r="E149" s="23">
        <f>'Annual Raw'!F42</f>
        <v>5.4000000000000003E-3</v>
      </c>
      <c r="F149" s="23">
        <f>'Annual Raw'!G42</f>
        <v>5.4000000000000003E-3</v>
      </c>
      <c r="G149" s="23">
        <f>'Annual Raw'!H42</f>
        <v>2.8742000000000001</v>
      </c>
      <c r="H149" s="23">
        <f>'Annual Raw'!I42</f>
        <v>5.4000000000000003E-3</v>
      </c>
      <c r="I149" s="23">
        <f>'Annual Raw'!J42</f>
        <v>5.4000000000000003E-3</v>
      </c>
      <c r="J149" s="23">
        <f>'Annual Raw'!K42</f>
        <v>5.4000000000000003E-3</v>
      </c>
      <c r="K149" s="23">
        <f>'Annual Raw'!L42</f>
        <v>5.4000000000000003E-3</v>
      </c>
      <c r="L149" s="23">
        <f>'Annual Raw'!M42</f>
        <v>5.4000000000000003E-3</v>
      </c>
      <c r="M149" s="23">
        <f>'Annual Raw'!N42</f>
        <v>0</v>
      </c>
      <c r="N149" s="23">
        <f>'Annual Raw'!O42</f>
        <v>0</v>
      </c>
      <c r="O149" s="23">
        <f>'Annual Raw'!P42</f>
        <v>0</v>
      </c>
      <c r="P149" s="23">
        <f>'Annual Raw'!Q42</f>
        <v>0</v>
      </c>
      <c r="Q149" s="23">
        <f>'Annual Raw'!R42</f>
        <v>0</v>
      </c>
      <c r="R149" s="23">
        <f>'Annual Raw'!S42</f>
        <v>0</v>
      </c>
      <c r="S149" s="23">
        <f>'Annual Raw'!T42</f>
        <v>0</v>
      </c>
      <c r="T149" s="23">
        <f>'Annual Raw'!U42</f>
        <v>0.57999999999999996</v>
      </c>
      <c r="U149" s="23">
        <f>'Annual Raw'!V42</f>
        <v>1.56</v>
      </c>
      <c r="V149" s="23">
        <f>'Annual Raw'!W42</f>
        <v>2.52</v>
      </c>
      <c r="W149" s="23">
        <f>'Annual Raw'!X42</f>
        <v>3.22</v>
      </c>
      <c r="X149" s="23">
        <f>'Annual Raw'!Y42</f>
        <v>11.63</v>
      </c>
      <c r="Y149" s="23">
        <f>'Annual Raw'!Z42</f>
        <v>20.190000000000001</v>
      </c>
      <c r="Z149" s="23">
        <f>'Annual Raw'!AA42</f>
        <v>28.11</v>
      </c>
      <c r="AA149" s="23">
        <f>'Annual Raw'!AB42</f>
        <v>36.31</v>
      </c>
      <c r="AB149" s="24">
        <f t="shared" ref="AB149:AB150" si="1107">+CP149</f>
        <v>0</v>
      </c>
      <c r="AC149" s="24">
        <f t="shared" ref="AC149:AC150" si="1108">+CT149</f>
        <v>0</v>
      </c>
      <c r="AD149" s="24">
        <f t="shared" ref="AD149:AD150" si="1109">+CX149</f>
        <v>0</v>
      </c>
      <c r="AE149" s="24">
        <f t="shared" ref="AE149:AE150" si="1110">+DB149</f>
        <v>0</v>
      </c>
      <c r="AJ149" s="23">
        <f>+'QTR Raw'!D57</f>
        <v>0</v>
      </c>
      <c r="AK149" s="23">
        <f t="shared" ref="AK149:CE149" si="1111">+AJ149</f>
        <v>0</v>
      </c>
      <c r="AL149" s="23">
        <f>+'QTR Raw'!F57</f>
        <v>0</v>
      </c>
      <c r="AM149" s="23">
        <f t="shared" si="1111"/>
        <v>0</v>
      </c>
      <c r="AN149" s="23">
        <f>+'QTR Raw'!H57</f>
        <v>0</v>
      </c>
      <c r="AO149" s="23">
        <f t="shared" si="1111"/>
        <v>0</v>
      </c>
      <c r="AP149" s="23">
        <f>+'QTR Raw'!J57</f>
        <v>0</v>
      </c>
      <c r="AQ149" s="23">
        <f t="shared" si="1111"/>
        <v>0</v>
      </c>
      <c r="AR149" s="23">
        <f>+'QTR Raw'!L57</f>
        <v>0</v>
      </c>
      <c r="AS149" s="23">
        <f t="shared" si="1111"/>
        <v>0</v>
      </c>
      <c r="AT149" s="23">
        <f>+'QTR Raw'!N57</f>
        <v>0</v>
      </c>
      <c r="AU149" s="23">
        <f t="shared" si="1111"/>
        <v>0</v>
      </c>
      <c r="AV149" s="23">
        <f>+'QTR Raw'!P57</f>
        <v>0</v>
      </c>
      <c r="AW149" s="23">
        <f t="shared" si="1111"/>
        <v>0</v>
      </c>
      <c r="AX149" s="23">
        <f>+'QTR Raw'!R57</f>
        <v>0</v>
      </c>
      <c r="AY149" s="23">
        <f t="shared" si="1111"/>
        <v>0</v>
      </c>
      <c r="AZ149" s="23">
        <f>+'QTR Raw'!T57</f>
        <v>0</v>
      </c>
      <c r="BA149" s="23">
        <f t="shared" si="1111"/>
        <v>0</v>
      </c>
      <c r="BB149" s="23">
        <f>+'QTR Raw'!V57</f>
        <v>0</v>
      </c>
      <c r="BC149" s="23">
        <f t="shared" si="1111"/>
        <v>0</v>
      </c>
      <c r="BD149" s="23">
        <f>+'QTR Raw'!X57</f>
        <v>0</v>
      </c>
      <c r="BE149" s="23">
        <f t="shared" si="1111"/>
        <v>0</v>
      </c>
      <c r="BF149" s="23">
        <f>+'QTR Raw'!Z57</f>
        <v>0</v>
      </c>
      <c r="BG149" s="23">
        <f t="shared" si="1111"/>
        <v>0</v>
      </c>
      <c r="BH149" s="23">
        <f>+'QTR Raw'!AB57</f>
        <v>0</v>
      </c>
      <c r="BI149" s="23">
        <f t="shared" si="1111"/>
        <v>0</v>
      </c>
      <c r="BJ149" s="23">
        <f>+'QTR Raw'!AD57</f>
        <v>0</v>
      </c>
      <c r="BK149" s="23">
        <f t="shared" si="1111"/>
        <v>0</v>
      </c>
      <c r="BL149" s="23">
        <f>+'QTR Raw'!AF57</f>
        <v>0</v>
      </c>
      <c r="BM149" s="23">
        <f t="shared" si="1111"/>
        <v>0</v>
      </c>
      <c r="BN149" s="23">
        <f>+'QTR Raw'!AH57</f>
        <v>0</v>
      </c>
      <c r="BO149" s="23">
        <f t="shared" si="1111"/>
        <v>0</v>
      </c>
      <c r="BP149" s="23">
        <f>+'QTR Raw'!AJ57</f>
        <v>0</v>
      </c>
      <c r="BQ149" s="23">
        <f t="shared" si="1111"/>
        <v>0</v>
      </c>
      <c r="BR149" s="23">
        <f>+'QTR Raw'!AL57</f>
        <v>0</v>
      </c>
      <c r="BS149" s="23">
        <f t="shared" si="1111"/>
        <v>0</v>
      </c>
      <c r="BT149" s="23">
        <f>+'QTR Raw'!AN57</f>
        <v>0</v>
      </c>
      <c r="BU149" s="23">
        <f t="shared" si="1111"/>
        <v>0</v>
      </c>
      <c r="BV149" s="23">
        <f>+'QTR Raw'!AP57</f>
        <v>0</v>
      </c>
      <c r="BW149" s="23">
        <f t="shared" si="1111"/>
        <v>0</v>
      </c>
      <c r="BX149" s="23">
        <f>+'QTR Raw'!AR57</f>
        <v>0</v>
      </c>
      <c r="BY149" s="23">
        <f t="shared" si="1111"/>
        <v>0</v>
      </c>
      <c r="BZ149" s="23">
        <f>+'QTR Raw'!AT57</f>
        <v>0</v>
      </c>
      <c r="CA149" s="23">
        <f t="shared" si="1111"/>
        <v>0</v>
      </c>
      <c r="CB149" s="23">
        <f>+'QTR Raw'!AV57</f>
        <v>0</v>
      </c>
      <c r="CC149" s="23">
        <f t="shared" si="1111"/>
        <v>0</v>
      </c>
      <c r="CD149" s="23">
        <f>+'QTR Raw'!AX57</f>
        <v>0</v>
      </c>
      <c r="CE149" s="23">
        <f t="shared" si="1111"/>
        <v>0</v>
      </c>
      <c r="CF149" s="23">
        <f>+'QTR Raw'!AZ57</f>
        <v>0</v>
      </c>
      <c r="CG149" s="23">
        <f t="shared" si="1105"/>
        <v>0</v>
      </c>
      <c r="CH149" s="23">
        <f t="shared" ref="CH149:CH150" si="1112">Z149</f>
        <v>28.11</v>
      </c>
      <c r="CI149" s="23">
        <f>CH149</f>
        <v>28.11</v>
      </c>
      <c r="CJ149" s="23">
        <f>+'QTR Raw'!BD57</f>
        <v>0</v>
      </c>
      <c r="CK149" s="23">
        <f t="shared" ref="CK149:DB149" si="1113">CJ149</f>
        <v>0</v>
      </c>
      <c r="CL149" s="23">
        <f>+'QTR Raw'!BF57</f>
        <v>0</v>
      </c>
      <c r="CM149" s="24">
        <f t="shared" si="1113"/>
        <v>0</v>
      </c>
      <c r="CN149" s="24">
        <f t="shared" si="1113"/>
        <v>0</v>
      </c>
      <c r="CO149" s="24">
        <f t="shared" si="1113"/>
        <v>0</v>
      </c>
      <c r="CP149" s="24">
        <f t="shared" si="1113"/>
        <v>0</v>
      </c>
      <c r="CQ149" s="24">
        <f t="shared" si="1113"/>
        <v>0</v>
      </c>
      <c r="CR149" s="24">
        <f t="shared" si="1113"/>
        <v>0</v>
      </c>
      <c r="CS149" s="24">
        <f t="shared" si="1113"/>
        <v>0</v>
      </c>
      <c r="CT149" s="24">
        <f t="shared" si="1113"/>
        <v>0</v>
      </c>
      <c r="CU149" s="24">
        <f t="shared" si="1113"/>
        <v>0</v>
      </c>
      <c r="CV149" s="24">
        <f t="shared" si="1113"/>
        <v>0</v>
      </c>
      <c r="CW149" s="24">
        <f t="shared" si="1113"/>
        <v>0</v>
      </c>
      <c r="CX149" s="24">
        <f t="shared" si="1113"/>
        <v>0</v>
      </c>
      <c r="CY149" s="24">
        <f t="shared" si="1113"/>
        <v>0</v>
      </c>
      <c r="CZ149" s="24">
        <f t="shared" si="1113"/>
        <v>0</v>
      </c>
      <c r="DA149" s="24">
        <f t="shared" si="1113"/>
        <v>0</v>
      </c>
      <c r="DB149" s="24">
        <f t="shared" si="1113"/>
        <v>0</v>
      </c>
      <c r="DE149" s="121"/>
      <c r="DF149" s="23">
        <v>0</v>
      </c>
    </row>
    <row r="150" spans="1:110" s="23" customFormat="1" outlineLevel="1" x14ac:dyDescent="0.2">
      <c r="A150" s="23" t="s">
        <v>43</v>
      </c>
      <c r="B150" s="23">
        <f>'Annual Raw'!C43</f>
        <v>431.80500000000001</v>
      </c>
      <c r="C150" s="23">
        <f>'Annual Raw'!D43</f>
        <v>272.74799999999999</v>
      </c>
      <c r="D150" s="23">
        <f>'Annual Raw'!E43</f>
        <v>290.4341</v>
      </c>
      <c r="E150" s="23">
        <f>'Annual Raw'!F43</f>
        <v>339.15699999999998</v>
      </c>
      <c r="F150" s="23">
        <f>'Annual Raw'!G43</f>
        <v>386.3433</v>
      </c>
      <c r="G150" s="23">
        <f>'Annual Raw'!H43</f>
        <v>492.39429999999999</v>
      </c>
      <c r="H150" s="23">
        <f>'Annual Raw'!I43</f>
        <v>765.90260000000001</v>
      </c>
      <c r="I150" s="23">
        <f>'Annual Raw'!J43</f>
        <v>858.77179999999998</v>
      </c>
      <c r="J150" s="23">
        <f>'Annual Raw'!K43</f>
        <v>913.54880000000003</v>
      </c>
      <c r="K150" s="23">
        <f>'Annual Raw'!L43</f>
        <v>1212.3352</v>
      </c>
      <c r="L150" s="23">
        <f>'Annual Raw'!M43</f>
        <v>1636.4522999999999</v>
      </c>
      <c r="M150" s="23">
        <f>'Annual Raw'!N43</f>
        <v>1793.0952</v>
      </c>
      <c r="N150" s="23">
        <f>'Annual Raw'!O43</f>
        <v>1910.4916000000001</v>
      </c>
      <c r="O150" s="23">
        <f>'Annual Raw'!P43</f>
        <v>2008.2177999999999</v>
      </c>
      <c r="P150" s="23">
        <f>'Annual Raw'!Q43</f>
        <v>2237.9</v>
      </c>
      <c r="Q150" s="23">
        <f>'Annual Raw'!R43</f>
        <v>2704.54</v>
      </c>
      <c r="R150" s="23">
        <f>'Annual Raw'!S43</f>
        <v>3124.22</v>
      </c>
      <c r="S150" s="23">
        <f>'Annual Raw'!T43</f>
        <v>3506.09</v>
      </c>
      <c r="T150" s="23">
        <f>'Annual Raw'!U43</f>
        <v>4070.19</v>
      </c>
      <c r="U150" s="23">
        <f>'Annual Raw'!V43</f>
        <v>4873.26</v>
      </c>
      <c r="V150" s="23">
        <f>'Annual Raw'!W43</f>
        <v>6793.64</v>
      </c>
      <c r="W150" s="23">
        <f>'Annual Raw'!X43</f>
        <v>8264.7000000000007</v>
      </c>
      <c r="X150" s="23">
        <f>'Annual Raw'!Y43</f>
        <v>10017.98</v>
      </c>
      <c r="Y150" s="23">
        <f>'Annual Raw'!Z43</f>
        <v>11161.39</v>
      </c>
      <c r="Z150" s="23">
        <f>'Annual Raw'!AA43</f>
        <v>12300.65</v>
      </c>
      <c r="AA150" s="23">
        <f>'Annual Raw'!AB43</f>
        <v>13709.01</v>
      </c>
      <c r="AB150" s="24">
        <f t="shared" si="1107"/>
        <v>16162.033126723167</v>
      </c>
      <c r="AC150" s="24">
        <f t="shared" si="1108"/>
        <v>19028.263090568991</v>
      </c>
      <c r="AD150" s="24">
        <f t="shared" si="1109"/>
        <v>22708.444495749736</v>
      </c>
      <c r="AE150" s="24">
        <f t="shared" si="1110"/>
        <v>27319.295344486141</v>
      </c>
      <c r="AJ150" s="23">
        <f>+'QTR Raw'!D58</f>
        <v>1886.68</v>
      </c>
      <c r="AK150" s="23">
        <f>+AJ150+AK79</f>
        <v>1975.93</v>
      </c>
      <c r="AL150" s="23">
        <f>+'QTR Raw'!F58</f>
        <v>1910.49</v>
      </c>
      <c r="AM150" s="23">
        <f>+AL150+AM79</f>
        <v>1954.3</v>
      </c>
      <c r="AN150" s="23">
        <f>+'QTR Raw'!H58</f>
        <v>2046.63</v>
      </c>
      <c r="AO150" s="23">
        <f>+AN150+AO79</f>
        <v>2118.69</v>
      </c>
      <c r="AP150" s="23">
        <f>+'QTR Raw'!J58</f>
        <v>2008.22</v>
      </c>
      <c r="AQ150" s="23">
        <f>+AP150+AQ79</f>
        <v>2100.7200000000003</v>
      </c>
      <c r="AR150" s="23">
        <f>+'QTR Raw'!L58</f>
        <v>2242.0300000000002</v>
      </c>
      <c r="AS150" s="23">
        <f>+AR150+AS79</f>
        <v>2313.4299999999998</v>
      </c>
      <c r="AT150" s="23">
        <f>+'QTR Raw'!N58</f>
        <v>2237.9</v>
      </c>
      <c r="AU150" s="23">
        <f>+AT150+AU79</f>
        <v>2351.3200000000002</v>
      </c>
      <c r="AV150" s="23">
        <f>+'QTR Raw'!P58</f>
        <v>2412.0100000000002</v>
      </c>
      <c r="AW150" s="23">
        <f>+AV150+AW79</f>
        <v>2508.8900000000003</v>
      </c>
      <c r="AX150" s="23">
        <f>+'QTR Raw'!R58</f>
        <v>2704.54</v>
      </c>
      <c r="AY150" s="23">
        <f>+AX150+AY79</f>
        <v>2859.1</v>
      </c>
      <c r="AZ150" s="23">
        <f>+'QTR Raw'!T58</f>
        <v>2817.11</v>
      </c>
      <c r="BA150" s="23">
        <f>+AZ150+BA79</f>
        <v>2925.48</v>
      </c>
      <c r="BB150" s="23">
        <f>+'QTR Raw'!V58</f>
        <v>3124.22</v>
      </c>
      <c r="BC150" s="23">
        <f>+BB150+BC79</f>
        <v>3228.0299999999997</v>
      </c>
      <c r="BD150" s="23">
        <f>+'QTR Raw'!X58</f>
        <v>3287.36</v>
      </c>
      <c r="BE150" s="23">
        <f>+BD150+BE79</f>
        <v>3418.58</v>
      </c>
      <c r="BF150" s="23">
        <f>+'QTR Raw'!Z58</f>
        <v>3506.09</v>
      </c>
      <c r="BG150" s="23">
        <f>+BF150+BG79</f>
        <v>3639.9300000000003</v>
      </c>
      <c r="BH150" s="23">
        <f>+'QTR Raw'!AB58</f>
        <v>3707.84</v>
      </c>
      <c r="BI150" s="23">
        <f>+BH150+BI79</f>
        <v>3873.55</v>
      </c>
      <c r="BJ150" s="23">
        <f>+'QTR Raw'!AD58</f>
        <v>4070.77</v>
      </c>
      <c r="BK150" s="23">
        <f>+BJ150+BK79</f>
        <v>4259.99</v>
      </c>
      <c r="BL150" s="23">
        <f>+'QTR Raw'!AF58</f>
        <v>4507.29</v>
      </c>
      <c r="BM150" s="23">
        <f>+BL150+BM79</f>
        <v>4850.28</v>
      </c>
      <c r="BN150" s="23">
        <f>+'QTR Raw'!AH58</f>
        <v>4874.82</v>
      </c>
      <c r="BO150" s="23">
        <f>+BN150+BO79</f>
        <v>5051.91</v>
      </c>
      <c r="BP150" s="23">
        <f>+'QTR Raw'!AJ58</f>
        <v>5399.12</v>
      </c>
      <c r="BQ150" s="23">
        <f>+BP150+BQ79</f>
        <v>5723.85</v>
      </c>
      <c r="BR150" s="23">
        <f>+'QTR Raw'!AL58</f>
        <v>6796.16</v>
      </c>
      <c r="BS150" s="23">
        <f>+BR150+BS79</f>
        <v>7191.4400000000005</v>
      </c>
      <c r="BT150" s="23">
        <f>+'QTR Raw'!AN58</f>
        <v>7466.67</v>
      </c>
      <c r="BU150" s="23">
        <f>+BT150+BU79</f>
        <v>7972.21</v>
      </c>
      <c r="BV150" s="23">
        <f>+'QTR Raw'!AP58</f>
        <v>8267.92</v>
      </c>
      <c r="BW150" s="23">
        <f>+BV150+BW79</f>
        <v>8875.92</v>
      </c>
      <c r="BX150" s="23">
        <f>+'QTR Raw'!AR58</f>
        <v>8927.39</v>
      </c>
      <c r="BY150" s="23">
        <f>+BX150+BY79</f>
        <v>9438.2899999999991</v>
      </c>
      <c r="BZ150" s="23">
        <f>+'QTR Raw'!AT58</f>
        <v>10029.61</v>
      </c>
      <c r="CA150" s="23">
        <f>+BZ150+CA79</f>
        <v>10388.9</v>
      </c>
      <c r="CB150" s="23">
        <f>+'QTR Raw'!AV58</f>
        <v>10554.37</v>
      </c>
      <c r="CC150" s="23">
        <f>+CB150+CC79</f>
        <v>10807.800000000001</v>
      </c>
      <c r="CD150" s="23">
        <f>+'QTR Raw'!AX58</f>
        <v>11181.58</v>
      </c>
      <c r="CE150" s="23">
        <f>+CD150+CE79</f>
        <v>11433.8</v>
      </c>
      <c r="CF150" s="23">
        <f>+'QTR Raw'!AZ58</f>
        <v>11699.87</v>
      </c>
      <c r="CG150" s="23">
        <f>+CF150+CG79</f>
        <v>11970.95</v>
      </c>
      <c r="CH150" s="23">
        <f t="shared" si="1112"/>
        <v>12300.65</v>
      </c>
      <c r="CI150" s="23">
        <f>CH150+CI79</f>
        <v>12732.97</v>
      </c>
      <c r="CJ150" s="23">
        <f>+'QTR Raw'!BD58</f>
        <v>12966.18</v>
      </c>
      <c r="CK150" s="23">
        <f t="shared" ref="CK150:DB150" si="1114">CJ150+CK79</f>
        <v>13398.84</v>
      </c>
      <c r="CL150" s="23">
        <f>+'QTR Raw'!BF58</f>
        <v>13745.32</v>
      </c>
      <c r="CM150" s="24">
        <f t="shared" si="1114"/>
        <v>14287.515875741279</v>
      </c>
      <c r="CN150" s="24">
        <f t="shared" si="1114"/>
        <v>14811.742296950248</v>
      </c>
      <c r="CO150" s="24">
        <f t="shared" si="1114"/>
        <v>15396.160086396807</v>
      </c>
      <c r="CP150" s="24">
        <f t="shared" si="1114"/>
        <v>16162.033126723167</v>
      </c>
      <c r="CQ150" s="24">
        <f t="shared" si="1114"/>
        <v>16802.240305225892</v>
      </c>
      <c r="CR150" s="24">
        <f t="shared" si="1114"/>
        <v>17424.015694774342</v>
      </c>
      <c r="CS150" s="24">
        <f t="shared" si="1114"/>
        <v>18104.421615807172</v>
      </c>
      <c r="CT150" s="24">
        <f t="shared" si="1114"/>
        <v>19028.263090568991</v>
      </c>
      <c r="CU150" s="24">
        <f t="shared" si="1114"/>
        <v>19860.154514999354</v>
      </c>
      <c r="CV150" s="24">
        <f t="shared" si="1114"/>
        <v>20668.64143002166</v>
      </c>
      <c r="CW150" s="24">
        <f t="shared" si="1114"/>
        <v>21543.797247688053</v>
      </c>
      <c r="CX150" s="24">
        <f t="shared" si="1114"/>
        <v>22708.444495749736</v>
      </c>
      <c r="CY150" s="24">
        <f t="shared" si="1114"/>
        <v>23758.961425384186</v>
      </c>
      <c r="CZ150" s="24">
        <f t="shared" si="1114"/>
        <v>24781.553382671369</v>
      </c>
      <c r="DA150" s="24">
        <f t="shared" si="1114"/>
        <v>25881.522191873835</v>
      </c>
      <c r="DB150" s="24">
        <f t="shared" si="1114"/>
        <v>27319.295344486141</v>
      </c>
      <c r="DE150" s="121"/>
      <c r="DF150" s="23">
        <v>0</v>
      </c>
    </row>
    <row r="151" spans="1:110" s="22" customFormat="1" x14ac:dyDescent="0.2">
      <c r="A151" s="22" t="s">
        <v>44</v>
      </c>
      <c r="B151" s="22">
        <f>B148+B149+B150</f>
        <v>497.34929999999997</v>
      </c>
      <c r="C151" s="22">
        <f t="shared" ref="C151:V151" si="1115">C148+C149+C150</f>
        <v>338.2928</v>
      </c>
      <c r="D151" s="22">
        <f t="shared" si="1115"/>
        <v>355.98070000000001</v>
      </c>
      <c r="E151" s="22">
        <f t="shared" si="1115"/>
        <v>404.70359999999999</v>
      </c>
      <c r="F151" s="22">
        <f t="shared" si="1115"/>
        <v>451.88990000000001</v>
      </c>
      <c r="G151" s="22">
        <f t="shared" si="1115"/>
        <v>560.80970000000002</v>
      </c>
      <c r="H151" s="22">
        <f t="shared" si="1115"/>
        <v>834.80809999999997</v>
      </c>
      <c r="I151" s="22">
        <f t="shared" si="1115"/>
        <v>927.67729999999995</v>
      </c>
      <c r="J151" s="22">
        <f t="shared" si="1115"/>
        <v>975.25430000000006</v>
      </c>
      <c r="K151" s="22">
        <f t="shared" si="1115"/>
        <v>1273.8593000000001</v>
      </c>
      <c r="L151" s="22">
        <f t="shared" si="1115"/>
        <v>1697.9764</v>
      </c>
      <c r="M151" s="22">
        <f>M148+M149+M150</f>
        <v>1851.5308</v>
      </c>
      <c r="N151" s="22">
        <f t="shared" si="1115"/>
        <v>1968.9272000000001</v>
      </c>
      <c r="O151" s="22">
        <f t="shared" si="1115"/>
        <v>2066.6533999999997</v>
      </c>
      <c r="P151" s="22">
        <f t="shared" si="1115"/>
        <v>2296.34</v>
      </c>
      <c r="Q151" s="22">
        <f t="shared" si="1115"/>
        <v>2762.98</v>
      </c>
      <c r="R151" s="22">
        <f t="shared" si="1115"/>
        <v>3182.66</v>
      </c>
      <c r="S151" s="22">
        <f t="shared" si="1115"/>
        <v>3564.53</v>
      </c>
      <c r="T151" s="22">
        <f t="shared" si="1115"/>
        <v>4129.2700000000004</v>
      </c>
      <c r="U151" s="22">
        <f t="shared" si="1115"/>
        <v>4933.3200000000006</v>
      </c>
      <c r="V151" s="22">
        <f t="shared" si="1115"/>
        <v>6856.42</v>
      </c>
      <c r="W151" s="22">
        <f t="shared" ref="W151" si="1116">W148+W149+W150</f>
        <v>8565.36</v>
      </c>
      <c r="X151" s="22">
        <f t="shared" ref="X151:Y151" si="1117">X148+X149+X150</f>
        <v>10327.049999999999</v>
      </c>
      <c r="Y151" s="22">
        <f t="shared" si="1117"/>
        <v>11479.019999999999</v>
      </c>
      <c r="Z151" s="22">
        <f t="shared" ref="Z151:AA151" si="1118">Z148+Z149+Z150</f>
        <v>12626.199999999999</v>
      </c>
      <c r="AA151" s="22">
        <f t="shared" si="1118"/>
        <v>14042.76</v>
      </c>
      <c r="AB151" s="21">
        <f t="shared" ref="AA151:AD151" si="1119">AB148+AB149+AB150</f>
        <v>16459.473126723165</v>
      </c>
      <c r="AC151" s="21">
        <f t="shared" si="1119"/>
        <v>19325.70309056899</v>
      </c>
      <c r="AD151" s="21">
        <f t="shared" si="1119"/>
        <v>23005.884495749735</v>
      </c>
      <c r="AE151" s="21">
        <f t="shared" ref="AE151" si="1120">AE148+AE149+AE150</f>
        <v>27616.73534448614</v>
      </c>
      <c r="AJ151" s="22">
        <f t="shared" ref="AJ151" si="1121">AJ148+AJ149+AJ150</f>
        <v>1945.1200000000001</v>
      </c>
      <c r="AK151" s="22">
        <f t="shared" ref="AK151" si="1122">AK148+AK149+AK150</f>
        <v>2034.3700000000001</v>
      </c>
      <c r="AL151" s="22">
        <f t="shared" ref="AL151:AM151" si="1123">AL148+AL149+AL150</f>
        <v>1968.93</v>
      </c>
      <c r="AM151" s="22">
        <f t="shared" si="1123"/>
        <v>2012.74</v>
      </c>
      <c r="AN151" s="22">
        <f t="shared" ref="AN151:AO151" si="1124">AN148+AN149+AN150</f>
        <v>2105.0700000000002</v>
      </c>
      <c r="AO151" s="22">
        <f t="shared" si="1124"/>
        <v>2177.13</v>
      </c>
      <c r="AP151" s="22">
        <f t="shared" ref="AP151:CE151" si="1125">AP148+AP149+AP150</f>
        <v>2066.66</v>
      </c>
      <c r="AQ151" s="22">
        <f t="shared" si="1125"/>
        <v>2159.1600000000003</v>
      </c>
      <c r="AR151" s="22">
        <f t="shared" si="1125"/>
        <v>2300.4700000000003</v>
      </c>
      <c r="AS151" s="22">
        <f t="shared" si="1125"/>
        <v>2371.87</v>
      </c>
      <c r="AT151" s="22">
        <f t="shared" si="1125"/>
        <v>2296.34</v>
      </c>
      <c r="AU151" s="22">
        <f t="shared" si="1125"/>
        <v>2409.7600000000002</v>
      </c>
      <c r="AV151" s="22">
        <f t="shared" si="1125"/>
        <v>2470.4500000000003</v>
      </c>
      <c r="AW151" s="22">
        <f t="shared" si="1125"/>
        <v>2567.3300000000004</v>
      </c>
      <c r="AX151" s="22">
        <f t="shared" si="1125"/>
        <v>2762.98</v>
      </c>
      <c r="AY151" s="22">
        <f t="shared" si="1125"/>
        <v>2917.54</v>
      </c>
      <c r="AZ151" s="22">
        <f t="shared" si="1125"/>
        <v>2875.55</v>
      </c>
      <c r="BA151" s="22">
        <f t="shared" si="1125"/>
        <v>2983.92</v>
      </c>
      <c r="BB151" s="22">
        <f t="shared" si="1125"/>
        <v>3182.66</v>
      </c>
      <c r="BC151" s="22">
        <f t="shared" si="1125"/>
        <v>3286.47</v>
      </c>
      <c r="BD151" s="22">
        <f t="shared" si="1125"/>
        <v>3345.8</v>
      </c>
      <c r="BE151" s="22">
        <f t="shared" si="1125"/>
        <v>3477.02</v>
      </c>
      <c r="BF151" s="22">
        <f t="shared" si="1125"/>
        <v>3564.53</v>
      </c>
      <c r="BG151" s="22">
        <f t="shared" si="1125"/>
        <v>3698.3700000000003</v>
      </c>
      <c r="BH151" s="22">
        <f t="shared" si="1125"/>
        <v>3766.34</v>
      </c>
      <c r="BI151" s="22">
        <f t="shared" si="1125"/>
        <v>3932.05</v>
      </c>
      <c r="BJ151" s="22">
        <f t="shared" si="1125"/>
        <v>4129.2700000000004</v>
      </c>
      <c r="BK151" s="22">
        <f t="shared" si="1125"/>
        <v>4318.49</v>
      </c>
      <c r="BL151" s="22">
        <f t="shared" si="1125"/>
        <v>4565.79</v>
      </c>
      <c r="BM151" s="22">
        <f t="shared" si="1125"/>
        <v>4908.78</v>
      </c>
      <c r="BN151" s="22">
        <f t="shared" si="1125"/>
        <v>4933.32</v>
      </c>
      <c r="BO151" s="22">
        <f t="shared" si="1125"/>
        <v>5110.41</v>
      </c>
      <c r="BP151" s="22">
        <f t="shared" si="1125"/>
        <v>5457.62</v>
      </c>
      <c r="BQ151" s="22">
        <f t="shared" si="1125"/>
        <v>5782.35</v>
      </c>
      <c r="BR151" s="22">
        <f t="shared" si="1125"/>
        <v>6856.42</v>
      </c>
      <c r="BS151" s="22">
        <f t="shared" si="1125"/>
        <v>7251.7000000000007</v>
      </c>
      <c r="BT151" s="22">
        <f t="shared" si="1125"/>
        <v>7526.93</v>
      </c>
      <c r="BU151" s="22">
        <f t="shared" si="1125"/>
        <v>8032.47</v>
      </c>
      <c r="BV151" s="22">
        <f t="shared" si="1125"/>
        <v>8565.36</v>
      </c>
      <c r="BW151" s="22">
        <f t="shared" si="1125"/>
        <v>9173.36</v>
      </c>
      <c r="BX151" s="22">
        <f t="shared" si="1125"/>
        <v>9224.83</v>
      </c>
      <c r="BY151" s="22">
        <f t="shared" si="1125"/>
        <v>9735.73</v>
      </c>
      <c r="BZ151" s="22">
        <f t="shared" si="1125"/>
        <v>10327.050000000001</v>
      </c>
      <c r="CA151" s="22">
        <f t="shared" si="1125"/>
        <v>10686.34</v>
      </c>
      <c r="CB151" s="22">
        <f t="shared" si="1125"/>
        <v>10851.810000000001</v>
      </c>
      <c r="CC151" s="22">
        <f t="shared" si="1125"/>
        <v>11105.240000000002</v>
      </c>
      <c r="CD151" s="22">
        <f t="shared" si="1125"/>
        <v>11479.02</v>
      </c>
      <c r="CE151" s="22">
        <f t="shared" si="1125"/>
        <v>11731.24</v>
      </c>
      <c r="CF151" s="22">
        <f t="shared" ref="CF151:CG151" si="1126">CF148+CF149+CF150</f>
        <v>11997.310000000001</v>
      </c>
      <c r="CG151" s="22">
        <f t="shared" si="1126"/>
        <v>12268.390000000001</v>
      </c>
      <c r="CH151" s="22">
        <f t="shared" ref="CH151:CI151" si="1127">CH148+CH149+CH150</f>
        <v>12626.199999999999</v>
      </c>
      <c r="CI151" s="22">
        <f t="shared" si="1127"/>
        <v>13058.519999999999</v>
      </c>
      <c r="CJ151" s="22">
        <f t="shared" ref="CJ151:DB151" si="1128">CJ148+CJ149+CJ150</f>
        <v>13263.62</v>
      </c>
      <c r="CK151" s="22">
        <f t="shared" si="1128"/>
        <v>13696.28</v>
      </c>
      <c r="CL151" s="22">
        <f t="shared" ref="CL151" si="1129">CL148+CL149+CL150</f>
        <v>14042.76</v>
      </c>
      <c r="CM151" s="21">
        <f t="shared" si="1128"/>
        <v>14584.95587574128</v>
      </c>
      <c r="CN151" s="21">
        <f t="shared" si="1128"/>
        <v>15109.182296950248</v>
      </c>
      <c r="CO151" s="21">
        <f t="shared" si="1128"/>
        <v>15693.600086396807</v>
      </c>
      <c r="CP151" s="21">
        <f t="shared" si="1128"/>
        <v>16459.473126723165</v>
      </c>
      <c r="CQ151" s="21">
        <f t="shared" si="1128"/>
        <v>17099.680305225891</v>
      </c>
      <c r="CR151" s="21">
        <f t="shared" si="1128"/>
        <v>17721.45569477434</v>
      </c>
      <c r="CS151" s="21">
        <f t="shared" si="1128"/>
        <v>18401.861615807171</v>
      </c>
      <c r="CT151" s="21">
        <f t="shared" si="1128"/>
        <v>19325.70309056899</v>
      </c>
      <c r="CU151" s="21">
        <f t="shared" si="1128"/>
        <v>20157.594514999353</v>
      </c>
      <c r="CV151" s="21">
        <f t="shared" si="1128"/>
        <v>20966.081430021659</v>
      </c>
      <c r="CW151" s="21">
        <f t="shared" si="1128"/>
        <v>21841.237247688052</v>
      </c>
      <c r="CX151" s="21">
        <f t="shared" si="1128"/>
        <v>23005.884495749735</v>
      </c>
      <c r="CY151" s="21">
        <f t="shared" si="1128"/>
        <v>24056.401425384185</v>
      </c>
      <c r="CZ151" s="21">
        <f t="shared" si="1128"/>
        <v>25078.993382671368</v>
      </c>
      <c r="DA151" s="21">
        <f t="shared" si="1128"/>
        <v>26178.962191873834</v>
      </c>
      <c r="DB151" s="21">
        <f t="shared" si="1128"/>
        <v>27616.73534448614</v>
      </c>
      <c r="DE151" s="123"/>
      <c r="DF151" s="22">
        <v>0</v>
      </c>
    </row>
    <row r="152" spans="1:110" s="22" customFormat="1" x14ac:dyDescent="0.2">
      <c r="AB152" s="21"/>
      <c r="AC152" s="21"/>
      <c r="AD152" s="21"/>
      <c r="AE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E152" s="123"/>
    </row>
    <row r="153" spans="1:110" s="23" customFormat="1" x14ac:dyDescent="0.2">
      <c r="A153" s="23" t="s">
        <v>23</v>
      </c>
      <c r="B153" s="23">
        <f>'Annual Raw'!C45</f>
        <v>0</v>
      </c>
      <c r="C153" s="23">
        <f>'Annual Raw'!D45</f>
        <v>0</v>
      </c>
      <c r="D153" s="23">
        <f>'Annual Raw'!E45</f>
        <v>0</v>
      </c>
      <c r="E153" s="23">
        <f>'Annual Raw'!F45</f>
        <v>0</v>
      </c>
      <c r="F153" s="23">
        <f>'Annual Raw'!G45</f>
        <v>0</v>
      </c>
      <c r="G153" s="23">
        <f>'Annual Raw'!H45</f>
        <v>0</v>
      </c>
      <c r="H153" s="23">
        <f>'Annual Raw'!I45</f>
        <v>0</v>
      </c>
      <c r="I153" s="23">
        <f>'Annual Raw'!J45</f>
        <v>0</v>
      </c>
      <c r="J153" s="23">
        <f>'Annual Raw'!K45</f>
        <v>0</v>
      </c>
      <c r="K153" s="23">
        <f>'Annual Raw'!L45</f>
        <v>0</v>
      </c>
      <c r="L153" s="23">
        <f>'Annual Raw'!M45</f>
        <v>0</v>
      </c>
      <c r="M153" s="23">
        <f>'Annual Raw'!N45</f>
        <v>6.1000000000000004E-3</v>
      </c>
      <c r="N153" s="23">
        <f>'Annual Raw'!O45</f>
        <v>0</v>
      </c>
      <c r="O153" s="23">
        <f>'Annual Raw'!P45</f>
        <v>0</v>
      </c>
      <c r="P153" s="23">
        <f>'Annual Raw'!Q45</f>
        <v>0</v>
      </c>
      <c r="Q153" s="23">
        <f>'Annual Raw'!R45</f>
        <v>0</v>
      </c>
      <c r="R153" s="23">
        <f>'Annual Raw'!S45</f>
        <v>0</v>
      </c>
      <c r="S153" s="23">
        <f>'Annual Raw'!T45</f>
        <v>0</v>
      </c>
      <c r="T153" s="23">
        <f>'Annual Raw'!U45</f>
        <v>0</v>
      </c>
      <c r="U153" s="23">
        <f>'Annual Raw'!V45</f>
        <v>0</v>
      </c>
      <c r="V153" s="23">
        <f>'Annual Raw'!W45</f>
        <v>0</v>
      </c>
      <c r="W153" s="23">
        <f>'Annual Raw'!X45</f>
        <v>0</v>
      </c>
      <c r="X153" s="23">
        <f>'Annual Raw'!Y45</f>
        <v>0</v>
      </c>
      <c r="Y153" s="23">
        <f>'Annual Raw'!Z45</f>
        <v>0</v>
      </c>
      <c r="Z153" s="23">
        <f>'Annual Raw'!AA45</f>
        <v>0</v>
      </c>
      <c r="AA153" s="23">
        <f>'Annual Raw'!AB45</f>
        <v>0</v>
      </c>
      <c r="AB153" s="24">
        <f>+CP153</f>
        <v>0</v>
      </c>
      <c r="AC153" s="24">
        <f>+CT153</f>
        <v>0</v>
      </c>
      <c r="AD153" s="24">
        <f>+CX153</f>
        <v>0</v>
      </c>
      <c r="AE153" s="24">
        <f>+DB153</f>
        <v>0</v>
      </c>
      <c r="AJ153" s="23">
        <f>+'QTR Raw'!D60</f>
        <v>0</v>
      </c>
      <c r="AK153" s="23">
        <f t="shared" ref="AK153:CE153" si="1130">+AJ153</f>
        <v>0</v>
      </c>
      <c r="AL153" s="23">
        <f>+'QTR Raw'!F60</f>
        <v>0</v>
      </c>
      <c r="AM153" s="23">
        <f t="shared" si="1130"/>
        <v>0</v>
      </c>
      <c r="AN153" s="23">
        <f>+'QTR Raw'!H60</f>
        <v>0</v>
      </c>
      <c r="AO153" s="23">
        <f t="shared" si="1130"/>
        <v>0</v>
      </c>
      <c r="AP153" s="23">
        <f>+'QTR Raw'!J60</f>
        <v>0</v>
      </c>
      <c r="AQ153" s="23">
        <f t="shared" si="1130"/>
        <v>0</v>
      </c>
      <c r="AR153" s="23">
        <f>+'QTR Raw'!L60</f>
        <v>0</v>
      </c>
      <c r="AS153" s="23">
        <f t="shared" si="1130"/>
        <v>0</v>
      </c>
      <c r="AT153" s="23">
        <f>+'QTR Raw'!N60</f>
        <v>0</v>
      </c>
      <c r="AU153" s="23">
        <f t="shared" si="1130"/>
        <v>0</v>
      </c>
      <c r="AV153" s="23">
        <f>+'QTR Raw'!P60</f>
        <v>0</v>
      </c>
      <c r="AW153" s="23">
        <f t="shared" si="1130"/>
        <v>0</v>
      </c>
      <c r="AX153" s="23">
        <f>+'QTR Raw'!R60</f>
        <v>0</v>
      </c>
      <c r="AY153" s="23">
        <f t="shared" si="1130"/>
        <v>0</v>
      </c>
      <c r="AZ153" s="23">
        <f>+'QTR Raw'!T60</f>
        <v>0</v>
      </c>
      <c r="BA153" s="23">
        <f t="shared" si="1130"/>
        <v>0</v>
      </c>
      <c r="BB153" s="23">
        <f>+'QTR Raw'!V60</f>
        <v>0</v>
      </c>
      <c r="BC153" s="23">
        <f t="shared" si="1130"/>
        <v>0</v>
      </c>
      <c r="BD153" s="23">
        <f>+'QTR Raw'!X60</f>
        <v>0</v>
      </c>
      <c r="BE153" s="23">
        <f t="shared" si="1130"/>
        <v>0</v>
      </c>
      <c r="BF153" s="23">
        <f>+'QTR Raw'!Z60</f>
        <v>0</v>
      </c>
      <c r="BG153" s="23">
        <f t="shared" si="1130"/>
        <v>0</v>
      </c>
      <c r="BH153" s="22">
        <f>+'QTR Raw'!AB60</f>
        <v>0</v>
      </c>
      <c r="BI153" s="23">
        <f t="shared" si="1130"/>
        <v>0</v>
      </c>
      <c r="BJ153" s="23">
        <f>+'QTR Raw'!AD60</f>
        <v>0</v>
      </c>
      <c r="BK153" s="23">
        <f t="shared" si="1130"/>
        <v>0</v>
      </c>
      <c r="BL153" s="23">
        <f>+'QTR Raw'!AF60</f>
        <v>0</v>
      </c>
      <c r="BM153" s="23">
        <f t="shared" si="1130"/>
        <v>0</v>
      </c>
      <c r="BN153" s="23">
        <f>+'QTR Raw'!AH60</f>
        <v>0</v>
      </c>
      <c r="BO153" s="23">
        <f t="shared" si="1130"/>
        <v>0</v>
      </c>
      <c r="BP153" s="23">
        <f>+'QTR Raw'!AJ60</f>
        <v>0</v>
      </c>
      <c r="BQ153" s="23">
        <f t="shared" si="1130"/>
        <v>0</v>
      </c>
      <c r="BR153" s="23">
        <f>+'QTR Raw'!AL60</f>
        <v>0</v>
      </c>
      <c r="BS153" s="23">
        <f t="shared" si="1130"/>
        <v>0</v>
      </c>
      <c r="BT153" s="23">
        <f>+'QTR Raw'!AN60</f>
        <v>0</v>
      </c>
      <c r="BU153" s="23">
        <f t="shared" si="1130"/>
        <v>0</v>
      </c>
      <c r="BV153" s="23">
        <f>+'QTR Raw'!AP60</f>
        <v>0</v>
      </c>
      <c r="BW153" s="23">
        <f t="shared" si="1130"/>
        <v>0</v>
      </c>
      <c r="BX153" s="23">
        <f>+'QTR Raw'!AR60</f>
        <v>0</v>
      </c>
      <c r="BY153" s="23">
        <f t="shared" si="1130"/>
        <v>0</v>
      </c>
      <c r="BZ153" s="23">
        <f>+'QTR Raw'!AT60</f>
        <v>0</v>
      </c>
      <c r="CA153" s="23">
        <f t="shared" si="1130"/>
        <v>0</v>
      </c>
      <c r="CB153" s="23">
        <f>+'QTR Raw'!AV60</f>
        <v>0</v>
      </c>
      <c r="CC153" s="23">
        <f t="shared" si="1130"/>
        <v>0</v>
      </c>
      <c r="CD153" s="23">
        <f>+'QTR Raw'!AX60</f>
        <v>0</v>
      </c>
      <c r="CE153" s="23">
        <f t="shared" si="1130"/>
        <v>0</v>
      </c>
      <c r="CF153" s="23">
        <f>+'QTR Raw'!AZ60</f>
        <v>0</v>
      </c>
      <c r="CG153" s="23">
        <f t="shared" ref="CG153:CI153" si="1131">+CF153</f>
        <v>0</v>
      </c>
      <c r="CH153" s="23">
        <f t="shared" ref="CH153:CH158" si="1132">Z153</f>
        <v>0</v>
      </c>
      <c r="CI153" s="23">
        <f t="shared" si="1131"/>
        <v>0</v>
      </c>
      <c r="CJ153" s="23">
        <f>+'QTR Raw'!BD60</f>
        <v>0</v>
      </c>
      <c r="CK153" s="23">
        <f t="shared" ref="CK153" si="1133">+CJ153</f>
        <v>0</v>
      </c>
      <c r="CL153" s="23">
        <f>+'QTR Raw'!BF60</f>
        <v>0</v>
      </c>
      <c r="CM153" s="24">
        <f t="shared" ref="CM153" si="1134">+CL153</f>
        <v>0</v>
      </c>
      <c r="CN153" s="24">
        <f t="shared" ref="CN153" si="1135">+CM153</f>
        <v>0</v>
      </c>
      <c r="CO153" s="24">
        <f t="shared" ref="CO153" si="1136">+CN153</f>
        <v>0</v>
      </c>
      <c r="CP153" s="24">
        <f t="shared" ref="CP153" si="1137">+CO153</f>
        <v>0</v>
      </c>
      <c r="CQ153" s="24">
        <f t="shared" ref="CQ153" si="1138">+CP153</f>
        <v>0</v>
      </c>
      <c r="CR153" s="24">
        <f t="shared" ref="CR153" si="1139">+CQ153</f>
        <v>0</v>
      </c>
      <c r="CS153" s="24">
        <f t="shared" ref="CS153" si="1140">+CR153</f>
        <v>0</v>
      </c>
      <c r="CT153" s="24">
        <f t="shared" ref="CT153" si="1141">+CS153</f>
        <v>0</v>
      </c>
      <c r="CU153" s="24">
        <f t="shared" ref="CU153" si="1142">+CT153</f>
        <v>0</v>
      </c>
      <c r="CV153" s="24">
        <f t="shared" ref="CV153" si="1143">+CU153</f>
        <v>0</v>
      </c>
      <c r="CW153" s="24">
        <f t="shared" ref="CW153" si="1144">+CV153</f>
        <v>0</v>
      </c>
      <c r="CX153" s="24">
        <f t="shared" ref="CX153" si="1145">+CW153</f>
        <v>0</v>
      </c>
      <c r="CY153" s="24">
        <f t="shared" ref="CY153" si="1146">+CX153</f>
        <v>0</v>
      </c>
      <c r="CZ153" s="24">
        <f t="shared" ref="CZ153" si="1147">+CY153</f>
        <v>0</v>
      </c>
      <c r="DA153" s="24">
        <f t="shared" ref="DA153" si="1148">+CZ153</f>
        <v>0</v>
      </c>
      <c r="DB153" s="24">
        <f t="shared" ref="DB153" si="1149">+DA153</f>
        <v>0</v>
      </c>
      <c r="DE153" s="121"/>
      <c r="DF153" s="23">
        <v>0</v>
      </c>
    </row>
    <row r="154" spans="1:110" s="23" customFormat="1" x14ac:dyDescent="0.2">
      <c r="AB154" s="24"/>
      <c r="AC154" s="24"/>
      <c r="AD154" s="24"/>
      <c r="AE154" s="24"/>
      <c r="BH154" s="22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1"/>
    </row>
    <row r="155" spans="1:110" s="23" customFormat="1" outlineLevel="1" x14ac:dyDescent="0.2">
      <c r="A155" s="23" t="s">
        <v>45</v>
      </c>
      <c r="B155" s="23">
        <f>'Annual Raw'!C47</f>
        <v>368.09140000000002</v>
      </c>
      <c r="C155" s="23">
        <f>'Annual Raw'!D47</f>
        <v>346.92720000000003</v>
      </c>
      <c r="D155" s="23">
        <f>'Annual Raw'!E47</f>
        <v>273.4905</v>
      </c>
      <c r="E155" s="23">
        <f>'Annual Raw'!F47</f>
        <v>242.45140000000001</v>
      </c>
      <c r="F155" s="23">
        <f>'Annual Raw'!G47</f>
        <v>431.00369999999998</v>
      </c>
      <c r="G155" s="23">
        <f>'Annual Raw'!H47</f>
        <v>613.88400000000001</v>
      </c>
      <c r="H155" s="23">
        <f>'Annual Raw'!I47</f>
        <v>489.07150000000001</v>
      </c>
      <c r="I155" s="23">
        <f>'Annual Raw'!J47</f>
        <v>444.16980000000001</v>
      </c>
      <c r="J155" s="23">
        <f>'Annual Raw'!K47</f>
        <v>919.45929999999998</v>
      </c>
      <c r="K155" s="23">
        <f>'Annual Raw'!L47</f>
        <v>838.50220000000002</v>
      </c>
      <c r="L155" s="23">
        <f>'Annual Raw'!M47</f>
        <v>480.3082</v>
      </c>
      <c r="M155" s="23">
        <f>'Annual Raw'!N47</f>
        <v>465.35219999999998</v>
      </c>
      <c r="N155" s="23">
        <f>'Annual Raw'!O47</f>
        <v>756.17579999999998</v>
      </c>
      <c r="O155" s="23">
        <f>'Annual Raw'!P47</f>
        <v>1337.3568</v>
      </c>
      <c r="P155" s="23">
        <f>'Annual Raw'!Q47</f>
        <v>1538.31</v>
      </c>
      <c r="Q155" s="23">
        <f>'Annual Raw'!R47</f>
        <v>1902.8</v>
      </c>
      <c r="R155" s="23">
        <f>'Annual Raw'!S47</f>
        <v>1406.89</v>
      </c>
      <c r="S155" s="23">
        <f>'Annual Raw'!T47</f>
        <v>1894.52</v>
      </c>
      <c r="T155" s="23">
        <f>'Annual Raw'!U47</f>
        <v>1750.19</v>
      </c>
      <c r="U155" s="23">
        <f>'Annual Raw'!V47</f>
        <v>1692.7</v>
      </c>
      <c r="V155" s="23">
        <f>'Annual Raw'!W47</f>
        <v>1965.01</v>
      </c>
      <c r="W155" s="23">
        <f>'Annual Raw'!X47</f>
        <v>1753.3</v>
      </c>
      <c r="X155" s="23">
        <f>'Annual Raw'!Y47</f>
        <v>2311.52</v>
      </c>
      <c r="Y155" s="23">
        <f>'Annual Raw'!Z47</f>
        <v>1975.23</v>
      </c>
      <c r="Z155" s="23">
        <f>'Annual Raw'!AA47</f>
        <v>1796.27</v>
      </c>
      <c r="AA155" s="23">
        <f>'Annual Raw'!AB47</f>
        <v>1397.83</v>
      </c>
      <c r="AB155" s="24">
        <f t="shared" ref="AB155:AB158" si="1150">+CP155</f>
        <v>0</v>
      </c>
      <c r="AC155" s="24">
        <f t="shared" ref="AC155:AC158" si="1151">+CT155</f>
        <v>0</v>
      </c>
      <c r="AD155" s="24">
        <f t="shared" ref="AD155:AD158" si="1152">+CX155</f>
        <v>0</v>
      </c>
      <c r="AE155" s="24">
        <f t="shared" ref="AE155:AE158" si="1153">+DB155</f>
        <v>0</v>
      </c>
      <c r="AJ155" s="23">
        <f>+'QTR Raw'!D62</f>
        <v>0</v>
      </c>
      <c r="AK155" s="23">
        <f t="shared" ref="AK155:CC158" si="1154">+AJ155</f>
        <v>0</v>
      </c>
      <c r="AL155" s="23">
        <f>+'QTR Raw'!F62</f>
        <v>0</v>
      </c>
      <c r="AM155" s="23">
        <f t="shared" si="1154"/>
        <v>0</v>
      </c>
      <c r="AN155" s="23">
        <f>+'QTR Raw'!H62</f>
        <v>0</v>
      </c>
      <c r="AO155" s="23">
        <f t="shared" si="1154"/>
        <v>0</v>
      </c>
      <c r="AP155" s="23">
        <f>+'QTR Raw'!J62</f>
        <v>0</v>
      </c>
      <c r="AQ155" s="23">
        <f t="shared" si="1154"/>
        <v>0</v>
      </c>
      <c r="AR155" s="23">
        <f>+'QTR Raw'!L62</f>
        <v>0</v>
      </c>
      <c r="AS155" s="23">
        <f t="shared" si="1154"/>
        <v>0</v>
      </c>
      <c r="AT155" s="23">
        <f>+'QTR Raw'!N62</f>
        <v>0</v>
      </c>
      <c r="AU155" s="23">
        <f t="shared" si="1154"/>
        <v>0</v>
      </c>
      <c r="AV155" s="23">
        <f>+'QTR Raw'!P62</f>
        <v>0</v>
      </c>
      <c r="AW155" s="23">
        <f t="shared" si="1154"/>
        <v>0</v>
      </c>
      <c r="AX155" s="23">
        <f>+'QTR Raw'!R62</f>
        <v>0</v>
      </c>
      <c r="AY155" s="23">
        <f t="shared" si="1154"/>
        <v>0</v>
      </c>
      <c r="AZ155" s="23">
        <f>+'QTR Raw'!T62</f>
        <v>0</v>
      </c>
      <c r="BA155" s="23">
        <f t="shared" si="1154"/>
        <v>0</v>
      </c>
      <c r="BB155" s="23">
        <f>+'QTR Raw'!V62</f>
        <v>0</v>
      </c>
      <c r="BC155" s="23">
        <f t="shared" si="1154"/>
        <v>0</v>
      </c>
      <c r="BD155" s="23">
        <f>+'QTR Raw'!X62</f>
        <v>0</v>
      </c>
      <c r="BE155" s="23">
        <f t="shared" si="1154"/>
        <v>0</v>
      </c>
      <c r="BF155" s="23">
        <f>+'QTR Raw'!Z62</f>
        <v>0</v>
      </c>
      <c r="BG155" s="23">
        <f t="shared" si="1154"/>
        <v>0</v>
      </c>
      <c r="BH155" s="22">
        <f>+'QTR Raw'!AB62</f>
        <v>0</v>
      </c>
      <c r="BI155" s="23">
        <f t="shared" si="1154"/>
        <v>0</v>
      </c>
      <c r="BJ155" s="23">
        <f>+'QTR Raw'!AD62</f>
        <v>0</v>
      </c>
      <c r="BK155" s="23">
        <f t="shared" si="1154"/>
        <v>0</v>
      </c>
      <c r="BL155" s="23">
        <f>+'QTR Raw'!AF62</f>
        <v>0</v>
      </c>
      <c r="BM155" s="23">
        <f t="shared" si="1154"/>
        <v>0</v>
      </c>
      <c r="BN155" s="23">
        <f>+'QTR Raw'!AH62</f>
        <v>0</v>
      </c>
      <c r="BO155" s="23">
        <f t="shared" si="1154"/>
        <v>0</v>
      </c>
      <c r="BP155" s="23">
        <f>+'QTR Raw'!AJ62</f>
        <v>0</v>
      </c>
      <c r="BQ155" s="23">
        <f t="shared" si="1154"/>
        <v>0</v>
      </c>
      <c r="BR155" s="23">
        <f>+'QTR Raw'!AL62</f>
        <v>0</v>
      </c>
      <c r="BS155" s="23">
        <f t="shared" si="1154"/>
        <v>0</v>
      </c>
      <c r="BT155" s="23">
        <f>+'QTR Raw'!AN62</f>
        <v>0</v>
      </c>
      <c r="BU155" s="23">
        <f t="shared" si="1154"/>
        <v>0</v>
      </c>
      <c r="BV155" s="23">
        <f>+'QTR Raw'!AP62</f>
        <v>0</v>
      </c>
      <c r="BW155" s="23">
        <f t="shared" si="1154"/>
        <v>0</v>
      </c>
      <c r="BX155" s="23">
        <f>+'QTR Raw'!AR62</f>
        <v>0</v>
      </c>
      <c r="BY155" s="23">
        <f t="shared" si="1154"/>
        <v>0</v>
      </c>
      <c r="BZ155" s="23">
        <f>+'QTR Raw'!AT62</f>
        <v>0</v>
      </c>
      <c r="CA155" s="23">
        <f t="shared" si="1154"/>
        <v>0</v>
      </c>
      <c r="CB155" s="23">
        <f>+'QTR Raw'!AV62</f>
        <v>0</v>
      </c>
      <c r="CC155" s="23">
        <f t="shared" si="1154"/>
        <v>0</v>
      </c>
      <c r="CD155" s="23">
        <f>+'QTR Raw'!AX62</f>
        <v>0</v>
      </c>
      <c r="CE155" s="23">
        <f t="shared" ref="CE155:CE158" si="1155">+CD155</f>
        <v>0</v>
      </c>
      <c r="CF155" s="23">
        <f>+'QTR Raw'!AZ62</f>
        <v>0</v>
      </c>
      <c r="CG155" s="23">
        <f t="shared" ref="CG155:CI158" si="1156">+CF155</f>
        <v>0</v>
      </c>
      <c r="CH155" s="23">
        <f t="shared" si="1132"/>
        <v>1796.27</v>
      </c>
      <c r="CI155" s="23">
        <f t="shared" si="1156"/>
        <v>1796.27</v>
      </c>
      <c r="CJ155" s="23">
        <f>+'QTR Raw'!BD62</f>
        <v>0</v>
      </c>
      <c r="CK155" s="23">
        <f t="shared" ref="CK155:CK158" si="1157">+CJ155</f>
        <v>0</v>
      </c>
      <c r="CL155" s="23">
        <f>+'QTR Raw'!BF62</f>
        <v>0</v>
      </c>
      <c r="CM155" s="24">
        <f t="shared" ref="CM155:CM158" si="1158">+CL155</f>
        <v>0</v>
      </c>
      <c r="CN155" s="24">
        <f t="shared" ref="CN155:CN158" si="1159">+CM155</f>
        <v>0</v>
      </c>
      <c r="CO155" s="24">
        <f t="shared" ref="CO155:CO158" si="1160">+CN155</f>
        <v>0</v>
      </c>
      <c r="CP155" s="24">
        <f t="shared" ref="CP155:CP158" si="1161">+CO155</f>
        <v>0</v>
      </c>
      <c r="CQ155" s="24">
        <f t="shared" ref="CQ155:CQ158" si="1162">+CP155</f>
        <v>0</v>
      </c>
      <c r="CR155" s="24">
        <f t="shared" ref="CR155:CR158" si="1163">+CQ155</f>
        <v>0</v>
      </c>
      <c r="CS155" s="24">
        <f t="shared" ref="CS155:CS158" si="1164">+CR155</f>
        <v>0</v>
      </c>
      <c r="CT155" s="24">
        <f t="shared" ref="CT155:CT158" si="1165">+CS155</f>
        <v>0</v>
      </c>
      <c r="CU155" s="24">
        <f t="shared" ref="CU155:CU158" si="1166">+CT155</f>
        <v>0</v>
      </c>
      <c r="CV155" s="24">
        <f t="shared" ref="CV155:CV158" si="1167">+CU155</f>
        <v>0</v>
      </c>
      <c r="CW155" s="24">
        <f t="shared" ref="CW155:CW158" si="1168">+CV155</f>
        <v>0</v>
      </c>
      <c r="CX155" s="24">
        <f t="shared" ref="CX155:CX158" si="1169">+CW155</f>
        <v>0</v>
      </c>
      <c r="CY155" s="24">
        <f t="shared" ref="CY155:CY158" si="1170">+CX155</f>
        <v>0</v>
      </c>
      <c r="CZ155" s="24">
        <f t="shared" ref="CZ155:CZ158" si="1171">+CY155</f>
        <v>0</v>
      </c>
      <c r="DA155" s="24">
        <f t="shared" ref="DA155:DA158" si="1172">+CZ155</f>
        <v>0</v>
      </c>
      <c r="DB155" s="24">
        <f t="shared" ref="DB155:DB158" si="1173">+DA155</f>
        <v>0</v>
      </c>
      <c r="DE155" s="121"/>
      <c r="DF155" s="23">
        <v>0</v>
      </c>
    </row>
    <row r="156" spans="1:110" s="23" customFormat="1" outlineLevel="1" x14ac:dyDescent="0.2">
      <c r="A156" s="23" t="s">
        <v>46</v>
      </c>
      <c r="B156" s="23">
        <f>'Annual Raw'!C48</f>
        <v>32.465299999999999</v>
      </c>
      <c r="C156" s="23">
        <f>'Annual Raw'!D48</f>
        <v>35.395899999999997</v>
      </c>
      <c r="D156" s="23">
        <f>'Annual Raw'!E48</f>
        <v>20.842500000000001</v>
      </c>
      <c r="E156" s="23">
        <f>'Annual Raw'!F48</f>
        <v>13.515499999999999</v>
      </c>
      <c r="F156" s="23">
        <f>'Annual Raw'!G48</f>
        <v>23.3812</v>
      </c>
      <c r="G156" s="23">
        <f>'Annual Raw'!H48</f>
        <v>1.3768</v>
      </c>
      <c r="H156" s="23">
        <f>'Annual Raw'!I48</f>
        <v>0.22720000000000001</v>
      </c>
      <c r="I156" s="23">
        <f>'Annual Raw'!J48</f>
        <v>73.138000000000005</v>
      </c>
      <c r="J156" s="23">
        <f>'Annual Raw'!K48</f>
        <v>134.71340000000001</v>
      </c>
      <c r="K156" s="23">
        <f>'Annual Raw'!L48</f>
        <v>193.26499999999999</v>
      </c>
      <c r="L156" s="23">
        <f>'Annual Raw'!M48</f>
        <v>89.18</v>
      </c>
      <c r="M156" s="23">
        <f>'Annual Raw'!N48</f>
        <v>251.74</v>
      </c>
      <c r="N156" s="23">
        <f>'Annual Raw'!O48</f>
        <v>339.9665</v>
      </c>
      <c r="O156" s="23">
        <f>'Annual Raw'!P48</f>
        <v>375.25959999999998</v>
      </c>
      <c r="P156" s="23">
        <f>'Annual Raw'!Q48</f>
        <v>249.88</v>
      </c>
      <c r="Q156" s="23">
        <f>'Annual Raw'!R48</f>
        <v>37.67</v>
      </c>
      <c r="R156" s="23">
        <f>'Annual Raw'!S48</f>
        <v>24.97</v>
      </c>
      <c r="S156" s="23">
        <f>'Annual Raw'!T48</f>
        <v>12.74</v>
      </c>
      <c r="T156" s="23">
        <f>'Annual Raw'!U48</f>
        <v>411.15</v>
      </c>
      <c r="U156" s="23">
        <f>'Annual Raw'!V48</f>
        <v>618.92999999999995</v>
      </c>
      <c r="V156" s="23">
        <f>'Annual Raw'!W48</f>
        <v>0</v>
      </c>
      <c r="W156" s="23">
        <f>'Annual Raw'!X48</f>
        <v>0</v>
      </c>
      <c r="X156" s="23">
        <f>'Annual Raw'!Y48</f>
        <v>0</v>
      </c>
      <c r="Y156" s="23">
        <f>'Annual Raw'!Z48</f>
        <v>275.91000000000003</v>
      </c>
      <c r="Z156" s="23">
        <f>'Annual Raw'!AA48</f>
        <v>185.06</v>
      </c>
      <c r="AA156" s="23">
        <f>'Annual Raw'!AB48</f>
        <v>555.47</v>
      </c>
      <c r="AB156" s="24">
        <f t="shared" si="1150"/>
        <v>1953.3</v>
      </c>
      <c r="AC156" s="24">
        <f t="shared" si="1151"/>
        <v>1953.3</v>
      </c>
      <c r="AD156" s="24">
        <f t="shared" si="1152"/>
        <v>1953.3</v>
      </c>
      <c r="AE156" s="24">
        <f t="shared" si="1153"/>
        <v>1953.3</v>
      </c>
      <c r="AJ156" s="23">
        <f>+'QTR Raw'!D63</f>
        <v>0</v>
      </c>
      <c r="AK156" s="23">
        <f t="shared" si="1154"/>
        <v>0</v>
      </c>
      <c r="AL156" s="23">
        <f>+'QTR Raw'!F63</f>
        <v>1096.1400000000001</v>
      </c>
      <c r="AM156" s="23">
        <f t="shared" si="1154"/>
        <v>1096.1400000000001</v>
      </c>
      <c r="AN156" s="23">
        <f>+'QTR Raw'!H63</f>
        <v>676.17</v>
      </c>
      <c r="AO156" s="23">
        <f t="shared" si="1154"/>
        <v>676.17</v>
      </c>
      <c r="AP156" s="23">
        <f>+'QTR Raw'!J63</f>
        <v>1712.62</v>
      </c>
      <c r="AQ156" s="23">
        <f t="shared" si="1154"/>
        <v>1712.62</v>
      </c>
      <c r="AR156" s="23">
        <f>+'QTR Raw'!L63</f>
        <v>965.11</v>
      </c>
      <c r="AS156" s="23">
        <f t="shared" si="1154"/>
        <v>965.11</v>
      </c>
      <c r="AT156" s="23">
        <f>+'QTR Raw'!N63</f>
        <v>1788.19</v>
      </c>
      <c r="AU156" s="23">
        <f t="shared" si="1154"/>
        <v>1788.19</v>
      </c>
      <c r="AV156" s="23">
        <f>+'QTR Raw'!P63</f>
        <v>1459.53</v>
      </c>
      <c r="AW156" s="23">
        <f t="shared" si="1154"/>
        <v>1459.53</v>
      </c>
      <c r="AX156" s="23">
        <f>+'QTR Raw'!R63</f>
        <v>1940.47</v>
      </c>
      <c r="AY156" s="23">
        <f t="shared" si="1154"/>
        <v>1940.47</v>
      </c>
      <c r="AZ156" s="23">
        <f>+'QTR Raw'!T63</f>
        <v>1648.08</v>
      </c>
      <c r="BA156" s="23">
        <f t="shared" si="1154"/>
        <v>1648.08</v>
      </c>
      <c r="BB156" s="23">
        <f>+'QTR Raw'!V63</f>
        <v>1431.86</v>
      </c>
      <c r="BC156" s="23">
        <f t="shared" si="1154"/>
        <v>1431.86</v>
      </c>
      <c r="BD156" s="23">
        <f>+'QTR Raw'!X63</f>
        <v>1819.55</v>
      </c>
      <c r="BE156" s="23">
        <f t="shared" si="1154"/>
        <v>1819.55</v>
      </c>
      <c r="BF156" s="23">
        <f>+'QTR Raw'!Z63</f>
        <v>1907.26</v>
      </c>
      <c r="BG156" s="23">
        <f t="shared" si="1154"/>
        <v>1907.26</v>
      </c>
      <c r="BH156" s="23">
        <f>+'QTR Raw'!AB63</f>
        <v>2086.06</v>
      </c>
      <c r="BI156" s="23">
        <f t="shared" si="1154"/>
        <v>2086.06</v>
      </c>
      <c r="BJ156" s="23">
        <f>+'QTR Raw'!AD63</f>
        <v>2161.34</v>
      </c>
      <c r="BK156" s="23">
        <f t="shared" si="1154"/>
        <v>2161.34</v>
      </c>
      <c r="BL156" s="23">
        <f>+'QTR Raw'!AF63</f>
        <v>1782.14</v>
      </c>
      <c r="BM156" s="23">
        <f t="shared" si="1154"/>
        <v>1782.14</v>
      </c>
      <c r="BN156" s="23">
        <f>+'QTR Raw'!AH63</f>
        <v>2311.63</v>
      </c>
      <c r="BO156" s="23">
        <f t="shared" si="1154"/>
        <v>2311.63</v>
      </c>
      <c r="BP156" s="23">
        <f>+'QTR Raw'!AJ63</f>
        <v>2769.72</v>
      </c>
      <c r="BQ156" s="23">
        <f t="shared" si="1154"/>
        <v>2769.72</v>
      </c>
      <c r="BR156" s="23">
        <f>+'QTR Raw'!AL63</f>
        <v>1965.01</v>
      </c>
      <c r="BS156" s="23">
        <f t="shared" si="1154"/>
        <v>1965.01</v>
      </c>
      <c r="BT156" s="23">
        <f>+'QTR Raw'!AN63</f>
        <v>1552.21</v>
      </c>
      <c r="BU156" s="23">
        <f t="shared" si="1154"/>
        <v>1552.21</v>
      </c>
      <c r="BV156" s="23">
        <f>+'QTR Raw'!AP63</f>
        <v>1753.3</v>
      </c>
      <c r="BW156" s="23">
        <f t="shared" si="1154"/>
        <v>1753.3</v>
      </c>
      <c r="BX156" s="23">
        <f>+'QTR Raw'!AR63</f>
        <v>1674.19</v>
      </c>
      <c r="BY156" s="23">
        <f t="shared" si="1154"/>
        <v>1674.19</v>
      </c>
      <c r="BZ156" s="23">
        <f>+'QTR Raw'!AT63</f>
        <v>2311.52</v>
      </c>
      <c r="CA156" s="23">
        <f t="shared" si="1154"/>
        <v>2311.52</v>
      </c>
      <c r="CB156" s="23">
        <f>+'QTR Raw'!AV63</f>
        <v>2385.56</v>
      </c>
      <c r="CC156" s="23">
        <f t="shared" si="1154"/>
        <v>2385.56</v>
      </c>
      <c r="CD156" s="23">
        <f>+'QTR Raw'!AX63</f>
        <v>2251.14</v>
      </c>
      <c r="CE156" s="23">
        <f t="shared" si="1155"/>
        <v>2251.14</v>
      </c>
      <c r="CF156" s="23">
        <f>+'QTR Raw'!AZ63</f>
        <v>2002.21</v>
      </c>
      <c r="CG156" s="23">
        <f t="shared" si="1156"/>
        <v>2002.21</v>
      </c>
      <c r="CH156" s="23">
        <f t="shared" si="1132"/>
        <v>185.06</v>
      </c>
      <c r="CI156" s="23">
        <f t="shared" si="1156"/>
        <v>185.06</v>
      </c>
      <c r="CJ156" s="23">
        <f>+'QTR Raw'!BD63</f>
        <v>1913.54</v>
      </c>
      <c r="CK156" s="23">
        <f t="shared" si="1157"/>
        <v>1913.54</v>
      </c>
      <c r="CL156" s="23">
        <f>+'QTR Raw'!BF63</f>
        <v>1953.3</v>
      </c>
      <c r="CM156" s="24">
        <f t="shared" si="1158"/>
        <v>1953.3</v>
      </c>
      <c r="CN156" s="24">
        <f t="shared" si="1159"/>
        <v>1953.3</v>
      </c>
      <c r="CO156" s="24">
        <f t="shared" si="1160"/>
        <v>1953.3</v>
      </c>
      <c r="CP156" s="24">
        <f t="shared" si="1161"/>
        <v>1953.3</v>
      </c>
      <c r="CQ156" s="24">
        <f t="shared" si="1162"/>
        <v>1953.3</v>
      </c>
      <c r="CR156" s="24">
        <f t="shared" si="1163"/>
        <v>1953.3</v>
      </c>
      <c r="CS156" s="24">
        <f t="shared" si="1164"/>
        <v>1953.3</v>
      </c>
      <c r="CT156" s="24">
        <f t="shared" si="1165"/>
        <v>1953.3</v>
      </c>
      <c r="CU156" s="24">
        <f t="shared" si="1166"/>
        <v>1953.3</v>
      </c>
      <c r="CV156" s="24">
        <f t="shared" si="1167"/>
        <v>1953.3</v>
      </c>
      <c r="CW156" s="24">
        <f t="shared" si="1168"/>
        <v>1953.3</v>
      </c>
      <c r="CX156" s="24">
        <f t="shared" si="1169"/>
        <v>1953.3</v>
      </c>
      <c r="CY156" s="24">
        <f t="shared" si="1170"/>
        <v>1953.3</v>
      </c>
      <c r="CZ156" s="24">
        <f t="shared" si="1171"/>
        <v>1953.3</v>
      </c>
      <c r="DA156" s="24">
        <f t="shared" si="1172"/>
        <v>1953.3</v>
      </c>
      <c r="DB156" s="24">
        <f t="shared" si="1173"/>
        <v>1953.3</v>
      </c>
      <c r="DE156" s="121"/>
      <c r="DF156" s="23">
        <v>0</v>
      </c>
    </row>
    <row r="157" spans="1:110" s="23" customFormat="1" outlineLevel="1" x14ac:dyDescent="0.2">
      <c r="A157" s="23" t="s">
        <v>47</v>
      </c>
      <c r="B157" s="23">
        <f>'Annual Raw'!C87+'Annual Raw'!C88+'Annual Raw'!C89+'Annual Raw'!C90</f>
        <v>0</v>
      </c>
      <c r="C157" s="23">
        <f>'Annual Raw'!D87+'Annual Raw'!D88+'Annual Raw'!D89+'Annual Raw'!D90</f>
        <v>0</v>
      </c>
      <c r="D157" s="23">
        <f>'Annual Raw'!E87+'Annual Raw'!E88+'Annual Raw'!E89+'Annual Raw'!E90</f>
        <v>0</v>
      </c>
      <c r="E157" s="23">
        <f>'Annual Raw'!F87+'Annual Raw'!F88+'Annual Raw'!F89+'Annual Raw'!F90</f>
        <v>0</v>
      </c>
      <c r="F157" s="23">
        <f>'Annual Raw'!G87+'Annual Raw'!G88+'Annual Raw'!G89+'Annual Raw'!G90</f>
        <v>0</v>
      </c>
      <c r="G157" s="23">
        <f>'Annual Raw'!H87+'Annual Raw'!H88+'Annual Raw'!H89+'Annual Raw'!H90</f>
        <v>0</v>
      </c>
      <c r="H157" s="23">
        <f>'Annual Raw'!I87+'Annual Raw'!I88+'Annual Raw'!I89+'Annual Raw'!I90</f>
        <v>0</v>
      </c>
      <c r="I157" s="23">
        <f>'Annual Raw'!J87+'Annual Raw'!J88+'Annual Raw'!J89+'Annual Raw'!J90</f>
        <v>0</v>
      </c>
      <c r="J157" s="23">
        <f>'Annual Raw'!K87+'Annual Raw'!K88+'Annual Raw'!K89+'Annual Raw'!K90</f>
        <v>0</v>
      </c>
      <c r="K157" s="23">
        <f>'Annual Raw'!L87+'Annual Raw'!L88+'Annual Raw'!L89+'Annual Raw'!L90</f>
        <v>0</v>
      </c>
      <c r="L157" s="23">
        <f>'Annual Raw'!M87+'Annual Raw'!M88+'Annual Raw'!M89+'Annual Raw'!M90</f>
        <v>262.02100000000002</v>
      </c>
      <c r="M157" s="23">
        <f>'Annual Raw'!N87+'Annual Raw'!N88+'Annual Raw'!N89+'Annual Raw'!N90</f>
        <v>137.74600000000001</v>
      </c>
      <c r="N157" s="23">
        <f>'Annual Raw'!O87+'Annual Raw'!O88+'Annual Raw'!O89+'Annual Raw'!O90</f>
        <v>365.3134</v>
      </c>
      <c r="O157" s="23">
        <f>'Annual Raw'!P87+'Annual Raw'!P88+'Annual Raw'!P89+'Annual Raw'!P90</f>
        <v>142.80289999999999</v>
      </c>
      <c r="P157" s="23">
        <f>'Annual Raw'!Q87+'Annual Raw'!Q88+'Annual Raw'!Q89+'Annual Raw'!Q90</f>
        <v>410.47</v>
      </c>
      <c r="Q157" s="23">
        <f>'Annual Raw'!R87+'Annual Raw'!R88+'Annual Raw'!R89+'Annual Raw'!R90</f>
        <v>385.52</v>
      </c>
      <c r="R157" s="23">
        <f>'Annual Raw'!S87+'Annual Raw'!S88+'Annual Raw'!S89+'Annual Raw'!S90</f>
        <v>418.78</v>
      </c>
      <c r="S157" s="23">
        <f>'Annual Raw'!T87+'Annual Raw'!T88+'Annual Raw'!T89+'Annual Raw'!T90</f>
        <v>383.8</v>
      </c>
      <c r="T157" s="23">
        <f>'Annual Raw'!U87+'Annual Raw'!U88+'Annual Raw'!U89+'Annual Raw'!U90</f>
        <v>441.46</v>
      </c>
      <c r="U157" s="23">
        <f>'Annual Raw'!V87+'Annual Raw'!V88+'Annual Raw'!V89+'Annual Raw'!V90</f>
        <v>779.75</v>
      </c>
      <c r="V157" s="23">
        <f>'Annual Raw'!W87+'Annual Raw'!W88+'Annual Raw'!W89+'Annual Raw'!W90</f>
        <v>460.25</v>
      </c>
      <c r="W157" s="23">
        <f>'Annual Raw'!X87+'Annual Raw'!X88+'Annual Raw'!X89+'Annual Raw'!X90</f>
        <v>744.19</v>
      </c>
      <c r="X157" s="23">
        <f>'Annual Raw'!Y87+'Annual Raw'!Y88+'Annual Raw'!Y89+'Annual Raw'!Y90</f>
        <v>491.26</v>
      </c>
      <c r="Y157" s="23">
        <f>'Annual Raw'!Z87+'Annual Raw'!Z88+'Annual Raw'!Z89+'Annual Raw'!Z90</f>
        <v>1076.53</v>
      </c>
      <c r="Z157" s="23">
        <f>'Annual Raw'!AA87+'Annual Raw'!AA88+'Annual Raw'!AA89+'Annual Raw'!AA90</f>
        <v>807.35</v>
      </c>
      <c r="AA157" s="23">
        <f>'Annual Raw'!AB87+'Annual Raw'!AB88+'Annual Raw'!AB89+'Annual Raw'!AB90</f>
        <v>1057.1199999999999</v>
      </c>
      <c r="AB157" s="24">
        <f t="shared" si="1150"/>
        <v>0</v>
      </c>
      <c r="AC157" s="24">
        <f t="shared" si="1151"/>
        <v>0</v>
      </c>
      <c r="AD157" s="24">
        <f t="shared" si="1152"/>
        <v>0</v>
      </c>
      <c r="AE157" s="24">
        <f t="shared" si="1153"/>
        <v>0</v>
      </c>
      <c r="AJ157" s="23">
        <f>+'QTR Raw'!D90</f>
        <v>0</v>
      </c>
      <c r="AK157" s="23">
        <f t="shared" si="1154"/>
        <v>0</v>
      </c>
      <c r="AL157" s="23">
        <f>+'QTR Raw'!F90</f>
        <v>0</v>
      </c>
      <c r="AM157" s="23">
        <f t="shared" si="1154"/>
        <v>0</v>
      </c>
      <c r="AN157" s="23">
        <f>+'QTR Raw'!H90</f>
        <v>0</v>
      </c>
      <c r="AO157" s="23">
        <f t="shared" si="1154"/>
        <v>0</v>
      </c>
      <c r="AP157" s="23">
        <f>+'QTR Raw'!J90</f>
        <v>0</v>
      </c>
      <c r="AQ157" s="23">
        <f t="shared" si="1154"/>
        <v>0</v>
      </c>
      <c r="AR157" s="23">
        <f>+'QTR Raw'!L90</f>
        <v>0</v>
      </c>
      <c r="AS157" s="23">
        <f t="shared" si="1154"/>
        <v>0</v>
      </c>
      <c r="AT157" s="23">
        <f>+'QTR Raw'!N90</f>
        <v>0</v>
      </c>
      <c r="AU157" s="23">
        <f t="shared" si="1154"/>
        <v>0</v>
      </c>
      <c r="AV157" s="23">
        <f>+'QTR Raw'!P90</f>
        <v>0</v>
      </c>
      <c r="AW157" s="23">
        <f t="shared" si="1154"/>
        <v>0</v>
      </c>
      <c r="AX157" s="23">
        <f>+'QTR Raw'!R90</f>
        <v>0</v>
      </c>
      <c r="AY157" s="23">
        <f t="shared" si="1154"/>
        <v>0</v>
      </c>
      <c r="AZ157" s="23">
        <f>+'QTR Raw'!T90</f>
        <v>0</v>
      </c>
      <c r="BA157" s="23">
        <f t="shared" si="1154"/>
        <v>0</v>
      </c>
      <c r="BB157" s="23">
        <f>+'QTR Raw'!V90</f>
        <v>0</v>
      </c>
      <c r="BC157" s="23">
        <f t="shared" si="1154"/>
        <v>0</v>
      </c>
      <c r="BD157" s="23">
        <f>+'QTR Raw'!X90</f>
        <v>0</v>
      </c>
      <c r="BE157" s="23">
        <f t="shared" si="1154"/>
        <v>0</v>
      </c>
      <c r="BF157" s="23">
        <f>+'QTR Raw'!Z90</f>
        <v>0</v>
      </c>
      <c r="BG157" s="23">
        <f t="shared" si="1154"/>
        <v>0</v>
      </c>
      <c r="BH157" s="22">
        <f>+'QTR Raw'!AB90</f>
        <v>0</v>
      </c>
      <c r="BI157" s="23">
        <f t="shared" si="1154"/>
        <v>0</v>
      </c>
      <c r="BJ157" s="23">
        <f>+'QTR Raw'!AD90</f>
        <v>0</v>
      </c>
      <c r="BK157" s="23">
        <f t="shared" si="1154"/>
        <v>0</v>
      </c>
      <c r="BL157" s="23">
        <f>+'QTR Raw'!AF90</f>
        <v>0</v>
      </c>
      <c r="BM157" s="23">
        <f t="shared" si="1154"/>
        <v>0</v>
      </c>
      <c r="BN157" s="23">
        <f>+'QTR Raw'!AH90</f>
        <v>0</v>
      </c>
      <c r="BO157" s="23">
        <f t="shared" si="1154"/>
        <v>0</v>
      </c>
      <c r="BP157" s="23">
        <f>+'QTR Raw'!AJ90</f>
        <v>0</v>
      </c>
      <c r="BQ157" s="23">
        <f t="shared" si="1154"/>
        <v>0</v>
      </c>
      <c r="BR157" s="23">
        <f>+'QTR Raw'!AL90</f>
        <v>0</v>
      </c>
      <c r="BS157" s="23">
        <f t="shared" si="1154"/>
        <v>0</v>
      </c>
      <c r="BT157" s="23">
        <f>+'QTR Raw'!AN90</f>
        <v>0</v>
      </c>
      <c r="BU157" s="23">
        <f t="shared" si="1154"/>
        <v>0</v>
      </c>
      <c r="BV157" s="23">
        <f>+'QTR Raw'!AP90</f>
        <v>0</v>
      </c>
      <c r="BW157" s="23">
        <f t="shared" si="1154"/>
        <v>0</v>
      </c>
      <c r="BX157" s="23">
        <f>+'QTR Raw'!AR90</f>
        <v>0</v>
      </c>
      <c r="BY157" s="23">
        <f t="shared" si="1154"/>
        <v>0</v>
      </c>
      <c r="BZ157" s="23">
        <f>+'QTR Raw'!AT90</f>
        <v>0</v>
      </c>
      <c r="CA157" s="23">
        <f t="shared" si="1154"/>
        <v>0</v>
      </c>
      <c r="CB157" s="23">
        <f>+'QTR Raw'!AV90</f>
        <v>0</v>
      </c>
      <c r="CC157" s="23">
        <f t="shared" si="1154"/>
        <v>0</v>
      </c>
      <c r="CD157" s="23">
        <f>+'QTR Raw'!AX90</f>
        <v>0</v>
      </c>
      <c r="CE157" s="23">
        <f t="shared" si="1155"/>
        <v>0</v>
      </c>
      <c r="CF157" s="23">
        <f>+'QTR Raw'!AZ90</f>
        <v>0</v>
      </c>
      <c r="CG157" s="23">
        <f t="shared" si="1156"/>
        <v>0</v>
      </c>
      <c r="CH157" s="23">
        <f>+Z157</f>
        <v>807.35</v>
      </c>
      <c r="CI157" s="23">
        <f t="shared" si="1156"/>
        <v>807.35</v>
      </c>
      <c r="CJ157" s="23">
        <f>+'QTR Raw'!BD90</f>
        <v>0</v>
      </c>
      <c r="CK157" s="23">
        <f t="shared" si="1157"/>
        <v>0</v>
      </c>
      <c r="CL157" s="23">
        <f>+'QTR Raw'!BF90</f>
        <v>0</v>
      </c>
      <c r="CM157" s="24">
        <f t="shared" si="1158"/>
        <v>0</v>
      </c>
      <c r="CN157" s="24">
        <f t="shared" si="1159"/>
        <v>0</v>
      </c>
      <c r="CO157" s="24">
        <f t="shared" si="1160"/>
        <v>0</v>
      </c>
      <c r="CP157" s="24">
        <f t="shared" si="1161"/>
        <v>0</v>
      </c>
      <c r="CQ157" s="24">
        <f t="shared" si="1162"/>
        <v>0</v>
      </c>
      <c r="CR157" s="24">
        <f t="shared" si="1163"/>
        <v>0</v>
      </c>
      <c r="CS157" s="24">
        <f t="shared" si="1164"/>
        <v>0</v>
      </c>
      <c r="CT157" s="24">
        <f t="shared" si="1165"/>
        <v>0</v>
      </c>
      <c r="CU157" s="24">
        <f t="shared" si="1166"/>
        <v>0</v>
      </c>
      <c r="CV157" s="24">
        <f t="shared" si="1167"/>
        <v>0</v>
      </c>
      <c r="CW157" s="24">
        <f t="shared" si="1168"/>
        <v>0</v>
      </c>
      <c r="CX157" s="24">
        <f t="shared" si="1169"/>
        <v>0</v>
      </c>
      <c r="CY157" s="24">
        <f t="shared" si="1170"/>
        <v>0</v>
      </c>
      <c r="CZ157" s="24">
        <f t="shared" si="1171"/>
        <v>0</v>
      </c>
      <c r="DA157" s="24">
        <f t="shared" si="1172"/>
        <v>0</v>
      </c>
      <c r="DB157" s="24">
        <f t="shared" si="1173"/>
        <v>0</v>
      </c>
      <c r="DE157" s="121"/>
      <c r="DF157" s="23">
        <v>0</v>
      </c>
    </row>
    <row r="158" spans="1:110" s="23" customFormat="1" outlineLevel="1" x14ac:dyDescent="0.2">
      <c r="A158" s="23" t="s">
        <v>48</v>
      </c>
      <c r="B158" s="23">
        <f>'Annual Raw'!C56</f>
        <v>0</v>
      </c>
      <c r="C158" s="23">
        <f>'Annual Raw'!D56</f>
        <v>0</v>
      </c>
      <c r="D158" s="23">
        <f>'Annual Raw'!E56</f>
        <v>0</v>
      </c>
      <c r="E158" s="23">
        <f>'Annual Raw'!F56</f>
        <v>0</v>
      </c>
      <c r="F158" s="23">
        <f>'Annual Raw'!G56</f>
        <v>0</v>
      </c>
      <c r="G158" s="23">
        <f>'Annual Raw'!H56</f>
        <v>0</v>
      </c>
      <c r="H158" s="23">
        <f>'Annual Raw'!I56</f>
        <v>0</v>
      </c>
      <c r="I158" s="23">
        <f>'Annual Raw'!J56</f>
        <v>0</v>
      </c>
      <c r="J158" s="23">
        <f>'Annual Raw'!K56</f>
        <v>0</v>
      </c>
      <c r="K158" s="23">
        <f>'Annual Raw'!L56</f>
        <v>0</v>
      </c>
      <c r="L158" s="23">
        <f>'Annual Raw'!M56</f>
        <v>141.62450000000001</v>
      </c>
      <c r="M158" s="23">
        <f>'Annual Raw'!N56</f>
        <v>373.5806</v>
      </c>
      <c r="N158" s="23">
        <f>'Annual Raw'!O56</f>
        <v>242.54849999999999</v>
      </c>
      <c r="O158" s="23">
        <f>'Annual Raw'!P56</f>
        <v>319.904</v>
      </c>
      <c r="P158" s="23">
        <f>'Annual Raw'!Q56</f>
        <v>236.23</v>
      </c>
      <c r="Q158" s="23">
        <f>'Annual Raw'!R56</f>
        <v>189.26</v>
      </c>
      <c r="R158" s="23">
        <f>'Annual Raw'!S56</f>
        <v>545.57000000000005</v>
      </c>
      <c r="S158" s="23">
        <f>'Annual Raw'!T56</f>
        <v>850.78</v>
      </c>
      <c r="T158" s="23">
        <f>'Annual Raw'!U56</f>
        <v>1127.3900000000001</v>
      </c>
      <c r="U158" s="23">
        <f>'Annual Raw'!V56</f>
        <v>955.44</v>
      </c>
      <c r="V158" s="23">
        <f>'Annual Raw'!W56</f>
        <v>965.7</v>
      </c>
      <c r="W158" s="23">
        <f>'Annual Raw'!X56</f>
        <v>1041.8599999999999</v>
      </c>
      <c r="X158" s="23">
        <f>'Annual Raw'!Y56</f>
        <v>1551.28</v>
      </c>
      <c r="Y158" s="23">
        <f>'Annual Raw'!Z56</f>
        <v>1592.57</v>
      </c>
      <c r="Z158" s="23">
        <f>'Annual Raw'!AA56</f>
        <v>1852.56</v>
      </c>
      <c r="AA158" s="23">
        <f>'Annual Raw'!AB56</f>
        <v>1993.91</v>
      </c>
      <c r="AB158" s="24">
        <f t="shared" si="1150"/>
        <v>3051.03</v>
      </c>
      <c r="AC158" s="24">
        <f t="shared" si="1151"/>
        <v>3051.03</v>
      </c>
      <c r="AD158" s="24">
        <f t="shared" si="1152"/>
        <v>3051.03</v>
      </c>
      <c r="AE158" s="24">
        <f t="shared" si="1153"/>
        <v>3051.03</v>
      </c>
      <c r="AJ158" s="23">
        <f>+'QTR Raw'!D88</f>
        <v>386.16</v>
      </c>
      <c r="AK158" s="23">
        <f t="shared" si="1154"/>
        <v>386.16</v>
      </c>
      <c r="AL158" s="23">
        <f>+'QTR Raw'!F88</f>
        <v>242.55</v>
      </c>
      <c r="AM158" s="23">
        <f t="shared" si="1154"/>
        <v>242.55</v>
      </c>
      <c r="AN158" s="23">
        <f>+'QTR Raw'!H88</f>
        <v>383.89</v>
      </c>
      <c r="AO158" s="23">
        <f t="shared" si="1154"/>
        <v>383.89</v>
      </c>
      <c r="AP158" s="23">
        <f>+'QTR Raw'!J88</f>
        <v>319.89999999999998</v>
      </c>
      <c r="AQ158" s="23">
        <f t="shared" si="1154"/>
        <v>319.89999999999998</v>
      </c>
      <c r="AR158" s="23">
        <f>+'QTR Raw'!L88</f>
        <v>370.33</v>
      </c>
      <c r="AS158" s="23">
        <f t="shared" si="1154"/>
        <v>370.33</v>
      </c>
      <c r="AT158" s="23">
        <f>+'QTR Raw'!N88</f>
        <v>236.23</v>
      </c>
      <c r="AU158" s="23">
        <f t="shared" si="1154"/>
        <v>236.23</v>
      </c>
      <c r="AV158" s="23">
        <f>+'QTR Raw'!P88</f>
        <v>304.16000000000003</v>
      </c>
      <c r="AW158" s="23">
        <f t="shared" si="1154"/>
        <v>304.16000000000003</v>
      </c>
      <c r="AX158" s="23">
        <f>+'QTR Raw'!R88</f>
        <v>189.26</v>
      </c>
      <c r="AY158" s="23">
        <f t="shared" si="1154"/>
        <v>189.26</v>
      </c>
      <c r="AZ158" s="23">
        <f>+'QTR Raw'!T88</f>
        <v>448.1</v>
      </c>
      <c r="BA158" s="23">
        <f t="shared" si="1154"/>
        <v>448.1</v>
      </c>
      <c r="BB158" s="23">
        <f>+'QTR Raw'!V88</f>
        <v>545.57000000000005</v>
      </c>
      <c r="BC158" s="23">
        <f t="shared" si="1154"/>
        <v>545.57000000000005</v>
      </c>
      <c r="BD158" s="23">
        <f>+'QTR Raw'!X88</f>
        <v>969.5</v>
      </c>
      <c r="BE158" s="23">
        <f t="shared" si="1154"/>
        <v>969.5</v>
      </c>
      <c r="BF158" s="23">
        <f>+'QTR Raw'!Z88</f>
        <v>850.78</v>
      </c>
      <c r="BG158" s="23">
        <f t="shared" si="1154"/>
        <v>850.78</v>
      </c>
      <c r="BH158" s="23">
        <f>+'QTR Raw'!AB88</f>
        <v>1308.26</v>
      </c>
      <c r="BI158" s="23">
        <f t="shared" si="1154"/>
        <v>1308.26</v>
      </c>
      <c r="BJ158" s="23">
        <f>+'QTR Raw'!AD88</f>
        <v>1127.3900000000001</v>
      </c>
      <c r="BK158" s="23">
        <f t="shared" si="1154"/>
        <v>1127.3900000000001</v>
      </c>
      <c r="BL158" s="23">
        <f>+'QTR Raw'!AF88</f>
        <v>1208.04</v>
      </c>
      <c r="BM158" s="23">
        <f t="shared" si="1154"/>
        <v>1208.04</v>
      </c>
      <c r="BN158" s="23">
        <f>+'QTR Raw'!AH88</f>
        <v>955.44</v>
      </c>
      <c r="BO158" s="23">
        <f t="shared" si="1154"/>
        <v>955.44</v>
      </c>
      <c r="BP158" s="23">
        <f>+'QTR Raw'!AJ88</f>
        <v>910.82</v>
      </c>
      <c r="BQ158" s="23">
        <f t="shared" si="1154"/>
        <v>910.82</v>
      </c>
      <c r="BR158" s="23">
        <f>+'QTR Raw'!AL88</f>
        <v>1425.95</v>
      </c>
      <c r="BS158" s="23">
        <f t="shared" si="1154"/>
        <v>1425.95</v>
      </c>
      <c r="BT158" s="23">
        <f>+'QTR Raw'!AN88</f>
        <v>1710.53</v>
      </c>
      <c r="BU158" s="23">
        <f t="shared" si="1154"/>
        <v>1710.53</v>
      </c>
      <c r="BV158" s="23">
        <f>+'QTR Raw'!AP88</f>
        <v>1786.05</v>
      </c>
      <c r="BW158" s="23">
        <f t="shared" si="1154"/>
        <v>1786.05</v>
      </c>
      <c r="BX158" s="23">
        <f>+'QTR Raw'!AR88</f>
        <v>2041.08</v>
      </c>
      <c r="BY158" s="23">
        <f t="shared" si="1154"/>
        <v>2041.08</v>
      </c>
      <c r="BZ158" s="23">
        <f>+'QTR Raw'!AT88</f>
        <v>2042.54</v>
      </c>
      <c r="CA158" s="23">
        <f t="shared" si="1154"/>
        <v>2042.54</v>
      </c>
      <c r="CB158" s="23">
        <f>+'QTR Raw'!AV88</f>
        <v>2471.62</v>
      </c>
      <c r="CC158" s="23">
        <f t="shared" si="1154"/>
        <v>2471.62</v>
      </c>
      <c r="CD158" s="23">
        <f>+'QTR Raw'!AX88</f>
        <v>2669.1</v>
      </c>
      <c r="CE158" s="23">
        <f t="shared" si="1155"/>
        <v>2669.1</v>
      </c>
      <c r="CF158" s="23">
        <f>+'QTR Raw'!AZ88</f>
        <v>3146.95</v>
      </c>
      <c r="CG158" s="23">
        <f t="shared" si="1156"/>
        <v>3146.95</v>
      </c>
      <c r="CH158" s="23">
        <f t="shared" si="1132"/>
        <v>1852.56</v>
      </c>
      <c r="CI158" s="23">
        <f t="shared" si="1156"/>
        <v>1852.56</v>
      </c>
      <c r="CJ158" s="23">
        <f>+'QTR Raw'!BD88</f>
        <v>2613.39</v>
      </c>
      <c r="CK158" s="23">
        <f t="shared" si="1157"/>
        <v>2613.39</v>
      </c>
      <c r="CL158" s="23">
        <f>+'QTR Raw'!BF88</f>
        <v>3051.03</v>
      </c>
      <c r="CM158" s="24">
        <f t="shared" si="1158"/>
        <v>3051.03</v>
      </c>
      <c r="CN158" s="24">
        <f t="shared" si="1159"/>
        <v>3051.03</v>
      </c>
      <c r="CO158" s="24">
        <f t="shared" si="1160"/>
        <v>3051.03</v>
      </c>
      <c r="CP158" s="24">
        <f t="shared" si="1161"/>
        <v>3051.03</v>
      </c>
      <c r="CQ158" s="24">
        <f t="shared" si="1162"/>
        <v>3051.03</v>
      </c>
      <c r="CR158" s="24">
        <f t="shared" si="1163"/>
        <v>3051.03</v>
      </c>
      <c r="CS158" s="24">
        <f t="shared" si="1164"/>
        <v>3051.03</v>
      </c>
      <c r="CT158" s="24">
        <f t="shared" si="1165"/>
        <v>3051.03</v>
      </c>
      <c r="CU158" s="24">
        <f t="shared" si="1166"/>
        <v>3051.03</v>
      </c>
      <c r="CV158" s="24">
        <f t="shared" si="1167"/>
        <v>3051.03</v>
      </c>
      <c r="CW158" s="24">
        <f t="shared" si="1168"/>
        <v>3051.03</v>
      </c>
      <c r="CX158" s="24">
        <f t="shared" si="1169"/>
        <v>3051.03</v>
      </c>
      <c r="CY158" s="24">
        <f t="shared" si="1170"/>
        <v>3051.03</v>
      </c>
      <c r="CZ158" s="24">
        <f t="shared" si="1171"/>
        <v>3051.03</v>
      </c>
      <c r="DA158" s="24">
        <f t="shared" si="1172"/>
        <v>3051.03</v>
      </c>
      <c r="DB158" s="24">
        <f t="shared" si="1173"/>
        <v>3051.03</v>
      </c>
      <c r="DE158" s="121"/>
      <c r="DF158" s="23">
        <v>0</v>
      </c>
    </row>
    <row r="159" spans="1:110" s="22" customFormat="1" x14ac:dyDescent="0.2">
      <c r="A159" s="22" t="s">
        <v>49</v>
      </c>
      <c r="B159" s="22">
        <f>SUM(B155:B158)</f>
        <v>400.55670000000003</v>
      </c>
      <c r="C159" s="22">
        <f t="shared" ref="C159:V159" si="1174">SUM(C155:C158)</f>
        <v>382.32310000000001</v>
      </c>
      <c r="D159" s="22">
        <f t="shared" si="1174"/>
        <v>294.33299999999997</v>
      </c>
      <c r="E159" s="22">
        <f t="shared" si="1174"/>
        <v>255.96690000000001</v>
      </c>
      <c r="F159" s="22">
        <f t="shared" si="1174"/>
        <v>454.38489999999996</v>
      </c>
      <c r="G159" s="22">
        <f t="shared" si="1174"/>
        <v>615.26080000000002</v>
      </c>
      <c r="H159" s="22">
        <f t="shared" si="1174"/>
        <v>489.2987</v>
      </c>
      <c r="I159" s="22">
        <f t="shared" si="1174"/>
        <v>517.30780000000004</v>
      </c>
      <c r="J159" s="22">
        <f t="shared" si="1174"/>
        <v>1054.1727000000001</v>
      </c>
      <c r="K159" s="22">
        <f t="shared" si="1174"/>
        <v>1031.7672</v>
      </c>
      <c r="L159" s="22">
        <f t="shared" si="1174"/>
        <v>973.13369999999998</v>
      </c>
      <c r="M159" s="22">
        <f t="shared" si="1174"/>
        <v>1228.4187999999999</v>
      </c>
      <c r="N159" s="22">
        <f t="shared" si="1174"/>
        <v>1704.0041999999999</v>
      </c>
      <c r="O159" s="22">
        <f t="shared" si="1174"/>
        <v>2175.3233</v>
      </c>
      <c r="P159" s="22">
        <f t="shared" si="1174"/>
        <v>2434.89</v>
      </c>
      <c r="Q159" s="22">
        <f t="shared" si="1174"/>
        <v>2515.25</v>
      </c>
      <c r="R159" s="22">
        <f t="shared" si="1174"/>
        <v>2396.21</v>
      </c>
      <c r="S159" s="22">
        <f t="shared" si="1174"/>
        <v>3141.84</v>
      </c>
      <c r="T159" s="22">
        <f t="shared" si="1174"/>
        <v>3730.1900000000005</v>
      </c>
      <c r="U159" s="22">
        <f t="shared" si="1174"/>
        <v>4046.82</v>
      </c>
      <c r="V159" s="22">
        <f t="shared" si="1174"/>
        <v>3390.96</v>
      </c>
      <c r="W159" s="22">
        <f t="shared" ref="W159" si="1175">SUM(W155:W158)</f>
        <v>3539.3499999999995</v>
      </c>
      <c r="X159" s="22">
        <f t="shared" ref="X159:Y159" si="1176">SUM(X155:X158)</f>
        <v>4354.0599999999995</v>
      </c>
      <c r="Y159" s="22">
        <f t="shared" si="1176"/>
        <v>4920.24</v>
      </c>
      <c r="Z159" s="22">
        <f t="shared" ref="Z159:AA159" si="1177">SUM(Z155:Z158)</f>
        <v>4641.24</v>
      </c>
      <c r="AA159" s="22">
        <f t="shared" si="1177"/>
        <v>5004.33</v>
      </c>
      <c r="AB159" s="21">
        <f t="shared" ref="AA159:AD159" si="1178">SUM(AB155:AB158)</f>
        <v>5004.33</v>
      </c>
      <c r="AC159" s="21">
        <f t="shared" si="1178"/>
        <v>5004.33</v>
      </c>
      <c r="AD159" s="21">
        <f t="shared" si="1178"/>
        <v>5004.33</v>
      </c>
      <c r="AE159" s="21">
        <f t="shared" ref="AE159" si="1179">SUM(AE155:AE158)</f>
        <v>5004.33</v>
      </c>
      <c r="AJ159" s="22">
        <f t="shared" ref="AJ159" si="1180">SUM(AJ155:AJ158)</f>
        <v>386.16</v>
      </c>
      <c r="AK159" s="22">
        <f t="shared" ref="AK159" si="1181">SUM(AK155:AK158)</f>
        <v>386.16</v>
      </c>
      <c r="AL159" s="22">
        <f t="shared" ref="AL159:AM159" si="1182">SUM(AL155:AL158)</f>
        <v>1338.69</v>
      </c>
      <c r="AM159" s="22">
        <f t="shared" si="1182"/>
        <v>1338.69</v>
      </c>
      <c r="AN159" s="22">
        <f t="shared" ref="AN159:AO159" si="1183">SUM(AN155:AN158)</f>
        <v>1060.06</v>
      </c>
      <c r="AO159" s="22">
        <f t="shared" si="1183"/>
        <v>1060.06</v>
      </c>
      <c r="AP159" s="22">
        <f t="shared" ref="AP159:CE159" si="1184">SUM(AP155:AP158)</f>
        <v>2032.52</v>
      </c>
      <c r="AQ159" s="22">
        <f t="shared" si="1184"/>
        <v>2032.52</v>
      </c>
      <c r="AR159" s="22">
        <f t="shared" si="1184"/>
        <v>1335.44</v>
      </c>
      <c r="AS159" s="22">
        <f t="shared" si="1184"/>
        <v>1335.44</v>
      </c>
      <c r="AT159" s="22">
        <f t="shared" si="1184"/>
        <v>2024.42</v>
      </c>
      <c r="AU159" s="22">
        <f t="shared" si="1184"/>
        <v>2024.42</v>
      </c>
      <c r="AV159" s="22">
        <f t="shared" si="1184"/>
        <v>1763.69</v>
      </c>
      <c r="AW159" s="22">
        <f t="shared" si="1184"/>
        <v>1763.69</v>
      </c>
      <c r="AX159" s="22">
        <f t="shared" si="1184"/>
        <v>2129.73</v>
      </c>
      <c r="AY159" s="22">
        <f t="shared" si="1184"/>
        <v>2129.73</v>
      </c>
      <c r="AZ159" s="22">
        <f t="shared" si="1184"/>
        <v>2096.1799999999998</v>
      </c>
      <c r="BA159" s="22">
        <f t="shared" si="1184"/>
        <v>2096.1799999999998</v>
      </c>
      <c r="BB159" s="22">
        <f t="shared" si="1184"/>
        <v>1977.4299999999998</v>
      </c>
      <c r="BC159" s="22">
        <f t="shared" si="1184"/>
        <v>1977.4299999999998</v>
      </c>
      <c r="BD159" s="22">
        <f t="shared" si="1184"/>
        <v>2789.05</v>
      </c>
      <c r="BE159" s="22">
        <f t="shared" si="1184"/>
        <v>2789.05</v>
      </c>
      <c r="BF159" s="22">
        <f t="shared" si="1184"/>
        <v>2758.04</v>
      </c>
      <c r="BG159" s="22">
        <f t="shared" si="1184"/>
        <v>2758.04</v>
      </c>
      <c r="BH159" s="22">
        <f t="shared" ref="BH159" si="1185">SUM(BH155:BH158)</f>
        <v>3394.3199999999997</v>
      </c>
      <c r="BI159" s="22">
        <f t="shared" si="1184"/>
        <v>3394.3199999999997</v>
      </c>
      <c r="BJ159" s="22">
        <f t="shared" si="1184"/>
        <v>3288.7300000000005</v>
      </c>
      <c r="BK159" s="22">
        <f t="shared" si="1184"/>
        <v>3288.7300000000005</v>
      </c>
      <c r="BL159" s="22">
        <f t="shared" si="1184"/>
        <v>2990.1800000000003</v>
      </c>
      <c r="BM159" s="22">
        <f t="shared" si="1184"/>
        <v>2990.1800000000003</v>
      </c>
      <c r="BN159" s="22">
        <f t="shared" si="1184"/>
        <v>3267.07</v>
      </c>
      <c r="BO159" s="22">
        <f t="shared" si="1184"/>
        <v>3267.07</v>
      </c>
      <c r="BP159" s="22">
        <f t="shared" si="1184"/>
        <v>3680.54</v>
      </c>
      <c r="BQ159" s="22">
        <f t="shared" si="1184"/>
        <v>3680.54</v>
      </c>
      <c r="BR159" s="22">
        <f t="shared" si="1184"/>
        <v>3390.96</v>
      </c>
      <c r="BS159" s="22">
        <f t="shared" si="1184"/>
        <v>3390.96</v>
      </c>
      <c r="BT159" s="22">
        <f t="shared" si="1184"/>
        <v>3262.74</v>
      </c>
      <c r="BU159" s="22">
        <f t="shared" si="1184"/>
        <v>3262.74</v>
      </c>
      <c r="BV159" s="22">
        <f t="shared" si="1184"/>
        <v>3539.35</v>
      </c>
      <c r="BW159" s="22">
        <f t="shared" si="1184"/>
        <v>3539.35</v>
      </c>
      <c r="BX159" s="22">
        <f t="shared" si="1184"/>
        <v>3715.27</v>
      </c>
      <c r="BY159" s="22">
        <f t="shared" si="1184"/>
        <v>3715.27</v>
      </c>
      <c r="BZ159" s="22">
        <f t="shared" si="1184"/>
        <v>4354.0599999999995</v>
      </c>
      <c r="CA159" s="22">
        <f t="shared" si="1184"/>
        <v>4354.0599999999995</v>
      </c>
      <c r="CB159" s="22">
        <f t="shared" si="1184"/>
        <v>4857.18</v>
      </c>
      <c r="CC159" s="22">
        <f t="shared" si="1184"/>
        <v>4857.18</v>
      </c>
      <c r="CD159" s="22">
        <f t="shared" si="1184"/>
        <v>4920.24</v>
      </c>
      <c r="CE159" s="22">
        <f t="shared" si="1184"/>
        <v>4920.24</v>
      </c>
      <c r="CF159" s="22">
        <f t="shared" ref="CF159:CG159" si="1186">SUM(CF155:CF158)</f>
        <v>5149.16</v>
      </c>
      <c r="CG159" s="22">
        <f t="shared" si="1186"/>
        <v>5149.16</v>
      </c>
      <c r="CH159" s="22">
        <f t="shared" ref="CH159:CI159" si="1187">SUM(CH155:CH158)</f>
        <v>4641.24</v>
      </c>
      <c r="CI159" s="22">
        <f t="shared" si="1187"/>
        <v>4641.24</v>
      </c>
      <c r="CJ159" s="22">
        <f t="shared" ref="CJ159:DB159" si="1188">SUM(CJ155:CJ158)</f>
        <v>4526.93</v>
      </c>
      <c r="CK159" s="22">
        <f t="shared" si="1188"/>
        <v>4526.93</v>
      </c>
      <c r="CL159" s="22">
        <f t="shared" ref="CL159" si="1189">SUM(CL155:CL158)</f>
        <v>5004.33</v>
      </c>
      <c r="CM159" s="21">
        <f t="shared" si="1188"/>
        <v>5004.33</v>
      </c>
      <c r="CN159" s="21">
        <f t="shared" si="1188"/>
        <v>5004.33</v>
      </c>
      <c r="CO159" s="21">
        <f t="shared" si="1188"/>
        <v>5004.33</v>
      </c>
      <c r="CP159" s="21">
        <f t="shared" si="1188"/>
        <v>5004.33</v>
      </c>
      <c r="CQ159" s="21">
        <f t="shared" si="1188"/>
        <v>5004.33</v>
      </c>
      <c r="CR159" s="21">
        <f t="shared" si="1188"/>
        <v>5004.33</v>
      </c>
      <c r="CS159" s="21">
        <f t="shared" si="1188"/>
        <v>5004.33</v>
      </c>
      <c r="CT159" s="21">
        <f t="shared" si="1188"/>
        <v>5004.33</v>
      </c>
      <c r="CU159" s="21">
        <f t="shared" si="1188"/>
        <v>5004.33</v>
      </c>
      <c r="CV159" s="21">
        <f t="shared" si="1188"/>
        <v>5004.33</v>
      </c>
      <c r="CW159" s="21">
        <f t="shared" si="1188"/>
        <v>5004.33</v>
      </c>
      <c r="CX159" s="21">
        <f t="shared" si="1188"/>
        <v>5004.33</v>
      </c>
      <c r="CY159" s="21">
        <f t="shared" si="1188"/>
        <v>5004.33</v>
      </c>
      <c r="CZ159" s="21">
        <f t="shared" si="1188"/>
        <v>5004.33</v>
      </c>
      <c r="DA159" s="21">
        <f t="shared" si="1188"/>
        <v>5004.33</v>
      </c>
      <c r="DB159" s="21">
        <f t="shared" si="1188"/>
        <v>5004.33</v>
      </c>
      <c r="DE159" s="123"/>
      <c r="DF159" s="22">
        <v>0</v>
      </c>
    </row>
    <row r="160" spans="1:110" s="26" customFormat="1" x14ac:dyDescent="0.2">
      <c r="A160" s="26" t="s">
        <v>437</v>
      </c>
      <c r="B160" s="26">
        <f>B159+B151+B153</f>
        <v>897.90599999999995</v>
      </c>
      <c r="C160" s="26">
        <f t="shared" ref="C160:V160" si="1190">C159+C151+C153</f>
        <v>720.61590000000001</v>
      </c>
      <c r="D160" s="26">
        <f>D159+D151+D153</f>
        <v>650.31369999999993</v>
      </c>
      <c r="E160" s="26">
        <f t="shared" si="1190"/>
        <v>660.67049999999995</v>
      </c>
      <c r="F160" s="26">
        <f t="shared" si="1190"/>
        <v>906.27479999999991</v>
      </c>
      <c r="G160" s="26">
        <f t="shared" si="1190"/>
        <v>1176.0705</v>
      </c>
      <c r="H160" s="26">
        <f t="shared" si="1190"/>
        <v>1324.1068</v>
      </c>
      <c r="I160" s="26">
        <f t="shared" si="1190"/>
        <v>1444.9850999999999</v>
      </c>
      <c r="J160" s="26">
        <f t="shared" si="1190"/>
        <v>2029.4270000000001</v>
      </c>
      <c r="K160" s="26">
        <f t="shared" si="1190"/>
        <v>2305.6265000000003</v>
      </c>
      <c r="L160" s="26">
        <f t="shared" si="1190"/>
        <v>2671.1100999999999</v>
      </c>
      <c r="M160" s="26">
        <f t="shared" si="1190"/>
        <v>3079.9557</v>
      </c>
      <c r="N160" s="26">
        <f t="shared" si="1190"/>
        <v>3672.9313999999999</v>
      </c>
      <c r="O160" s="26">
        <f t="shared" si="1190"/>
        <v>4241.9766999999993</v>
      </c>
      <c r="P160" s="26">
        <f t="shared" si="1190"/>
        <v>4731.2299999999996</v>
      </c>
      <c r="Q160" s="26">
        <f t="shared" si="1190"/>
        <v>5278.23</v>
      </c>
      <c r="R160" s="26">
        <f t="shared" si="1190"/>
        <v>5578.87</v>
      </c>
      <c r="S160" s="26">
        <f t="shared" si="1190"/>
        <v>6706.3700000000008</v>
      </c>
      <c r="T160" s="26">
        <f t="shared" si="1190"/>
        <v>7859.4600000000009</v>
      </c>
      <c r="U160" s="26">
        <f t="shared" si="1190"/>
        <v>8980.1400000000012</v>
      </c>
      <c r="V160" s="26">
        <f t="shared" si="1190"/>
        <v>10247.380000000001</v>
      </c>
      <c r="W160" s="26">
        <f t="shared" ref="W160" si="1191">W159+W151+W153</f>
        <v>12104.71</v>
      </c>
      <c r="X160" s="26">
        <f t="shared" ref="X160:Y160" si="1192">X159+X151+X153</f>
        <v>14681.109999999999</v>
      </c>
      <c r="Y160" s="26">
        <f t="shared" si="1192"/>
        <v>16399.259999999998</v>
      </c>
      <c r="Z160" s="26">
        <f t="shared" ref="Z160:AA160" si="1193">Z159+Z151+Z153</f>
        <v>17267.439999999999</v>
      </c>
      <c r="AA160" s="26">
        <f t="shared" si="1193"/>
        <v>19047.09</v>
      </c>
      <c r="AB160" s="27">
        <f t="shared" ref="AA160:AD160" si="1194">AB159+AB151+AB153</f>
        <v>21463.803126723164</v>
      </c>
      <c r="AC160" s="27">
        <f t="shared" si="1194"/>
        <v>24330.033090568992</v>
      </c>
      <c r="AD160" s="27">
        <f t="shared" si="1194"/>
        <v>28010.214495749737</v>
      </c>
      <c r="AE160" s="27">
        <f t="shared" ref="AE160" si="1195">AE159+AE151+AE153</f>
        <v>32621.065344486138</v>
      </c>
      <c r="AJ160" s="26">
        <f t="shared" ref="AJ160" si="1196">AJ159+AJ151+AJ153</f>
        <v>2331.2800000000002</v>
      </c>
      <c r="AK160" s="26">
        <f t="shared" ref="AK160" si="1197">AK159+AK151+AK153</f>
        <v>2420.5300000000002</v>
      </c>
      <c r="AL160" s="26">
        <f t="shared" ref="AL160" si="1198">AL159+AL151+AL153</f>
        <v>3307.62</v>
      </c>
      <c r="AM160" s="26">
        <f t="shared" ref="AM160:AO160" si="1199">AM159+AM151+AM153</f>
        <v>3351.4300000000003</v>
      </c>
      <c r="AN160" s="26">
        <f t="shared" si="1199"/>
        <v>3165.13</v>
      </c>
      <c r="AO160" s="26">
        <f t="shared" si="1199"/>
        <v>3237.19</v>
      </c>
      <c r="AP160" s="26">
        <f t="shared" ref="AP160:CE160" si="1200">AP159+AP151+AP153</f>
        <v>4099.18</v>
      </c>
      <c r="AQ160" s="26">
        <f t="shared" si="1200"/>
        <v>4191.68</v>
      </c>
      <c r="AR160" s="26">
        <f t="shared" si="1200"/>
        <v>3635.9100000000003</v>
      </c>
      <c r="AS160" s="26">
        <f t="shared" si="1200"/>
        <v>3707.31</v>
      </c>
      <c r="AT160" s="26">
        <f t="shared" si="1200"/>
        <v>4320.76</v>
      </c>
      <c r="AU160" s="26">
        <f t="shared" si="1200"/>
        <v>4434.18</v>
      </c>
      <c r="AV160" s="26">
        <f t="shared" si="1200"/>
        <v>4234.1400000000003</v>
      </c>
      <c r="AW160" s="26">
        <f t="shared" si="1200"/>
        <v>4331.0200000000004</v>
      </c>
      <c r="AX160" s="26">
        <f t="shared" si="1200"/>
        <v>4892.71</v>
      </c>
      <c r="AY160" s="26">
        <f t="shared" si="1200"/>
        <v>5047.2700000000004</v>
      </c>
      <c r="AZ160" s="26">
        <f t="shared" si="1200"/>
        <v>4971.7299999999996</v>
      </c>
      <c r="BA160" s="26">
        <f t="shared" si="1200"/>
        <v>5080.1000000000004</v>
      </c>
      <c r="BB160" s="26">
        <f t="shared" si="1200"/>
        <v>5160.09</v>
      </c>
      <c r="BC160" s="26">
        <f t="shared" si="1200"/>
        <v>5263.9</v>
      </c>
      <c r="BD160" s="26">
        <f t="shared" si="1200"/>
        <v>6134.85</v>
      </c>
      <c r="BE160" s="26">
        <f t="shared" si="1200"/>
        <v>6266.07</v>
      </c>
      <c r="BF160" s="26">
        <f t="shared" si="1200"/>
        <v>6322.57</v>
      </c>
      <c r="BG160" s="26">
        <f t="shared" si="1200"/>
        <v>6456.41</v>
      </c>
      <c r="BH160" s="26">
        <f t="shared" ref="BH160" si="1201">BH159+BH151+BH153</f>
        <v>7160.66</v>
      </c>
      <c r="BI160" s="26">
        <f t="shared" si="1200"/>
        <v>7326.37</v>
      </c>
      <c r="BJ160" s="26">
        <f t="shared" si="1200"/>
        <v>7418.0000000000009</v>
      </c>
      <c r="BK160" s="26">
        <f t="shared" si="1200"/>
        <v>7607.22</v>
      </c>
      <c r="BL160" s="26">
        <f t="shared" si="1200"/>
        <v>7555.97</v>
      </c>
      <c r="BM160" s="26">
        <f t="shared" si="1200"/>
        <v>7898.96</v>
      </c>
      <c r="BN160" s="26">
        <f t="shared" si="1200"/>
        <v>8200.39</v>
      </c>
      <c r="BO160" s="26">
        <f t="shared" si="1200"/>
        <v>8377.48</v>
      </c>
      <c r="BP160" s="26">
        <f t="shared" si="1200"/>
        <v>9138.16</v>
      </c>
      <c r="BQ160" s="26">
        <f t="shared" si="1200"/>
        <v>9462.89</v>
      </c>
      <c r="BR160" s="26">
        <f t="shared" si="1200"/>
        <v>10247.380000000001</v>
      </c>
      <c r="BS160" s="26">
        <f t="shared" si="1200"/>
        <v>10642.66</v>
      </c>
      <c r="BT160" s="26">
        <f t="shared" si="1200"/>
        <v>10789.67</v>
      </c>
      <c r="BU160" s="26">
        <f t="shared" si="1200"/>
        <v>11295.21</v>
      </c>
      <c r="BV160" s="26">
        <f t="shared" si="1200"/>
        <v>12104.710000000001</v>
      </c>
      <c r="BW160" s="26">
        <f t="shared" si="1200"/>
        <v>12712.710000000001</v>
      </c>
      <c r="BX160" s="26">
        <f t="shared" si="1200"/>
        <v>12940.1</v>
      </c>
      <c r="BY160" s="26">
        <f t="shared" si="1200"/>
        <v>13451</v>
      </c>
      <c r="BZ160" s="26">
        <f t="shared" si="1200"/>
        <v>14681.11</v>
      </c>
      <c r="CA160" s="26">
        <f t="shared" si="1200"/>
        <v>15040.4</v>
      </c>
      <c r="CB160" s="26">
        <f t="shared" si="1200"/>
        <v>15708.990000000002</v>
      </c>
      <c r="CC160" s="26">
        <f t="shared" si="1200"/>
        <v>15962.420000000002</v>
      </c>
      <c r="CD160" s="26">
        <f t="shared" si="1200"/>
        <v>16399.260000000002</v>
      </c>
      <c r="CE160" s="26">
        <f t="shared" si="1200"/>
        <v>16651.48</v>
      </c>
      <c r="CF160" s="26">
        <f t="shared" ref="CF160:CG160" si="1202">CF159+CF151+CF153</f>
        <v>17146.47</v>
      </c>
      <c r="CG160" s="26">
        <f t="shared" si="1202"/>
        <v>17417.550000000003</v>
      </c>
      <c r="CH160" s="26">
        <f t="shared" ref="CH160:CI160" si="1203">CH159+CH151+CH153</f>
        <v>17267.439999999999</v>
      </c>
      <c r="CI160" s="26">
        <f t="shared" si="1203"/>
        <v>17699.759999999998</v>
      </c>
      <c r="CJ160" s="26">
        <f t="shared" ref="CJ160:DB160" si="1204">CJ159+CJ151+CJ153</f>
        <v>17790.550000000003</v>
      </c>
      <c r="CK160" s="26">
        <f t="shared" si="1204"/>
        <v>18223.21</v>
      </c>
      <c r="CL160" s="26">
        <f t="shared" ref="CL160" si="1205">CL159+CL151+CL153</f>
        <v>19047.09</v>
      </c>
      <c r="CM160" s="27">
        <f t="shared" si="1204"/>
        <v>19589.28587574128</v>
      </c>
      <c r="CN160" s="27">
        <f t="shared" si="1204"/>
        <v>20113.512296950248</v>
      </c>
      <c r="CO160" s="27">
        <f t="shared" si="1204"/>
        <v>20697.930086396809</v>
      </c>
      <c r="CP160" s="27">
        <f t="shared" si="1204"/>
        <v>21463.803126723164</v>
      </c>
      <c r="CQ160" s="27">
        <f t="shared" si="1204"/>
        <v>22104.010305225893</v>
      </c>
      <c r="CR160" s="27">
        <f t="shared" si="1204"/>
        <v>22725.785694774342</v>
      </c>
      <c r="CS160" s="27">
        <f t="shared" si="1204"/>
        <v>23406.191615807169</v>
      </c>
      <c r="CT160" s="27">
        <f t="shared" si="1204"/>
        <v>24330.033090568992</v>
      </c>
      <c r="CU160" s="27">
        <f t="shared" si="1204"/>
        <v>25161.924514999351</v>
      </c>
      <c r="CV160" s="27">
        <f t="shared" si="1204"/>
        <v>25970.411430021661</v>
      </c>
      <c r="CW160" s="27">
        <f t="shared" si="1204"/>
        <v>26845.56724768805</v>
      </c>
      <c r="CX160" s="27">
        <f t="shared" si="1204"/>
        <v>28010.214495749737</v>
      </c>
      <c r="CY160" s="27">
        <f t="shared" si="1204"/>
        <v>29060.731425384183</v>
      </c>
      <c r="CZ160" s="27">
        <f t="shared" si="1204"/>
        <v>30083.323382671369</v>
      </c>
      <c r="DA160" s="27">
        <f t="shared" si="1204"/>
        <v>31183.292191873836</v>
      </c>
      <c r="DB160" s="27">
        <f t="shared" si="1204"/>
        <v>32621.065344486138</v>
      </c>
      <c r="DE160" s="119"/>
      <c r="DF160" s="26">
        <v>0</v>
      </c>
    </row>
    <row r="161" spans="1:110" s="23" customFormat="1" x14ac:dyDescent="0.2">
      <c r="AB161" s="24"/>
      <c r="AC161" s="24"/>
      <c r="AD161" s="24"/>
      <c r="AE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E161" s="121"/>
    </row>
    <row r="162" spans="1:110" s="23" customFormat="1" outlineLevel="1" x14ac:dyDescent="0.2">
      <c r="A162" s="23" t="s">
        <v>50</v>
      </c>
      <c r="B162" s="23">
        <f>'Annual Raw'!C62</f>
        <v>852.42499999999995</v>
      </c>
      <c r="C162" s="23">
        <f>'Annual Raw'!D62</f>
        <v>1038.6621</v>
      </c>
      <c r="D162" s="23">
        <f>'Annual Raw'!E62</f>
        <v>1056.3925999999999</v>
      </c>
      <c r="E162" s="23">
        <f>'Annual Raw'!F62-E166</f>
        <v>1052.2463</v>
      </c>
      <c r="F162" s="23">
        <f>'Annual Raw'!G62-F166</f>
        <v>1319.5540000000001</v>
      </c>
      <c r="G162" s="23">
        <f>'Annual Raw'!H62-G166</f>
        <v>1504.5474000000002</v>
      </c>
      <c r="H162" s="23">
        <f>'Annual Raw'!I62-H166</f>
        <v>1778.0131000000001</v>
      </c>
      <c r="I162" s="23">
        <f>'Annual Raw'!J62-I166</f>
        <v>1951.9319</v>
      </c>
      <c r="J162" s="23">
        <f>'Annual Raw'!K62-J166</f>
        <v>2950.4786000000004</v>
      </c>
      <c r="K162" s="23">
        <f>'Annual Raw'!L62-K166</f>
        <v>3469.8051</v>
      </c>
      <c r="L162" s="23">
        <f>'Annual Raw'!M62-L166</f>
        <v>3778.9409000000001</v>
      </c>
      <c r="M162" s="23">
        <f>'Annual Raw'!N62-M166</f>
        <v>4137.3752000000004</v>
      </c>
      <c r="N162" s="23">
        <f>'Annual Raw'!O62-N166</f>
        <v>4748.018</v>
      </c>
      <c r="O162" s="23">
        <f>'Annual Raw'!P62-O166</f>
        <v>6105.3706000000002</v>
      </c>
      <c r="P162" s="23">
        <f>'Annual Raw'!Q62-P166</f>
        <v>6675.89</v>
      </c>
      <c r="Q162" s="23">
        <f>'Annual Raw'!R62-Q166</f>
        <v>4380.76</v>
      </c>
      <c r="R162" s="23">
        <f>'Annual Raw'!S62-R166</f>
        <v>4958.1500000000005</v>
      </c>
      <c r="S162" s="23">
        <f>'Annual Raw'!T62-S166</f>
        <v>5988.67</v>
      </c>
      <c r="T162" s="23">
        <f>'Annual Raw'!U62-T166</f>
        <v>6833</v>
      </c>
      <c r="U162" s="23">
        <f>'Annual Raw'!V62-U166</f>
        <v>7940.56</v>
      </c>
      <c r="V162" s="23">
        <f>'Annual Raw'!W62-V166</f>
        <v>9855.17</v>
      </c>
      <c r="W162" s="23">
        <f>'Annual Raw'!X62-W166</f>
        <v>10899.73</v>
      </c>
      <c r="X162" s="23">
        <f>'Annual Raw'!Y62-X166</f>
        <v>13062.61</v>
      </c>
      <c r="Y162" s="23">
        <f>'Annual Raw'!Z62-Y166</f>
        <v>16864.13</v>
      </c>
      <c r="Z162" s="23">
        <f>'Annual Raw'!AA62-Z166</f>
        <v>18125.98</v>
      </c>
      <c r="AA162" s="23">
        <f>'Annual Raw'!AB62-AA166</f>
        <v>19228.96</v>
      </c>
      <c r="AB162" s="24">
        <f t="shared" ref="AB162:AB168" si="1206">+CP162</f>
        <v>18941.84</v>
      </c>
      <c r="AC162" s="24">
        <f t="shared" ref="AC162:AC168" si="1207">+CT162</f>
        <v>18941.84</v>
      </c>
      <c r="AD162" s="24">
        <f t="shared" ref="AD162:AD168" si="1208">+CX162</f>
        <v>18941.84</v>
      </c>
      <c r="AE162" s="24">
        <f t="shared" ref="AE162:AE168" si="1209">+DB162</f>
        <v>18941.84</v>
      </c>
      <c r="AJ162" s="23">
        <f>+'QTR Raw'!D68</f>
        <v>2389.8200000000002</v>
      </c>
      <c r="AL162" s="23">
        <f>+'QTR Raw'!F68</f>
        <v>2902.25</v>
      </c>
      <c r="AN162" s="23">
        <f>+'QTR Raw'!H68</f>
        <v>2582.6999999999998</v>
      </c>
      <c r="AP162" s="23">
        <f>+'QTR Raw'!J68</f>
        <v>3659.91</v>
      </c>
      <c r="AR162" s="23">
        <f>+'QTR Raw'!L68</f>
        <v>2916.61</v>
      </c>
      <c r="AT162" s="23">
        <f>+'QTR Raw'!N68</f>
        <v>4022.95</v>
      </c>
      <c r="AV162" s="23">
        <f>+'QTR Raw'!P68</f>
        <v>4146.8100000000004</v>
      </c>
      <c r="AX162" s="23">
        <f>+'QTR Raw'!R68</f>
        <v>4107.6099999999997</v>
      </c>
      <c r="AZ162" s="23">
        <f>+'QTR Raw'!T68</f>
        <v>4080</v>
      </c>
      <c r="BB162" s="23">
        <f>+'QTR Raw'!V68</f>
        <v>4400</v>
      </c>
      <c r="BD162" s="23">
        <f>+'QTR Raw'!X68</f>
        <v>4364.5</v>
      </c>
      <c r="BF162" s="23">
        <f>+'QTR Raw'!Z68</f>
        <v>5117.51</v>
      </c>
      <c r="BH162" s="23">
        <f>+'QTR Raw'!AB68</f>
        <v>5251.74</v>
      </c>
      <c r="BJ162" s="23">
        <f>+'QTR Raw'!AD68</f>
        <v>5605.31</v>
      </c>
      <c r="BL162" s="23">
        <f>+'QTR Raw'!AF68</f>
        <v>5706.15</v>
      </c>
      <c r="BN162" s="23">
        <f>+'QTR Raw'!AH68</f>
        <v>6139.39</v>
      </c>
      <c r="BP162" s="23">
        <f>+'QTR Raw'!AJ68</f>
        <v>7195.39</v>
      </c>
      <c r="BR162" s="23">
        <f>+'QTR Raw'!AL68</f>
        <v>7609.58</v>
      </c>
      <c r="BT162" s="23">
        <f>+'QTR Raw'!AN68</f>
        <v>7990.94</v>
      </c>
      <c r="BV162" s="23">
        <f>+'QTR Raw'!AP68</f>
        <v>8169.94</v>
      </c>
      <c r="BX162" s="23">
        <f>+'QTR Raw'!AR68</f>
        <v>8881.7900000000009</v>
      </c>
      <c r="BZ162" s="23">
        <f>+'QTR Raw'!AT68</f>
        <v>9762.59</v>
      </c>
      <c r="CB162" s="23">
        <f>+'QTR Raw'!AV68</f>
        <v>10569.89</v>
      </c>
      <c r="CD162" s="23">
        <f>+'QTR Raw'!AX68</f>
        <v>12964.98</v>
      </c>
      <c r="CF162" s="23">
        <f>+'QTR Raw'!AZ68</f>
        <v>13203.19</v>
      </c>
      <c r="CH162" s="23">
        <f t="shared" ref="CH162:CH168" si="1210">Z162</f>
        <v>18125.98</v>
      </c>
      <c r="CI162" s="23">
        <f>CH162</f>
        <v>18125.98</v>
      </c>
      <c r="CJ162" s="23">
        <f>+CJ163+CJ165</f>
        <v>18511.21</v>
      </c>
      <c r="CK162" s="23">
        <f>+CJ162</f>
        <v>18511.21</v>
      </c>
      <c r="CL162" s="23">
        <f>+CL163+CL165</f>
        <v>18941.84</v>
      </c>
      <c r="CM162" s="24">
        <f t="shared" ref="CM162:DB162" si="1211">+CL162</f>
        <v>18941.84</v>
      </c>
      <c r="CN162" s="24">
        <f t="shared" si="1211"/>
        <v>18941.84</v>
      </c>
      <c r="CO162" s="24">
        <f t="shared" si="1211"/>
        <v>18941.84</v>
      </c>
      <c r="CP162" s="24">
        <f t="shared" si="1211"/>
        <v>18941.84</v>
      </c>
      <c r="CQ162" s="24">
        <f t="shared" si="1211"/>
        <v>18941.84</v>
      </c>
      <c r="CR162" s="24">
        <f t="shared" si="1211"/>
        <v>18941.84</v>
      </c>
      <c r="CS162" s="24">
        <f t="shared" si="1211"/>
        <v>18941.84</v>
      </c>
      <c r="CT162" s="24">
        <f t="shared" si="1211"/>
        <v>18941.84</v>
      </c>
      <c r="CU162" s="24">
        <f t="shared" si="1211"/>
        <v>18941.84</v>
      </c>
      <c r="CV162" s="24">
        <f t="shared" si="1211"/>
        <v>18941.84</v>
      </c>
      <c r="CW162" s="24">
        <f t="shared" si="1211"/>
        <v>18941.84</v>
      </c>
      <c r="CX162" s="24">
        <f t="shared" si="1211"/>
        <v>18941.84</v>
      </c>
      <c r="CY162" s="24">
        <f t="shared" si="1211"/>
        <v>18941.84</v>
      </c>
      <c r="CZ162" s="24">
        <f t="shared" si="1211"/>
        <v>18941.84</v>
      </c>
      <c r="DA162" s="24">
        <f t="shared" si="1211"/>
        <v>18941.84</v>
      </c>
      <c r="DB162" s="24">
        <f t="shared" si="1211"/>
        <v>18941.84</v>
      </c>
      <c r="DE162" s="121"/>
      <c r="DF162" s="23">
        <v>0</v>
      </c>
    </row>
    <row r="163" spans="1:110" s="23" customFormat="1" outlineLevel="1" x14ac:dyDescent="0.2">
      <c r="A163" s="23" t="s">
        <v>51</v>
      </c>
      <c r="B163" s="23">
        <f>'Annual Raw'!C63</f>
        <v>354.97879999999998</v>
      </c>
      <c r="C163" s="23">
        <f>'Annual Raw'!D63</f>
        <v>404.98410000000001</v>
      </c>
      <c r="D163" s="23">
        <f>'Annual Raw'!E63</f>
        <v>468.17349999999999</v>
      </c>
      <c r="E163" s="23">
        <f>'Annual Raw'!F63</f>
        <v>508.27460000000002</v>
      </c>
      <c r="F163" s="23">
        <f>'Annual Raw'!G63</f>
        <v>570.31899999999996</v>
      </c>
      <c r="G163" s="23">
        <f>'Annual Raw'!H63</f>
        <v>623.78279999999995</v>
      </c>
      <c r="H163" s="23">
        <f>'Annual Raw'!I63</f>
        <v>708.71429999999998</v>
      </c>
      <c r="I163" s="23">
        <f>'Annual Raw'!J63</f>
        <v>791.98159999999996</v>
      </c>
      <c r="J163" s="23">
        <f>'Annual Raw'!K63</f>
        <v>1387.1898000000001</v>
      </c>
      <c r="K163" s="23">
        <f>'Annual Raw'!L63</f>
        <v>1538.8963000000001</v>
      </c>
      <c r="L163" s="23">
        <f>'Annual Raw'!M63</f>
        <v>1755.4342999999999</v>
      </c>
      <c r="M163" s="23">
        <f>'Annual Raw'!N63</f>
        <v>2071.2918</v>
      </c>
      <c r="N163" s="23">
        <f>'Annual Raw'!O63</f>
        <v>2419.7136</v>
      </c>
      <c r="O163" s="23">
        <f>'Annual Raw'!P63</f>
        <v>2564.7928000000002</v>
      </c>
      <c r="P163" s="23">
        <f>'Annual Raw'!Q63</f>
        <v>2758.47</v>
      </c>
      <c r="Q163" s="23">
        <f>'Annual Raw'!R63</f>
        <v>273.14999999999998</v>
      </c>
      <c r="R163" s="23">
        <f>'Annual Raw'!S63</f>
        <v>558.15</v>
      </c>
      <c r="S163" s="23">
        <f>'Annual Raw'!T63</f>
        <v>871.16</v>
      </c>
      <c r="T163" s="23">
        <f>'Annual Raw'!U63</f>
        <v>1227.69</v>
      </c>
      <c r="U163" s="23">
        <f>'Annual Raw'!V63</f>
        <v>1573.59</v>
      </c>
      <c r="V163" s="23">
        <f>'Annual Raw'!W63</f>
        <v>2028.83</v>
      </c>
      <c r="W163" s="23">
        <f>'Annual Raw'!X63</f>
        <v>2474.44</v>
      </c>
      <c r="X163" s="23">
        <f>'Annual Raw'!Y63</f>
        <v>3012.81</v>
      </c>
      <c r="Y163" s="23">
        <f>'Annual Raw'!Z63</f>
        <v>3622.51</v>
      </c>
      <c r="Z163" s="23">
        <f>'Annual Raw'!AA63</f>
        <v>4406.1899999999996</v>
      </c>
      <c r="AA163" s="23">
        <f>'Annual Raw'!AB63</f>
        <v>5303.31</v>
      </c>
      <c r="AB163" s="24">
        <f t="shared" si="1206"/>
        <v>6129.6408753920041</v>
      </c>
      <c r="AC163" s="24">
        <f t="shared" si="1207"/>
        <v>7268.3172335628151</v>
      </c>
      <c r="AD163" s="24">
        <f t="shared" si="1208"/>
        <v>8305.7944270900771</v>
      </c>
      <c r="AE163" s="24">
        <f t="shared" si="1209"/>
        <v>9251.0664698136861</v>
      </c>
      <c r="AJ163" s="23">
        <f>+'QTR Raw'!D69</f>
        <v>0</v>
      </c>
      <c r="AL163" s="23">
        <f>+'QTR Raw'!F69</f>
        <v>0</v>
      </c>
      <c r="AN163" s="23">
        <f>+'QTR Raw'!H69</f>
        <v>0</v>
      </c>
      <c r="AP163" s="23">
        <f>+'QTR Raw'!J69</f>
        <v>0</v>
      </c>
      <c r="AR163" s="23">
        <f>+'QTR Raw'!L69</f>
        <v>0</v>
      </c>
      <c r="AT163" s="23">
        <f>+'QTR Raw'!N69</f>
        <v>0</v>
      </c>
      <c r="AV163" s="23">
        <f>+'QTR Raw'!P69</f>
        <v>0</v>
      </c>
      <c r="AX163" s="23">
        <f>+'QTR Raw'!R69</f>
        <v>0</v>
      </c>
      <c r="AZ163" s="23">
        <f>+'QTR Raw'!T69</f>
        <v>0</v>
      </c>
      <c r="BB163" s="23">
        <f>+'QTR Raw'!V69</f>
        <v>0</v>
      </c>
      <c r="BD163" s="23">
        <f>+'QTR Raw'!X69</f>
        <v>0</v>
      </c>
      <c r="BF163" s="23">
        <f>+'QTR Raw'!Z69</f>
        <v>0</v>
      </c>
      <c r="BH163" s="23">
        <f>+'QTR Raw'!AB69</f>
        <v>0</v>
      </c>
      <c r="BJ163" s="23">
        <f>+'QTR Raw'!AD69</f>
        <v>0</v>
      </c>
      <c r="BL163" s="23">
        <f>+'QTR Raw'!AF69</f>
        <v>0</v>
      </c>
      <c r="BN163" s="23">
        <f>+'QTR Raw'!AH69</f>
        <v>0</v>
      </c>
      <c r="BP163" s="23">
        <f>+'QTR Raw'!AJ69</f>
        <v>0</v>
      </c>
      <c r="BR163" s="23">
        <f>+'QTR Raw'!AL69</f>
        <v>0</v>
      </c>
      <c r="BT163" s="23">
        <f>+'QTR Raw'!AN69</f>
        <v>0</v>
      </c>
      <c r="BV163" s="23">
        <f>+'QTR Raw'!AP69</f>
        <v>0</v>
      </c>
      <c r="BX163" s="23">
        <f>+'QTR Raw'!AR69</f>
        <v>0</v>
      </c>
      <c r="BZ163" s="23">
        <f>+'QTR Raw'!AT69</f>
        <v>0</v>
      </c>
      <c r="CB163" s="23">
        <f>+'QTR Raw'!AV69</f>
        <v>0</v>
      </c>
      <c r="CD163" s="23">
        <f>+'QTR Raw'!AX69</f>
        <v>0</v>
      </c>
      <c r="CF163" s="23">
        <f>+'QTR Raw'!AZ69</f>
        <v>0</v>
      </c>
      <c r="CH163" s="23">
        <f t="shared" si="1210"/>
        <v>4406.1899999999996</v>
      </c>
      <c r="CI163" s="23">
        <f t="shared" ref="CI163:DB163" si="1212">CH163+CI63</f>
        <v>4609.4299999999994</v>
      </c>
      <c r="CJ163" s="23">
        <f t="shared" si="1212"/>
        <v>4821.5599999999995</v>
      </c>
      <c r="CK163" s="23">
        <f t="shared" si="1212"/>
        <v>5038.45</v>
      </c>
      <c r="CL163" s="23">
        <f t="shared" si="1212"/>
        <v>5258.26</v>
      </c>
      <c r="CM163" s="24">
        <f t="shared" si="1212"/>
        <v>5481.5095583533002</v>
      </c>
      <c r="CN163" s="24">
        <f t="shared" si="1212"/>
        <v>5701.1167683368794</v>
      </c>
      <c r="CO163" s="24">
        <f t="shared" si="1212"/>
        <v>5917.1410553836222</v>
      </c>
      <c r="CP163" s="24">
        <f t="shared" si="1212"/>
        <v>6129.6408753920041</v>
      </c>
      <c r="CQ163" s="24">
        <f t="shared" si="1212"/>
        <v>6424.3214552579884</v>
      </c>
      <c r="CR163" s="24">
        <f t="shared" si="1212"/>
        <v>6712.2243817870549</v>
      </c>
      <c r="CS163" s="24">
        <f t="shared" si="1212"/>
        <v>6993.5055410059522</v>
      </c>
      <c r="CT163" s="24">
        <f t="shared" si="1212"/>
        <v>7268.3172335628151</v>
      </c>
      <c r="CU163" s="24">
        <f t="shared" si="1212"/>
        <v>7536.8082571908708</v>
      </c>
      <c r="CV163" s="24">
        <f t="shared" si="1212"/>
        <v>7799.1239872754804</v>
      </c>
      <c r="CW163" s="24">
        <f t="shared" si="1212"/>
        <v>8055.4064555681443</v>
      </c>
      <c r="CX163" s="24">
        <f t="shared" si="1212"/>
        <v>8305.7944270900771</v>
      </c>
      <c r="CY163" s="24">
        <f t="shared" si="1212"/>
        <v>8550.4234752670054</v>
      </c>
      <c r="CZ163" s="24">
        <f t="shared" si="1212"/>
        <v>8789.4260553358636</v>
      </c>
      <c r="DA163" s="24">
        <f t="shared" si="1212"/>
        <v>9022.931576063138</v>
      </c>
      <c r="DB163" s="24">
        <f t="shared" si="1212"/>
        <v>9251.0664698136861</v>
      </c>
      <c r="DE163" s="121"/>
      <c r="DF163" s="23">
        <v>0</v>
      </c>
    </row>
    <row r="164" spans="1:110" s="23" customFormat="1" outlineLevel="1" x14ac:dyDescent="0.2">
      <c r="A164" s="23" t="s">
        <v>52</v>
      </c>
      <c r="B164" s="23">
        <f>'Annual Raw'!C64</f>
        <v>0</v>
      </c>
      <c r="C164" s="23">
        <f>'Annual Raw'!D64</f>
        <v>0</v>
      </c>
      <c r="D164" s="23">
        <f>'Annual Raw'!E64</f>
        <v>0</v>
      </c>
      <c r="E164" s="23">
        <f>'Annual Raw'!F64</f>
        <v>0</v>
      </c>
      <c r="F164" s="23">
        <f>'Annual Raw'!G64</f>
        <v>0</v>
      </c>
      <c r="G164" s="23">
        <f>'Annual Raw'!H64</f>
        <v>0</v>
      </c>
      <c r="H164" s="23">
        <f>'Annual Raw'!I64</f>
        <v>0</v>
      </c>
      <c r="I164" s="23">
        <f>'Annual Raw'!J64</f>
        <v>0</v>
      </c>
      <c r="J164" s="23">
        <f>'Annual Raw'!K64</f>
        <v>0</v>
      </c>
      <c r="K164" s="23">
        <f>'Annual Raw'!L64</f>
        <v>0</v>
      </c>
      <c r="L164" s="23">
        <f>'Annual Raw'!M64</f>
        <v>0</v>
      </c>
      <c r="M164" s="23">
        <f>'Annual Raw'!N64</f>
        <v>0</v>
      </c>
      <c r="N164" s="23">
        <f>'Annual Raw'!O64</f>
        <v>0</v>
      </c>
      <c r="O164" s="23">
        <f>'Annual Raw'!P64</f>
        <v>0.91620000000000001</v>
      </c>
      <c r="P164" s="23">
        <f>'Annual Raw'!Q64</f>
        <v>0</v>
      </c>
      <c r="Q164" s="23">
        <f>'Annual Raw'!R64</f>
        <v>0</v>
      </c>
      <c r="R164" s="23">
        <f>'Annual Raw'!S64</f>
        <v>0</v>
      </c>
      <c r="S164" s="23">
        <f>'Annual Raw'!T64</f>
        <v>0</v>
      </c>
      <c r="T164" s="23">
        <f>'Annual Raw'!U64</f>
        <v>0</v>
      </c>
      <c r="U164" s="23">
        <f>'Annual Raw'!V64</f>
        <v>0</v>
      </c>
      <c r="V164" s="23">
        <f>'Annual Raw'!W64</f>
        <v>0</v>
      </c>
      <c r="W164" s="23">
        <f>'Annual Raw'!X64</f>
        <v>0</v>
      </c>
      <c r="X164" s="23">
        <f>'Annual Raw'!Y64</f>
        <v>0</v>
      </c>
      <c r="Y164" s="23">
        <f>'Annual Raw'!Z64</f>
        <v>0</v>
      </c>
      <c r="Z164" s="23">
        <f>'Annual Raw'!AA64</f>
        <v>0</v>
      </c>
      <c r="AA164" s="23">
        <f>'Annual Raw'!AB64</f>
        <v>0</v>
      </c>
      <c r="AB164" s="24">
        <f t="shared" si="1206"/>
        <v>0</v>
      </c>
      <c r="AC164" s="24">
        <f t="shared" si="1207"/>
        <v>0</v>
      </c>
      <c r="AD164" s="24">
        <f t="shared" si="1208"/>
        <v>0</v>
      </c>
      <c r="AE164" s="24">
        <f t="shared" si="1209"/>
        <v>0</v>
      </c>
      <c r="AJ164" s="23">
        <f>+'QTR Raw'!D70</f>
        <v>0</v>
      </c>
      <c r="AL164" s="23">
        <f>+'QTR Raw'!F70</f>
        <v>0</v>
      </c>
      <c r="AN164" s="23">
        <f>+'QTR Raw'!H70</f>
        <v>0</v>
      </c>
      <c r="AP164" s="23">
        <f>+'QTR Raw'!J70</f>
        <v>0</v>
      </c>
      <c r="AR164" s="23">
        <f>+'QTR Raw'!L70</f>
        <v>0</v>
      </c>
      <c r="AT164" s="23">
        <f>+'QTR Raw'!N70</f>
        <v>0</v>
      </c>
      <c r="AV164" s="23">
        <f>+'QTR Raw'!P70</f>
        <v>0</v>
      </c>
      <c r="AX164" s="23">
        <f>+'QTR Raw'!R70</f>
        <v>0</v>
      </c>
      <c r="AZ164" s="23">
        <f>+'QTR Raw'!T70</f>
        <v>0</v>
      </c>
      <c r="BB164" s="23">
        <f>+'QTR Raw'!V70</f>
        <v>0</v>
      </c>
      <c r="BD164" s="23">
        <f>+'QTR Raw'!X70</f>
        <v>0</v>
      </c>
      <c r="BF164" s="23">
        <f>+'QTR Raw'!Z70</f>
        <v>0</v>
      </c>
      <c r="BH164" s="23">
        <f>+'QTR Raw'!AB70</f>
        <v>0</v>
      </c>
      <c r="BJ164" s="23">
        <f>+'QTR Raw'!AD70</f>
        <v>0</v>
      </c>
      <c r="BL164" s="23">
        <f>+'QTR Raw'!AF70</f>
        <v>0</v>
      </c>
      <c r="BN164" s="23">
        <f>+'QTR Raw'!AH70</f>
        <v>0</v>
      </c>
      <c r="BP164" s="23">
        <f>+'QTR Raw'!AJ70</f>
        <v>0</v>
      </c>
      <c r="BR164" s="23">
        <f>+'QTR Raw'!AL70</f>
        <v>0</v>
      </c>
      <c r="BT164" s="23">
        <f>+'QTR Raw'!AN70</f>
        <v>0</v>
      </c>
      <c r="BV164" s="23">
        <f>+'QTR Raw'!AP70</f>
        <v>0</v>
      </c>
      <c r="BX164" s="23">
        <f>+'QTR Raw'!AR70</f>
        <v>0</v>
      </c>
      <c r="BZ164" s="23">
        <f>+'QTR Raw'!AT70</f>
        <v>0</v>
      </c>
      <c r="CB164" s="23">
        <f>+'QTR Raw'!AV70</f>
        <v>0</v>
      </c>
      <c r="CD164" s="23">
        <f>+'QTR Raw'!AX70</f>
        <v>0</v>
      </c>
      <c r="CF164" s="23">
        <f>+'QTR Raw'!AZ70</f>
        <v>0</v>
      </c>
      <c r="CH164" s="23">
        <f t="shared" si="1210"/>
        <v>0</v>
      </c>
      <c r="CI164" s="23">
        <f>CH164</f>
        <v>0</v>
      </c>
      <c r="CJ164" s="23">
        <f>+'QTR Raw'!BD70</f>
        <v>0</v>
      </c>
      <c r="CK164" s="23">
        <f t="shared" ref="CK164:DB164" si="1213">CJ164</f>
        <v>0</v>
      </c>
      <c r="CL164" s="23">
        <f>+'QTR Raw'!BF70</f>
        <v>0</v>
      </c>
      <c r="CM164" s="24">
        <f t="shared" si="1213"/>
        <v>0</v>
      </c>
      <c r="CN164" s="24">
        <f t="shared" si="1213"/>
        <v>0</v>
      </c>
      <c r="CO164" s="24">
        <f t="shared" si="1213"/>
        <v>0</v>
      </c>
      <c r="CP164" s="24">
        <f t="shared" si="1213"/>
        <v>0</v>
      </c>
      <c r="CQ164" s="24">
        <f t="shared" si="1213"/>
        <v>0</v>
      </c>
      <c r="CR164" s="24">
        <f t="shared" si="1213"/>
        <v>0</v>
      </c>
      <c r="CS164" s="24">
        <f t="shared" si="1213"/>
        <v>0</v>
      </c>
      <c r="CT164" s="24">
        <f t="shared" si="1213"/>
        <v>0</v>
      </c>
      <c r="CU164" s="24">
        <f t="shared" si="1213"/>
        <v>0</v>
      </c>
      <c r="CV164" s="24">
        <f t="shared" si="1213"/>
        <v>0</v>
      </c>
      <c r="CW164" s="24">
        <f t="shared" si="1213"/>
        <v>0</v>
      </c>
      <c r="CX164" s="24">
        <f t="shared" si="1213"/>
        <v>0</v>
      </c>
      <c r="CY164" s="24">
        <f t="shared" si="1213"/>
        <v>0</v>
      </c>
      <c r="CZ164" s="24">
        <f t="shared" si="1213"/>
        <v>0</v>
      </c>
      <c r="DA164" s="24">
        <f t="shared" si="1213"/>
        <v>0</v>
      </c>
      <c r="DB164" s="24">
        <f t="shared" si="1213"/>
        <v>0</v>
      </c>
      <c r="DE164" s="121"/>
      <c r="DF164" s="23">
        <v>0</v>
      </c>
    </row>
    <row r="165" spans="1:110" s="22" customFormat="1" outlineLevel="1" x14ac:dyDescent="0.2">
      <c r="A165" s="22" t="s">
        <v>53</v>
      </c>
      <c r="B165" s="22">
        <f>+B162-B163-B164</f>
        <v>497.44619999999998</v>
      </c>
      <c r="C165" s="22">
        <f t="shared" ref="C165:W165" si="1214">+C162-C163-C164</f>
        <v>633.678</v>
      </c>
      <c r="D165" s="22">
        <f t="shared" si="1214"/>
        <v>588.21909999999991</v>
      </c>
      <c r="E165" s="22">
        <f t="shared" si="1214"/>
        <v>543.97170000000006</v>
      </c>
      <c r="F165" s="22">
        <f t="shared" si="1214"/>
        <v>749.23500000000013</v>
      </c>
      <c r="G165" s="22">
        <f t="shared" si="1214"/>
        <v>880.7646000000002</v>
      </c>
      <c r="H165" s="22">
        <f t="shared" si="1214"/>
        <v>1069.2988</v>
      </c>
      <c r="I165" s="22">
        <f t="shared" si="1214"/>
        <v>1159.9503</v>
      </c>
      <c r="J165" s="22">
        <f t="shared" si="1214"/>
        <v>1563.2888000000003</v>
      </c>
      <c r="K165" s="22">
        <f t="shared" si="1214"/>
        <v>1930.9087999999999</v>
      </c>
      <c r="L165" s="22">
        <f t="shared" si="1214"/>
        <v>2023.5066000000002</v>
      </c>
      <c r="M165" s="22">
        <f t="shared" si="1214"/>
        <v>2066.0834000000004</v>
      </c>
      <c r="N165" s="22">
        <f t="shared" si="1214"/>
        <v>2328.3044</v>
      </c>
      <c r="O165" s="22">
        <f t="shared" si="1214"/>
        <v>3539.6615999999999</v>
      </c>
      <c r="P165" s="22">
        <f t="shared" si="1214"/>
        <v>3917.4200000000005</v>
      </c>
      <c r="Q165" s="22">
        <f t="shared" si="1214"/>
        <v>4107.6100000000006</v>
      </c>
      <c r="R165" s="22">
        <f t="shared" si="1214"/>
        <v>4400.0000000000009</v>
      </c>
      <c r="S165" s="22">
        <f t="shared" si="1214"/>
        <v>5117.51</v>
      </c>
      <c r="T165" s="22">
        <f t="shared" si="1214"/>
        <v>5605.3099999999995</v>
      </c>
      <c r="U165" s="22">
        <f t="shared" si="1214"/>
        <v>6366.97</v>
      </c>
      <c r="V165" s="22">
        <f t="shared" si="1214"/>
        <v>7826.34</v>
      </c>
      <c r="W165" s="22">
        <f t="shared" si="1214"/>
        <v>8425.2899999999991</v>
      </c>
      <c r="X165" s="22">
        <f t="shared" ref="X165:Y165" si="1215">+X162-X163-X164</f>
        <v>10049.800000000001</v>
      </c>
      <c r="Y165" s="22">
        <f t="shared" si="1215"/>
        <v>13241.62</v>
      </c>
      <c r="Z165" s="22">
        <f t="shared" ref="Z165:AE165" si="1216">+Z162-Z163-Z164</f>
        <v>13719.79</v>
      </c>
      <c r="AA165" s="22">
        <f t="shared" ref="AA165" si="1217">+AA162-AA163-AA164</f>
        <v>13925.649999999998</v>
      </c>
      <c r="AB165" s="21">
        <f t="shared" si="1216"/>
        <v>12812.199124607996</v>
      </c>
      <c r="AC165" s="21">
        <f t="shared" si="1216"/>
        <v>11673.522766437185</v>
      </c>
      <c r="AD165" s="21">
        <f t="shared" si="1216"/>
        <v>10636.045572909923</v>
      </c>
      <c r="AE165" s="21">
        <f t="shared" si="1216"/>
        <v>9690.773530186314</v>
      </c>
      <c r="AJ165" s="22">
        <f t="shared" ref="AJ165:AL165" si="1218">+AJ162-AJ163-AJ164</f>
        <v>2389.8200000000002</v>
      </c>
      <c r="AK165" s="22">
        <f t="shared" ref="AK165:CE165" si="1219">+AJ165</f>
        <v>2389.8200000000002</v>
      </c>
      <c r="AL165" s="22">
        <f t="shared" si="1218"/>
        <v>2902.25</v>
      </c>
      <c r="AM165" s="22">
        <f t="shared" si="1219"/>
        <v>2902.25</v>
      </c>
      <c r="AN165" s="22">
        <f t="shared" ref="AN165" si="1220">+AN162-AN163-AN164</f>
        <v>2582.6999999999998</v>
      </c>
      <c r="AO165" s="22">
        <f t="shared" si="1219"/>
        <v>2582.6999999999998</v>
      </c>
      <c r="AP165" s="22">
        <f t="shared" ref="AP165:CD165" si="1221">+AP162-AP163-AP164</f>
        <v>3659.91</v>
      </c>
      <c r="AQ165" s="22">
        <f t="shared" si="1219"/>
        <v>3659.91</v>
      </c>
      <c r="AR165" s="22">
        <f t="shared" si="1221"/>
        <v>2916.61</v>
      </c>
      <c r="AS165" s="22">
        <f t="shared" si="1219"/>
        <v>2916.61</v>
      </c>
      <c r="AT165" s="22">
        <f t="shared" si="1221"/>
        <v>4022.95</v>
      </c>
      <c r="AU165" s="22">
        <f t="shared" si="1219"/>
        <v>4022.95</v>
      </c>
      <c r="AV165" s="22">
        <f t="shared" si="1221"/>
        <v>4146.8100000000004</v>
      </c>
      <c r="AW165" s="22">
        <f t="shared" si="1219"/>
        <v>4146.8100000000004</v>
      </c>
      <c r="AX165" s="22">
        <f t="shared" si="1221"/>
        <v>4107.6099999999997</v>
      </c>
      <c r="AY165" s="22">
        <f t="shared" si="1219"/>
        <v>4107.6099999999997</v>
      </c>
      <c r="AZ165" s="22">
        <f t="shared" si="1221"/>
        <v>4080</v>
      </c>
      <c r="BA165" s="22">
        <f t="shared" si="1219"/>
        <v>4080</v>
      </c>
      <c r="BB165" s="22">
        <f t="shared" si="1221"/>
        <v>4400</v>
      </c>
      <c r="BC165" s="22">
        <f t="shared" si="1219"/>
        <v>4400</v>
      </c>
      <c r="BD165" s="22">
        <f t="shared" si="1221"/>
        <v>4364.5</v>
      </c>
      <c r="BE165" s="22">
        <f t="shared" si="1219"/>
        <v>4364.5</v>
      </c>
      <c r="BF165" s="22">
        <f t="shared" si="1221"/>
        <v>5117.51</v>
      </c>
      <c r="BG165" s="22">
        <f t="shared" si="1219"/>
        <v>5117.51</v>
      </c>
      <c r="BH165" s="22">
        <f t="shared" si="1221"/>
        <v>5251.74</v>
      </c>
      <c r="BI165" s="22">
        <f t="shared" si="1219"/>
        <v>5251.74</v>
      </c>
      <c r="BJ165" s="22">
        <f t="shared" si="1221"/>
        <v>5605.31</v>
      </c>
      <c r="BK165" s="22">
        <f t="shared" si="1219"/>
        <v>5605.31</v>
      </c>
      <c r="BL165" s="22">
        <f t="shared" si="1221"/>
        <v>5706.15</v>
      </c>
      <c r="BM165" s="22">
        <f t="shared" si="1219"/>
        <v>5706.15</v>
      </c>
      <c r="BN165" s="22">
        <f t="shared" si="1221"/>
        <v>6139.39</v>
      </c>
      <c r="BO165" s="22">
        <f t="shared" si="1219"/>
        <v>6139.39</v>
      </c>
      <c r="BP165" s="22">
        <f t="shared" si="1221"/>
        <v>7195.39</v>
      </c>
      <c r="BQ165" s="22">
        <f t="shared" si="1219"/>
        <v>7195.39</v>
      </c>
      <c r="BR165" s="22">
        <f t="shared" si="1221"/>
        <v>7609.58</v>
      </c>
      <c r="BS165" s="22">
        <f t="shared" si="1219"/>
        <v>7609.58</v>
      </c>
      <c r="BT165" s="22">
        <f t="shared" si="1221"/>
        <v>7990.94</v>
      </c>
      <c r="BU165" s="22">
        <f t="shared" si="1219"/>
        <v>7990.94</v>
      </c>
      <c r="BV165" s="22">
        <f t="shared" si="1221"/>
        <v>8169.94</v>
      </c>
      <c r="BW165" s="22">
        <f t="shared" si="1219"/>
        <v>8169.94</v>
      </c>
      <c r="BX165" s="22">
        <f t="shared" si="1221"/>
        <v>8881.7900000000009</v>
      </c>
      <c r="BY165" s="22">
        <f t="shared" si="1219"/>
        <v>8881.7900000000009</v>
      </c>
      <c r="BZ165" s="22">
        <f t="shared" si="1221"/>
        <v>9762.59</v>
      </c>
      <c r="CA165" s="22">
        <f t="shared" si="1219"/>
        <v>9762.59</v>
      </c>
      <c r="CB165" s="22">
        <f t="shared" si="1221"/>
        <v>10569.89</v>
      </c>
      <c r="CC165" s="22">
        <f t="shared" si="1219"/>
        <v>10569.89</v>
      </c>
      <c r="CD165" s="22">
        <f t="shared" si="1221"/>
        <v>12964.98</v>
      </c>
      <c r="CE165" s="22">
        <f t="shared" si="1219"/>
        <v>12964.98</v>
      </c>
      <c r="CF165" s="22">
        <f t="shared" ref="CF165:CI165" si="1222">+CF162-CF163-CF164</f>
        <v>13203.19</v>
      </c>
      <c r="CG165" s="22">
        <f t="shared" ref="CG165:CI168" si="1223">+CF165</f>
        <v>13203.19</v>
      </c>
      <c r="CH165" s="22">
        <f t="shared" si="1222"/>
        <v>13719.79</v>
      </c>
      <c r="CI165" s="22">
        <f t="shared" si="1222"/>
        <v>13516.55</v>
      </c>
      <c r="CJ165" s="23">
        <f>+'QTR Raw'!BD68</f>
        <v>13689.65</v>
      </c>
      <c r="CK165" s="23">
        <f t="shared" ref="CK165:DB165" si="1224">+CK162-CK163-CK164</f>
        <v>13472.759999999998</v>
      </c>
      <c r="CL165" s="23">
        <f>+'QTR Raw'!BF68</f>
        <v>13683.58</v>
      </c>
      <c r="CM165" s="21">
        <f t="shared" si="1224"/>
        <v>13460.3304416467</v>
      </c>
      <c r="CN165" s="21">
        <f t="shared" si="1224"/>
        <v>13240.72323166312</v>
      </c>
      <c r="CO165" s="21">
        <f t="shared" si="1224"/>
        <v>13024.698944616379</v>
      </c>
      <c r="CP165" s="21">
        <f t="shared" si="1224"/>
        <v>12812.199124607996</v>
      </c>
      <c r="CQ165" s="21">
        <f t="shared" si="1224"/>
        <v>12517.518544742012</v>
      </c>
      <c r="CR165" s="21">
        <f t="shared" si="1224"/>
        <v>12229.615618212945</v>
      </c>
      <c r="CS165" s="21">
        <f t="shared" si="1224"/>
        <v>11948.334458994048</v>
      </c>
      <c r="CT165" s="21">
        <f t="shared" si="1224"/>
        <v>11673.522766437185</v>
      </c>
      <c r="CU165" s="21">
        <f t="shared" si="1224"/>
        <v>11405.031742809129</v>
      </c>
      <c r="CV165" s="21">
        <f t="shared" si="1224"/>
        <v>11142.716012724519</v>
      </c>
      <c r="CW165" s="21">
        <f t="shared" si="1224"/>
        <v>10886.433544431857</v>
      </c>
      <c r="CX165" s="21">
        <f t="shared" si="1224"/>
        <v>10636.045572909923</v>
      </c>
      <c r="CY165" s="21">
        <f t="shared" si="1224"/>
        <v>10391.416524732995</v>
      </c>
      <c r="CZ165" s="21">
        <f t="shared" si="1224"/>
        <v>10152.413944664137</v>
      </c>
      <c r="DA165" s="21">
        <f t="shared" si="1224"/>
        <v>9918.9084239368622</v>
      </c>
      <c r="DB165" s="21">
        <f t="shared" si="1224"/>
        <v>9690.773530186314</v>
      </c>
      <c r="DE165" s="123"/>
      <c r="DF165" s="22">
        <v>0</v>
      </c>
    </row>
    <row r="166" spans="1:110" s="23" customFormat="1" outlineLevel="1" x14ac:dyDescent="0.2">
      <c r="A166" s="23" t="s">
        <v>54</v>
      </c>
      <c r="B166" s="23">
        <f>'Annual Raw'!C86</f>
        <v>0</v>
      </c>
      <c r="C166" s="23">
        <f>'Annual Raw'!D86</f>
        <v>5.8155999999999999</v>
      </c>
      <c r="D166" s="23">
        <f>'Annual Raw'!E86</f>
        <v>5.8155999999999999</v>
      </c>
      <c r="E166" s="23">
        <f>'Annual Raw'!F86</f>
        <v>5.8155999999999999</v>
      </c>
      <c r="F166" s="23">
        <f>'Annual Raw'!G86</f>
        <v>5.8155999999999999</v>
      </c>
      <c r="G166" s="23">
        <f>'Annual Raw'!H86</f>
        <v>5.8155999999999999</v>
      </c>
      <c r="H166" s="23">
        <f>'Annual Raw'!I86</f>
        <v>5.8155999999999999</v>
      </c>
      <c r="I166" s="23">
        <f>'Annual Raw'!J86</f>
        <v>5.8155999999999999</v>
      </c>
      <c r="J166" s="23">
        <f>'Annual Raw'!K86</f>
        <v>13.0044</v>
      </c>
      <c r="K166" s="23">
        <f>'Annual Raw'!L86</f>
        <v>12.6355</v>
      </c>
      <c r="L166" s="23">
        <f>'Annual Raw'!M86</f>
        <v>12.2666</v>
      </c>
      <c r="M166" s="23">
        <f>'Annual Raw'!N86</f>
        <v>11.897399999999999</v>
      </c>
      <c r="N166" s="23">
        <f>'Annual Raw'!O86</f>
        <v>11.528499999999999</v>
      </c>
      <c r="O166" s="23">
        <f>'Annual Raw'!P86</f>
        <v>11.093999999999999</v>
      </c>
      <c r="P166" s="23">
        <f>'Annual Raw'!Q86</f>
        <v>4.91</v>
      </c>
      <c r="Q166" s="23">
        <f>'Annual Raw'!R86</f>
        <v>4.91</v>
      </c>
      <c r="R166" s="23">
        <f>'Annual Raw'!S86</f>
        <v>4.91</v>
      </c>
      <c r="S166" s="23">
        <f>'Annual Raw'!T86</f>
        <v>4.08</v>
      </c>
      <c r="T166" s="23">
        <f>'Annual Raw'!U86</f>
        <v>4.08</v>
      </c>
      <c r="U166" s="23">
        <f>'Annual Raw'!V86</f>
        <v>0.62</v>
      </c>
      <c r="V166" s="23">
        <f>'Annual Raw'!W86</f>
        <v>0.62</v>
      </c>
      <c r="W166" s="23">
        <f>'Annual Raw'!X86</f>
        <v>0</v>
      </c>
      <c r="X166" s="23">
        <f>'Annual Raw'!Y86</f>
        <v>0</v>
      </c>
      <c r="Y166" s="23">
        <f>'Annual Raw'!Z86</f>
        <v>0</v>
      </c>
      <c r="Z166" s="23">
        <f>'Annual Raw'!AA86</f>
        <v>0</v>
      </c>
      <c r="AA166" s="23">
        <f>'Annual Raw'!AB86</f>
        <v>0</v>
      </c>
      <c r="AB166" s="24">
        <f t="shared" si="1206"/>
        <v>0</v>
      </c>
      <c r="AC166" s="24">
        <f t="shared" si="1207"/>
        <v>0</v>
      </c>
      <c r="AD166" s="24">
        <f t="shared" si="1208"/>
        <v>0</v>
      </c>
      <c r="AE166" s="24">
        <f t="shared" si="1209"/>
        <v>0</v>
      </c>
      <c r="AJ166" s="23">
        <f>+'QTR Raw'!D72</f>
        <v>0</v>
      </c>
      <c r="AK166" s="23">
        <f>+AJ166</f>
        <v>0</v>
      </c>
      <c r="AL166" s="23">
        <f>+'QTR Raw'!F72</f>
        <v>2.96</v>
      </c>
      <c r="AM166" s="23">
        <f t="shared" ref="AK166:CE168" si="1225">+AL166</f>
        <v>2.96</v>
      </c>
      <c r="AN166" s="23">
        <f>+'QTR Raw'!H72</f>
        <v>0</v>
      </c>
      <c r="AO166" s="23">
        <f t="shared" si="1225"/>
        <v>0</v>
      </c>
      <c r="AP166" s="23">
        <f>+'QTR Raw'!J72</f>
        <v>2.96</v>
      </c>
      <c r="AQ166" s="23">
        <f t="shared" si="1225"/>
        <v>2.96</v>
      </c>
      <c r="AR166" s="23">
        <f>+'QTR Raw'!L72</f>
        <v>0</v>
      </c>
      <c r="AS166" s="23">
        <f t="shared" si="1225"/>
        <v>0</v>
      </c>
      <c r="AT166" s="23">
        <f>+'QTR Raw'!N72</f>
        <v>3.5</v>
      </c>
      <c r="AU166" s="23">
        <f t="shared" si="1225"/>
        <v>3.5</v>
      </c>
      <c r="AV166" s="23">
        <f>+'QTR Raw'!P72</f>
        <v>3.5</v>
      </c>
      <c r="AW166" s="23">
        <f t="shared" si="1225"/>
        <v>3.5</v>
      </c>
      <c r="AX166" s="23">
        <f>+'QTR Raw'!R72</f>
        <v>4.91</v>
      </c>
      <c r="AY166" s="23">
        <f t="shared" si="1225"/>
        <v>4.91</v>
      </c>
      <c r="AZ166" s="23">
        <f>+'QTR Raw'!T72</f>
        <v>4.91</v>
      </c>
      <c r="BA166" s="23">
        <f t="shared" si="1225"/>
        <v>4.91</v>
      </c>
      <c r="BB166" s="23">
        <f>+'QTR Raw'!V72</f>
        <v>4.91</v>
      </c>
      <c r="BC166" s="23">
        <f t="shared" si="1225"/>
        <v>4.91</v>
      </c>
      <c r="BD166" s="23">
        <f>+'QTR Raw'!X72</f>
        <v>4.91</v>
      </c>
      <c r="BE166" s="23">
        <f t="shared" si="1225"/>
        <v>4.91</v>
      </c>
      <c r="BF166" s="23">
        <f>+'QTR Raw'!Z72</f>
        <v>4.08</v>
      </c>
      <c r="BG166" s="23">
        <f t="shared" si="1225"/>
        <v>4.08</v>
      </c>
      <c r="BH166" s="23">
        <f>+'QTR Raw'!AB72</f>
        <v>4.08</v>
      </c>
      <c r="BI166" s="23">
        <f t="shared" si="1225"/>
        <v>4.08</v>
      </c>
      <c r="BJ166" s="23">
        <f>+'QTR Raw'!AD72</f>
        <v>4.08</v>
      </c>
      <c r="BK166" s="23">
        <f t="shared" si="1225"/>
        <v>4.08</v>
      </c>
      <c r="BL166" s="23">
        <f>+'QTR Raw'!AF72</f>
        <v>0.62</v>
      </c>
      <c r="BM166" s="23">
        <f t="shared" si="1225"/>
        <v>0.62</v>
      </c>
      <c r="BN166" s="23">
        <f>+'QTR Raw'!AH72</f>
        <v>0.62</v>
      </c>
      <c r="BO166" s="23">
        <f t="shared" si="1225"/>
        <v>0.62</v>
      </c>
      <c r="BP166" s="23">
        <f>+'QTR Raw'!AJ72</f>
        <v>0.62</v>
      </c>
      <c r="BQ166" s="23">
        <f t="shared" si="1225"/>
        <v>0.62</v>
      </c>
      <c r="BR166" s="23">
        <f>+'QTR Raw'!AL72</f>
        <v>0.62</v>
      </c>
      <c r="BS166" s="23">
        <f t="shared" si="1225"/>
        <v>0.62</v>
      </c>
      <c r="BT166" s="23">
        <f>+'QTR Raw'!AN72</f>
        <v>0.62</v>
      </c>
      <c r="BU166" s="23">
        <f t="shared" si="1225"/>
        <v>0.62</v>
      </c>
      <c r="BV166" s="23">
        <f>+'QTR Raw'!AP72</f>
        <v>0</v>
      </c>
      <c r="BW166" s="23">
        <f t="shared" si="1225"/>
        <v>0</v>
      </c>
      <c r="BX166" s="23">
        <f>+'QTR Raw'!AR72</f>
        <v>0</v>
      </c>
      <c r="BY166" s="23">
        <f t="shared" si="1225"/>
        <v>0</v>
      </c>
      <c r="BZ166" s="23">
        <f>+'QTR Raw'!AT72</f>
        <v>0</v>
      </c>
      <c r="CA166" s="23">
        <f t="shared" si="1225"/>
        <v>0</v>
      </c>
      <c r="CB166" s="23">
        <f>+'QTR Raw'!AV72</f>
        <v>0</v>
      </c>
      <c r="CC166" s="23">
        <f t="shared" si="1225"/>
        <v>0</v>
      </c>
      <c r="CD166" s="23">
        <f>+'QTR Raw'!AX72</f>
        <v>0</v>
      </c>
      <c r="CE166" s="23">
        <f t="shared" si="1225"/>
        <v>0</v>
      </c>
      <c r="CF166" s="23">
        <f>+'QTR Raw'!AZ72</f>
        <v>0</v>
      </c>
      <c r="CG166" s="23">
        <f t="shared" si="1223"/>
        <v>0</v>
      </c>
      <c r="CH166" s="23">
        <f t="shared" si="1210"/>
        <v>0</v>
      </c>
      <c r="CI166" s="23">
        <f t="shared" si="1223"/>
        <v>0</v>
      </c>
      <c r="CJ166" s="23">
        <f>+'QTR Raw'!BD72</f>
        <v>0</v>
      </c>
      <c r="CK166" s="23">
        <f t="shared" ref="CK166:CK168" si="1226">+CJ166</f>
        <v>0</v>
      </c>
      <c r="CL166" s="23">
        <f>+'QTR Raw'!BF72</f>
        <v>0</v>
      </c>
      <c r="CM166" s="24">
        <f t="shared" ref="CM166:CM168" si="1227">+CL166</f>
        <v>0</v>
      </c>
      <c r="CN166" s="24">
        <f t="shared" ref="CN166:CN168" si="1228">+CM166</f>
        <v>0</v>
      </c>
      <c r="CO166" s="24">
        <f t="shared" ref="CO166:CO168" si="1229">+CN166</f>
        <v>0</v>
      </c>
      <c r="CP166" s="24">
        <f t="shared" ref="CP166:CP168" si="1230">+CO166</f>
        <v>0</v>
      </c>
      <c r="CQ166" s="24">
        <f t="shared" ref="CQ166:CQ168" si="1231">+CP166</f>
        <v>0</v>
      </c>
      <c r="CR166" s="24">
        <f t="shared" ref="CR166:CR168" si="1232">+CQ166</f>
        <v>0</v>
      </c>
      <c r="CS166" s="24">
        <f t="shared" ref="CS166:CS168" si="1233">+CR166</f>
        <v>0</v>
      </c>
      <c r="CT166" s="24">
        <f t="shared" ref="CT166:CT168" si="1234">+CS166</f>
        <v>0</v>
      </c>
      <c r="CU166" s="24">
        <f t="shared" ref="CU166:CU168" si="1235">+CT166</f>
        <v>0</v>
      </c>
      <c r="CV166" s="24">
        <f t="shared" ref="CV166:CV168" si="1236">+CU166</f>
        <v>0</v>
      </c>
      <c r="CW166" s="24">
        <f t="shared" ref="CW166:CW168" si="1237">+CV166</f>
        <v>0</v>
      </c>
      <c r="CX166" s="24">
        <f t="shared" ref="CX166:CX168" si="1238">+CW166</f>
        <v>0</v>
      </c>
      <c r="CY166" s="24">
        <f t="shared" ref="CY166:CY168" si="1239">+CX166</f>
        <v>0</v>
      </c>
      <c r="CZ166" s="24">
        <f t="shared" ref="CZ166:CZ168" si="1240">+CY166</f>
        <v>0</v>
      </c>
      <c r="DA166" s="24">
        <f t="shared" ref="DA166:DA168" si="1241">+CZ166</f>
        <v>0</v>
      </c>
      <c r="DB166" s="24">
        <f t="shared" ref="DB166:DB168" si="1242">+DA166</f>
        <v>0</v>
      </c>
      <c r="DE166" s="121"/>
      <c r="DF166" s="23">
        <v>0</v>
      </c>
    </row>
    <row r="167" spans="1:110" s="23" customFormat="1" outlineLevel="1" x14ac:dyDescent="0.2">
      <c r="A167" s="23" t="s">
        <v>55</v>
      </c>
      <c r="B167" s="23">
        <f>'Annual Raw'!C68</f>
        <v>0</v>
      </c>
      <c r="C167" s="23">
        <f>'Annual Raw'!D68</f>
        <v>0</v>
      </c>
      <c r="D167" s="23">
        <f>'Annual Raw'!E68</f>
        <v>0</v>
      </c>
      <c r="E167" s="23">
        <f>'Annual Raw'!F68</f>
        <v>0</v>
      </c>
      <c r="F167" s="23">
        <f>'Annual Raw'!G68</f>
        <v>0</v>
      </c>
      <c r="G167" s="23">
        <f>'Annual Raw'!H68</f>
        <v>0</v>
      </c>
      <c r="H167" s="23">
        <f>'Annual Raw'!I68</f>
        <v>0</v>
      </c>
      <c r="I167" s="23">
        <f>'Annual Raw'!J68</f>
        <v>0</v>
      </c>
      <c r="J167" s="23">
        <f>'Annual Raw'!K68</f>
        <v>0</v>
      </c>
      <c r="K167" s="23">
        <f>'Annual Raw'!L68</f>
        <v>0</v>
      </c>
      <c r="L167" s="23">
        <f>'Annual Raw'!M68</f>
        <v>0</v>
      </c>
      <c r="M167" s="23">
        <f>'Annual Raw'!N68</f>
        <v>0</v>
      </c>
      <c r="N167" s="23">
        <f>'Annual Raw'!O68</f>
        <v>0</v>
      </c>
      <c r="O167" s="23">
        <f>'Annual Raw'!P68</f>
        <v>0</v>
      </c>
      <c r="P167" s="23">
        <f>'Annual Raw'!Q68</f>
        <v>0</v>
      </c>
      <c r="Q167" s="23">
        <f>'Annual Raw'!R68</f>
        <v>0</v>
      </c>
      <c r="R167" s="23">
        <f>'Annual Raw'!S68</f>
        <v>0</v>
      </c>
      <c r="S167" s="23">
        <f>'Annual Raw'!T68</f>
        <v>0</v>
      </c>
      <c r="T167" s="23">
        <f>'Annual Raw'!U68</f>
        <v>0</v>
      </c>
      <c r="U167" s="23">
        <f>'Annual Raw'!V68</f>
        <v>0</v>
      </c>
      <c r="V167" s="23">
        <f>'Annual Raw'!W68</f>
        <v>0</v>
      </c>
      <c r="W167" s="23">
        <f>'Annual Raw'!X68</f>
        <v>0</v>
      </c>
      <c r="X167" s="23">
        <f>'Annual Raw'!Y68</f>
        <v>0</v>
      </c>
      <c r="Y167" s="23">
        <f>'Annual Raw'!Z68</f>
        <v>0</v>
      </c>
      <c r="Z167" s="23">
        <f>'Annual Raw'!AA68</f>
        <v>0</v>
      </c>
      <c r="AA167" s="23">
        <f>'Annual Raw'!AB68</f>
        <v>0</v>
      </c>
      <c r="AB167" s="24">
        <f t="shared" si="1206"/>
        <v>0</v>
      </c>
      <c r="AC167" s="24">
        <f t="shared" si="1207"/>
        <v>0</v>
      </c>
      <c r="AD167" s="24">
        <f t="shared" si="1208"/>
        <v>0</v>
      </c>
      <c r="AE167" s="24">
        <f t="shared" si="1209"/>
        <v>0</v>
      </c>
      <c r="AK167" s="23">
        <f t="shared" si="1225"/>
        <v>0</v>
      </c>
      <c r="AM167" s="23">
        <f t="shared" si="1225"/>
        <v>0</v>
      </c>
      <c r="AO167" s="23">
        <f t="shared" si="1225"/>
        <v>0</v>
      </c>
      <c r="AQ167" s="23">
        <f t="shared" si="1225"/>
        <v>0</v>
      </c>
      <c r="AS167" s="23">
        <f t="shared" si="1225"/>
        <v>0</v>
      </c>
      <c r="AU167" s="23">
        <f t="shared" si="1225"/>
        <v>0</v>
      </c>
      <c r="AW167" s="23">
        <f t="shared" si="1225"/>
        <v>0</v>
      </c>
      <c r="AY167" s="23">
        <f t="shared" si="1225"/>
        <v>0</v>
      </c>
      <c r="BA167" s="23">
        <f t="shared" si="1225"/>
        <v>0</v>
      </c>
      <c r="BC167" s="23">
        <f t="shared" si="1225"/>
        <v>0</v>
      </c>
      <c r="BE167" s="23">
        <f t="shared" si="1225"/>
        <v>0</v>
      </c>
      <c r="BG167" s="23">
        <f t="shared" si="1225"/>
        <v>0</v>
      </c>
      <c r="BI167" s="23">
        <f t="shared" si="1225"/>
        <v>0</v>
      </c>
      <c r="BK167" s="23">
        <f t="shared" si="1225"/>
        <v>0</v>
      </c>
      <c r="BM167" s="23">
        <f t="shared" si="1225"/>
        <v>0</v>
      </c>
      <c r="BO167" s="23">
        <f t="shared" si="1225"/>
        <v>0</v>
      </c>
      <c r="BQ167" s="23">
        <f t="shared" si="1225"/>
        <v>0</v>
      </c>
      <c r="BS167" s="23">
        <f t="shared" si="1225"/>
        <v>0</v>
      </c>
      <c r="BU167" s="23">
        <f t="shared" si="1225"/>
        <v>0</v>
      </c>
      <c r="BW167" s="23">
        <f t="shared" si="1225"/>
        <v>0</v>
      </c>
      <c r="BY167" s="23">
        <f t="shared" si="1225"/>
        <v>0</v>
      </c>
      <c r="CA167" s="23">
        <f t="shared" si="1225"/>
        <v>0</v>
      </c>
      <c r="CC167" s="23">
        <f t="shared" si="1225"/>
        <v>0</v>
      </c>
      <c r="CE167" s="23">
        <f t="shared" si="1225"/>
        <v>0</v>
      </c>
      <c r="CG167" s="23">
        <f t="shared" si="1223"/>
        <v>0</v>
      </c>
      <c r="CH167" s="23">
        <f t="shared" si="1210"/>
        <v>0</v>
      </c>
      <c r="CI167" s="23">
        <f t="shared" si="1223"/>
        <v>0</v>
      </c>
      <c r="CK167" s="23">
        <f t="shared" si="1226"/>
        <v>0</v>
      </c>
      <c r="CM167" s="24">
        <f t="shared" si="1227"/>
        <v>0</v>
      </c>
      <c r="CN167" s="24">
        <f t="shared" si="1228"/>
        <v>0</v>
      </c>
      <c r="CO167" s="24">
        <f t="shared" si="1229"/>
        <v>0</v>
      </c>
      <c r="CP167" s="24">
        <f t="shared" si="1230"/>
        <v>0</v>
      </c>
      <c r="CQ167" s="24">
        <f t="shared" si="1231"/>
        <v>0</v>
      </c>
      <c r="CR167" s="24">
        <f t="shared" si="1232"/>
        <v>0</v>
      </c>
      <c r="CS167" s="24">
        <f t="shared" si="1233"/>
        <v>0</v>
      </c>
      <c r="CT167" s="24">
        <f t="shared" si="1234"/>
        <v>0</v>
      </c>
      <c r="CU167" s="24">
        <f t="shared" si="1235"/>
        <v>0</v>
      </c>
      <c r="CV167" s="24">
        <f t="shared" si="1236"/>
        <v>0</v>
      </c>
      <c r="CW167" s="24">
        <f t="shared" si="1237"/>
        <v>0</v>
      </c>
      <c r="CX167" s="24">
        <f t="shared" si="1238"/>
        <v>0</v>
      </c>
      <c r="CY167" s="24">
        <f t="shared" si="1239"/>
        <v>0</v>
      </c>
      <c r="CZ167" s="24">
        <f t="shared" si="1240"/>
        <v>0</v>
      </c>
      <c r="DA167" s="24">
        <f t="shared" si="1241"/>
        <v>0</v>
      </c>
      <c r="DB167" s="24">
        <f t="shared" si="1242"/>
        <v>0</v>
      </c>
      <c r="DE167" s="121"/>
      <c r="DF167" s="23">
        <v>0</v>
      </c>
    </row>
    <row r="168" spans="1:110" s="23" customFormat="1" outlineLevel="1" x14ac:dyDescent="0.2">
      <c r="A168" s="23" t="s">
        <v>56</v>
      </c>
      <c r="B168" s="23">
        <f>'Annual Raw'!C67+'Annual Raw'!C66+'Annual Raw'!C69+'Annual Raw'!C70</f>
        <v>36.641399999999997</v>
      </c>
      <c r="C168" s="23">
        <f>'Annual Raw'!D67+'Annual Raw'!D66+'Annual Raw'!D69+'Annual Raw'!D70</f>
        <v>4.2309000000000001</v>
      </c>
      <c r="D168" s="23">
        <f>'Annual Raw'!E67+'Annual Raw'!E66+'Annual Raw'!E69+'Annual Raw'!E70</f>
        <v>2.9300999999999999</v>
      </c>
      <c r="E168" s="23">
        <f>'Annual Raw'!F67+'Annual Raw'!F66+'Annual Raw'!F69+'Annual Raw'!F70</f>
        <v>67.551500000000004</v>
      </c>
      <c r="F168" s="23">
        <f>'Annual Raw'!G67+'Annual Raw'!G66+'Annual Raw'!G69+'Annual Raw'!G70</f>
        <v>115.19810000000001</v>
      </c>
      <c r="G168" s="23">
        <f>'Annual Raw'!H67+'Annual Raw'!H66+'Annual Raw'!H69+'Annual Raw'!H70</f>
        <v>245.50980000000001</v>
      </c>
      <c r="H168" s="23">
        <f>'Annual Raw'!I67+'Annual Raw'!I66+'Annual Raw'!I69+'Annual Raw'!I70</f>
        <v>114.49850000000001</v>
      </c>
      <c r="I168" s="23">
        <f>'Annual Raw'!J67+'Annual Raw'!J66+'Annual Raw'!J69+'Annual Raw'!J70</f>
        <v>89.348299999999995</v>
      </c>
      <c r="J168" s="23">
        <f>'Annual Raw'!K67+'Annual Raw'!K66+'Annual Raw'!K69+'Annual Raw'!K70</f>
        <v>282.58859999999999</v>
      </c>
      <c r="K168" s="23">
        <f>'Annual Raw'!L67+'Annual Raw'!L66+'Annual Raw'!L69+'Annual Raw'!L70</f>
        <v>132.51689999999999</v>
      </c>
      <c r="L168" s="23">
        <f>'Annual Raw'!M67+'Annual Raw'!M66+'Annual Raw'!M69+'Annual Raw'!M70</f>
        <v>113.07060000000001</v>
      </c>
      <c r="M168" s="23">
        <f>'Annual Raw'!N67+'Annual Raw'!N66+'Annual Raw'!N69+'Annual Raw'!N70</f>
        <v>417.476</v>
      </c>
      <c r="N168" s="23">
        <f>'Annual Raw'!O67+'Annual Raw'!O66+'Annual Raw'!O69+'Annual Raw'!O70</f>
        <v>565.37810000000002</v>
      </c>
      <c r="O168" s="23">
        <f>'Annual Raw'!P67+'Annual Raw'!P66+'Annual Raw'!P69+'Annual Raw'!P70</f>
        <v>112.1168</v>
      </c>
      <c r="P168" s="23">
        <f>'Annual Raw'!Q67+'Annual Raw'!Q66+'Annual Raw'!Q69+'Annual Raw'!Q70</f>
        <v>104.12</v>
      </c>
      <c r="Q168" s="23">
        <f>'Annual Raw'!R67+'Annual Raw'!R66+'Annual Raw'!R69+'Annual Raw'!R70</f>
        <v>117.44</v>
      </c>
      <c r="R168" s="23">
        <f>'Annual Raw'!S67+'Annual Raw'!S66+'Annual Raw'!S69+'Annual Raw'!S70</f>
        <v>258.58</v>
      </c>
      <c r="S168" s="23">
        <f>'Annual Raw'!T67+'Annual Raw'!T66+'Annual Raw'!T69+'Annual Raw'!T70</f>
        <v>558.80999999999995</v>
      </c>
      <c r="T168" s="23">
        <f>'Annual Raw'!U67+'Annual Raw'!U66+'Annual Raw'!U69+'Annual Raw'!U70</f>
        <v>753.61</v>
      </c>
      <c r="U168" s="23">
        <f>'Annual Raw'!V67+'Annual Raw'!V66+'Annual Raw'!V69+'Annual Raw'!V70</f>
        <v>1393.29</v>
      </c>
      <c r="V168" s="23">
        <f>'Annual Raw'!W67+'Annual Raw'!W66+'Annual Raw'!W69+'Annual Raw'!W70</f>
        <v>772.26</v>
      </c>
      <c r="W168" s="23">
        <f>'Annual Raw'!X67+'Annual Raw'!X66+'Annual Raw'!X69+'Annual Raw'!X70</f>
        <v>1671.63</v>
      </c>
      <c r="X168" s="23">
        <f>'Annual Raw'!Y67+'Annual Raw'!Y66+'Annual Raw'!Y69+'Annual Raw'!Y70</f>
        <v>2405.54</v>
      </c>
      <c r="Y168" s="23">
        <f>'Annual Raw'!Z67+'Annual Raw'!Z66+'Annual Raw'!Z69+'Annual Raw'!Z70</f>
        <v>805.33</v>
      </c>
      <c r="Z168" s="23">
        <f>'Annual Raw'!AA67+'Annual Raw'!AA66+'Annual Raw'!AA69+'Annual Raw'!AA70</f>
        <v>811.02</v>
      </c>
      <c r="AA168" s="23">
        <f>'Annual Raw'!AB67+'Annual Raw'!AB66+'Annual Raw'!AB69+'Annual Raw'!AB70</f>
        <v>1889.41</v>
      </c>
      <c r="AB168" s="24">
        <f t="shared" si="1206"/>
        <v>1889.41</v>
      </c>
      <c r="AC168" s="24">
        <f t="shared" si="1207"/>
        <v>1889.41</v>
      </c>
      <c r="AD168" s="24">
        <f t="shared" si="1208"/>
        <v>1889.41</v>
      </c>
      <c r="AE168" s="24">
        <f t="shared" si="1209"/>
        <v>1889.41</v>
      </c>
      <c r="AJ168" s="23">
        <f>+'QTR Raw'!D74+'QTR Raw'!D75</f>
        <v>0</v>
      </c>
      <c r="AK168" s="23">
        <f t="shared" si="1225"/>
        <v>0</v>
      </c>
      <c r="AL168" s="23">
        <f>+'QTR Raw'!F74+'QTR Raw'!F75</f>
        <v>0</v>
      </c>
      <c r="AM168" s="23">
        <f t="shared" si="1225"/>
        <v>0</v>
      </c>
      <c r="AN168" s="23">
        <f>+'QTR Raw'!H74+'QTR Raw'!H75</f>
        <v>0</v>
      </c>
      <c r="AO168" s="23">
        <f t="shared" si="1225"/>
        <v>0</v>
      </c>
      <c r="AP168" s="23">
        <f>+'QTR Raw'!J74+'QTR Raw'!J75</f>
        <v>0</v>
      </c>
      <c r="AQ168" s="23">
        <f t="shared" si="1225"/>
        <v>0</v>
      </c>
      <c r="AR168" s="23">
        <f>+'QTR Raw'!L74+'QTR Raw'!L75</f>
        <v>0</v>
      </c>
      <c r="AS168" s="23">
        <f t="shared" si="1225"/>
        <v>0</v>
      </c>
      <c r="AT168" s="23">
        <f>+'QTR Raw'!N74+'QTR Raw'!N75</f>
        <v>0</v>
      </c>
      <c r="AU168" s="23">
        <f t="shared" si="1225"/>
        <v>0</v>
      </c>
      <c r="AV168" s="23">
        <f>+'QTR Raw'!P74+'QTR Raw'!P75</f>
        <v>0</v>
      </c>
      <c r="AW168" s="23">
        <f t="shared" si="1225"/>
        <v>0</v>
      </c>
      <c r="AX168" s="23">
        <f>+'QTR Raw'!R74+'QTR Raw'!R75</f>
        <v>117.44</v>
      </c>
      <c r="AY168" s="23">
        <f t="shared" si="1225"/>
        <v>117.44</v>
      </c>
      <c r="AZ168" s="23">
        <f>+'QTR Raw'!T74+'QTR Raw'!T75</f>
        <v>377.34</v>
      </c>
      <c r="BA168" s="23">
        <f t="shared" si="1225"/>
        <v>377.34</v>
      </c>
      <c r="BB168" s="23">
        <f>+'QTR Raw'!V74+'QTR Raw'!V75</f>
        <v>258.58</v>
      </c>
      <c r="BC168" s="23">
        <f t="shared" si="1225"/>
        <v>258.58</v>
      </c>
      <c r="BD168" s="23">
        <f>+'QTR Raw'!X74+'QTR Raw'!X75</f>
        <v>766.92</v>
      </c>
      <c r="BE168" s="23">
        <f t="shared" si="1225"/>
        <v>766.92</v>
      </c>
      <c r="BF168" s="23">
        <f>+'QTR Raw'!Z74+'QTR Raw'!Z75</f>
        <v>558.80999999999995</v>
      </c>
      <c r="BG168" s="23">
        <f t="shared" si="1225"/>
        <v>558.80999999999995</v>
      </c>
      <c r="BH168" s="23">
        <f>+'QTR Raw'!AB74+'QTR Raw'!AB75</f>
        <v>767.05</v>
      </c>
      <c r="BI168" s="23">
        <f t="shared" si="1225"/>
        <v>767.05</v>
      </c>
      <c r="BJ168" s="23">
        <f>+'QTR Raw'!AD74+'QTR Raw'!AD75</f>
        <v>753.61</v>
      </c>
      <c r="BK168" s="23">
        <f t="shared" si="1225"/>
        <v>753.61</v>
      </c>
      <c r="BL168" s="23">
        <f>+'QTR Raw'!AF74+'QTR Raw'!AF75</f>
        <v>1104.8800000000001</v>
      </c>
      <c r="BM168" s="23">
        <f t="shared" si="1225"/>
        <v>1104.8800000000001</v>
      </c>
      <c r="BN168" s="23">
        <f>+'QTR Raw'!AH74+'QTR Raw'!AH75</f>
        <v>1393.29</v>
      </c>
      <c r="BO168" s="23">
        <f t="shared" si="1225"/>
        <v>1393.29</v>
      </c>
      <c r="BP168" s="23">
        <f>+'QTR Raw'!AJ74+'QTR Raw'!AJ75</f>
        <v>547.13</v>
      </c>
      <c r="BQ168" s="23">
        <f t="shared" si="1225"/>
        <v>547.13</v>
      </c>
      <c r="BR168" s="23">
        <f>+'QTR Raw'!AL74+'QTR Raw'!AL75</f>
        <v>772.26</v>
      </c>
      <c r="BS168" s="23">
        <f t="shared" si="1225"/>
        <v>772.26</v>
      </c>
      <c r="BT168" s="23">
        <f>+'QTR Raw'!AN74+'QTR Raw'!AN75</f>
        <v>813.38</v>
      </c>
      <c r="BU168" s="23">
        <f t="shared" si="1225"/>
        <v>813.38</v>
      </c>
      <c r="BV168" s="23">
        <f>+'QTR Raw'!AP74+'QTR Raw'!AP75</f>
        <v>1671.63</v>
      </c>
      <c r="BW168" s="23">
        <f t="shared" si="1225"/>
        <v>1671.63</v>
      </c>
      <c r="BX168" s="23">
        <f>+'QTR Raw'!AR74+'QTR Raw'!AR75</f>
        <v>1843.47</v>
      </c>
      <c r="BY168" s="23">
        <f t="shared" si="1225"/>
        <v>1843.47</v>
      </c>
      <c r="BZ168" s="23">
        <f>+'QTR Raw'!AT74+'QTR Raw'!AT75</f>
        <v>2405.54</v>
      </c>
      <c r="CA168" s="23">
        <f t="shared" si="1225"/>
        <v>2405.54</v>
      </c>
      <c r="CB168" s="23">
        <f>+'QTR Raw'!AV74+'QTR Raw'!AV75</f>
        <v>2683.27</v>
      </c>
      <c r="CC168" s="23">
        <f t="shared" si="1225"/>
        <v>2683.27</v>
      </c>
      <c r="CD168" s="23">
        <f>+'QTR Raw'!AX74+'QTR Raw'!AX75</f>
        <v>805.33</v>
      </c>
      <c r="CE168" s="23">
        <f t="shared" si="1225"/>
        <v>805.33</v>
      </c>
      <c r="CF168" s="23">
        <f>+'QTR Raw'!AZ74+'QTR Raw'!AZ75</f>
        <v>836.73</v>
      </c>
      <c r="CG168" s="23">
        <f t="shared" si="1223"/>
        <v>836.73</v>
      </c>
      <c r="CH168" s="23">
        <f t="shared" si="1210"/>
        <v>811.02</v>
      </c>
      <c r="CI168" s="23">
        <f t="shared" si="1223"/>
        <v>811.02</v>
      </c>
      <c r="CJ168" s="23">
        <f>+'QTR Raw'!BD74+'QTR Raw'!BD75</f>
        <v>1237.69</v>
      </c>
      <c r="CK168" s="23">
        <f t="shared" si="1226"/>
        <v>1237.69</v>
      </c>
      <c r="CL168" s="23">
        <f>+'QTR Raw'!BF74+'QTR Raw'!BF75</f>
        <v>1889.41</v>
      </c>
      <c r="CM168" s="24">
        <f t="shared" si="1227"/>
        <v>1889.41</v>
      </c>
      <c r="CN168" s="24">
        <f t="shared" si="1228"/>
        <v>1889.41</v>
      </c>
      <c r="CO168" s="24">
        <f t="shared" si="1229"/>
        <v>1889.41</v>
      </c>
      <c r="CP168" s="24">
        <f t="shared" si="1230"/>
        <v>1889.41</v>
      </c>
      <c r="CQ168" s="24">
        <f t="shared" si="1231"/>
        <v>1889.41</v>
      </c>
      <c r="CR168" s="24">
        <f t="shared" si="1232"/>
        <v>1889.41</v>
      </c>
      <c r="CS168" s="24">
        <f t="shared" si="1233"/>
        <v>1889.41</v>
      </c>
      <c r="CT168" s="24">
        <f t="shared" si="1234"/>
        <v>1889.41</v>
      </c>
      <c r="CU168" s="24">
        <f t="shared" si="1235"/>
        <v>1889.41</v>
      </c>
      <c r="CV168" s="24">
        <f t="shared" si="1236"/>
        <v>1889.41</v>
      </c>
      <c r="CW168" s="24">
        <f t="shared" si="1237"/>
        <v>1889.41</v>
      </c>
      <c r="CX168" s="24">
        <f t="shared" si="1238"/>
        <v>1889.41</v>
      </c>
      <c r="CY168" s="24">
        <f t="shared" si="1239"/>
        <v>1889.41</v>
      </c>
      <c r="CZ168" s="24">
        <f t="shared" si="1240"/>
        <v>1889.41</v>
      </c>
      <c r="DA168" s="24">
        <f t="shared" si="1241"/>
        <v>1889.41</v>
      </c>
      <c r="DB168" s="24">
        <f t="shared" si="1242"/>
        <v>1889.41</v>
      </c>
      <c r="DE168" s="121"/>
      <c r="DF168" s="23">
        <v>0</v>
      </c>
    </row>
    <row r="169" spans="1:110" s="22" customFormat="1" x14ac:dyDescent="0.2">
      <c r="A169" s="22" t="s">
        <v>57</v>
      </c>
      <c r="B169" s="22">
        <f>B165+B168+B167</f>
        <v>534.08759999999995</v>
      </c>
      <c r="C169" s="22">
        <f t="shared" ref="C169:D169" si="1243">C165+C168+C167</f>
        <v>637.90890000000002</v>
      </c>
      <c r="D169" s="22">
        <f t="shared" si="1243"/>
        <v>591.14919999999995</v>
      </c>
      <c r="E169" s="22">
        <f t="shared" ref="E169:Y169" si="1244">E165+E168+E167+E166</f>
        <v>617.33880000000011</v>
      </c>
      <c r="F169" s="22">
        <f t="shared" si="1244"/>
        <v>870.24870000000021</v>
      </c>
      <c r="G169" s="22">
        <f t="shared" si="1244"/>
        <v>1132.0900000000001</v>
      </c>
      <c r="H169" s="22">
        <f t="shared" si="1244"/>
        <v>1189.6128999999999</v>
      </c>
      <c r="I169" s="22">
        <f t="shared" si="1244"/>
        <v>1255.1142</v>
      </c>
      <c r="J169" s="22">
        <f t="shared" si="1244"/>
        <v>1858.8818000000003</v>
      </c>
      <c r="K169" s="22">
        <f t="shared" si="1244"/>
        <v>2076.0611999999996</v>
      </c>
      <c r="L169" s="22">
        <f t="shared" si="1244"/>
        <v>2148.8438000000001</v>
      </c>
      <c r="M169" s="22">
        <f t="shared" si="1244"/>
        <v>2495.4568000000004</v>
      </c>
      <c r="N169" s="22">
        <f t="shared" si="1244"/>
        <v>2905.2109999999998</v>
      </c>
      <c r="O169" s="22">
        <f t="shared" si="1244"/>
        <v>3662.8723999999997</v>
      </c>
      <c r="P169" s="22">
        <f t="shared" si="1244"/>
        <v>4026.4500000000003</v>
      </c>
      <c r="Q169" s="22">
        <f t="shared" si="1244"/>
        <v>4229.96</v>
      </c>
      <c r="R169" s="22">
        <f t="shared" si="1244"/>
        <v>4663.4900000000007</v>
      </c>
      <c r="S169" s="22">
        <f t="shared" si="1244"/>
        <v>5680.4</v>
      </c>
      <c r="T169" s="22">
        <f t="shared" si="1244"/>
        <v>6362.9999999999991</v>
      </c>
      <c r="U169" s="22">
        <f t="shared" si="1244"/>
        <v>7760.88</v>
      </c>
      <c r="V169" s="22">
        <f t="shared" si="1244"/>
        <v>8599.2200000000012</v>
      </c>
      <c r="W169" s="22">
        <f t="shared" si="1244"/>
        <v>10096.919999999998</v>
      </c>
      <c r="X169" s="22">
        <f t="shared" si="1244"/>
        <v>12455.34</v>
      </c>
      <c r="Y169" s="22">
        <f t="shared" si="1244"/>
        <v>14046.95</v>
      </c>
      <c r="Z169" s="22">
        <f>Z165+Z168+Z167+Z166</f>
        <v>14530.810000000001</v>
      </c>
      <c r="AA169" s="22">
        <f>AA165+AA168+AA167+AA166</f>
        <v>15815.059999999998</v>
      </c>
      <c r="AB169" s="155">
        <f t="shared" ref="AB169:AE169" si="1245">AB165+AB168+AB167+AB166</f>
        <v>14701.609124607996</v>
      </c>
      <c r="AC169" s="155">
        <f t="shared" si="1245"/>
        <v>13562.932766437185</v>
      </c>
      <c r="AD169" s="155">
        <f t="shared" si="1245"/>
        <v>12525.455572909923</v>
      </c>
      <c r="AE169" s="155">
        <f t="shared" si="1245"/>
        <v>11580.183530186314</v>
      </c>
      <c r="AJ169" s="22">
        <f t="shared" ref="AJ169" si="1246">AJ165+AJ168+AJ166+AJ167</f>
        <v>2389.8200000000002</v>
      </c>
      <c r="AK169" s="22">
        <f t="shared" ref="AK169" si="1247">AK165+AK168+AK166+AK167</f>
        <v>2389.8200000000002</v>
      </c>
      <c r="AL169" s="22">
        <f t="shared" ref="AL169:AM169" si="1248">AL165+AL168+AL166+AL167</f>
        <v>2905.21</v>
      </c>
      <c r="AM169" s="22">
        <f t="shared" si="1248"/>
        <v>2905.21</v>
      </c>
      <c r="AN169" s="22">
        <f t="shared" ref="AN169:AO169" si="1249">AN165+AN168+AN166+AN167</f>
        <v>2582.6999999999998</v>
      </c>
      <c r="AO169" s="22">
        <f t="shared" si="1249"/>
        <v>2582.6999999999998</v>
      </c>
      <c r="AP169" s="22">
        <f t="shared" ref="AP169:CE169" si="1250">AP165+AP168+AP166+AP167</f>
        <v>3662.87</v>
      </c>
      <c r="AQ169" s="22">
        <f t="shared" si="1250"/>
        <v>3662.87</v>
      </c>
      <c r="AR169" s="22">
        <f t="shared" si="1250"/>
        <v>2916.61</v>
      </c>
      <c r="AS169" s="22">
        <f t="shared" si="1250"/>
        <v>2916.61</v>
      </c>
      <c r="AT169" s="22">
        <f t="shared" si="1250"/>
        <v>4026.45</v>
      </c>
      <c r="AU169" s="22">
        <f t="shared" si="1250"/>
        <v>4026.45</v>
      </c>
      <c r="AV169" s="22">
        <f t="shared" si="1250"/>
        <v>4150.3100000000004</v>
      </c>
      <c r="AW169" s="22">
        <f t="shared" si="1250"/>
        <v>4150.3100000000004</v>
      </c>
      <c r="AX169" s="22">
        <f t="shared" si="1250"/>
        <v>4229.9599999999991</v>
      </c>
      <c r="AY169" s="22">
        <f t="shared" si="1250"/>
        <v>4229.9599999999991</v>
      </c>
      <c r="AZ169" s="22">
        <f t="shared" si="1250"/>
        <v>4462.25</v>
      </c>
      <c r="BA169" s="22">
        <f t="shared" si="1250"/>
        <v>4462.25</v>
      </c>
      <c r="BB169" s="22">
        <f t="shared" si="1250"/>
        <v>4663.49</v>
      </c>
      <c r="BC169" s="22">
        <f t="shared" si="1250"/>
        <v>4663.49</v>
      </c>
      <c r="BD169" s="22">
        <f t="shared" si="1250"/>
        <v>5136.33</v>
      </c>
      <c r="BE169" s="22">
        <f t="shared" si="1250"/>
        <v>5136.33</v>
      </c>
      <c r="BF169" s="22">
        <f t="shared" si="1250"/>
        <v>5680.4</v>
      </c>
      <c r="BG169" s="22">
        <f t="shared" si="1250"/>
        <v>5680.4</v>
      </c>
      <c r="BH169" s="22">
        <f t="shared" si="1250"/>
        <v>6022.87</v>
      </c>
      <c r="BI169" s="22">
        <f t="shared" si="1250"/>
        <v>6022.87</v>
      </c>
      <c r="BJ169" s="22">
        <f t="shared" si="1250"/>
        <v>6363</v>
      </c>
      <c r="BK169" s="22">
        <f t="shared" si="1250"/>
        <v>6363</v>
      </c>
      <c r="BL169" s="22">
        <f t="shared" si="1250"/>
        <v>6811.65</v>
      </c>
      <c r="BM169" s="22">
        <f t="shared" si="1250"/>
        <v>6811.65</v>
      </c>
      <c r="BN169" s="22">
        <f t="shared" si="1250"/>
        <v>7533.3</v>
      </c>
      <c r="BO169" s="22">
        <f t="shared" si="1250"/>
        <v>7533.3</v>
      </c>
      <c r="BP169" s="22">
        <f t="shared" si="1250"/>
        <v>7743.14</v>
      </c>
      <c r="BQ169" s="22">
        <f t="shared" si="1250"/>
        <v>7743.14</v>
      </c>
      <c r="BR169" s="22">
        <f t="shared" si="1250"/>
        <v>8382.4600000000009</v>
      </c>
      <c r="BS169" s="22">
        <f t="shared" si="1250"/>
        <v>8382.4600000000009</v>
      </c>
      <c r="BT169" s="22">
        <f t="shared" si="1250"/>
        <v>8804.94</v>
      </c>
      <c r="BU169" s="22">
        <f t="shared" si="1250"/>
        <v>8804.94</v>
      </c>
      <c r="BV169" s="22">
        <f t="shared" si="1250"/>
        <v>9841.57</v>
      </c>
      <c r="BW169" s="22">
        <f t="shared" si="1250"/>
        <v>9841.57</v>
      </c>
      <c r="BX169" s="22">
        <f t="shared" si="1250"/>
        <v>10725.26</v>
      </c>
      <c r="BY169" s="22">
        <f t="shared" si="1250"/>
        <v>10725.26</v>
      </c>
      <c r="BZ169" s="22">
        <f t="shared" si="1250"/>
        <v>12168.130000000001</v>
      </c>
      <c r="CA169" s="22">
        <f t="shared" si="1250"/>
        <v>12168.130000000001</v>
      </c>
      <c r="CB169" s="22">
        <f t="shared" si="1250"/>
        <v>13253.16</v>
      </c>
      <c r="CC169" s="22">
        <f t="shared" si="1250"/>
        <v>13253.16</v>
      </c>
      <c r="CD169" s="22">
        <f t="shared" si="1250"/>
        <v>13770.31</v>
      </c>
      <c r="CE169" s="22">
        <f t="shared" si="1250"/>
        <v>13770.31</v>
      </c>
      <c r="CF169" s="22">
        <f t="shared" ref="CF169:CG169" si="1251">CF165+CF168+CF166+CF167</f>
        <v>14039.92</v>
      </c>
      <c r="CG169" s="22">
        <f t="shared" si="1251"/>
        <v>14039.92</v>
      </c>
      <c r="CH169" s="22">
        <f t="shared" ref="CH169:CJ169" si="1252">CH165+CH168+CH166+CH167</f>
        <v>14530.810000000001</v>
      </c>
      <c r="CI169" s="22">
        <f t="shared" si="1252"/>
        <v>14327.57</v>
      </c>
      <c r="CJ169" s="22">
        <f t="shared" si="1252"/>
        <v>14927.34</v>
      </c>
      <c r="CK169" s="22">
        <f t="shared" ref="CK169:DB169" si="1253">CK165+CK168+CK166+CK167</f>
        <v>14710.449999999999</v>
      </c>
      <c r="CL169" s="22">
        <f t="shared" si="1253"/>
        <v>15572.99</v>
      </c>
      <c r="CM169" s="21">
        <f t="shared" si="1253"/>
        <v>15349.7404416467</v>
      </c>
      <c r="CN169" s="21">
        <f t="shared" si="1253"/>
        <v>15130.13323166312</v>
      </c>
      <c r="CO169" s="21">
        <f t="shared" si="1253"/>
        <v>14914.108944616379</v>
      </c>
      <c r="CP169" s="21">
        <f t="shared" si="1253"/>
        <v>14701.609124607996</v>
      </c>
      <c r="CQ169" s="21">
        <f t="shared" si="1253"/>
        <v>14406.928544742012</v>
      </c>
      <c r="CR169" s="21">
        <f t="shared" si="1253"/>
        <v>14119.025618212945</v>
      </c>
      <c r="CS169" s="21">
        <f t="shared" si="1253"/>
        <v>13837.744458994048</v>
      </c>
      <c r="CT169" s="21">
        <f t="shared" si="1253"/>
        <v>13562.932766437185</v>
      </c>
      <c r="CU169" s="21">
        <f t="shared" si="1253"/>
        <v>13294.441742809129</v>
      </c>
      <c r="CV169" s="21">
        <f t="shared" si="1253"/>
        <v>13032.126012724519</v>
      </c>
      <c r="CW169" s="21">
        <f t="shared" si="1253"/>
        <v>12775.843544431857</v>
      </c>
      <c r="CX169" s="21">
        <f t="shared" si="1253"/>
        <v>12525.455572909923</v>
      </c>
      <c r="CY169" s="21">
        <f t="shared" si="1253"/>
        <v>12280.826524732995</v>
      </c>
      <c r="CZ169" s="21">
        <f t="shared" si="1253"/>
        <v>12041.823944664136</v>
      </c>
      <c r="DA169" s="21">
        <f t="shared" si="1253"/>
        <v>11808.318423936862</v>
      </c>
      <c r="DB169" s="21">
        <f t="shared" si="1253"/>
        <v>11580.183530186314</v>
      </c>
      <c r="DE169" s="123"/>
      <c r="DF169" s="22">
        <v>0</v>
      </c>
    </row>
    <row r="170" spans="1:110" s="23" customFormat="1" x14ac:dyDescent="0.2">
      <c r="AB170" s="24"/>
      <c r="AC170" s="24"/>
      <c r="AD170" s="24"/>
      <c r="AE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E170" s="121"/>
    </row>
    <row r="171" spans="1:110" s="23" customFormat="1" x14ac:dyDescent="0.2">
      <c r="A171" s="23" t="s">
        <v>58</v>
      </c>
      <c r="B171" s="23">
        <f>'Annual Raw'!C71</f>
        <v>171.4111</v>
      </c>
      <c r="C171" s="23">
        <f>'Annual Raw'!D71</f>
        <v>11.9359</v>
      </c>
      <c r="D171" s="23">
        <f>'Annual Raw'!E71</f>
        <v>4.3023999999999996</v>
      </c>
      <c r="E171" s="23">
        <f>'Annual Raw'!F71</f>
        <v>15.8696</v>
      </c>
      <c r="F171" s="23">
        <f>'Annual Raw'!G71</f>
        <v>10.371499999999999</v>
      </c>
      <c r="G171" s="23">
        <f>'Annual Raw'!H71</f>
        <v>7.0670999999999999</v>
      </c>
      <c r="H171" s="23">
        <f>'Annual Raw'!I71</f>
        <v>8.5464000000000002</v>
      </c>
      <c r="I171" s="23">
        <f>'Annual Raw'!J71</f>
        <v>9.9608000000000008</v>
      </c>
      <c r="J171" s="23">
        <f>'Annual Raw'!K71</f>
        <v>6.3011000000000097</v>
      </c>
      <c r="K171" s="23">
        <f>'Annual Raw'!L71</f>
        <v>6.9668999999999999</v>
      </c>
      <c r="L171" s="23">
        <f>'Annual Raw'!M71</f>
        <v>5.8013000000000003</v>
      </c>
      <c r="M171" s="23">
        <f>'Annual Raw'!N71</f>
        <v>6.3013000000000003</v>
      </c>
      <c r="N171" s="23">
        <f>'Annual Raw'!O71</f>
        <v>9.7652999999999999</v>
      </c>
      <c r="O171" s="23">
        <f>'Annual Raw'!P71</f>
        <v>10.115399999999999</v>
      </c>
      <c r="P171" s="23">
        <f>'Annual Raw'!Q71</f>
        <v>0.05</v>
      </c>
      <c r="Q171" s="23">
        <f>'Annual Raw'!R71</f>
        <v>4.33</v>
      </c>
      <c r="R171" s="23">
        <f>'Annual Raw'!S71</f>
        <v>25.12</v>
      </c>
      <c r="S171" s="23">
        <f>'Annual Raw'!T71</f>
        <v>0.12</v>
      </c>
      <c r="T171" s="23">
        <f>'Annual Raw'!U71</f>
        <v>0.11</v>
      </c>
      <c r="U171" s="23">
        <f>'Annual Raw'!V71</f>
        <v>4.16</v>
      </c>
      <c r="V171" s="23">
        <f>'Annual Raw'!W71</f>
        <v>4.16</v>
      </c>
      <c r="W171" s="23">
        <f>'Annual Raw'!X71</f>
        <v>4.16</v>
      </c>
      <c r="X171" s="23">
        <f>'Annual Raw'!Y71</f>
        <v>4.16</v>
      </c>
      <c r="Y171" s="23">
        <f>'Annual Raw'!Z71</f>
        <v>121.12</v>
      </c>
      <c r="Z171" s="23">
        <f>'Annual Raw'!AA71</f>
        <v>122.76</v>
      </c>
      <c r="AA171" s="23">
        <f>'Annual Raw'!AB71</f>
        <v>124.07</v>
      </c>
      <c r="AB171" s="24">
        <f>+CP171</f>
        <v>124.07</v>
      </c>
      <c r="AC171" s="24">
        <f>+CT171</f>
        <v>124.07</v>
      </c>
      <c r="AD171" s="24">
        <f>+CX171</f>
        <v>124.07</v>
      </c>
      <c r="AE171" s="24">
        <f>+DB171</f>
        <v>124.07</v>
      </c>
      <c r="AJ171" s="23">
        <f>+'QTR Raw'!D77</f>
        <v>92.3</v>
      </c>
      <c r="AK171" s="23">
        <f t="shared" ref="AK171:CE171" si="1254">+AJ171</f>
        <v>92.3</v>
      </c>
      <c r="AL171" s="23">
        <f>+'QTR Raw'!F77</f>
        <v>9.77</v>
      </c>
      <c r="AM171" s="23">
        <f t="shared" si="1254"/>
        <v>9.77</v>
      </c>
      <c r="AN171" s="23">
        <f>+'QTR Raw'!H77</f>
        <v>92.66</v>
      </c>
      <c r="AO171" s="23">
        <f t="shared" si="1254"/>
        <v>92.66</v>
      </c>
      <c r="AP171" s="23">
        <f>+'QTR Raw'!J77</f>
        <v>10.119999999999999</v>
      </c>
      <c r="AQ171" s="23">
        <f t="shared" si="1254"/>
        <v>10.119999999999999</v>
      </c>
      <c r="AR171" s="23">
        <f>+'QTR Raw'!L77</f>
        <v>87.3</v>
      </c>
      <c r="AS171" s="23">
        <f t="shared" si="1254"/>
        <v>87.3</v>
      </c>
      <c r="AT171" s="23">
        <f>+'QTR Raw'!N77</f>
        <v>0.05</v>
      </c>
      <c r="AU171" s="23">
        <f t="shared" si="1254"/>
        <v>0.05</v>
      </c>
      <c r="AV171" s="23">
        <f>+'QTR Raw'!P77</f>
        <v>0.05</v>
      </c>
      <c r="AW171" s="23">
        <f t="shared" si="1254"/>
        <v>0.05</v>
      </c>
      <c r="AX171" s="23">
        <f>+'QTR Raw'!R77</f>
        <v>4.33</v>
      </c>
      <c r="AY171" s="23">
        <f t="shared" si="1254"/>
        <v>4.33</v>
      </c>
      <c r="AZ171" s="23">
        <f>+'QTR Raw'!T77</f>
        <v>0.11</v>
      </c>
      <c r="BA171" s="23">
        <f t="shared" si="1254"/>
        <v>0.11</v>
      </c>
      <c r="BB171" s="23">
        <f>+'QTR Raw'!V77</f>
        <v>25.12</v>
      </c>
      <c r="BC171" s="23">
        <f t="shared" si="1254"/>
        <v>25.12</v>
      </c>
      <c r="BD171" s="23">
        <f>+'QTR Raw'!X77</f>
        <v>0.12</v>
      </c>
      <c r="BE171" s="23">
        <f t="shared" si="1254"/>
        <v>0.12</v>
      </c>
      <c r="BF171" s="23">
        <f>+'QTR Raw'!Z77</f>
        <v>0.12</v>
      </c>
      <c r="BG171" s="23">
        <f t="shared" si="1254"/>
        <v>0.12</v>
      </c>
      <c r="BH171" s="23">
        <f>+'QTR Raw'!AB77</f>
        <v>0.12</v>
      </c>
      <c r="BI171" s="23">
        <f t="shared" si="1254"/>
        <v>0.12</v>
      </c>
      <c r="BJ171" s="23">
        <f>+'QTR Raw'!AD77</f>
        <v>0.11</v>
      </c>
      <c r="BK171" s="23">
        <f t="shared" si="1254"/>
        <v>0.11</v>
      </c>
      <c r="BL171" s="23">
        <f>+'QTR Raw'!AF77</f>
        <v>4.16</v>
      </c>
      <c r="BM171" s="23">
        <f t="shared" si="1254"/>
        <v>4.16</v>
      </c>
      <c r="BN171" s="23">
        <f>+'QTR Raw'!AH77</f>
        <v>4.16</v>
      </c>
      <c r="BO171" s="23">
        <f t="shared" si="1254"/>
        <v>4.16</v>
      </c>
      <c r="BP171" s="23">
        <f>+'QTR Raw'!AJ77</f>
        <v>4.16</v>
      </c>
      <c r="BQ171" s="23">
        <f t="shared" si="1254"/>
        <v>4.16</v>
      </c>
      <c r="BR171" s="23">
        <f>+'QTR Raw'!AL77</f>
        <v>4.16</v>
      </c>
      <c r="BS171" s="23">
        <f t="shared" si="1254"/>
        <v>4.16</v>
      </c>
      <c r="BT171" s="23">
        <f>+'QTR Raw'!AN77</f>
        <v>4.16</v>
      </c>
      <c r="BU171" s="23">
        <f t="shared" si="1254"/>
        <v>4.16</v>
      </c>
      <c r="BV171" s="23">
        <f>+'QTR Raw'!AP77</f>
        <v>4.16</v>
      </c>
      <c r="BW171" s="23">
        <f t="shared" si="1254"/>
        <v>4.16</v>
      </c>
      <c r="BX171" s="23">
        <f>+'QTR Raw'!AR77</f>
        <v>4.16</v>
      </c>
      <c r="BY171" s="23">
        <f t="shared" si="1254"/>
        <v>4.16</v>
      </c>
      <c r="BZ171" s="23">
        <f>+'QTR Raw'!AT77</f>
        <v>4.16</v>
      </c>
      <c r="CA171" s="23">
        <f t="shared" si="1254"/>
        <v>4.16</v>
      </c>
      <c r="CB171" s="23">
        <f>+'QTR Raw'!AV77</f>
        <v>19.38</v>
      </c>
      <c r="CC171" s="23">
        <f t="shared" si="1254"/>
        <v>19.38</v>
      </c>
      <c r="CD171" s="23">
        <f>+'QTR Raw'!AX77</f>
        <v>121.12</v>
      </c>
      <c r="CE171" s="23">
        <f t="shared" si="1254"/>
        <v>121.12</v>
      </c>
      <c r="CF171" s="23">
        <f>+'QTR Raw'!AZ77</f>
        <v>122.13</v>
      </c>
      <c r="CG171" s="23">
        <f t="shared" ref="CG171:CI174" si="1255">+CF171</f>
        <v>122.13</v>
      </c>
      <c r="CH171" s="23">
        <f t="shared" ref="CH171:CH186" si="1256">Z171</f>
        <v>122.76</v>
      </c>
      <c r="CI171" s="23">
        <f t="shared" si="1255"/>
        <v>122.76</v>
      </c>
      <c r="CJ171" s="23">
        <f>+'QTR Raw'!BD77</f>
        <v>124.54</v>
      </c>
      <c r="CK171" s="23">
        <f t="shared" ref="CK171" si="1257">+CJ171</f>
        <v>124.54</v>
      </c>
      <c r="CL171" s="23">
        <f>+'QTR Raw'!BF77</f>
        <v>124.07</v>
      </c>
      <c r="CM171" s="24">
        <f t="shared" ref="CM171" si="1258">+CL171</f>
        <v>124.07</v>
      </c>
      <c r="CN171" s="24">
        <f t="shared" ref="CN171" si="1259">+CM171</f>
        <v>124.07</v>
      </c>
      <c r="CO171" s="24">
        <f t="shared" ref="CO171" si="1260">+CN171</f>
        <v>124.07</v>
      </c>
      <c r="CP171" s="24">
        <f t="shared" ref="CP171" si="1261">+CO171</f>
        <v>124.07</v>
      </c>
      <c r="CQ171" s="24">
        <f t="shared" ref="CQ171" si="1262">+CP171</f>
        <v>124.07</v>
      </c>
      <c r="CR171" s="24">
        <f t="shared" ref="CR171" si="1263">+CQ171</f>
        <v>124.07</v>
      </c>
      <c r="CS171" s="24">
        <f t="shared" ref="CS171" si="1264">+CR171</f>
        <v>124.07</v>
      </c>
      <c r="CT171" s="24">
        <f t="shared" ref="CT171" si="1265">+CS171</f>
        <v>124.07</v>
      </c>
      <c r="CU171" s="24">
        <f t="shared" ref="CU171" si="1266">+CT171</f>
        <v>124.07</v>
      </c>
      <c r="CV171" s="24">
        <f t="shared" ref="CV171" si="1267">+CU171</f>
        <v>124.07</v>
      </c>
      <c r="CW171" s="24">
        <f t="shared" ref="CW171" si="1268">+CV171</f>
        <v>124.07</v>
      </c>
      <c r="CX171" s="24">
        <f t="shared" ref="CX171" si="1269">+CW171</f>
        <v>124.07</v>
      </c>
      <c r="CY171" s="24">
        <f t="shared" ref="CY171" si="1270">+CX171</f>
        <v>124.07</v>
      </c>
      <c r="CZ171" s="24">
        <f t="shared" ref="CZ171" si="1271">+CY171</f>
        <v>124.07</v>
      </c>
      <c r="DA171" s="24">
        <f t="shared" ref="DA171" si="1272">+CZ171</f>
        <v>124.07</v>
      </c>
      <c r="DB171" s="24">
        <f t="shared" ref="DB171" si="1273">+DA171</f>
        <v>124.07</v>
      </c>
      <c r="DE171" s="121"/>
      <c r="DF171" s="23">
        <v>0</v>
      </c>
    </row>
    <row r="172" spans="1:110" s="23" customFormat="1" x14ac:dyDescent="0.2">
      <c r="AB172" s="24"/>
      <c r="AC172" s="24"/>
      <c r="AD172" s="24"/>
      <c r="AE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E172" s="121"/>
    </row>
    <row r="173" spans="1:110" s="23" customFormat="1" outlineLevel="1" x14ac:dyDescent="0.2">
      <c r="A173" s="23" t="s">
        <v>59</v>
      </c>
      <c r="B173" s="23">
        <f>'Annual Raw'!C72</f>
        <v>0</v>
      </c>
      <c r="C173" s="23">
        <f>'Annual Raw'!D72</f>
        <v>0</v>
      </c>
      <c r="D173" s="23">
        <f>'Annual Raw'!E72</f>
        <v>0</v>
      </c>
      <c r="E173" s="23">
        <f>'Annual Raw'!F72+'Annual Raw'!F61</f>
        <v>0</v>
      </c>
      <c r="F173" s="23">
        <f>'Annual Raw'!G72+'Annual Raw'!G61</f>
        <v>0</v>
      </c>
      <c r="G173" s="23">
        <f>'Annual Raw'!H72+'Annual Raw'!H61</f>
        <v>0</v>
      </c>
      <c r="H173" s="23">
        <f>'Annual Raw'!I72+'Annual Raw'!I61</f>
        <v>0</v>
      </c>
      <c r="I173" s="23">
        <f>'Annual Raw'!J72+'Annual Raw'!J61</f>
        <v>0</v>
      </c>
      <c r="J173" s="23">
        <f>'Annual Raw'!K72+'Annual Raw'!K61</f>
        <v>0</v>
      </c>
      <c r="K173" s="23">
        <f>'Annual Raw'!L72+'Annual Raw'!L61</f>
        <v>0</v>
      </c>
      <c r="L173" s="23">
        <f>'Annual Raw'!M72+'Annual Raw'!M61</f>
        <v>61.521299999999997</v>
      </c>
      <c r="M173" s="23">
        <f>'Annual Raw'!N72+'Annual Raw'!N61</f>
        <v>124.2467</v>
      </c>
      <c r="N173" s="23">
        <f>'Annual Raw'!O72+'Annual Raw'!O61</f>
        <v>149.191</v>
      </c>
      <c r="O173" s="23">
        <f>'Annual Raw'!P72+'Annual Raw'!P61</f>
        <v>71.854200000000006</v>
      </c>
      <c r="P173" s="23">
        <f>'Annual Raw'!Q72+'Annual Raw'!Q61</f>
        <v>130.97</v>
      </c>
      <c r="Q173" s="23">
        <f>'Annual Raw'!R72+'Annual Raw'!R61</f>
        <v>110</v>
      </c>
      <c r="R173" s="23">
        <f>'Annual Raw'!S72+'Annual Raw'!S61</f>
        <v>100.72</v>
      </c>
      <c r="S173" s="23">
        <f>'Annual Raw'!T72+'Annual Raw'!T61</f>
        <v>139.66999999999999</v>
      </c>
      <c r="T173" s="23">
        <f>'Annual Raw'!U72+'Annual Raw'!U61</f>
        <v>196.11</v>
      </c>
      <c r="U173" s="23">
        <f>'Annual Raw'!V72+'Annual Raw'!V61</f>
        <v>174.92</v>
      </c>
      <c r="V173" s="23">
        <f>'Annual Raw'!W72+'Annual Raw'!W61</f>
        <v>323.91000000000003</v>
      </c>
      <c r="W173" s="23">
        <f>'Annual Raw'!X72+'Annual Raw'!X61</f>
        <v>301.89999999999998</v>
      </c>
      <c r="X173" s="23">
        <f>'Annual Raw'!Y72+'Annual Raw'!Y61</f>
        <v>484.64</v>
      </c>
      <c r="Y173" s="23">
        <f>'Annual Raw'!Z72+'Annual Raw'!Z61</f>
        <v>481.65</v>
      </c>
      <c r="Z173" s="23">
        <f>'Annual Raw'!AA72+'Annual Raw'!AA61</f>
        <v>496.54</v>
      </c>
      <c r="AA173" s="23">
        <f>'Annual Raw'!AB72+'Annual Raw'!AB61</f>
        <v>765.21</v>
      </c>
      <c r="AB173" s="24">
        <f t="shared" ref="AB173:AB178" si="1274">+CP173</f>
        <v>0</v>
      </c>
      <c r="AC173" s="24">
        <f t="shared" ref="AC173:AC178" si="1275">+CT173</f>
        <v>0</v>
      </c>
      <c r="AD173" s="24">
        <f t="shared" ref="AD173:AD178" si="1276">+CX173</f>
        <v>0</v>
      </c>
      <c r="AE173" s="24">
        <f t="shared" ref="AE173:AE178" si="1277">+DB173</f>
        <v>0</v>
      </c>
      <c r="AJ173" s="23">
        <f>+'QTR Raw'!D78</f>
        <v>110.83</v>
      </c>
      <c r="AK173" s="23">
        <f t="shared" ref="AK173:CE178" si="1278">+AJ173</f>
        <v>110.83</v>
      </c>
      <c r="AL173" s="23">
        <f>+'QTR Raw'!F78</f>
        <v>150.06</v>
      </c>
      <c r="AM173" s="23">
        <f t="shared" si="1278"/>
        <v>150.06</v>
      </c>
      <c r="AN173" s="23">
        <f>+'QTR Raw'!H78</f>
        <v>99.24</v>
      </c>
      <c r="AO173" s="23">
        <f t="shared" si="1278"/>
        <v>99.24</v>
      </c>
      <c r="AP173" s="23">
        <f>+'QTR Raw'!J78</f>
        <v>72.010000000000005</v>
      </c>
      <c r="AQ173" s="23">
        <f t="shared" si="1278"/>
        <v>72.010000000000005</v>
      </c>
      <c r="AR173" s="23">
        <f>+'QTR Raw'!L78</f>
        <v>98</v>
      </c>
      <c r="AS173" s="23">
        <f t="shared" si="1278"/>
        <v>98</v>
      </c>
      <c r="AT173" s="23">
        <f>+'QTR Raw'!N78</f>
        <v>131.11000000000001</v>
      </c>
      <c r="AU173" s="23">
        <f t="shared" si="1278"/>
        <v>131.11000000000001</v>
      </c>
      <c r="AV173" s="23">
        <f>+'QTR Raw'!P78</f>
        <v>165.78</v>
      </c>
      <c r="AW173" s="23">
        <f t="shared" si="1278"/>
        <v>165.78</v>
      </c>
      <c r="AX173" s="23">
        <f>+'QTR Raw'!R78</f>
        <v>30.3</v>
      </c>
      <c r="AY173" s="23">
        <f t="shared" si="1278"/>
        <v>30.3</v>
      </c>
      <c r="AZ173" s="23">
        <f>+'QTR Raw'!T78</f>
        <v>43.26</v>
      </c>
      <c r="BA173" s="23">
        <f t="shared" si="1278"/>
        <v>43.26</v>
      </c>
      <c r="BB173" s="23">
        <f>+'QTR Raw'!V78</f>
        <v>42.34</v>
      </c>
      <c r="BC173" s="23">
        <f t="shared" si="1278"/>
        <v>42.34</v>
      </c>
      <c r="BD173" s="23">
        <f>+'QTR Raw'!X78</f>
        <v>40</v>
      </c>
      <c r="BE173" s="23">
        <f t="shared" si="1278"/>
        <v>40</v>
      </c>
      <c r="BF173" s="23">
        <f>+'QTR Raw'!Z78</f>
        <v>30.73</v>
      </c>
      <c r="BG173" s="23">
        <f t="shared" si="1278"/>
        <v>30.73</v>
      </c>
      <c r="BH173" s="23">
        <f>+'QTR Raw'!AB78</f>
        <v>35.020000000000003</v>
      </c>
      <c r="BI173" s="23">
        <f t="shared" si="1278"/>
        <v>35.020000000000003</v>
      </c>
      <c r="BJ173" s="23">
        <f>+'QTR Raw'!AD78</f>
        <v>34.049999999999997</v>
      </c>
      <c r="BK173" s="23">
        <f t="shared" si="1278"/>
        <v>34.049999999999997</v>
      </c>
      <c r="BL173" s="23">
        <f>+'QTR Raw'!AF78</f>
        <v>41</v>
      </c>
      <c r="BM173" s="23">
        <f t="shared" si="1278"/>
        <v>41</v>
      </c>
      <c r="BN173" s="23">
        <f>+'QTR Raw'!AH78</f>
        <v>43.87</v>
      </c>
      <c r="BO173" s="23">
        <f t="shared" si="1278"/>
        <v>43.87</v>
      </c>
      <c r="BP173" s="23">
        <f>+'QTR Raw'!AJ78</f>
        <v>42.55</v>
      </c>
      <c r="BQ173" s="23">
        <f t="shared" si="1278"/>
        <v>42.55</v>
      </c>
      <c r="BR173" s="23">
        <f>+'QTR Raw'!AL78</f>
        <v>10.55</v>
      </c>
      <c r="BS173" s="23">
        <f t="shared" si="1278"/>
        <v>10.55</v>
      </c>
      <c r="BT173" s="23">
        <f>+'QTR Raw'!AN78</f>
        <v>12.24</v>
      </c>
      <c r="BU173" s="23">
        <f t="shared" si="1278"/>
        <v>12.24</v>
      </c>
      <c r="BV173" s="23">
        <f>+'QTR Raw'!AP78</f>
        <v>14.72</v>
      </c>
      <c r="BW173" s="23">
        <f t="shared" si="1278"/>
        <v>14.72</v>
      </c>
      <c r="BX173" s="23">
        <f>+'QTR Raw'!AR78</f>
        <v>39.450000000000003</v>
      </c>
      <c r="BY173" s="23">
        <f t="shared" si="1278"/>
        <v>39.450000000000003</v>
      </c>
      <c r="BZ173" s="23">
        <f>+'QTR Raw'!AT78</f>
        <v>44.82</v>
      </c>
      <c r="CA173" s="23">
        <f t="shared" si="1278"/>
        <v>44.82</v>
      </c>
      <c r="CB173" s="23">
        <f>+'QTR Raw'!AV78</f>
        <v>47.57</v>
      </c>
      <c r="CC173" s="23">
        <f t="shared" si="1278"/>
        <v>47.57</v>
      </c>
      <c r="CD173" s="23">
        <f>+'QTR Raw'!AX78</f>
        <v>50.04</v>
      </c>
      <c r="CE173" s="23">
        <f t="shared" si="1278"/>
        <v>50.04</v>
      </c>
      <c r="CF173" s="23">
        <f>+'QTR Raw'!AZ78</f>
        <v>51.32</v>
      </c>
      <c r="CG173" s="23">
        <f t="shared" si="1255"/>
        <v>51.32</v>
      </c>
      <c r="CH173" s="23">
        <f t="shared" si="1256"/>
        <v>496.54</v>
      </c>
      <c r="CJ173" s="23">
        <f>+'QTR Raw'!BD78</f>
        <v>53.21</v>
      </c>
      <c r="CL173" s="23">
        <f>+'QTR Raw'!BF78</f>
        <v>47.95</v>
      </c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E173" s="121"/>
      <c r="DF173" s="23">
        <v>0</v>
      </c>
    </row>
    <row r="174" spans="1:110" s="23" customFormat="1" outlineLevel="1" x14ac:dyDescent="0.2">
      <c r="A174" s="23" t="s">
        <v>60</v>
      </c>
      <c r="B174" s="23">
        <f>'Annual Raw'!C73+'Annual Raw'!C81</f>
        <v>0</v>
      </c>
      <c r="C174" s="23">
        <f>'Annual Raw'!D73+'Annual Raw'!D81</f>
        <v>0</v>
      </c>
      <c r="D174" s="23">
        <f>'Annual Raw'!E73+'Annual Raw'!E81</f>
        <v>0</v>
      </c>
      <c r="E174" s="23">
        <f>'Annual Raw'!F73+'Annual Raw'!F81</f>
        <v>0</v>
      </c>
      <c r="F174" s="23">
        <f>'Annual Raw'!G73+'Annual Raw'!G81</f>
        <v>0</v>
      </c>
      <c r="G174" s="23">
        <f>'Annual Raw'!H73+'Annual Raw'!H81</f>
        <v>0</v>
      </c>
      <c r="H174" s="23">
        <f>'Annual Raw'!I73+'Annual Raw'!I81</f>
        <v>0</v>
      </c>
      <c r="I174" s="23">
        <f>'Annual Raw'!J73+'Annual Raw'!J81</f>
        <v>0</v>
      </c>
      <c r="J174" s="23">
        <f>'Annual Raw'!K73+'Annual Raw'!K81</f>
        <v>0</v>
      </c>
      <c r="K174" s="23">
        <f>'Annual Raw'!L73+'Annual Raw'!L81</f>
        <v>0</v>
      </c>
      <c r="L174" s="23">
        <f>'Annual Raw'!M73+'Annual Raw'!M81</f>
        <v>2.4841000000000002</v>
      </c>
      <c r="M174" s="23">
        <f>'Annual Raw'!N73+'Annual Raw'!N81</f>
        <v>3.4649999999999999</v>
      </c>
      <c r="N174" s="23">
        <f>'Annual Raw'!O73+'Annual Raw'!O81</f>
        <v>9.2013999999999996</v>
      </c>
      <c r="O174" s="23">
        <f>'Annual Raw'!P73+'Annual Raw'!P81</f>
        <v>8.7935999999999996</v>
      </c>
      <c r="P174" s="23">
        <f>'Annual Raw'!Q73+'Annual Raw'!Q81</f>
        <v>9.34</v>
      </c>
      <c r="Q174" s="23">
        <f>'Annual Raw'!R73+'Annual Raw'!R81</f>
        <v>96</v>
      </c>
      <c r="R174" s="23">
        <f>'Annual Raw'!S73+'Annual Raw'!S81</f>
        <v>99.56</v>
      </c>
      <c r="S174" s="23">
        <f>'Annual Raw'!T73+'Annual Raw'!T81</f>
        <v>116.93</v>
      </c>
      <c r="T174" s="23">
        <f>'Annual Raw'!U73+'Annual Raw'!U81</f>
        <v>156.38999999999999</v>
      </c>
      <c r="U174" s="23">
        <f>'Annual Raw'!V73+'Annual Raw'!V81</f>
        <v>28.18</v>
      </c>
      <c r="V174" s="23">
        <f>'Annual Raw'!W73+'Annual Raw'!W81</f>
        <v>45.06</v>
      </c>
      <c r="W174" s="23">
        <f>'Annual Raw'!X73+'Annual Raw'!X81</f>
        <v>110.71</v>
      </c>
      <c r="X174" s="23">
        <f>'Annual Raw'!Y73+'Annual Raw'!Y81</f>
        <v>16.78</v>
      </c>
      <c r="Y174" s="23">
        <f>'Annual Raw'!Z73+'Annual Raw'!Z81</f>
        <v>155.37</v>
      </c>
      <c r="Z174" s="23">
        <f>'Annual Raw'!AA73+'Annual Raw'!AA81</f>
        <v>241.73</v>
      </c>
      <c r="AA174" s="23">
        <f>'Annual Raw'!AB73+'Annual Raw'!AB81</f>
        <v>194.65</v>
      </c>
      <c r="AB174" s="24">
        <f t="shared" si="1274"/>
        <v>0</v>
      </c>
      <c r="AC174" s="24">
        <f t="shared" si="1275"/>
        <v>0</v>
      </c>
      <c r="AD174" s="24">
        <f t="shared" si="1276"/>
        <v>0</v>
      </c>
      <c r="AE174" s="24">
        <f t="shared" si="1277"/>
        <v>0</v>
      </c>
      <c r="AJ174" s="23">
        <f>+'QTR Raw'!D79+'QTR Raw'!D76</f>
        <v>2.67</v>
      </c>
      <c r="AK174" s="23">
        <f t="shared" si="1278"/>
        <v>2.67</v>
      </c>
      <c r="AL174" s="23">
        <f>+'QTR Raw'!F79+'QTR Raw'!F76</f>
        <v>8.33</v>
      </c>
      <c r="AM174" s="23">
        <f t="shared" si="1278"/>
        <v>8.33</v>
      </c>
      <c r="AN174" s="23">
        <f>+'QTR Raw'!H79+'QTR Raw'!H76</f>
        <v>3.32</v>
      </c>
      <c r="AO174" s="23">
        <f t="shared" si="1278"/>
        <v>3.32</v>
      </c>
      <c r="AP174" s="23">
        <f>+'QTR Raw'!J79+'QTR Raw'!J76</f>
        <v>8.6300000000000008</v>
      </c>
      <c r="AQ174" s="23">
        <f t="shared" si="1278"/>
        <v>8.6300000000000008</v>
      </c>
      <c r="AR174" s="23">
        <f>+'QTR Raw'!L79+'QTR Raw'!L76</f>
        <v>3.22</v>
      </c>
      <c r="AS174" s="23">
        <f t="shared" si="1278"/>
        <v>3.22</v>
      </c>
      <c r="AT174" s="23">
        <f>+'QTR Raw'!N79+'QTR Raw'!N76</f>
        <v>9.1999999999999993</v>
      </c>
      <c r="AU174" s="23">
        <f t="shared" si="1278"/>
        <v>9.1999999999999993</v>
      </c>
      <c r="AV174" s="23">
        <f>+'QTR Raw'!P79+'QTR Raw'!P76</f>
        <v>8.11</v>
      </c>
      <c r="AW174" s="23">
        <f t="shared" si="1278"/>
        <v>8.11</v>
      </c>
      <c r="AX174" s="23">
        <f>+'QTR Raw'!R79+'QTR Raw'!R76</f>
        <v>175.7</v>
      </c>
      <c r="AY174" s="23">
        <f t="shared" si="1278"/>
        <v>175.7</v>
      </c>
      <c r="AZ174" s="23">
        <f>+'QTR Raw'!T79+'QTR Raw'!T76</f>
        <v>83.24</v>
      </c>
      <c r="BA174" s="23">
        <f t="shared" si="1278"/>
        <v>83.24</v>
      </c>
      <c r="BB174" s="23">
        <f>+'QTR Raw'!V79+'QTR Raw'!V76</f>
        <v>157.94</v>
      </c>
      <c r="BC174" s="23">
        <f t="shared" si="1278"/>
        <v>157.94</v>
      </c>
      <c r="BD174" s="23">
        <f>+'QTR Raw'!X79+'QTR Raw'!X76</f>
        <v>215.7</v>
      </c>
      <c r="BE174" s="23">
        <f t="shared" si="1278"/>
        <v>215.7</v>
      </c>
      <c r="BF174" s="23">
        <f>+'QTR Raw'!Z79+'QTR Raw'!Z76</f>
        <v>225.87</v>
      </c>
      <c r="BG174" s="23">
        <f t="shared" si="1278"/>
        <v>225.87</v>
      </c>
      <c r="BH174" s="23">
        <f>+'QTR Raw'!AB79+'QTR Raw'!AB76</f>
        <v>304.47000000000003</v>
      </c>
      <c r="BI174" s="23">
        <f t="shared" si="1278"/>
        <v>304.47000000000003</v>
      </c>
      <c r="BJ174" s="23">
        <f>+'QTR Raw'!AD79+'QTR Raw'!AD76</f>
        <v>318.45</v>
      </c>
      <c r="BK174" s="23">
        <f t="shared" si="1278"/>
        <v>318.45</v>
      </c>
      <c r="BL174" s="23">
        <f>+'QTR Raw'!AF79+'QTR Raw'!AF76</f>
        <v>378.93</v>
      </c>
      <c r="BM174" s="23">
        <f t="shared" si="1278"/>
        <v>378.93</v>
      </c>
      <c r="BN174" s="23">
        <f>+'QTR Raw'!AH79+'QTR Raw'!AH76</f>
        <v>386.81</v>
      </c>
      <c r="BO174" s="23">
        <f t="shared" si="1278"/>
        <v>386.81</v>
      </c>
      <c r="BP174" s="23">
        <f>+'QTR Raw'!AJ79+'QTR Raw'!AJ76</f>
        <v>404.14</v>
      </c>
      <c r="BQ174" s="23">
        <f t="shared" si="1278"/>
        <v>404.14</v>
      </c>
      <c r="BR174" s="23">
        <f>+'QTR Raw'!AL79+'QTR Raw'!AL76</f>
        <v>575.17999999999995</v>
      </c>
      <c r="BS174" s="23">
        <f t="shared" si="1278"/>
        <v>575.17999999999995</v>
      </c>
      <c r="BT174" s="23">
        <f>+'QTR Raw'!AN79+'QTR Raw'!AN76</f>
        <v>601.22</v>
      </c>
      <c r="BU174" s="23">
        <f t="shared" si="1278"/>
        <v>601.22</v>
      </c>
      <c r="BV174" s="23">
        <f>+'QTR Raw'!AP79+'QTR Raw'!AP76</f>
        <v>653.24</v>
      </c>
      <c r="BW174" s="23">
        <f t="shared" si="1278"/>
        <v>653.24</v>
      </c>
      <c r="BX174" s="23">
        <f>+'QTR Raw'!AR79+'QTR Raw'!AR76</f>
        <v>704.16</v>
      </c>
      <c r="BY174" s="23">
        <f t="shared" si="1278"/>
        <v>704.16</v>
      </c>
      <c r="BZ174" s="23">
        <f>+'QTR Raw'!AT79+'QTR Raw'!AT76</f>
        <v>743.81</v>
      </c>
      <c r="CA174" s="23">
        <f t="shared" si="1278"/>
        <v>743.81</v>
      </c>
      <c r="CB174" s="23">
        <f>+'QTR Raw'!AV79+'QTR Raw'!AV76</f>
        <v>789.68</v>
      </c>
      <c r="CC174" s="23">
        <f t="shared" si="1278"/>
        <v>789.68</v>
      </c>
      <c r="CD174" s="23">
        <f>+'QTR Raw'!AX79+'QTR Raw'!AX76</f>
        <v>863.62</v>
      </c>
      <c r="CE174" s="23">
        <f t="shared" si="1278"/>
        <v>863.62</v>
      </c>
      <c r="CF174" s="23">
        <f>+'QTR Raw'!AZ79+'QTR Raw'!AZ76</f>
        <v>883.19</v>
      </c>
      <c r="CG174" s="23">
        <f t="shared" si="1255"/>
        <v>883.19</v>
      </c>
      <c r="CH174" s="23">
        <f t="shared" si="1256"/>
        <v>241.73</v>
      </c>
      <c r="CJ174" s="23">
        <f>+'QTR Raw'!BD79+'QTR Raw'!BD76</f>
        <v>969.21</v>
      </c>
      <c r="CL174" s="23">
        <f>+'QTR Raw'!BF79+'QTR Raw'!BF76</f>
        <v>1153.98</v>
      </c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E174" s="121"/>
      <c r="DF174" s="23">
        <v>0</v>
      </c>
    </row>
    <row r="175" spans="1:110" s="23" customFormat="1" outlineLevel="1" x14ac:dyDescent="0.2">
      <c r="A175" s="23" t="s">
        <v>61</v>
      </c>
      <c r="B175" s="23">
        <f>'Annual Raw'!C76</f>
        <v>85.622299999999996</v>
      </c>
      <c r="C175" s="23">
        <f>'Annual Raw'!D76</f>
        <v>93.287300000000002</v>
      </c>
      <c r="D175" s="23">
        <f>'Annual Raw'!E76</f>
        <v>122.96210000000001</v>
      </c>
      <c r="E175" s="23">
        <f>'Annual Raw'!F76</f>
        <v>106.9965</v>
      </c>
      <c r="F175" s="23">
        <f>'Annual Raw'!G76</f>
        <v>201.3058</v>
      </c>
      <c r="G175" s="23">
        <f>'Annual Raw'!H76</f>
        <v>175.714</v>
      </c>
      <c r="H175" s="23">
        <f>'Annual Raw'!I76</f>
        <v>200.47710000000001</v>
      </c>
      <c r="I175" s="23">
        <f>'Annual Raw'!J76</f>
        <v>250.5018</v>
      </c>
      <c r="J175" s="23">
        <f>'Annual Raw'!K76</f>
        <v>248.68549999999999</v>
      </c>
      <c r="K175" s="23">
        <f>'Annual Raw'!L76</f>
        <v>307.2758</v>
      </c>
      <c r="L175" s="23">
        <f>'Annual Raw'!M76</f>
        <v>504.05720000000002</v>
      </c>
      <c r="M175" s="23">
        <f>'Annual Raw'!N76</f>
        <v>487.65789999999998</v>
      </c>
      <c r="N175" s="23">
        <f>'Annual Raw'!O76</f>
        <v>563.22550000000001</v>
      </c>
      <c r="O175" s="23">
        <f>'Annual Raw'!P76</f>
        <v>746.40290000000005</v>
      </c>
      <c r="P175" s="23">
        <f>'Annual Raw'!Q76</f>
        <v>763.5</v>
      </c>
      <c r="Q175" s="23">
        <f>'Annual Raw'!R76</f>
        <v>671.05</v>
      </c>
      <c r="R175" s="23">
        <f>'Annual Raw'!S76</f>
        <v>838.14</v>
      </c>
      <c r="S175" s="23">
        <f>'Annual Raw'!T76</f>
        <v>958.18</v>
      </c>
      <c r="T175" s="23">
        <f>'Annual Raw'!U76</f>
        <v>1224.74</v>
      </c>
      <c r="U175" s="23">
        <f>'Annual Raw'!V76</f>
        <v>1201.23</v>
      </c>
      <c r="V175" s="23">
        <f>'Annual Raw'!W76</f>
        <v>1465.82</v>
      </c>
      <c r="W175" s="23">
        <f>'Annual Raw'!X76</f>
        <v>2138.4699999999998</v>
      </c>
      <c r="X175" s="23">
        <f>'Annual Raw'!Y76</f>
        <v>2274.29</v>
      </c>
      <c r="Y175" s="23">
        <f>'Annual Raw'!Z76</f>
        <v>2326.4699999999998</v>
      </c>
      <c r="Z175" s="23">
        <f>'Annual Raw'!AA76</f>
        <v>2348.9699999999998</v>
      </c>
      <c r="AA175" s="23">
        <f>'Annual Raw'!AB76</f>
        <v>2788.64</v>
      </c>
      <c r="AB175" s="24">
        <f t="shared" si="1274"/>
        <v>3304.2883204486998</v>
      </c>
      <c r="AC175" s="24">
        <f t="shared" si="1275"/>
        <v>3865.5375698068869</v>
      </c>
      <c r="AD175" s="24">
        <f t="shared" si="1276"/>
        <v>4512.5664289850629</v>
      </c>
      <c r="AE175" s="24">
        <f t="shared" si="1277"/>
        <v>5266.9733115174067</v>
      </c>
      <c r="AJ175" s="23">
        <f>+'QTR Raw'!D81</f>
        <v>456.24</v>
      </c>
      <c r="AK175" s="23">
        <f>+AK210*AK41/90</f>
        <v>493.04618309403548</v>
      </c>
      <c r="AL175" s="23">
        <f>+'QTR Raw'!F81</f>
        <v>563.23</v>
      </c>
      <c r="AM175" s="23">
        <f>+AM210*AM41/90</f>
        <v>556.60740927702739</v>
      </c>
      <c r="AN175" s="23">
        <f>+'QTR Raw'!H81</f>
        <v>604.32000000000005</v>
      </c>
      <c r="AO175" s="23">
        <f>+AO210*AO41/90</f>
        <v>616.98086527865007</v>
      </c>
      <c r="AP175" s="23">
        <f>+'QTR Raw'!J81</f>
        <v>746.4</v>
      </c>
      <c r="AQ175" s="23">
        <f>+AQ210*AQ41/90</f>
        <v>972.70705248201364</v>
      </c>
      <c r="AR175" s="23">
        <f>+'QTR Raw'!L81</f>
        <v>698.79</v>
      </c>
      <c r="AS175" s="23">
        <f>+AS210*AS41/90</f>
        <v>649.99389972004326</v>
      </c>
      <c r="AT175" s="23">
        <f>+'QTR Raw'!N81</f>
        <v>763.5</v>
      </c>
      <c r="AU175" s="23">
        <f>+AU210*AU41/90</f>
        <v>862.35480783457876</v>
      </c>
      <c r="AV175" s="23">
        <f>+'QTR Raw'!P81</f>
        <v>780.71</v>
      </c>
      <c r="AW175" s="23">
        <f>+AW210*AW41/90</f>
        <v>684.76461339604259</v>
      </c>
      <c r="AX175" s="23">
        <f>+'QTR Raw'!R81</f>
        <v>671.05</v>
      </c>
      <c r="AY175" s="23">
        <f>+AY210*AY41/90</f>
        <v>691.39120666925805</v>
      </c>
      <c r="AZ175" s="23">
        <f>+'QTR Raw'!T81</f>
        <v>805.24</v>
      </c>
      <c r="BA175" s="23">
        <f>+BA210*BA41/90</f>
        <v>747.71670481754211</v>
      </c>
      <c r="BB175" s="23">
        <f>+'QTR Raw'!V81</f>
        <v>838.14</v>
      </c>
      <c r="BC175" s="23">
        <f>+BC210*BC41/90</f>
        <v>765.2634062861822</v>
      </c>
      <c r="BD175" s="23">
        <f>+'QTR Raw'!X81</f>
        <v>890.57</v>
      </c>
      <c r="BE175" s="23">
        <f>+BE210*BE41/90</f>
        <v>967.156957005045</v>
      </c>
      <c r="BF175" s="23">
        <f>+'QTR Raw'!Z81</f>
        <v>958.18</v>
      </c>
      <c r="BG175" s="23">
        <f>+BG210*BG41/90</f>
        <v>987.65752423601498</v>
      </c>
      <c r="BH175" s="23">
        <f>+'QTR Raw'!AB81</f>
        <v>1248.99</v>
      </c>
      <c r="BI175" s="23">
        <f>+BI210*BI41/90</f>
        <v>1287.3005682213166</v>
      </c>
      <c r="BJ175" s="23">
        <f>+'QTR Raw'!AD81</f>
        <v>1224.74</v>
      </c>
      <c r="BK175" s="23">
        <f>+BK210*BK41/90</f>
        <v>1114.9226857411315</v>
      </c>
      <c r="BL175" s="23">
        <f>+'QTR Raw'!AF81</f>
        <v>1223.9100000000001</v>
      </c>
      <c r="BM175" s="23">
        <f>+BM210*BM41/90</f>
        <v>1303.2761053631027</v>
      </c>
      <c r="BN175" s="23">
        <f>+'QTR Raw'!AH81</f>
        <v>1201.23</v>
      </c>
      <c r="BO175" s="23">
        <f>+BO210*BO41/90</f>
        <v>993.18094432752196</v>
      </c>
      <c r="BP175" s="23">
        <f>+'QTR Raw'!AJ81</f>
        <v>1174.55</v>
      </c>
      <c r="BQ175" s="23">
        <f>+BQ210*BQ41/90</f>
        <v>1200.0332561416203</v>
      </c>
      <c r="BR175" s="23">
        <f>+'QTR Raw'!AL81</f>
        <v>1465.82</v>
      </c>
      <c r="BS175" s="23">
        <f>+BS210*BS41/90</f>
        <v>1517.3947838091767</v>
      </c>
      <c r="BT175" s="23">
        <f>+'QTR Raw'!AN81</f>
        <v>1781.46</v>
      </c>
      <c r="BU175" s="23">
        <f>+BU210*BU41/90</f>
        <v>2099.5408793329975</v>
      </c>
      <c r="BV175" s="23">
        <f>+'QTR Raw'!AP81</f>
        <v>2138.4699999999998</v>
      </c>
      <c r="BW175" s="23">
        <f>+BW210*BW41/90</f>
        <v>2331.524060128133</v>
      </c>
      <c r="BX175" s="23">
        <f>+'QTR Raw'!AR81</f>
        <v>2369.94</v>
      </c>
      <c r="BY175" s="23">
        <f>+BY210*BY41/90</f>
        <v>2196.2782467849493</v>
      </c>
      <c r="BZ175" s="23">
        <f>+'QTR Raw'!AT81</f>
        <v>2274.29</v>
      </c>
      <c r="CA175" s="23">
        <f>+CA210*CA41/90</f>
        <v>1995.3138618984719</v>
      </c>
      <c r="CB175" s="23">
        <f>+'QTR Raw'!AV81</f>
        <v>2290.9</v>
      </c>
      <c r="CC175" s="23">
        <f>+CC210*CC41/90</f>
        <v>2188.2285494876255</v>
      </c>
      <c r="CD175" s="23">
        <f>+'QTR Raw'!AX81</f>
        <v>2326.4699999999998</v>
      </c>
      <c r="CE175" s="23">
        <f>+CE210*CE41/90</f>
        <v>2246.3997135925865</v>
      </c>
      <c r="CF175" s="23">
        <f>+'QTR Raw'!AZ81</f>
        <v>2653.47</v>
      </c>
      <c r="CG175" s="23">
        <f>+CG210*CG41/90</f>
        <v>2678.8787788161085</v>
      </c>
      <c r="CH175" s="23">
        <f t="shared" si="1256"/>
        <v>2348.9699999999998</v>
      </c>
      <c r="CI175" s="23">
        <f>+CI210*CI41/90</f>
        <v>2079.5540860215051</v>
      </c>
      <c r="CJ175" s="23">
        <f>+'QTR Raw'!BD81</f>
        <v>2729.67</v>
      </c>
      <c r="CK175" s="23">
        <f t="shared" ref="CK175:DB175" si="1279">+CK210*CK41/90</f>
        <v>2753.7708281985279</v>
      </c>
      <c r="CL175" s="23">
        <f>+'QTR Raw'!BF81</f>
        <v>2788.64</v>
      </c>
      <c r="CM175" s="24">
        <f t="shared" si="1279"/>
        <v>2601.1044361058475</v>
      </c>
      <c r="CN175" s="24">
        <f t="shared" si="1279"/>
        <v>2477.8095253910751</v>
      </c>
      <c r="CO175" s="24">
        <f t="shared" si="1279"/>
        <v>2595.7662214472248</v>
      </c>
      <c r="CP175" s="24">
        <f t="shared" si="1279"/>
        <v>3304.2883204486998</v>
      </c>
      <c r="CQ175" s="24">
        <f t="shared" si="1279"/>
        <v>3007.7761238855828</v>
      </c>
      <c r="CR175" s="24">
        <f t="shared" si="1279"/>
        <v>2882.4664054775762</v>
      </c>
      <c r="CS175" s="24">
        <f t="shared" si="1279"/>
        <v>3036.6522155140942</v>
      </c>
      <c r="CT175" s="24">
        <f t="shared" si="1279"/>
        <v>3865.5375698068869</v>
      </c>
      <c r="CU175" s="24">
        <f t="shared" si="1279"/>
        <v>3503.5787192382845</v>
      </c>
      <c r="CV175" s="24">
        <f t="shared" si="1279"/>
        <v>3363.7341809140667</v>
      </c>
      <c r="CW175" s="24">
        <f t="shared" si="1279"/>
        <v>3546.4355638424181</v>
      </c>
      <c r="CX175" s="24">
        <f t="shared" si="1279"/>
        <v>4512.5664289850629</v>
      </c>
      <c r="CY175" s="24">
        <f t="shared" si="1279"/>
        <v>4087.8572555330447</v>
      </c>
      <c r="CZ175" s="24">
        <f t="shared" si="1279"/>
        <v>3926.3109687133069</v>
      </c>
      <c r="DA175" s="24">
        <f t="shared" si="1279"/>
        <v>4139.8203694112663</v>
      </c>
      <c r="DB175" s="24">
        <f t="shared" si="1279"/>
        <v>5266.9733115174067</v>
      </c>
      <c r="DE175" s="121"/>
      <c r="DF175" s="23">
        <v>0</v>
      </c>
    </row>
    <row r="176" spans="1:110" s="23" customFormat="1" outlineLevel="1" x14ac:dyDescent="0.2">
      <c r="A176" s="23" t="s">
        <v>62</v>
      </c>
      <c r="B176" s="23">
        <f>'Annual Raw'!C77</f>
        <v>90.807699999999997</v>
      </c>
      <c r="C176" s="23">
        <f>'Annual Raw'!D77</f>
        <v>96.230199999999996</v>
      </c>
      <c r="D176" s="23">
        <f>'Annual Raw'!E77</f>
        <v>84.2029</v>
      </c>
      <c r="E176" s="23">
        <f>'Annual Raw'!F77</f>
        <v>102.47199999999999</v>
      </c>
      <c r="F176" s="23">
        <f>'Annual Raw'!G77</f>
        <v>102.42319999999999</v>
      </c>
      <c r="G176" s="23">
        <f>'Annual Raw'!H77</f>
        <v>128.9699</v>
      </c>
      <c r="H176" s="23">
        <f>'Annual Raw'!I77</f>
        <v>215.54839999999999</v>
      </c>
      <c r="I176" s="23">
        <f>'Annual Raw'!J77</f>
        <v>244.9922</v>
      </c>
      <c r="J176" s="23">
        <f>'Annual Raw'!K77</f>
        <v>248.59610000000001</v>
      </c>
      <c r="K176" s="23">
        <f>'Annual Raw'!L77</f>
        <v>360.95440000000002</v>
      </c>
      <c r="L176" s="23">
        <f>'Annual Raw'!M77</f>
        <v>491.8313</v>
      </c>
      <c r="M176" s="23">
        <f>'Annual Raw'!N77</f>
        <v>483.73180000000002</v>
      </c>
      <c r="N176" s="23">
        <f>'Annual Raw'!O77</f>
        <v>508.6893</v>
      </c>
      <c r="O176" s="23">
        <f>'Annual Raw'!P77</f>
        <v>691.49109999999996</v>
      </c>
      <c r="P176" s="23">
        <f>'Annual Raw'!Q77</f>
        <v>610.66</v>
      </c>
      <c r="Q176" s="23">
        <f>'Annual Raw'!R77</f>
        <v>514.48</v>
      </c>
      <c r="R176" s="23">
        <f>'Annual Raw'!S77</f>
        <v>656.89</v>
      </c>
      <c r="S176" s="23">
        <f>'Annual Raw'!T77</f>
        <v>680.65</v>
      </c>
      <c r="T176" s="23">
        <f>'Annual Raw'!U77</f>
        <v>1028.75</v>
      </c>
      <c r="U176" s="23">
        <f>'Annual Raw'!V77</f>
        <v>891.07</v>
      </c>
      <c r="V176" s="23">
        <f>'Annual Raw'!W77</f>
        <v>1274.56</v>
      </c>
      <c r="W176" s="23">
        <f>'Annual Raw'!X77</f>
        <v>1792.45</v>
      </c>
      <c r="X176" s="23">
        <f>'Annual Raw'!Y77</f>
        <v>1785.62</v>
      </c>
      <c r="Y176" s="23">
        <f>'Annual Raw'!Z77</f>
        <v>1942.82</v>
      </c>
      <c r="Z176" s="23">
        <f>'Annual Raw'!AA77</f>
        <v>2169.46</v>
      </c>
      <c r="AA176" s="23">
        <f>'Annual Raw'!AB77</f>
        <v>2561.6</v>
      </c>
      <c r="AB176" s="24">
        <f t="shared" si="1274"/>
        <v>3035.2662809331391</v>
      </c>
      <c r="AC176" s="24">
        <f t="shared" si="1275"/>
        <v>3550.8208441452898</v>
      </c>
      <c r="AD176" s="24">
        <f t="shared" si="1276"/>
        <v>4145.1711818263157</v>
      </c>
      <c r="AE176" s="24">
        <f t="shared" si="1277"/>
        <v>4838.1572504098731</v>
      </c>
      <c r="AJ176" s="23">
        <f>+'QTR Raw'!D82</f>
        <v>473.55</v>
      </c>
      <c r="AK176" s="23">
        <f>+AK211*AK41/90</f>
        <v>511.75263020379725</v>
      </c>
      <c r="AL176" s="23">
        <f>+'QTR Raw'!F82</f>
        <v>508.69</v>
      </c>
      <c r="AM176" s="23">
        <f>+AM211*AM41/90</f>
        <v>502.70870341624396</v>
      </c>
      <c r="AN176" s="23">
        <f>+'QTR Raw'!H82</f>
        <v>530.42999999999995</v>
      </c>
      <c r="AO176" s="23">
        <f>+AO211*AO41/90</f>
        <v>541.54282560523279</v>
      </c>
      <c r="AP176" s="23">
        <f>+'QTR Raw'!J82</f>
        <v>691.49</v>
      </c>
      <c r="AQ176" s="23">
        <f>+AQ211*AQ41/90</f>
        <v>901.14844549944769</v>
      </c>
      <c r="AR176" s="23">
        <f>+'QTR Raw'!L82</f>
        <v>601.54</v>
      </c>
      <c r="AS176" s="23">
        <f>+AS211*AS41/90</f>
        <v>559.53481079808648</v>
      </c>
      <c r="AT176" s="23">
        <f>+'QTR Raw'!N82</f>
        <v>610.66</v>
      </c>
      <c r="AU176" s="23">
        <f>+AU211*AU41/90</f>
        <v>689.72571964933059</v>
      </c>
      <c r="AV176" s="23">
        <f>+'QTR Raw'!P82</f>
        <v>660.83</v>
      </c>
      <c r="AW176" s="23">
        <f>+AW211*AW41/90</f>
        <v>579.61727077981175</v>
      </c>
      <c r="AX176" s="23">
        <f>+'QTR Raw'!R82</f>
        <v>514.48</v>
      </c>
      <c r="AY176" s="23">
        <f>+AY211*AY41/90</f>
        <v>530.07517771730852</v>
      </c>
      <c r="AZ176" s="23">
        <f>+'QTR Raw'!T82</f>
        <v>662.48</v>
      </c>
      <c r="BA176" s="23">
        <f>+BA211*BA41/90</f>
        <v>615.15493841280284</v>
      </c>
      <c r="BB176" s="23">
        <f>+'QTR Raw'!V82</f>
        <v>656.89</v>
      </c>
      <c r="BC176" s="23">
        <f>+BC211*BC41/90</f>
        <v>599.77316314139659</v>
      </c>
      <c r="BD176" s="23">
        <f>+'QTR Raw'!X82</f>
        <v>857.07</v>
      </c>
      <c r="BE176" s="23">
        <f>+BE211*BE41/90</f>
        <v>930.77603460740193</v>
      </c>
      <c r="BF176" s="23">
        <f>+'QTR Raw'!Z82</f>
        <v>680.65</v>
      </c>
      <c r="BG176" s="23">
        <f>+BG211*BG41/90</f>
        <v>701.58956967505446</v>
      </c>
      <c r="BH176" s="23">
        <f>+'QTR Raw'!AB82</f>
        <v>1212.44</v>
      </c>
      <c r="BI176" s="23">
        <f>+BI211*BI41/90</f>
        <v>1249.6294613521752</v>
      </c>
      <c r="BJ176" s="23">
        <f>+'QTR Raw'!AD82</f>
        <v>1028.75</v>
      </c>
      <c r="BK176" s="23">
        <f>+BK211*BK41/90</f>
        <v>936.50628946240761</v>
      </c>
      <c r="BL176" s="23">
        <f>+'QTR Raw'!AF82</f>
        <v>925.59</v>
      </c>
      <c r="BM176" s="23">
        <f>+BM211*BM41/90</f>
        <v>985.61114000460339</v>
      </c>
      <c r="BN176" s="23">
        <f>+'QTR Raw'!AH82</f>
        <v>891.07</v>
      </c>
      <c r="BO176" s="23">
        <f>+BO211*BO41/90</f>
        <v>736.73962859895687</v>
      </c>
      <c r="BP176" s="23">
        <f>+'QTR Raw'!AJ82</f>
        <v>1091.98</v>
      </c>
      <c r="BQ176" s="23">
        <f>+BQ211*BQ41/90</f>
        <v>1115.671802002066</v>
      </c>
      <c r="BR176" s="23">
        <f>+'QTR Raw'!AL82</f>
        <v>1274.56</v>
      </c>
      <c r="BS176" s="23">
        <f>+BS211*BS41/90</f>
        <v>1319.4053128295591</v>
      </c>
      <c r="BT176" s="23">
        <f>+'QTR Raw'!AN82</f>
        <v>1526.15</v>
      </c>
      <c r="BU176" s="23">
        <f>+BU211*BU41/90</f>
        <v>1798.6451073804935</v>
      </c>
      <c r="BV176" s="23">
        <f>+'QTR Raw'!AP82</f>
        <v>1792.45</v>
      </c>
      <c r="BW176" s="23">
        <f>+BW211*BW41/90</f>
        <v>1954.2665090352791</v>
      </c>
      <c r="BX176" s="23">
        <f>+'QTR Raw'!AR82</f>
        <v>1868.92</v>
      </c>
      <c r="BY176" s="23">
        <f>+BY211*BY41/90</f>
        <v>1731.9714174119713</v>
      </c>
      <c r="BZ176" s="23">
        <f>+'QTR Raw'!AT82</f>
        <v>1785.62</v>
      </c>
      <c r="CA176" s="23">
        <f>+CA211*CA41/90</f>
        <v>1566.5866437803222</v>
      </c>
      <c r="CB176" s="23">
        <f>+'QTR Raw'!AV82</f>
        <v>1748.28</v>
      </c>
      <c r="CC176" s="23">
        <f>+CC211*CC41/90</f>
        <v>1669.92719389682</v>
      </c>
      <c r="CD176" s="23">
        <f>+'QTR Raw'!AX82</f>
        <v>1942.82</v>
      </c>
      <c r="CE176" s="23">
        <f>+CE211*CE41/90</f>
        <v>1875.9538234157105</v>
      </c>
      <c r="CF176" s="23">
        <f>+'QTR Raw'!AZ82</f>
        <v>2036.76</v>
      </c>
      <c r="CG176" s="23">
        <f>+CG211*CG41/90</f>
        <v>2056.2633613877288</v>
      </c>
      <c r="CH176" s="23">
        <f t="shared" si="1256"/>
        <v>2169.46</v>
      </c>
      <c r="CI176" s="23">
        <f>+CI211*CI41/90</f>
        <v>1920.633046594982</v>
      </c>
      <c r="CJ176" s="23">
        <f>+'QTR Raw'!BD82</f>
        <v>2043.34</v>
      </c>
      <c r="CK176" s="23">
        <f t="shared" ref="CK176:DB176" si="1280">+CK211*CK41/90</f>
        <v>2061.3810768668668</v>
      </c>
      <c r="CL176" s="23">
        <f>+'QTR Raw'!BF82</f>
        <v>2561.6</v>
      </c>
      <c r="CM176" s="24">
        <f t="shared" si="1280"/>
        <v>2389.3328373431991</v>
      </c>
      <c r="CN176" s="24">
        <f t="shared" si="1280"/>
        <v>2276.076108870911</v>
      </c>
      <c r="CO176" s="24">
        <f t="shared" si="1280"/>
        <v>2384.4292389333909</v>
      </c>
      <c r="CP176" s="24">
        <f t="shared" si="1280"/>
        <v>3035.2662809331391</v>
      </c>
      <c r="CQ176" s="24">
        <f t="shared" si="1280"/>
        <v>2762.8949304841458</v>
      </c>
      <c r="CR176" s="24">
        <f t="shared" si="1280"/>
        <v>2647.7874319637381</v>
      </c>
      <c r="CS176" s="24">
        <f t="shared" si="1280"/>
        <v>2789.4200453485937</v>
      </c>
      <c r="CT176" s="24">
        <f t="shared" si="1280"/>
        <v>3550.8208441452898</v>
      </c>
      <c r="CU176" s="24">
        <f t="shared" si="1280"/>
        <v>3218.3312464860251</v>
      </c>
      <c r="CV176" s="24">
        <f t="shared" si="1280"/>
        <v>3089.8722953946981</v>
      </c>
      <c r="CW176" s="24">
        <f t="shared" si="1280"/>
        <v>3257.6988569118766</v>
      </c>
      <c r="CX176" s="24">
        <f t="shared" si="1280"/>
        <v>4145.1711818263157</v>
      </c>
      <c r="CY176" s="24">
        <f t="shared" si="1280"/>
        <v>3755.0401435012936</v>
      </c>
      <c r="CZ176" s="24">
        <f t="shared" si="1280"/>
        <v>3606.6463141373592</v>
      </c>
      <c r="DA176" s="24">
        <f t="shared" si="1280"/>
        <v>3802.7726269019663</v>
      </c>
      <c r="DB176" s="24">
        <f t="shared" si="1280"/>
        <v>4838.1572504098731</v>
      </c>
      <c r="DE176" s="121"/>
      <c r="DF176" s="23">
        <v>0</v>
      </c>
    </row>
    <row r="177" spans="1:110" s="23" customFormat="1" outlineLevel="1" x14ac:dyDescent="0.2">
      <c r="A177" s="23" t="s">
        <v>63</v>
      </c>
      <c r="B177" s="23">
        <f>'Annual Raw'!C79</f>
        <v>2.0672000000000001</v>
      </c>
      <c r="C177" s="23">
        <f>'Annual Raw'!D79</f>
        <v>2.6322000000000001</v>
      </c>
      <c r="D177" s="23">
        <f>'Annual Raw'!E79</f>
        <v>3.3915000000000002</v>
      </c>
      <c r="E177" s="23">
        <f>'Annual Raw'!F79</f>
        <v>1.7177</v>
      </c>
      <c r="F177" s="23">
        <f>'Annual Raw'!G79</f>
        <v>2.0577999999999999</v>
      </c>
      <c r="G177" s="23">
        <f>'Annual Raw'!H79</f>
        <v>8.5557999999999996</v>
      </c>
      <c r="H177" s="23">
        <f>'Annual Raw'!I79</f>
        <v>2.1715</v>
      </c>
      <c r="I177" s="23">
        <f>'Annual Raw'!J79</f>
        <v>8.5182000000000002</v>
      </c>
      <c r="J177" s="23">
        <f>'Annual Raw'!K79</f>
        <v>11.565300000000001</v>
      </c>
      <c r="K177" s="23">
        <f>'Annual Raw'!L79</f>
        <v>14.195499999999999</v>
      </c>
      <c r="L177" s="23">
        <f>'Annual Raw'!M79</f>
        <v>25.216899999999999</v>
      </c>
      <c r="M177" s="23">
        <f>'Annual Raw'!N79</f>
        <v>23.645299999999999</v>
      </c>
      <c r="N177" s="23">
        <f>'Annual Raw'!O79</f>
        <v>33.823799999999999</v>
      </c>
      <c r="O177" s="23">
        <f>'Annual Raw'!P79</f>
        <v>45.051200000000001</v>
      </c>
      <c r="P177" s="23">
        <f>'Annual Raw'!Q79</f>
        <v>32.950000000000003</v>
      </c>
      <c r="Q177" s="23">
        <f>'Annual Raw'!R79</f>
        <v>115.9</v>
      </c>
      <c r="R177" s="23">
        <f>'Annual Raw'!S79</f>
        <v>139.26</v>
      </c>
      <c r="S177" s="23">
        <f>'Annual Raw'!T79</f>
        <v>199.6</v>
      </c>
      <c r="T177" s="23">
        <f>'Annual Raw'!U79</f>
        <v>248.92</v>
      </c>
      <c r="U177" s="23">
        <f>'Annual Raw'!V79</f>
        <v>253.46</v>
      </c>
      <c r="V177" s="23">
        <f>'Annual Raw'!W79</f>
        <v>290.18</v>
      </c>
      <c r="W177" s="23">
        <f>'Annual Raw'!X79</f>
        <v>273.56</v>
      </c>
      <c r="X177" s="23">
        <f>'Annual Raw'!Y79</f>
        <v>290.67</v>
      </c>
      <c r="Y177" s="23">
        <f>'Annual Raw'!Z79</f>
        <v>260.70999999999998</v>
      </c>
      <c r="Z177" s="23">
        <f>'Annual Raw'!AA79</f>
        <v>175.7</v>
      </c>
      <c r="AA177" s="23">
        <f>'Annual Raw'!AB79</f>
        <v>235.46</v>
      </c>
      <c r="AB177" s="24">
        <f t="shared" si="1274"/>
        <v>2221.7542502345709</v>
      </c>
      <c r="AC177" s="24">
        <f t="shared" si="1275"/>
        <v>2599.1298858550081</v>
      </c>
      <c r="AD177" s="24">
        <f t="shared" si="1276"/>
        <v>3034.1824534555044</v>
      </c>
      <c r="AE177" s="24">
        <f t="shared" si="1277"/>
        <v>3541.4344045942125</v>
      </c>
      <c r="AJ177" s="23">
        <f>+'QTR Raw'!D84</f>
        <v>1.65</v>
      </c>
      <c r="AK177" s="23">
        <f t="shared" si="1278"/>
        <v>1.65</v>
      </c>
      <c r="AL177" s="23">
        <f>+'QTR Raw'!F84</f>
        <v>2.19</v>
      </c>
      <c r="AM177" s="23">
        <f t="shared" si="1278"/>
        <v>2.19</v>
      </c>
      <c r="AN177" s="23">
        <f>+'QTR Raw'!H84</f>
        <v>0.76</v>
      </c>
      <c r="AO177" s="23">
        <f t="shared" si="1278"/>
        <v>0.76</v>
      </c>
      <c r="AP177" s="23">
        <f>+'QTR Raw'!J84</f>
        <v>7.79</v>
      </c>
      <c r="AQ177" s="23">
        <f t="shared" si="1278"/>
        <v>7.79</v>
      </c>
      <c r="AR177" s="23">
        <f>+'QTR Raw'!L84</f>
        <v>1.95</v>
      </c>
      <c r="AS177" s="23">
        <f t="shared" si="1278"/>
        <v>1.95</v>
      </c>
      <c r="AT177" s="23">
        <f>+'QTR Raw'!N84</f>
        <v>3.9</v>
      </c>
      <c r="AU177" s="23">
        <f t="shared" si="1278"/>
        <v>3.9</v>
      </c>
      <c r="AV177" s="23">
        <f>+'QTR Raw'!P84</f>
        <v>2.2799999999999998</v>
      </c>
      <c r="AW177" s="23">
        <f t="shared" si="1278"/>
        <v>2.2799999999999998</v>
      </c>
      <c r="AX177" s="23">
        <f>+'QTR Raw'!R84</f>
        <v>236.77</v>
      </c>
      <c r="AY177" s="23">
        <f t="shared" si="1278"/>
        <v>236.77</v>
      </c>
      <c r="AZ177" s="23">
        <f>+'QTR Raw'!T84</f>
        <v>292.64999999999998</v>
      </c>
      <c r="BA177" s="23">
        <f t="shared" si="1278"/>
        <v>292.64999999999998</v>
      </c>
      <c r="BB177" s="23">
        <f>+'QTR Raw'!V84</f>
        <v>303.27</v>
      </c>
      <c r="BC177" s="23">
        <f t="shared" si="1278"/>
        <v>303.27</v>
      </c>
      <c r="BD177" s="23">
        <f>+'QTR Raw'!X84</f>
        <v>397.11</v>
      </c>
      <c r="BE177" s="23">
        <f t="shared" si="1278"/>
        <v>397.11</v>
      </c>
      <c r="BF177" s="23">
        <f>+'QTR Raw'!Z84</f>
        <v>554.16999999999996</v>
      </c>
      <c r="BG177" s="23">
        <f t="shared" si="1278"/>
        <v>554.16999999999996</v>
      </c>
      <c r="BH177" s="23">
        <f>+'QTR Raw'!AB84</f>
        <v>553.14</v>
      </c>
      <c r="BI177" s="23">
        <f t="shared" si="1278"/>
        <v>553.14</v>
      </c>
      <c r="BJ177" s="23">
        <f>+'QTR Raw'!AD84</f>
        <v>608.25</v>
      </c>
      <c r="BK177" s="23">
        <f t="shared" si="1278"/>
        <v>608.25</v>
      </c>
      <c r="BL177" s="23">
        <f>+'QTR Raw'!AF84</f>
        <v>671.05</v>
      </c>
      <c r="BM177" s="23">
        <f t="shared" si="1278"/>
        <v>671.05</v>
      </c>
      <c r="BN177" s="23">
        <f>+'QTR Raw'!AH84</f>
        <v>452.92</v>
      </c>
      <c r="BO177" s="23">
        <f t="shared" si="1278"/>
        <v>452.92</v>
      </c>
      <c r="BP177" s="23">
        <f>+'QTR Raw'!AJ84</f>
        <v>434.61</v>
      </c>
      <c r="BQ177" s="23">
        <f t="shared" si="1278"/>
        <v>434.61</v>
      </c>
      <c r="BR177" s="23">
        <f>+'QTR Raw'!AL84</f>
        <v>492.81</v>
      </c>
      <c r="BS177" s="23">
        <f t="shared" si="1278"/>
        <v>492.81</v>
      </c>
      <c r="BT177" s="23">
        <f>+'QTR Raw'!AN84</f>
        <v>515.62</v>
      </c>
      <c r="BU177" s="23">
        <f t="shared" si="1278"/>
        <v>515.62</v>
      </c>
      <c r="BV177" s="23">
        <f>+'QTR Raw'!AP84</f>
        <v>535.51</v>
      </c>
      <c r="BW177" s="23">
        <f t="shared" si="1278"/>
        <v>535.51</v>
      </c>
      <c r="BX177" s="23">
        <f>+'QTR Raw'!AR84</f>
        <v>628.05999999999995</v>
      </c>
      <c r="BY177" s="23">
        <f t="shared" si="1278"/>
        <v>628.05999999999995</v>
      </c>
      <c r="BZ177" s="23">
        <f>+'QTR Raw'!AT84</f>
        <v>597.51</v>
      </c>
      <c r="CA177" s="23">
        <f t="shared" si="1278"/>
        <v>597.51</v>
      </c>
      <c r="CB177" s="23">
        <f>+'QTR Raw'!AV84</f>
        <v>522.98</v>
      </c>
      <c r="CC177" s="23">
        <f t="shared" si="1278"/>
        <v>522.98</v>
      </c>
      <c r="CD177" s="23">
        <f>+'QTR Raw'!AX84</f>
        <v>553.79</v>
      </c>
      <c r="CE177" s="23">
        <f t="shared" si="1278"/>
        <v>553.79</v>
      </c>
      <c r="CF177" s="23">
        <f>+'QTR Raw'!AZ84</f>
        <v>629.47</v>
      </c>
      <c r="CG177" s="23">
        <f t="shared" ref="CG177:CG178" si="1281">+CF177</f>
        <v>629.47</v>
      </c>
      <c r="CH177" s="23">
        <f t="shared" si="1256"/>
        <v>175.7</v>
      </c>
      <c r="CI177" s="23">
        <f>CI41/90*CI212</f>
        <v>1143.0256989247309</v>
      </c>
      <c r="CJ177" s="23">
        <f>+'QTR Raw'!BD84</f>
        <v>724.05</v>
      </c>
      <c r="CK177" s="23">
        <f t="shared" ref="CK177:DB177" si="1282">CK41/90*CK212</f>
        <v>1778.818103588</v>
      </c>
      <c r="CL177" s="23">
        <f>+'QTR Raw'!BF84</f>
        <v>655.02</v>
      </c>
      <c r="CM177" s="24">
        <f t="shared" si="1282"/>
        <v>1748.9438801264816</v>
      </c>
      <c r="CN177" s="24">
        <f t="shared" si="1282"/>
        <v>1666.0422186045112</v>
      </c>
      <c r="CO177" s="24">
        <f t="shared" si="1282"/>
        <v>1745.3545441012134</v>
      </c>
      <c r="CP177" s="24">
        <f t="shared" si="1282"/>
        <v>2221.7542502345709</v>
      </c>
      <c r="CQ177" s="24">
        <f t="shared" si="1282"/>
        <v>2022.3838657304013</v>
      </c>
      <c r="CR177" s="24">
        <f t="shared" si="1282"/>
        <v>1938.1274775254883</v>
      </c>
      <c r="CS177" s="24">
        <f t="shared" si="1282"/>
        <v>2041.7997196402368</v>
      </c>
      <c r="CT177" s="24">
        <f t="shared" si="1282"/>
        <v>2599.1298858550081</v>
      </c>
      <c r="CU177" s="24">
        <f t="shared" si="1282"/>
        <v>2355.7541460068551</v>
      </c>
      <c r="CV177" s="24">
        <f t="shared" si="1282"/>
        <v>2261.7247613822919</v>
      </c>
      <c r="CW177" s="24">
        <f t="shared" si="1282"/>
        <v>2384.5704499781582</v>
      </c>
      <c r="CX177" s="24">
        <f t="shared" si="1282"/>
        <v>3034.1824534555044</v>
      </c>
      <c r="CY177" s="24">
        <f t="shared" si="1282"/>
        <v>2748.6143311487622</v>
      </c>
      <c r="CZ177" s="24">
        <f t="shared" si="1282"/>
        <v>2639.9930140771858</v>
      </c>
      <c r="DA177" s="24">
        <f t="shared" si="1282"/>
        <v>2783.5535549446699</v>
      </c>
      <c r="DB177" s="24">
        <f t="shared" si="1282"/>
        <v>3541.4344045942125</v>
      </c>
      <c r="DE177" s="121"/>
      <c r="DF177" s="23">
        <v>0</v>
      </c>
    </row>
    <row r="178" spans="1:110" s="23" customFormat="1" outlineLevel="1" x14ac:dyDescent="0.2">
      <c r="A178" s="23" t="s">
        <v>64</v>
      </c>
      <c r="B178" s="23">
        <f>'Annual Raw'!C80</f>
        <v>158.50110000000001</v>
      </c>
      <c r="C178" s="23">
        <f>'Annual Raw'!D80</f>
        <v>47.938899999999997</v>
      </c>
      <c r="D178" s="23">
        <f>'Annual Raw'!E80</f>
        <v>45.929299999999998</v>
      </c>
      <c r="E178" s="23">
        <f>'Annual Raw'!F80</f>
        <v>52.953400000000002</v>
      </c>
      <c r="F178" s="23">
        <f>'Annual Raw'!G80</f>
        <v>80.675799999999995</v>
      </c>
      <c r="G178" s="23">
        <f>'Annual Raw'!H80</f>
        <v>88.944199999999995</v>
      </c>
      <c r="H178" s="23">
        <f>'Annual Raw'!I80</f>
        <v>101.4893</v>
      </c>
      <c r="I178" s="23">
        <f>'Annual Raw'!J80</f>
        <v>95.004099999999994</v>
      </c>
      <c r="J178" s="23">
        <f>'Annual Raw'!K80</f>
        <v>125.0869</v>
      </c>
      <c r="K178" s="23">
        <f>'Annual Raw'!L80</f>
        <v>167.62129999999999</v>
      </c>
      <c r="L178" s="23">
        <f>'Annual Raw'!M80</f>
        <v>108.09829999999999</v>
      </c>
      <c r="M178" s="23">
        <f>'Annual Raw'!N80</f>
        <v>69.249399999999994</v>
      </c>
      <c r="N178" s="23">
        <f>'Annual Raw'!O80</f>
        <v>62.989100000000001</v>
      </c>
      <c r="O178" s="23">
        <f>'Annual Raw'!P80</f>
        <v>123.226</v>
      </c>
      <c r="P178" s="23">
        <f>'Annual Raw'!Q80</f>
        <v>107.69</v>
      </c>
      <c r="Q178" s="23">
        <f>'Annual Raw'!R80</f>
        <v>132.38999999999999</v>
      </c>
      <c r="R178" s="23">
        <f>'Annual Raw'!S80</f>
        <v>178.27</v>
      </c>
      <c r="S178" s="23">
        <f>'Annual Raw'!T80</f>
        <v>369.02</v>
      </c>
      <c r="T178" s="23">
        <f>'Annual Raw'!U80</f>
        <v>370.51</v>
      </c>
      <c r="U178" s="23">
        <f>'Annual Raw'!V80</f>
        <v>224.63</v>
      </c>
      <c r="V178" s="23">
        <f>'Annual Raw'!W80</f>
        <v>213.84</v>
      </c>
      <c r="W178" s="23">
        <f>'Annual Raw'!X80</f>
        <v>270.75</v>
      </c>
      <c r="X178" s="23">
        <f>'Annual Raw'!Y80</f>
        <v>317.86</v>
      </c>
      <c r="Y178" s="23">
        <f>'Annual Raw'!Z80</f>
        <v>306.17</v>
      </c>
      <c r="Z178" s="23">
        <f>'Annual Raw'!AA80</f>
        <v>377.14</v>
      </c>
      <c r="AA178" s="23">
        <f>'Annual Raw'!AB80</f>
        <v>437.65</v>
      </c>
      <c r="AB178" s="24">
        <f t="shared" si="1274"/>
        <v>0</v>
      </c>
      <c r="AC178" s="24">
        <f t="shared" si="1275"/>
        <v>0</v>
      </c>
      <c r="AD178" s="24">
        <f t="shared" si="1276"/>
        <v>0</v>
      </c>
      <c r="AE178" s="24">
        <f t="shared" si="1277"/>
        <v>0</v>
      </c>
      <c r="AJ178" s="23">
        <f>+'QTR Raw'!D85</f>
        <v>94.09</v>
      </c>
      <c r="AK178" s="23">
        <f t="shared" si="1278"/>
        <v>94.09</v>
      </c>
      <c r="AL178" s="23">
        <f>+'QTR Raw'!F85</f>
        <v>94.63</v>
      </c>
      <c r="AM178" s="23">
        <f t="shared" si="1278"/>
        <v>94.63</v>
      </c>
      <c r="AN178" s="23">
        <f>+'QTR Raw'!H85</f>
        <v>121.75</v>
      </c>
      <c r="AO178" s="23">
        <f t="shared" si="1278"/>
        <v>121.75</v>
      </c>
      <c r="AP178" s="23">
        <f>+'QTR Raw'!J85</f>
        <v>160.49</v>
      </c>
      <c r="AQ178" s="23">
        <f t="shared" si="1278"/>
        <v>160.49</v>
      </c>
      <c r="AR178" s="23">
        <f>+'QTR Raw'!L85</f>
        <v>102.37</v>
      </c>
      <c r="AS178" s="23">
        <f t="shared" si="1278"/>
        <v>102.37</v>
      </c>
      <c r="AT178" s="23">
        <f>+'QTR Raw'!N85</f>
        <v>136.74</v>
      </c>
      <c r="AU178" s="23">
        <f t="shared" si="1278"/>
        <v>136.74</v>
      </c>
      <c r="AV178" s="23">
        <f>+'QTR Raw'!P85</f>
        <v>150.9</v>
      </c>
      <c r="AW178" s="23">
        <f t="shared" si="1278"/>
        <v>150.9</v>
      </c>
      <c r="AX178" s="23">
        <f>+'QTR Raw'!R85</f>
        <v>11.52</v>
      </c>
      <c r="AY178" s="23">
        <f t="shared" si="1278"/>
        <v>11.52</v>
      </c>
      <c r="AZ178" s="23">
        <f>+'QTR Raw'!T85</f>
        <v>11.56</v>
      </c>
      <c r="BA178" s="23">
        <f t="shared" si="1278"/>
        <v>11.56</v>
      </c>
      <c r="BB178" s="23">
        <f>+'QTR Raw'!V85</f>
        <v>14.26</v>
      </c>
      <c r="BC178" s="23">
        <f t="shared" si="1278"/>
        <v>14.26</v>
      </c>
      <c r="BD178" s="23">
        <f>+'QTR Raw'!X85</f>
        <v>78.03</v>
      </c>
      <c r="BE178" s="23">
        <f t="shared" si="1278"/>
        <v>78.03</v>
      </c>
      <c r="BF178" s="23">
        <f>+'QTR Raw'!Z85</f>
        <v>14.45</v>
      </c>
      <c r="BG178" s="23">
        <f t="shared" si="1278"/>
        <v>14.45</v>
      </c>
      <c r="BH178" s="23">
        <f>+'QTR Raw'!AB85</f>
        <v>10.11</v>
      </c>
      <c r="BI178" s="23">
        <f t="shared" si="1278"/>
        <v>10.11</v>
      </c>
      <c r="BJ178" s="23">
        <f>+'QTR Raw'!AD85</f>
        <v>11.18</v>
      </c>
      <c r="BK178" s="23">
        <f t="shared" si="1278"/>
        <v>11.18</v>
      </c>
      <c r="BL178" s="23">
        <f>+'QTR Raw'!AF85</f>
        <v>30.22</v>
      </c>
      <c r="BM178" s="23">
        <f t="shared" si="1278"/>
        <v>30.22</v>
      </c>
      <c r="BN178" s="23">
        <f>+'QTR Raw'!AH85</f>
        <v>25.17</v>
      </c>
      <c r="BO178" s="23">
        <f t="shared" si="1278"/>
        <v>25.17</v>
      </c>
      <c r="BP178" s="23">
        <f>+'QTR Raw'!AJ85</f>
        <v>10.220000000000001</v>
      </c>
      <c r="BQ178" s="23">
        <f t="shared" si="1278"/>
        <v>10.220000000000001</v>
      </c>
      <c r="BR178" s="23">
        <f>+'QTR Raw'!AL85</f>
        <v>11.21</v>
      </c>
      <c r="BS178" s="23">
        <f t="shared" si="1278"/>
        <v>11.21</v>
      </c>
      <c r="BT178" s="23">
        <f>+'QTR Raw'!AN85</f>
        <v>7.95</v>
      </c>
      <c r="BU178" s="23">
        <f t="shared" si="1278"/>
        <v>7.95</v>
      </c>
      <c r="BV178" s="23">
        <f>+'QTR Raw'!AP85</f>
        <v>8.8000000000000007</v>
      </c>
      <c r="BW178" s="23">
        <f t="shared" si="1278"/>
        <v>8.8000000000000007</v>
      </c>
      <c r="BX178" s="23">
        <f>+'QTR Raw'!AR85</f>
        <v>9.02</v>
      </c>
      <c r="BY178" s="23">
        <f t="shared" si="1278"/>
        <v>9.02</v>
      </c>
      <c r="BZ178" s="23">
        <f>+'QTR Raw'!AT85</f>
        <v>11.02</v>
      </c>
      <c r="CA178" s="23">
        <f t="shared" si="1278"/>
        <v>11.02</v>
      </c>
      <c r="CB178" s="23">
        <f>+'QTR Raw'!AV85</f>
        <v>11.34</v>
      </c>
      <c r="CC178" s="23">
        <f t="shared" si="1278"/>
        <v>11.34</v>
      </c>
      <c r="CD178" s="23">
        <f>+'QTR Raw'!AX85</f>
        <v>13.09</v>
      </c>
      <c r="CE178" s="23">
        <f t="shared" si="1278"/>
        <v>13.09</v>
      </c>
      <c r="CF178" s="23">
        <f>+'QTR Raw'!AZ85</f>
        <v>14.12</v>
      </c>
      <c r="CG178" s="23">
        <f t="shared" si="1281"/>
        <v>14.12</v>
      </c>
      <c r="CH178" s="23">
        <f t="shared" si="1256"/>
        <v>377.14</v>
      </c>
      <c r="CJ178" s="23">
        <f>+'QTR Raw'!BD85</f>
        <v>16.78</v>
      </c>
      <c r="CL178" s="23">
        <f>+'QTR Raw'!BF85</f>
        <v>18.09</v>
      </c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E178" s="121"/>
      <c r="DF178" s="23">
        <v>0</v>
      </c>
    </row>
    <row r="179" spans="1:110" s="22" customFormat="1" x14ac:dyDescent="0.2">
      <c r="A179" s="22" t="s">
        <v>65</v>
      </c>
      <c r="B179" s="22">
        <f>SUM(B173:B178)</f>
        <v>336.99830000000003</v>
      </c>
      <c r="C179" s="22">
        <f t="shared" ref="C179:V179" si="1283">SUM(C173:C178)</f>
        <v>240.08859999999999</v>
      </c>
      <c r="D179" s="22">
        <f t="shared" si="1283"/>
        <v>256.48580000000004</v>
      </c>
      <c r="E179" s="22">
        <f t="shared" si="1283"/>
        <v>264.13960000000003</v>
      </c>
      <c r="F179" s="22">
        <f t="shared" si="1283"/>
        <v>386.46259999999995</v>
      </c>
      <c r="G179" s="22">
        <f t="shared" si="1283"/>
        <v>402.18389999999999</v>
      </c>
      <c r="H179" s="22">
        <f t="shared" si="1283"/>
        <v>519.68629999999996</v>
      </c>
      <c r="I179" s="22">
        <f t="shared" si="1283"/>
        <v>599.0163</v>
      </c>
      <c r="J179" s="22">
        <f t="shared" si="1283"/>
        <v>633.93380000000002</v>
      </c>
      <c r="K179" s="22">
        <f t="shared" si="1283"/>
        <v>850.04700000000003</v>
      </c>
      <c r="L179" s="22">
        <f>SUM(L173:L178)</f>
        <v>1193.2091</v>
      </c>
      <c r="M179" s="22">
        <f>SUM(M173:M178)</f>
        <v>1191.9960999999998</v>
      </c>
      <c r="N179" s="22">
        <f t="shared" si="1283"/>
        <v>1327.1200999999999</v>
      </c>
      <c r="O179" s="22">
        <f t="shared" si="1283"/>
        <v>1686.819</v>
      </c>
      <c r="P179" s="22">
        <f t="shared" si="1283"/>
        <v>1655.11</v>
      </c>
      <c r="Q179" s="22">
        <f t="shared" si="1283"/>
        <v>1639.8200000000002</v>
      </c>
      <c r="R179" s="22">
        <f t="shared" si="1283"/>
        <v>2012.84</v>
      </c>
      <c r="S179" s="22">
        <f t="shared" si="1283"/>
        <v>2464.0499999999997</v>
      </c>
      <c r="T179" s="22">
        <f t="shared" si="1283"/>
        <v>3225.42</v>
      </c>
      <c r="U179" s="22">
        <f t="shared" si="1283"/>
        <v>2773.4900000000002</v>
      </c>
      <c r="V179" s="22">
        <f t="shared" si="1283"/>
        <v>3613.37</v>
      </c>
      <c r="W179" s="22">
        <f t="shared" ref="W179" si="1284">SUM(W173:W178)</f>
        <v>4887.84</v>
      </c>
      <c r="X179" s="22">
        <f t="shared" ref="X179:Y179" si="1285">SUM(X173:X178)</f>
        <v>5169.8599999999997</v>
      </c>
      <c r="Y179" s="22">
        <f t="shared" si="1285"/>
        <v>5473.19</v>
      </c>
      <c r="Z179" s="22">
        <f t="shared" ref="Z179:AA179" si="1286">SUM(Z173:Z178)</f>
        <v>5809.54</v>
      </c>
      <c r="AA179" s="22">
        <f t="shared" si="1286"/>
        <v>6983.21</v>
      </c>
      <c r="AB179" s="21">
        <f t="shared" ref="AA179:AD179" si="1287">SUM(AB173:AB178)</f>
        <v>8561.3088516164098</v>
      </c>
      <c r="AC179" s="21">
        <f t="shared" si="1287"/>
        <v>10015.488299807184</v>
      </c>
      <c r="AD179" s="21">
        <f t="shared" si="1287"/>
        <v>11691.920064266884</v>
      </c>
      <c r="AE179" s="21">
        <f t="shared" ref="AE179" si="1288">SUM(AE173:AE178)</f>
        <v>13646.564966521491</v>
      </c>
      <c r="AJ179" s="22">
        <f t="shared" ref="AJ179" si="1289">SUM(AJ173:AJ178)</f>
        <v>1139.03</v>
      </c>
      <c r="AK179" s="22">
        <f t="shared" ref="AK179" si="1290">SUM(AK173:AK178)</f>
        <v>1214.0388132978328</v>
      </c>
      <c r="AL179" s="22">
        <f t="shared" ref="AL179:AM179" si="1291">SUM(AL173:AL178)</f>
        <v>1327.13</v>
      </c>
      <c r="AM179" s="22">
        <f t="shared" si="1291"/>
        <v>1314.5261126932714</v>
      </c>
      <c r="AN179" s="22">
        <f t="shared" ref="AN179:AO179" si="1292">SUM(AN173:AN178)</f>
        <v>1359.82</v>
      </c>
      <c r="AO179" s="22">
        <f t="shared" si="1292"/>
        <v>1383.5936908838828</v>
      </c>
      <c r="AP179" s="22">
        <f t="shared" ref="AP179:CE179" si="1293">SUM(AP173:AP178)</f>
        <v>1686.81</v>
      </c>
      <c r="AQ179" s="22">
        <f t="shared" si="1293"/>
        <v>2122.7754979814613</v>
      </c>
      <c r="AR179" s="22">
        <f t="shared" si="1293"/>
        <v>1505.87</v>
      </c>
      <c r="AS179" s="22">
        <f t="shared" si="1293"/>
        <v>1415.06871051813</v>
      </c>
      <c r="AT179" s="22">
        <f t="shared" si="1293"/>
        <v>1655.11</v>
      </c>
      <c r="AU179" s="22">
        <f t="shared" si="1293"/>
        <v>1833.0305274839095</v>
      </c>
      <c r="AV179" s="22">
        <f t="shared" si="1293"/>
        <v>1768.6100000000001</v>
      </c>
      <c r="AW179" s="22">
        <f t="shared" si="1293"/>
        <v>1591.4518841758543</v>
      </c>
      <c r="AX179" s="22">
        <f t="shared" si="1293"/>
        <v>1639.82</v>
      </c>
      <c r="AY179" s="22">
        <f t="shared" si="1293"/>
        <v>1675.7563843865664</v>
      </c>
      <c r="AZ179" s="22">
        <f t="shared" si="1293"/>
        <v>1898.4299999999998</v>
      </c>
      <c r="BA179" s="22">
        <f t="shared" si="1293"/>
        <v>1793.581643230345</v>
      </c>
      <c r="BB179" s="22">
        <f t="shared" si="1293"/>
        <v>2012.84</v>
      </c>
      <c r="BC179" s="22">
        <f t="shared" si="1293"/>
        <v>1882.8465694275787</v>
      </c>
      <c r="BD179" s="22">
        <f t="shared" si="1293"/>
        <v>2478.4800000000005</v>
      </c>
      <c r="BE179" s="22">
        <f t="shared" si="1293"/>
        <v>2628.7729916124472</v>
      </c>
      <c r="BF179" s="22">
        <f t="shared" si="1293"/>
        <v>2464.0499999999997</v>
      </c>
      <c r="BG179" s="22">
        <f t="shared" si="1293"/>
        <v>2514.4670939110692</v>
      </c>
      <c r="BH179" s="22">
        <f t="shared" si="1293"/>
        <v>3364.17</v>
      </c>
      <c r="BI179" s="22">
        <f t="shared" si="1293"/>
        <v>3439.6700295734918</v>
      </c>
      <c r="BJ179" s="22">
        <f t="shared" si="1293"/>
        <v>3225.4199999999996</v>
      </c>
      <c r="BK179" s="22">
        <f t="shared" si="1293"/>
        <v>3023.3589752035391</v>
      </c>
      <c r="BL179" s="22">
        <f t="shared" si="1293"/>
        <v>3270.7000000000003</v>
      </c>
      <c r="BM179" s="22">
        <f t="shared" si="1293"/>
        <v>3410.0872453677061</v>
      </c>
      <c r="BN179" s="22">
        <f t="shared" si="1293"/>
        <v>3001.07</v>
      </c>
      <c r="BO179" s="22">
        <f t="shared" si="1293"/>
        <v>2638.690572926479</v>
      </c>
      <c r="BP179" s="22">
        <f t="shared" si="1293"/>
        <v>3158.05</v>
      </c>
      <c r="BQ179" s="22">
        <f t="shared" si="1293"/>
        <v>3207.2250581436865</v>
      </c>
      <c r="BR179" s="22">
        <f t="shared" si="1293"/>
        <v>3830.1299999999997</v>
      </c>
      <c r="BS179" s="22">
        <f t="shared" si="1293"/>
        <v>3926.5500966387358</v>
      </c>
      <c r="BT179" s="22">
        <f t="shared" si="1293"/>
        <v>4444.6400000000003</v>
      </c>
      <c r="BU179" s="22">
        <f t="shared" si="1293"/>
        <v>5035.2159867134906</v>
      </c>
      <c r="BV179" s="22">
        <f t="shared" si="1293"/>
        <v>5143.1900000000005</v>
      </c>
      <c r="BW179" s="22">
        <f t="shared" si="1293"/>
        <v>5498.0605691634128</v>
      </c>
      <c r="BX179" s="22">
        <f t="shared" si="1293"/>
        <v>5619.5500000000011</v>
      </c>
      <c r="BY179" s="22">
        <f t="shared" si="1293"/>
        <v>5308.9396641969215</v>
      </c>
      <c r="BZ179" s="22">
        <f t="shared" si="1293"/>
        <v>5457.0700000000006</v>
      </c>
      <c r="CA179" s="22">
        <f t="shared" si="1293"/>
        <v>4959.0605056787945</v>
      </c>
      <c r="CB179" s="22">
        <f t="shared" si="1293"/>
        <v>5410.75</v>
      </c>
      <c r="CC179" s="22">
        <f t="shared" si="1293"/>
        <v>5229.7257433844461</v>
      </c>
      <c r="CD179" s="22">
        <f t="shared" si="1293"/>
        <v>5749.83</v>
      </c>
      <c r="CE179" s="22">
        <f t="shared" si="1293"/>
        <v>5602.8935370082972</v>
      </c>
      <c r="CF179" s="22">
        <f t="shared" ref="CF179:CG179" si="1294">SUM(CF173:CF178)</f>
        <v>6268.33</v>
      </c>
      <c r="CG179" s="22">
        <f t="shared" si="1294"/>
        <v>6313.2421402038381</v>
      </c>
      <c r="CH179" s="22">
        <f t="shared" ref="CH179:CI179" si="1295">SUM(CH173:CH178)</f>
        <v>5809.54</v>
      </c>
      <c r="CI179" s="22">
        <f t="shared" si="1295"/>
        <v>5143.2128315412183</v>
      </c>
      <c r="CJ179" s="22">
        <f t="shared" ref="CJ179:DB179" si="1296">SUM(CJ173:CJ178)</f>
        <v>6536.26</v>
      </c>
      <c r="CK179" s="22">
        <f t="shared" si="1296"/>
        <v>6593.9700086533949</v>
      </c>
      <c r="CL179" s="22">
        <f t="shared" ref="CL179" si="1297">SUM(CL173:CL178)</f>
        <v>7225.2800000000007</v>
      </c>
      <c r="CM179" s="21">
        <f t="shared" si="1296"/>
        <v>6739.3811535755276</v>
      </c>
      <c r="CN179" s="21">
        <f t="shared" si="1296"/>
        <v>6419.9278528664963</v>
      </c>
      <c r="CO179" s="21">
        <f t="shared" si="1296"/>
        <v>6725.5500044818291</v>
      </c>
      <c r="CP179" s="21">
        <f t="shared" si="1296"/>
        <v>8561.3088516164098</v>
      </c>
      <c r="CQ179" s="21">
        <f t="shared" si="1296"/>
        <v>7793.0549201001295</v>
      </c>
      <c r="CR179" s="21">
        <f t="shared" si="1296"/>
        <v>7468.3813149668022</v>
      </c>
      <c r="CS179" s="21">
        <f t="shared" si="1296"/>
        <v>7867.8719805029241</v>
      </c>
      <c r="CT179" s="21">
        <f t="shared" si="1296"/>
        <v>10015.488299807184</v>
      </c>
      <c r="CU179" s="21">
        <f t="shared" si="1296"/>
        <v>9077.6641117311647</v>
      </c>
      <c r="CV179" s="21">
        <f t="shared" si="1296"/>
        <v>8715.331237691058</v>
      </c>
      <c r="CW179" s="21">
        <f t="shared" si="1296"/>
        <v>9188.7048707324539</v>
      </c>
      <c r="CX179" s="21">
        <f t="shared" si="1296"/>
        <v>11691.920064266884</v>
      </c>
      <c r="CY179" s="21">
        <f t="shared" si="1296"/>
        <v>10591.511730183101</v>
      </c>
      <c r="CZ179" s="21">
        <f t="shared" si="1296"/>
        <v>10172.950296927851</v>
      </c>
      <c r="DA179" s="21">
        <f t="shared" si="1296"/>
        <v>10726.146551257903</v>
      </c>
      <c r="DB179" s="21">
        <f t="shared" si="1296"/>
        <v>13646.564966521491</v>
      </c>
      <c r="DE179" s="123"/>
      <c r="DF179" s="22">
        <v>0</v>
      </c>
    </row>
    <row r="180" spans="1:110" s="23" customFormat="1" outlineLevel="1" x14ac:dyDescent="0.2">
      <c r="A180" s="23" t="s">
        <v>66</v>
      </c>
      <c r="B180" s="23">
        <f>'Annual Raw'!C50+'Annual Raw'!C58</f>
        <v>0</v>
      </c>
      <c r="C180" s="23">
        <f>'Annual Raw'!D50+'Annual Raw'!D58</f>
        <v>0</v>
      </c>
      <c r="D180" s="23">
        <f>'Annual Raw'!E50+'Annual Raw'!E58</f>
        <v>0</v>
      </c>
      <c r="E180" s="23">
        <f>'Annual Raw'!F50+'Annual Raw'!F58</f>
        <v>0</v>
      </c>
      <c r="F180" s="23">
        <f>'Annual Raw'!G50+'Annual Raw'!G58</f>
        <v>0</v>
      </c>
      <c r="G180" s="23">
        <f>'Annual Raw'!H50+'Annual Raw'!H58</f>
        <v>0</v>
      </c>
      <c r="H180" s="23">
        <f>'Annual Raw'!I50+'Annual Raw'!I58</f>
        <v>0</v>
      </c>
      <c r="I180" s="23">
        <f>'Annual Raw'!J50+'Annual Raw'!J58</f>
        <v>0</v>
      </c>
      <c r="J180" s="23">
        <f>'Annual Raw'!K50+'Annual Raw'!K58</f>
        <v>0</v>
      </c>
      <c r="K180" s="23">
        <f>'Annual Raw'!L50+'Annual Raw'!L58</f>
        <v>0</v>
      </c>
      <c r="L180" s="23">
        <f>'Annual Raw'!M50+'Annual Raw'!M58</f>
        <v>0</v>
      </c>
      <c r="M180" s="23">
        <f>'Annual Raw'!N50+'Annual Raw'!N58</f>
        <v>0</v>
      </c>
      <c r="N180" s="23">
        <f>'Annual Raw'!O50+'Annual Raw'!O58</f>
        <v>0</v>
      </c>
      <c r="O180" s="23">
        <f>'Annual Raw'!P50+'Annual Raw'!P58</f>
        <v>0</v>
      </c>
      <c r="P180" s="23">
        <f>'Annual Raw'!Q50+'Annual Raw'!Q58</f>
        <v>49.98</v>
      </c>
      <c r="Q180" s="23">
        <f>'Annual Raw'!R50+'Annual Raw'!R58</f>
        <v>21.84</v>
      </c>
      <c r="R180" s="23">
        <f>'Annual Raw'!S50+'Annual Raw'!S58</f>
        <v>29.92</v>
      </c>
      <c r="S180" s="23">
        <f>'Annual Raw'!T50+'Annual Raw'!T58</f>
        <v>34.26</v>
      </c>
      <c r="T180" s="23">
        <f>'Annual Raw'!U50+'Annual Raw'!U58</f>
        <v>18.53</v>
      </c>
      <c r="U180" s="23">
        <f>'Annual Raw'!V50+'Annual Raw'!V58</f>
        <v>110.85</v>
      </c>
      <c r="V180" s="23">
        <f>'Annual Raw'!W50+'Annual Raw'!W58</f>
        <v>107.14</v>
      </c>
      <c r="W180" s="23">
        <f>'Annual Raw'!X50+'Annual Raw'!X58</f>
        <v>288.60000000000002</v>
      </c>
      <c r="X180" s="23">
        <f>'Annual Raw'!Y50+'Annual Raw'!Y58</f>
        <v>329.33</v>
      </c>
      <c r="Y180" s="23">
        <f>'Annual Raw'!Z50+'Annual Raw'!Z58</f>
        <v>260.89999999999998</v>
      </c>
      <c r="Z180" s="23">
        <f>'Annual Raw'!AA50+'Annual Raw'!AA58</f>
        <v>381.77</v>
      </c>
      <c r="AA180" s="23">
        <f>'Annual Raw'!AB50+'Annual Raw'!AB58</f>
        <v>496.97</v>
      </c>
      <c r="AB180" s="24">
        <f t="shared" ref="AB180:AB186" si="1298">+CP180</f>
        <v>0</v>
      </c>
      <c r="AC180" s="24">
        <f t="shared" ref="AC180:AC186" si="1299">+CT180</f>
        <v>0</v>
      </c>
      <c r="AD180" s="24">
        <f t="shared" ref="AD180:AD186" si="1300">+CX180</f>
        <v>0</v>
      </c>
      <c r="AE180" s="24">
        <f t="shared" ref="AE180:AE186" si="1301">+DB180</f>
        <v>0</v>
      </c>
      <c r="AJ180" s="23">
        <f>+'QTR Raw'!D64</f>
        <v>523.86</v>
      </c>
      <c r="AK180" s="23">
        <f t="shared" ref="AK180:CE186" si="1302">+AJ180</f>
        <v>523.86</v>
      </c>
      <c r="AL180" s="23">
        <f>+'QTR Raw'!F64</f>
        <v>0</v>
      </c>
      <c r="AM180" s="23">
        <f t="shared" si="1302"/>
        <v>0</v>
      </c>
      <c r="AN180" s="23">
        <f>+'QTR Raw'!H64</f>
        <v>0</v>
      </c>
      <c r="AO180" s="23">
        <f t="shared" si="1302"/>
        <v>0</v>
      </c>
      <c r="AP180" s="23">
        <f>+'QTR Raw'!J64</f>
        <v>0</v>
      </c>
      <c r="AQ180" s="23">
        <f t="shared" si="1302"/>
        <v>0</v>
      </c>
      <c r="AR180" s="23">
        <f>+'QTR Raw'!L64</f>
        <v>0</v>
      </c>
      <c r="AS180" s="23">
        <f t="shared" si="1302"/>
        <v>0</v>
      </c>
      <c r="AT180" s="23">
        <f>+'QTR Raw'!N64</f>
        <v>49.98</v>
      </c>
      <c r="AU180" s="23">
        <f t="shared" si="1302"/>
        <v>49.98</v>
      </c>
      <c r="AV180" s="23">
        <f>+'QTR Raw'!P64</f>
        <v>52.47</v>
      </c>
      <c r="AW180" s="23">
        <f t="shared" si="1302"/>
        <v>52.47</v>
      </c>
      <c r="AX180" s="23">
        <f>+'QTR Raw'!R64</f>
        <v>21.84</v>
      </c>
      <c r="AY180" s="23">
        <f t="shared" si="1302"/>
        <v>21.84</v>
      </c>
      <c r="AZ180" s="23">
        <f>+'QTR Raw'!T64</f>
        <v>18.760000000000002</v>
      </c>
      <c r="BA180" s="23">
        <f t="shared" si="1302"/>
        <v>18.760000000000002</v>
      </c>
      <c r="BB180" s="23">
        <f>+'QTR Raw'!V64</f>
        <v>29.92</v>
      </c>
      <c r="BC180" s="23">
        <f t="shared" si="1302"/>
        <v>29.92</v>
      </c>
      <c r="BD180" s="23">
        <f>+'QTR Raw'!X64</f>
        <v>27.98</v>
      </c>
      <c r="BE180" s="23">
        <f t="shared" si="1302"/>
        <v>27.98</v>
      </c>
      <c r="BF180" s="23">
        <f>+'QTR Raw'!Z64</f>
        <v>34.26</v>
      </c>
      <c r="BG180" s="23">
        <f t="shared" si="1302"/>
        <v>34.26</v>
      </c>
      <c r="BH180" s="23">
        <f>+'QTR Raw'!AB64</f>
        <v>27.57</v>
      </c>
      <c r="BI180" s="23">
        <f t="shared" si="1302"/>
        <v>27.57</v>
      </c>
      <c r="BJ180" s="23">
        <f>+'QTR Raw'!AD64</f>
        <v>18.53</v>
      </c>
      <c r="BK180" s="23">
        <f t="shared" si="1302"/>
        <v>18.53</v>
      </c>
      <c r="BL180" s="23">
        <f>+'QTR Raw'!AF64</f>
        <v>67.900000000000006</v>
      </c>
      <c r="BM180" s="23">
        <f t="shared" si="1302"/>
        <v>67.900000000000006</v>
      </c>
      <c r="BN180" s="23">
        <f>+'QTR Raw'!AH64</f>
        <v>110.85</v>
      </c>
      <c r="BO180" s="23">
        <f t="shared" si="1302"/>
        <v>110.85</v>
      </c>
      <c r="BP180" s="23">
        <f>+'QTR Raw'!AJ64</f>
        <v>109.39</v>
      </c>
      <c r="BQ180" s="23">
        <f t="shared" si="1302"/>
        <v>109.39</v>
      </c>
      <c r="BR180" s="23">
        <f>+'QTR Raw'!AL64</f>
        <v>107.14</v>
      </c>
      <c r="BS180" s="23">
        <f t="shared" si="1302"/>
        <v>107.14</v>
      </c>
      <c r="BT180" s="23">
        <f>+'QTR Raw'!AN64</f>
        <v>137.68</v>
      </c>
      <c r="BU180" s="23">
        <f t="shared" si="1302"/>
        <v>137.68</v>
      </c>
      <c r="BV180" s="23">
        <f>+'QTR Raw'!AP64</f>
        <v>288.60000000000002</v>
      </c>
      <c r="BW180" s="23">
        <f t="shared" si="1302"/>
        <v>288.60000000000002</v>
      </c>
      <c r="BX180" s="23">
        <f>+'QTR Raw'!AR64</f>
        <v>366.64</v>
      </c>
      <c r="BY180" s="23">
        <f t="shared" si="1302"/>
        <v>366.64</v>
      </c>
      <c r="BZ180" s="23">
        <f>+'QTR Raw'!AT64</f>
        <v>329.33</v>
      </c>
      <c r="CA180" s="23">
        <f t="shared" si="1302"/>
        <v>329.33</v>
      </c>
      <c r="CB180" s="23">
        <f>+'QTR Raw'!AV64</f>
        <v>288.32</v>
      </c>
      <c r="CC180" s="23">
        <f t="shared" si="1302"/>
        <v>288.32</v>
      </c>
      <c r="CD180" s="23">
        <f>+'QTR Raw'!AX64</f>
        <v>260.89999999999998</v>
      </c>
      <c r="CE180" s="23">
        <f t="shared" si="1302"/>
        <v>260.89999999999998</v>
      </c>
      <c r="CF180" s="23">
        <f>+'QTR Raw'!AZ64</f>
        <v>257</v>
      </c>
      <c r="CG180" s="23">
        <f t="shared" ref="CG180:CG183" si="1303">+CF180</f>
        <v>257</v>
      </c>
      <c r="CH180" s="23">
        <f t="shared" si="1256"/>
        <v>381.77</v>
      </c>
      <c r="CJ180" s="23">
        <f>+'QTR Raw'!BD64</f>
        <v>416.88</v>
      </c>
      <c r="CL180" s="23">
        <f>+'QTR Raw'!BF64</f>
        <v>496.97</v>
      </c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E180" s="121"/>
      <c r="DF180" s="23">
        <v>0</v>
      </c>
    </row>
    <row r="181" spans="1:110" s="23" customFormat="1" outlineLevel="1" x14ac:dyDescent="0.2">
      <c r="A181" s="23" t="s">
        <v>67</v>
      </c>
      <c r="B181" s="23">
        <f>'Annual Raw'!C51</f>
        <v>0</v>
      </c>
      <c r="C181" s="23">
        <f>'Annual Raw'!D51</f>
        <v>0</v>
      </c>
      <c r="D181" s="23">
        <f>'Annual Raw'!E51</f>
        <v>0</v>
      </c>
      <c r="E181" s="23">
        <f>'Annual Raw'!F51</f>
        <v>0</v>
      </c>
      <c r="F181" s="23">
        <f>'Annual Raw'!G51</f>
        <v>0</v>
      </c>
      <c r="G181" s="23">
        <f>'Annual Raw'!H51</f>
        <v>0</v>
      </c>
      <c r="H181" s="23">
        <f>'Annual Raw'!I51</f>
        <v>0</v>
      </c>
      <c r="I181" s="23">
        <f>'Annual Raw'!J51</f>
        <v>0</v>
      </c>
      <c r="J181" s="23">
        <f>'Annual Raw'!K51</f>
        <v>0</v>
      </c>
      <c r="K181" s="23">
        <f>'Annual Raw'!L51</f>
        <v>0</v>
      </c>
      <c r="L181" s="23">
        <f>'Annual Raw'!M51</f>
        <v>0</v>
      </c>
      <c r="M181" s="23">
        <f>'Annual Raw'!N51</f>
        <v>0</v>
      </c>
      <c r="N181" s="23">
        <f>'Annual Raw'!O51</f>
        <v>0</v>
      </c>
      <c r="O181" s="23">
        <f>'Annual Raw'!P51</f>
        <v>0</v>
      </c>
      <c r="P181" s="23">
        <f>'Annual Raw'!Q51</f>
        <v>0</v>
      </c>
      <c r="Q181" s="23">
        <f>'Annual Raw'!R51</f>
        <v>0</v>
      </c>
      <c r="R181" s="23">
        <f>'Annual Raw'!S51</f>
        <v>0</v>
      </c>
      <c r="S181" s="23">
        <f>'Annual Raw'!T51</f>
        <v>0</v>
      </c>
      <c r="T181" s="23">
        <f>'Annual Raw'!U51</f>
        <v>0</v>
      </c>
      <c r="U181" s="23">
        <f>'Annual Raw'!V51</f>
        <v>0</v>
      </c>
      <c r="V181" s="23">
        <f>'Annual Raw'!W51</f>
        <v>0</v>
      </c>
      <c r="W181" s="23">
        <f>'Annual Raw'!X51</f>
        <v>0</v>
      </c>
      <c r="X181" s="23">
        <f>'Annual Raw'!Y51</f>
        <v>0</v>
      </c>
      <c r="Y181" s="23">
        <f>'Annual Raw'!Z51</f>
        <v>0</v>
      </c>
      <c r="Z181" s="23">
        <f>'Annual Raw'!AA51</f>
        <v>0</v>
      </c>
      <c r="AA181" s="23">
        <f>'Annual Raw'!AB51</f>
        <v>0</v>
      </c>
      <c r="AB181" s="24">
        <f t="shared" si="1298"/>
        <v>0</v>
      </c>
      <c r="AC181" s="24">
        <f t="shared" si="1299"/>
        <v>0</v>
      </c>
      <c r="AD181" s="24">
        <f t="shared" si="1300"/>
        <v>0</v>
      </c>
      <c r="AE181" s="24">
        <f t="shared" si="1301"/>
        <v>0</v>
      </c>
      <c r="AJ181" s="23">
        <f>+'QTR Raw'!D65</f>
        <v>0</v>
      </c>
      <c r="AK181" s="23">
        <f t="shared" si="1302"/>
        <v>0</v>
      </c>
      <c r="AL181" s="23">
        <f>+'QTR Raw'!F65</f>
        <v>0</v>
      </c>
      <c r="AM181" s="23">
        <f t="shared" si="1302"/>
        <v>0</v>
      </c>
      <c r="AN181" s="23">
        <f>+'QTR Raw'!H65</f>
        <v>0</v>
      </c>
      <c r="AO181" s="23">
        <f t="shared" si="1302"/>
        <v>0</v>
      </c>
      <c r="AP181" s="23">
        <f>+'QTR Raw'!J65</f>
        <v>0</v>
      </c>
      <c r="AQ181" s="23">
        <f t="shared" si="1302"/>
        <v>0</v>
      </c>
      <c r="AR181" s="23">
        <f>+'QTR Raw'!L65</f>
        <v>0</v>
      </c>
      <c r="AS181" s="23">
        <f t="shared" si="1302"/>
        <v>0</v>
      </c>
      <c r="AT181" s="23">
        <f>+'QTR Raw'!N65</f>
        <v>0</v>
      </c>
      <c r="AU181" s="23">
        <f t="shared" si="1302"/>
        <v>0</v>
      </c>
      <c r="AV181" s="23">
        <f>+'QTR Raw'!P65</f>
        <v>0</v>
      </c>
      <c r="AW181" s="23">
        <f t="shared" si="1302"/>
        <v>0</v>
      </c>
      <c r="AX181" s="23">
        <f>+'QTR Raw'!R65</f>
        <v>0</v>
      </c>
      <c r="AY181" s="23">
        <f t="shared" si="1302"/>
        <v>0</v>
      </c>
      <c r="AZ181" s="23">
        <f>+'QTR Raw'!T65</f>
        <v>0</v>
      </c>
      <c r="BA181" s="23">
        <f t="shared" si="1302"/>
        <v>0</v>
      </c>
      <c r="BB181" s="23">
        <f>+'QTR Raw'!V65</f>
        <v>0</v>
      </c>
      <c r="BC181" s="23">
        <f t="shared" si="1302"/>
        <v>0</v>
      </c>
      <c r="BD181" s="23">
        <f>+'QTR Raw'!X65</f>
        <v>0</v>
      </c>
      <c r="BE181" s="23">
        <f t="shared" si="1302"/>
        <v>0</v>
      </c>
      <c r="BF181" s="23">
        <f>+'QTR Raw'!Z65</f>
        <v>0</v>
      </c>
      <c r="BG181" s="23">
        <f t="shared" si="1302"/>
        <v>0</v>
      </c>
      <c r="BH181" s="23">
        <f>+'QTR Raw'!AB65</f>
        <v>0</v>
      </c>
      <c r="BI181" s="23">
        <f t="shared" si="1302"/>
        <v>0</v>
      </c>
      <c r="BJ181" s="23">
        <f>+'QTR Raw'!AD65</f>
        <v>0</v>
      </c>
      <c r="BK181" s="23">
        <f t="shared" si="1302"/>
        <v>0</v>
      </c>
      <c r="BL181" s="23">
        <f>+'QTR Raw'!AF65</f>
        <v>0</v>
      </c>
      <c r="BM181" s="23">
        <f t="shared" si="1302"/>
        <v>0</v>
      </c>
      <c r="BN181" s="23">
        <f>+'QTR Raw'!AH65</f>
        <v>0</v>
      </c>
      <c r="BO181" s="23">
        <f t="shared" si="1302"/>
        <v>0</v>
      </c>
      <c r="BP181" s="23">
        <f>+'QTR Raw'!AJ65</f>
        <v>0</v>
      </c>
      <c r="BQ181" s="23">
        <f t="shared" si="1302"/>
        <v>0</v>
      </c>
      <c r="BR181" s="23">
        <f>+'QTR Raw'!AL65</f>
        <v>0</v>
      </c>
      <c r="BS181" s="23">
        <f t="shared" si="1302"/>
        <v>0</v>
      </c>
      <c r="BT181" s="23">
        <f>+'QTR Raw'!AN65</f>
        <v>0</v>
      </c>
      <c r="BU181" s="23">
        <f t="shared" si="1302"/>
        <v>0</v>
      </c>
      <c r="BV181" s="23">
        <f>+'QTR Raw'!AP65</f>
        <v>0</v>
      </c>
      <c r="BW181" s="23">
        <f t="shared" si="1302"/>
        <v>0</v>
      </c>
      <c r="BX181" s="23">
        <f>+'QTR Raw'!AR65</f>
        <v>0</v>
      </c>
      <c r="BY181" s="23">
        <f t="shared" si="1302"/>
        <v>0</v>
      </c>
      <c r="BZ181" s="23">
        <f>+'QTR Raw'!AT65</f>
        <v>0</v>
      </c>
      <c r="CA181" s="23">
        <f t="shared" si="1302"/>
        <v>0</v>
      </c>
      <c r="CB181" s="23">
        <f>+'QTR Raw'!AV65</f>
        <v>0</v>
      </c>
      <c r="CC181" s="23">
        <f t="shared" si="1302"/>
        <v>0</v>
      </c>
      <c r="CD181" s="23">
        <f>+'QTR Raw'!AX65</f>
        <v>0</v>
      </c>
      <c r="CE181" s="23">
        <f t="shared" si="1302"/>
        <v>0</v>
      </c>
      <c r="CF181" s="23">
        <f>+'QTR Raw'!AZ65</f>
        <v>0</v>
      </c>
      <c r="CG181" s="23">
        <f t="shared" si="1303"/>
        <v>0</v>
      </c>
      <c r="CH181" s="23">
        <f t="shared" si="1256"/>
        <v>0</v>
      </c>
      <c r="CJ181" s="23">
        <f>+'QTR Raw'!BD65</f>
        <v>0</v>
      </c>
      <c r="CL181" s="23">
        <f>+'QTR Raw'!BF65</f>
        <v>0</v>
      </c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E181" s="121"/>
      <c r="DF181" s="23">
        <v>0</v>
      </c>
    </row>
    <row r="182" spans="1:110" s="23" customFormat="1" outlineLevel="1" x14ac:dyDescent="0.2">
      <c r="A182" s="23" t="s">
        <v>68</v>
      </c>
      <c r="B182" s="23">
        <f>'Annual Raw'!C52</f>
        <v>0</v>
      </c>
      <c r="C182" s="23">
        <f>'Annual Raw'!D52</f>
        <v>0</v>
      </c>
      <c r="D182" s="23">
        <f>'Annual Raw'!E52</f>
        <v>0</v>
      </c>
      <c r="E182" s="23">
        <f>'Annual Raw'!F52</f>
        <v>0</v>
      </c>
      <c r="F182" s="23">
        <f>'Annual Raw'!G52</f>
        <v>0</v>
      </c>
      <c r="G182" s="23">
        <f>'Annual Raw'!H52</f>
        <v>0</v>
      </c>
      <c r="H182" s="23">
        <f>'Annual Raw'!I52</f>
        <v>0</v>
      </c>
      <c r="I182" s="23">
        <f>'Annual Raw'!J52</f>
        <v>0</v>
      </c>
      <c r="J182" s="23">
        <f>'Annual Raw'!K52</f>
        <v>0</v>
      </c>
      <c r="K182" s="23">
        <f>'Annual Raw'!L52</f>
        <v>0</v>
      </c>
      <c r="L182" s="23">
        <f>'Annual Raw'!M52</f>
        <v>10.5693</v>
      </c>
      <c r="M182" s="23">
        <f>'Annual Raw'!N52</f>
        <v>10.555899999999999</v>
      </c>
      <c r="N182" s="23">
        <f>'Annual Raw'!O52</f>
        <v>17.027699999999999</v>
      </c>
      <c r="O182" s="23">
        <f>'Annual Raw'!P52</f>
        <v>17.177299999999999</v>
      </c>
      <c r="P182" s="23">
        <f>'Annual Raw'!Q52</f>
        <v>16.71</v>
      </c>
      <c r="Q182" s="23">
        <f>'Annual Raw'!R52</f>
        <v>25.13</v>
      </c>
      <c r="R182" s="23">
        <f>'Annual Raw'!S52</f>
        <v>29.7</v>
      </c>
      <c r="S182" s="23">
        <f>'Annual Raw'!T52</f>
        <v>33.369999999999997</v>
      </c>
      <c r="T182" s="23">
        <f>'Annual Raw'!U52</f>
        <v>38.1</v>
      </c>
      <c r="U182" s="23">
        <f>'Annual Raw'!V52</f>
        <v>37.53</v>
      </c>
      <c r="V182" s="23">
        <f>'Annual Raw'!W52</f>
        <v>43.55</v>
      </c>
      <c r="W182" s="23">
        <f>'Annual Raw'!X52</f>
        <v>51.58</v>
      </c>
      <c r="X182" s="23">
        <f>'Annual Raw'!Y52</f>
        <v>60.8</v>
      </c>
      <c r="Y182" s="23">
        <f>'Annual Raw'!Z52</f>
        <v>71.39</v>
      </c>
      <c r="Z182" s="23">
        <f>'Annual Raw'!AA52</f>
        <v>82.6</v>
      </c>
      <c r="AA182" s="23">
        <f>'Annual Raw'!AB52</f>
        <v>95.98</v>
      </c>
      <c r="AB182" s="24">
        <f t="shared" si="1298"/>
        <v>0</v>
      </c>
      <c r="AC182" s="24">
        <f t="shared" si="1299"/>
        <v>0</v>
      </c>
      <c r="AD182" s="24">
        <f t="shared" si="1300"/>
        <v>0</v>
      </c>
      <c r="AE182" s="24">
        <f t="shared" si="1301"/>
        <v>0</v>
      </c>
      <c r="AJ182" s="23">
        <f>+'QTR Raw'!D66</f>
        <v>15.27</v>
      </c>
      <c r="AK182" s="23">
        <f t="shared" si="1302"/>
        <v>15.27</v>
      </c>
      <c r="AL182" s="23">
        <f>+'QTR Raw'!F66</f>
        <v>17.02</v>
      </c>
      <c r="AM182" s="23">
        <f t="shared" si="1302"/>
        <v>17.02</v>
      </c>
      <c r="AN182" s="23">
        <f>+'QTR Raw'!H66</f>
        <v>13.72</v>
      </c>
      <c r="AO182" s="23">
        <f t="shared" si="1302"/>
        <v>13.72</v>
      </c>
      <c r="AP182" s="23">
        <f>+'QTR Raw'!J66</f>
        <v>17.18</v>
      </c>
      <c r="AQ182" s="23">
        <f t="shared" si="1302"/>
        <v>17.18</v>
      </c>
      <c r="AR182" s="23">
        <f>+'QTR Raw'!L66</f>
        <v>18.71</v>
      </c>
      <c r="AS182" s="23">
        <f t="shared" si="1302"/>
        <v>18.71</v>
      </c>
      <c r="AT182" s="23">
        <f>+'QTR Raw'!N66</f>
        <v>16.71</v>
      </c>
      <c r="AU182" s="23">
        <f t="shared" si="1302"/>
        <v>16.71</v>
      </c>
      <c r="AV182" s="23">
        <f>+'QTR Raw'!P66</f>
        <v>17.13</v>
      </c>
      <c r="AW182" s="23">
        <f t="shared" si="1302"/>
        <v>17.13</v>
      </c>
      <c r="AX182" s="23">
        <f>+'QTR Raw'!R66</f>
        <v>25.13</v>
      </c>
      <c r="AY182" s="23">
        <f t="shared" si="1302"/>
        <v>25.13</v>
      </c>
      <c r="AZ182" s="23">
        <f>+'QTR Raw'!T66</f>
        <v>25.32</v>
      </c>
      <c r="BA182" s="23">
        <f t="shared" si="1302"/>
        <v>25.32</v>
      </c>
      <c r="BB182" s="23">
        <f>+'QTR Raw'!V66</f>
        <v>29.7</v>
      </c>
      <c r="BC182" s="23">
        <f t="shared" si="1302"/>
        <v>29.7</v>
      </c>
      <c r="BD182" s="23">
        <f>+'QTR Raw'!X66</f>
        <v>33.229999999999997</v>
      </c>
      <c r="BE182" s="23">
        <f t="shared" si="1302"/>
        <v>33.229999999999997</v>
      </c>
      <c r="BF182" s="23">
        <f>+'QTR Raw'!Z66</f>
        <v>33.369999999999997</v>
      </c>
      <c r="BG182" s="23">
        <f t="shared" si="1302"/>
        <v>33.369999999999997</v>
      </c>
      <c r="BH182" s="23">
        <f>+'QTR Raw'!AB66</f>
        <v>35.33</v>
      </c>
      <c r="BI182" s="23">
        <f t="shared" si="1302"/>
        <v>35.33</v>
      </c>
      <c r="BJ182" s="23">
        <f>+'QTR Raw'!AD66</f>
        <v>38.1</v>
      </c>
      <c r="BK182" s="23">
        <f t="shared" si="1302"/>
        <v>38.1</v>
      </c>
      <c r="BL182" s="23">
        <f>+'QTR Raw'!AF66</f>
        <v>32.659999999999997</v>
      </c>
      <c r="BM182" s="23">
        <f t="shared" si="1302"/>
        <v>32.659999999999997</v>
      </c>
      <c r="BN182" s="23">
        <f>+'QTR Raw'!AH66</f>
        <v>37.53</v>
      </c>
      <c r="BO182" s="23">
        <f t="shared" si="1302"/>
        <v>37.53</v>
      </c>
      <c r="BP182" s="23">
        <f>+'QTR Raw'!AJ66</f>
        <v>42.72</v>
      </c>
      <c r="BQ182" s="23">
        <f t="shared" si="1302"/>
        <v>42.72</v>
      </c>
      <c r="BR182" s="23">
        <f>+'QTR Raw'!AL66</f>
        <v>43.55</v>
      </c>
      <c r="BS182" s="23">
        <f t="shared" si="1302"/>
        <v>43.55</v>
      </c>
      <c r="BT182" s="23">
        <f>+'QTR Raw'!AN66</f>
        <v>46.92</v>
      </c>
      <c r="BU182" s="23">
        <f t="shared" si="1302"/>
        <v>46.92</v>
      </c>
      <c r="BV182" s="23">
        <f>+'QTR Raw'!AP66</f>
        <v>51.58</v>
      </c>
      <c r="BW182" s="23">
        <f t="shared" si="1302"/>
        <v>51.58</v>
      </c>
      <c r="BX182" s="23">
        <f>+'QTR Raw'!AR66</f>
        <v>53.02</v>
      </c>
      <c r="BY182" s="23">
        <f t="shared" si="1302"/>
        <v>53.02</v>
      </c>
      <c r="BZ182" s="23">
        <f>+'QTR Raw'!AT66</f>
        <v>60.8</v>
      </c>
      <c r="CA182" s="23">
        <f t="shared" si="1302"/>
        <v>60.8</v>
      </c>
      <c r="CB182" s="23">
        <f>+'QTR Raw'!AV66</f>
        <v>62.99</v>
      </c>
      <c r="CC182" s="23">
        <f t="shared" si="1302"/>
        <v>62.99</v>
      </c>
      <c r="CD182" s="23">
        <f>+'QTR Raw'!AX66</f>
        <v>71.39</v>
      </c>
      <c r="CE182" s="23">
        <f t="shared" si="1302"/>
        <v>71.39</v>
      </c>
      <c r="CF182" s="23">
        <f>+'QTR Raw'!AZ66</f>
        <v>78.8</v>
      </c>
      <c r="CG182" s="23">
        <f t="shared" si="1303"/>
        <v>78.8</v>
      </c>
      <c r="CH182" s="23">
        <f t="shared" si="1256"/>
        <v>82.6</v>
      </c>
      <c r="CJ182" s="23">
        <f>+'QTR Raw'!BD66</f>
        <v>88.93</v>
      </c>
      <c r="CL182" s="23">
        <f>+'QTR Raw'!BF66</f>
        <v>95.98</v>
      </c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E182" s="121"/>
      <c r="DF182" s="23">
        <v>0</v>
      </c>
    </row>
    <row r="183" spans="1:110" s="23" customFormat="1" outlineLevel="1" x14ac:dyDescent="0.2">
      <c r="A183" s="23" t="s">
        <v>69</v>
      </c>
      <c r="B183" s="23">
        <v>0</v>
      </c>
      <c r="C183" s="23">
        <v>0</v>
      </c>
      <c r="D183" s="23">
        <v>0</v>
      </c>
      <c r="E183" s="23">
        <v>0</v>
      </c>
      <c r="F183" s="23">
        <v>0</v>
      </c>
      <c r="G183" s="23">
        <v>0</v>
      </c>
      <c r="H183" s="23">
        <v>0</v>
      </c>
      <c r="I183" s="23">
        <v>0</v>
      </c>
      <c r="J183" s="23">
        <v>0</v>
      </c>
      <c r="K183" s="23">
        <v>0</v>
      </c>
      <c r="L183" s="23">
        <v>0</v>
      </c>
      <c r="M183" s="23">
        <v>0</v>
      </c>
      <c r="N183" s="23">
        <v>0</v>
      </c>
      <c r="O183" s="23">
        <v>0</v>
      </c>
      <c r="P183" s="23">
        <v>0</v>
      </c>
      <c r="Q183" s="23">
        <v>0</v>
      </c>
      <c r="R183" s="23">
        <v>0</v>
      </c>
      <c r="S183" s="23">
        <v>0</v>
      </c>
      <c r="T183" s="23">
        <v>0</v>
      </c>
      <c r="U183" s="23">
        <v>0</v>
      </c>
      <c r="V183" s="23">
        <v>0</v>
      </c>
      <c r="W183" s="23">
        <v>0</v>
      </c>
      <c r="X183" s="23">
        <v>0</v>
      </c>
      <c r="Y183" s="23">
        <v>0</v>
      </c>
      <c r="Z183" s="23">
        <v>0</v>
      </c>
      <c r="AA183" s="23">
        <v>0</v>
      </c>
      <c r="AB183" s="24">
        <f t="shared" si="1298"/>
        <v>1753.4184454489584</v>
      </c>
      <c r="AC183" s="24">
        <f t="shared" si="1299"/>
        <v>2051.2449941277955</v>
      </c>
      <c r="AD183" s="24">
        <f t="shared" si="1300"/>
        <v>2394.5904368967699</v>
      </c>
      <c r="AE183" s="24">
        <f t="shared" si="1301"/>
        <v>2794.9159578326162</v>
      </c>
      <c r="AJ183" s="23">
        <f>+'QTR Raw'!D87</f>
        <v>664.14</v>
      </c>
      <c r="AK183" s="23">
        <f t="shared" si="1302"/>
        <v>664.14</v>
      </c>
      <c r="AL183" s="23">
        <f>+'QTR Raw'!F87</f>
        <v>0</v>
      </c>
      <c r="AM183" s="23">
        <f t="shared" si="1302"/>
        <v>0</v>
      </c>
      <c r="AN183" s="23">
        <f>+'QTR Raw'!H87</f>
        <v>0</v>
      </c>
      <c r="AO183" s="23">
        <f t="shared" si="1302"/>
        <v>0</v>
      </c>
      <c r="AP183" s="23">
        <f>+'QTR Raw'!J87</f>
        <v>0</v>
      </c>
      <c r="AQ183" s="23">
        <f t="shared" si="1302"/>
        <v>0</v>
      </c>
      <c r="AR183" s="23">
        <f>+'QTR Raw'!L87</f>
        <v>0</v>
      </c>
      <c r="AS183" s="23">
        <f t="shared" si="1302"/>
        <v>0</v>
      </c>
      <c r="AT183" s="23">
        <f>+'QTR Raw'!N87</f>
        <v>0</v>
      </c>
      <c r="AU183" s="23">
        <f t="shared" si="1302"/>
        <v>0</v>
      </c>
      <c r="AV183" s="23">
        <f>+'QTR Raw'!P87</f>
        <v>0</v>
      </c>
      <c r="AW183" s="23">
        <f t="shared" si="1302"/>
        <v>0</v>
      </c>
      <c r="AX183" s="23">
        <f>+'QTR Raw'!R87</f>
        <v>0</v>
      </c>
      <c r="AY183" s="23">
        <f t="shared" si="1302"/>
        <v>0</v>
      </c>
      <c r="AZ183" s="23">
        <f>+'QTR Raw'!T87</f>
        <v>0</v>
      </c>
      <c r="BA183" s="23">
        <f t="shared" si="1302"/>
        <v>0</v>
      </c>
      <c r="BB183" s="23">
        <f>+'QTR Raw'!V87</f>
        <v>0</v>
      </c>
      <c r="BC183" s="23">
        <f t="shared" si="1302"/>
        <v>0</v>
      </c>
      <c r="BD183" s="23">
        <f>+'QTR Raw'!X87</f>
        <v>0</v>
      </c>
      <c r="BE183" s="23">
        <f t="shared" si="1302"/>
        <v>0</v>
      </c>
      <c r="BF183" s="23">
        <f>+'QTR Raw'!Z87</f>
        <v>0</v>
      </c>
      <c r="BG183" s="23">
        <f t="shared" si="1302"/>
        <v>0</v>
      </c>
      <c r="BH183" s="23">
        <f>+'QTR Raw'!AB87</f>
        <v>0</v>
      </c>
      <c r="BI183" s="23">
        <f t="shared" si="1302"/>
        <v>0</v>
      </c>
      <c r="BJ183" s="23">
        <f>+'QTR Raw'!AD87</f>
        <v>0</v>
      </c>
      <c r="BK183" s="23">
        <f t="shared" si="1302"/>
        <v>0</v>
      </c>
      <c r="BL183" s="23">
        <f>+'QTR Raw'!AF87</f>
        <v>0</v>
      </c>
      <c r="BM183" s="23">
        <f t="shared" si="1302"/>
        <v>0</v>
      </c>
      <c r="BN183" s="23">
        <f>+'QTR Raw'!AH87</f>
        <v>0</v>
      </c>
      <c r="BO183" s="23">
        <f t="shared" si="1302"/>
        <v>0</v>
      </c>
      <c r="BP183" s="23">
        <f>+'QTR Raw'!AJ87</f>
        <v>0</v>
      </c>
      <c r="BQ183" s="23">
        <f t="shared" si="1302"/>
        <v>0</v>
      </c>
      <c r="BR183" s="23">
        <f>+'QTR Raw'!AL87</f>
        <v>0</v>
      </c>
      <c r="BS183" s="23">
        <f t="shared" si="1302"/>
        <v>0</v>
      </c>
      <c r="BT183" s="23">
        <f>+'QTR Raw'!AN87</f>
        <v>0</v>
      </c>
      <c r="BU183" s="23">
        <f t="shared" si="1302"/>
        <v>0</v>
      </c>
      <c r="BV183" s="23">
        <f>+'QTR Raw'!AP87</f>
        <v>0</v>
      </c>
      <c r="BW183" s="23">
        <f t="shared" si="1302"/>
        <v>0</v>
      </c>
      <c r="BX183" s="23">
        <f>+'QTR Raw'!AR87</f>
        <v>0</v>
      </c>
      <c r="BY183" s="23">
        <f t="shared" si="1302"/>
        <v>0</v>
      </c>
      <c r="BZ183" s="23">
        <f>+'QTR Raw'!AT87</f>
        <v>0</v>
      </c>
      <c r="CA183" s="23">
        <f t="shared" si="1302"/>
        <v>0</v>
      </c>
      <c r="CB183" s="23">
        <f>+'QTR Raw'!AV87</f>
        <v>0</v>
      </c>
      <c r="CC183" s="23">
        <f t="shared" si="1302"/>
        <v>0</v>
      </c>
      <c r="CD183" s="23">
        <f>+'QTR Raw'!AX87</f>
        <v>0</v>
      </c>
      <c r="CE183" s="23">
        <f t="shared" si="1302"/>
        <v>0</v>
      </c>
      <c r="CF183" s="23">
        <f>+'QTR Raw'!AZ87</f>
        <v>0</v>
      </c>
      <c r="CG183" s="23">
        <f t="shared" si="1303"/>
        <v>0</v>
      </c>
      <c r="CH183" s="23">
        <f t="shared" si="1256"/>
        <v>0</v>
      </c>
      <c r="CI183" s="23">
        <f>CI41/90*CI215</f>
        <v>799.2530465949817</v>
      </c>
      <c r="CJ183" s="23">
        <f>+'QTR Raw'!BD87</f>
        <v>0</v>
      </c>
      <c r="CK183" s="23">
        <f t="shared" ref="CK183:DB183" si="1304">CK41/90*CK215</f>
        <v>956.10779497773456</v>
      </c>
      <c r="CL183" s="23">
        <f>+'QTR Raw'!BF87</f>
        <v>0</v>
      </c>
      <c r="CM183" s="24">
        <f t="shared" si="1304"/>
        <v>1380.2743751452588</v>
      </c>
      <c r="CN183" s="24">
        <f t="shared" si="1304"/>
        <v>1314.8480110657742</v>
      </c>
      <c r="CO183" s="24">
        <f t="shared" si="1304"/>
        <v>1377.4416550129779</v>
      </c>
      <c r="CP183" s="24">
        <f t="shared" si="1304"/>
        <v>1753.4184454489584</v>
      </c>
      <c r="CQ183" s="24">
        <f t="shared" si="1304"/>
        <v>1596.0744414354842</v>
      </c>
      <c r="CR183" s="24">
        <f t="shared" si="1304"/>
        <v>1529.578920965655</v>
      </c>
      <c r="CS183" s="24">
        <f t="shared" si="1304"/>
        <v>1611.3975206536529</v>
      </c>
      <c r="CT183" s="24">
        <f t="shared" si="1304"/>
        <v>2051.2449941277955</v>
      </c>
      <c r="CU183" s="24">
        <f t="shared" si="1304"/>
        <v>1859.1717657860543</v>
      </c>
      <c r="CV183" s="24">
        <f t="shared" si="1304"/>
        <v>1784.9633525929587</v>
      </c>
      <c r="CW183" s="24">
        <f t="shared" si="1304"/>
        <v>1881.9137224662825</v>
      </c>
      <c r="CX183" s="24">
        <f t="shared" si="1304"/>
        <v>2394.5904368967699</v>
      </c>
      <c r="CY183" s="24">
        <f t="shared" si="1304"/>
        <v>2169.2187905808014</v>
      </c>
      <c r="CZ183" s="24">
        <f t="shared" si="1304"/>
        <v>2083.4943586810296</v>
      </c>
      <c r="DA183" s="24">
        <f t="shared" si="1304"/>
        <v>2196.7929831211991</v>
      </c>
      <c r="DB183" s="24">
        <f t="shared" si="1304"/>
        <v>2794.9159578326162</v>
      </c>
      <c r="DE183" s="121"/>
      <c r="DF183" s="23">
        <v>0</v>
      </c>
    </row>
    <row r="184" spans="1:110" s="23" customFormat="1" outlineLevel="1" x14ac:dyDescent="0.2">
      <c r="A184" s="23" t="s">
        <v>70</v>
      </c>
      <c r="B184" s="23">
        <f>'Annual Raw'!C54</f>
        <v>130.06469999999999</v>
      </c>
      <c r="C184" s="23">
        <f>'Annual Raw'!D54</f>
        <v>123.1009</v>
      </c>
      <c r="D184" s="23">
        <f>'Annual Raw'!E54</f>
        <v>145.6377</v>
      </c>
      <c r="E184" s="23">
        <f>'Annual Raw'!F54</f>
        <v>173.14449999999999</v>
      </c>
      <c r="F184" s="23">
        <f>'Annual Raw'!G54</f>
        <v>224.3022</v>
      </c>
      <c r="G184" s="23">
        <f>'Annual Raw'!H54</f>
        <v>218.4871</v>
      </c>
      <c r="H184" s="23">
        <f>'Annual Raw'!I54</f>
        <v>231.7174</v>
      </c>
      <c r="I184" s="23">
        <f>'Annual Raw'!J54</f>
        <v>303.23450000000003</v>
      </c>
      <c r="J184" s="23">
        <f>'Annual Raw'!K54</f>
        <v>291.87029999999999</v>
      </c>
      <c r="K184" s="23">
        <f>'Annual Raw'!L54</f>
        <v>425.90820000000002</v>
      </c>
      <c r="L184" s="23">
        <f>'Annual Raw'!M54</f>
        <v>562.79600000000005</v>
      </c>
      <c r="M184" s="23">
        <f>'Annual Raw'!N54</f>
        <v>531.60119999999995</v>
      </c>
      <c r="N184" s="23">
        <f>'Annual Raw'!O54</f>
        <v>518.17970000000003</v>
      </c>
      <c r="O184" s="23">
        <f>'Annual Raw'!P54</f>
        <v>788.60680000000002</v>
      </c>
      <c r="P184" s="23">
        <f>'Annual Raw'!Q54</f>
        <v>581.44000000000005</v>
      </c>
      <c r="Q184" s="23">
        <f>'Annual Raw'!R54</f>
        <v>714.56</v>
      </c>
      <c r="R184" s="23">
        <f>'Annual Raw'!S54</f>
        <v>808.9</v>
      </c>
      <c r="S184" s="23">
        <f>'Annual Raw'!T54</f>
        <v>1044.24</v>
      </c>
      <c r="T184" s="23">
        <f>'Annual Raw'!U54</f>
        <v>1382.42</v>
      </c>
      <c r="U184" s="23">
        <f>'Annual Raw'!V54</f>
        <v>1111.69</v>
      </c>
      <c r="V184" s="23">
        <f>'Annual Raw'!W54</f>
        <v>1585.19</v>
      </c>
      <c r="W184" s="23">
        <f>'Annual Raw'!X54</f>
        <v>2096.35</v>
      </c>
      <c r="X184" s="23">
        <f>'Annual Raw'!Y54</f>
        <v>2231.27</v>
      </c>
      <c r="Y184" s="23">
        <f>'Annual Raw'!Z54</f>
        <v>2197.7600000000002</v>
      </c>
      <c r="Z184" s="23">
        <f>'Annual Raw'!AA54</f>
        <v>2331.59</v>
      </c>
      <c r="AA184" s="23">
        <f>'Annual Raw'!AB54</f>
        <v>2584.9699999999998</v>
      </c>
      <c r="AB184" s="24">
        <f t="shared" si="1298"/>
        <v>3062.9576351591727</v>
      </c>
      <c r="AC184" s="24">
        <f t="shared" si="1299"/>
        <v>3583.2157079521585</v>
      </c>
      <c r="AD184" s="24">
        <f t="shared" si="1300"/>
        <v>4182.9884251583271</v>
      </c>
      <c r="AE184" s="24">
        <f t="shared" si="1301"/>
        <v>4882.2967471861375</v>
      </c>
      <c r="AJ184" s="23">
        <f>+'QTR Raw'!D89</f>
        <v>0</v>
      </c>
      <c r="AK184" s="23">
        <f>+AK214*AK41/90</f>
        <v>0</v>
      </c>
      <c r="AL184" s="23">
        <f>+'QTR Raw'!F89</f>
        <v>518.17999999999995</v>
      </c>
      <c r="AM184" s="23">
        <f>+AM214*AM41/90</f>
        <v>512.08711776569078</v>
      </c>
      <c r="AN184" s="23">
        <f>+'QTR Raw'!H89</f>
        <v>630.39</v>
      </c>
      <c r="AO184" s="23">
        <f>+AO214*AO41/90</f>
        <v>643.59704736399283</v>
      </c>
      <c r="AP184" s="23">
        <f>+'QTR Raw'!J89</f>
        <v>788.6</v>
      </c>
      <c r="AQ184" s="23">
        <f>+AQ214*AQ41/90</f>
        <v>1027.7020117729314</v>
      </c>
      <c r="AR184" s="23">
        <f>+'QTR Raw'!L89</f>
        <v>574.53</v>
      </c>
      <c r="AS184" s="23">
        <f>+AS214*AS41/90</f>
        <v>534.41090342757684</v>
      </c>
      <c r="AT184" s="23">
        <f>+'QTR Raw'!N89</f>
        <v>581.44000000000005</v>
      </c>
      <c r="AU184" s="23">
        <f>+AU214*AU41/90</f>
        <v>656.72243545165372</v>
      </c>
      <c r="AV184" s="23">
        <f>+'QTR Raw'!P89</f>
        <v>766.93</v>
      </c>
      <c r="AW184" s="23">
        <f>+AW214*AW41/90</f>
        <v>672.67810704592864</v>
      </c>
      <c r="AX184" s="23">
        <f>+'QTR Raw'!R89</f>
        <v>714.55</v>
      </c>
      <c r="AY184" s="23">
        <f>+AY214*AY41/90</f>
        <v>736.20980064901039</v>
      </c>
      <c r="AZ184" s="23">
        <f>+'QTR Raw'!T89</f>
        <v>739.99</v>
      </c>
      <c r="BA184" s="23">
        <f>+BA214*BA41/90</f>
        <v>687.12791763689461</v>
      </c>
      <c r="BB184" s="23">
        <f>+'QTR Raw'!V89</f>
        <v>808.9</v>
      </c>
      <c r="BC184" s="23">
        <f>+BC214*BC41/90</f>
        <v>738.56583547485241</v>
      </c>
      <c r="BD184" s="23">
        <f>+'QTR Raw'!X89</f>
        <v>926.84</v>
      </c>
      <c r="BE184" s="23">
        <f>+BE214*BE41/90</f>
        <v>1006.5460929860154</v>
      </c>
      <c r="BF184" s="23">
        <f>+'QTR Raw'!Z89</f>
        <v>1044.24</v>
      </c>
      <c r="BG184" s="23">
        <f>+BG214*BG41/90</f>
        <v>1076.3650807867168</v>
      </c>
      <c r="BH184" s="23">
        <f>+'QTR Raw'!AB89</f>
        <v>1361.53</v>
      </c>
      <c r="BI184" s="23">
        <f>+BI214*BI41/90</f>
        <v>1403.2925344881619</v>
      </c>
      <c r="BJ184" s="23">
        <f>+'QTR Raw'!AD89</f>
        <v>1382.42</v>
      </c>
      <c r="BK184" s="23">
        <f>+BK214*BK41/90</f>
        <v>1258.4641795174939</v>
      </c>
      <c r="BL184" s="23">
        <f>+'QTR Raw'!AF89</f>
        <v>1211.98</v>
      </c>
      <c r="BM184" s="23">
        <f>+BM214*BM41/90</f>
        <v>1290.5724883185635</v>
      </c>
      <c r="BN184" s="23">
        <f>+'QTR Raw'!AH89</f>
        <v>1111.69</v>
      </c>
      <c r="BO184" s="23">
        <f>+BO214*BO41/90</f>
        <v>919.14897563286218</v>
      </c>
      <c r="BP184" s="23">
        <f>+'QTR Raw'!AJ89</f>
        <v>1104.27</v>
      </c>
      <c r="BQ184" s="23">
        <f>+BQ214*BQ41/90</f>
        <v>1128.2284481371648</v>
      </c>
      <c r="BR184" s="23">
        <f>+'QTR Raw'!AL89</f>
        <v>1585.19</v>
      </c>
      <c r="BS184" s="23">
        <f>+BS214*BS41/90</f>
        <v>1640.9648096945525</v>
      </c>
      <c r="BT184" s="23">
        <f>+'QTR Raw'!AN89</f>
        <v>1885.74</v>
      </c>
      <c r="BU184" s="23">
        <f>+BU214*BU41/90</f>
        <v>2222.4401433618527</v>
      </c>
      <c r="BV184" s="23">
        <f>+'QTR Raw'!AP89</f>
        <v>2096.35</v>
      </c>
      <c r="BW184" s="23">
        <f>+BW214*BW41/90</f>
        <v>2285.6016046283617</v>
      </c>
      <c r="BX184" s="23">
        <f>+'QTR Raw'!AR89</f>
        <v>2243.37</v>
      </c>
      <c r="BY184" s="23">
        <f>+BY214*BY41/90</f>
        <v>2078.9828985079589</v>
      </c>
      <c r="BZ184" s="23">
        <f>+'QTR Raw'!AT89</f>
        <v>2231.27</v>
      </c>
      <c r="CA184" s="23">
        <f>+CA214*CA41/90</f>
        <v>1957.5709169183367</v>
      </c>
      <c r="CB184" s="23">
        <f>+'QTR Raw'!AV89</f>
        <v>2083.54</v>
      </c>
      <c r="CC184" s="23">
        <f>+CC214*CC41/90</f>
        <v>1990.1618193720578</v>
      </c>
      <c r="CD184" s="23">
        <f>+'QTR Raw'!AX89</f>
        <v>2197.7600000000002</v>
      </c>
      <c r="CE184" s="23">
        <f>+CE214*CE41/90</f>
        <v>2122.1195349801387</v>
      </c>
      <c r="CF184" s="23">
        <f>+'QTR Raw'!AZ89</f>
        <v>2330.9499999999998</v>
      </c>
      <c r="CG184" s="23">
        <f>+CG214*CG41/90</f>
        <v>2353.2704305989546</v>
      </c>
      <c r="CH184" s="23">
        <f t="shared" si="1256"/>
        <v>2331.59</v>
      </c>
      <c r="CI184" s="23">
        <f>+CI214*CI41/90</f>
        <v>2064.1674910394267</v>
      </c>
      <c r="CJ184" s="23">
        <f>+'QTR Raw'!BD89</f>
        <v>2478.48</v>
      </c>
      <c r="CK184" s="23">
        <f t="shared" ref="CK184:DB184" si="1305">+CK214*CK41/90</f>
        <v>2500.3630190731806</v>
      </c>
      <c r="CL184" s="23">
        <f>+'QTR Raw'!BF89</f>
        <v>2584.9699999999998</v>
      </c>
      <c r="CM184" s="24">
        <f t="shared" si="1305"/>
        <v>2411.1312088331706</v>
      </c>
      <c r="CN184" s="24">
        <f t="shared" si="1305"/>
        <v>2296.8412160946436</v>
      </c>
      <c r="CO184" s="24">
        <f t="shared" si="1305"/>
        <v>2406.1828738935224</v>
      </c>
      <c r="CP184" s="24">
        <f t="shared" si="1305"/>
        <v>3062.9576351591727</v>
      </c>
      <c r="CQ184" s="24">
        <f t="shared" si="1305"/>
        <v>2788.1013852489082</v>
      </c>
      <c r="CR184" s="24">
        <f t="shared" si="1305"/>
        <v>2671.9437375090974</v>
      </c>
      <c r="CS184" s="24">
        <f t="shared" si="1305"/>
        <v>2814.8684941539486</v>
      </c>
      <c r="CT184" s="24">
        <f t="shared" si="1305"/>
        <v>3583.2157079521585</v>
      </c>
      <c r="CU184" s="24">
        <f t="shared" si="1305"/>
        <v>3247.692739783331</v>
      </c>
      <c r="CV184" s="24">
        <f t="shared" si="1305"/>
        <v>3118.0618314437984</v>
      </c>
      <c r="CW184" s="24">
        <f t="shared" si="1305"/>
        <v>3287.4195089598279</v>
      </c>
      <c r="CX184" s="24">
        <f t="shared" si="1305"/>
        <v>4182.9884251583271</v>
      </c>
      <c r="CY184" s="24">
        <f t="shared" si="1305"/>
        <v>3789.2981416874372</v>
      </c>
      <c r="CZ184" s="24">
        <f t="shared" si="1305"/>
        <v>3639.55048510917</v>
      </c>
      <c r="DA184" s="24">
        <f t="shared" si="1305"/>
        <v>3837.4660982834071</v>
      </c>
      <c r="DB184" s="24">
        <f t="shared" si="1305"/>
        <v>4882.2967471861375</v>
      </c>
      <c r="DE184" s="121"/>
      <c r="DF184" s="23">
        <v>0</v>
      </c>
    </row>
    <row r="185" spans="1:110" s="23" customFormat="1" outlineLevel="1" x14ac:dyDescent="0.2">
      <c r="A185" s="23" t="s">
        <v>71</v>
      </c>
      <c r="B185" s="23">
        <f>'Annual Raw'!C55-Template!B157</f>
        <v>24.511900000000001</v>
      </c>
      <c r="C185" s="23">
        <f>'Annual Raw'!D55-Template!C157</f>
        <v>8.6608000000000001</v>
      </c>
      <c r="D185" s="23">
        <f>'Annual Raw'!E55-Template!D157</f>
        <v>7.8593000000000002</v>
      </c>
      <c r="E185" s="23">
        <f>'Annual Raw'!F55-Template!E157</f>
        <v>6.1616999999999802</v>
      </c>
      <c r="F185" s="23">
        <f>'Annual Raw'!G55-Template!F157</f>
        <v>7.8707000000000003</v>
      </c>
      <c r="G185" s="23">
        <f>'Annual Raw'!H55-Template!G157</f>
        <v>8.5470999999999897</v>
      </c>
      <c r="H185" s="23">
        <f>'Annual Raw'!I55-Template!H157</f>
        <v>9.1020000000000092</v>
      </c>
      <c r="I185" s="23">
        <f>'Annual Raw'!J55-Template!I157</f>
        <v>9.7946999999999793</v>
      </c>
      <c r="J185" s="23">
        <f>'Annual Raw'!K55-Template!J157</f>
        <v>52.994399999999999</v>
      </c>
      <c r="K185" s="23">
        <f>'Annual Raw'!L55-Template!K157</f>
        <v>70.644300000000001</v>
      </c>
      <c r="L185" s="23">
        <f>'Annual Raw'!M55-Template!L157</f>
        <v>92.548599999999965</v>
      </c>
      <c r="M185" s="23">
        <f>'Annual Raw'!N55-Template!M157</f>
        <v>118.43019999999999</v>
      </c>
      <c r="N185" s="23">
        <f>'Annual Raw'!O55-Template!N157</f>
        <v>105.82069999999999</v>
      </c>
      <c r="O185" s="23">
        <f>'Annual Raw'!P55-Template!O157</f>
        <v>128.67429999999999</v>
      </c>
      <c r="P185" s="23">
        <f>'Annual Raw'!Q55-Template!P157</f>
        <v>153.62</v>
      </c>
      <c r="Q185" s="23">
        <f>'Annual Raw'!R55-Template!Q157</f>
        <v>122.70000000000005</v>
      </c>
      <c r="R185" s="23">
        <f>'Annual Raw'!S55-Template!R157</f>
        <v>217.10000000000002</v>
      </c>
      <c r="S185" s="23">
        <f>'Annual Raw'!T55-Template!S157</f>
        <v>238.25999999999993</v>
      </c>
      <c r="T185" s="23">
        <f>'Annual Raw'!U55-Template!T157</f>
        <v>231.62000000000006</v>
      </c>
      <c r="U185" s="23">
        <f>'Annual Raw'!V55-Template!U157</f>
        <v>444.68000000000006</v>
      </c>
      <c r="V185" s="23">
        <f>'Annual Raw'!W55-Template!V157</f>
        <v>538.82000000000005</v>
      </c>
      <c r="W185" s="23">
        <f>'Annual Raw'!X55-Template!W157</f>
        <v>536.32999999999993</v>
      </c>
      <c r="X185" s="23">
        <f>'Annual Raw'!Y55-Template!X157</f>
        <v>620.25</v>
      </c>
      <c r="Y185" s="23">
        <f>'Annual Raw'!Z55-Template!Y157</f>
        <v>588.54</v>
      </c>
      <c r="Z185" s="23">
        <f>'Annual Raw'!AA55-Template!Z157</f>
        <v>411.90999999999997</v>
      </c>
      <c r="AA185" s="23">
        <f>'Annual Raw'!AB55-Template!AA157</f>
        <v>860.68000000000006</v>
      </c>
      <c r="AB185" s="24">
        <f t="shared" si="1298"/>
        <v>0</v>
      </c>
      <c r="AC185" s="24">
        <f t="shared" si="1299"/>
        <v>0</v>
      </c>
      <c r="AD185" s="24">
        <f t="shared" si="1300"/>
        <v>0</v>
      </c>
      <c r="AE185" s="24">
        <f t="shared" si="1301"/>
        <v>0</v>
      </c>
      <c r="AJ185" s="23">
        <f>+'QTR Raw'!D91</f>
        <v>0</v>
      </c>
      <c r="AK185" s="23">
        <f t="shared" si="1302"/>
        <v>0</v>
      </c>
      <c r="AL185" s="23">
        <f>+'QTR Raw'!F91</f>
        <v>471.13</v>
      </c>
      <c r="AM185" s="23">
        <f t="shared" si="1302"/>
        <v>471.13</v>
      </c>
      <c r="AN185" s="23">
        <f>+'QTR Raw'!H91</f>
        <v>198.68</v>
      </c>
      <c r="AO185" s="23">
        <f t="shared" si="1302"/>
        <v>198.68</v>
      </c>
      <c r="AP185" s="23">
        <f>+'QTR Raw'!J91</f>
        <v>271.47000000000003</v>
      </c>
      <c r="AQ185" s="23">
        <f t="shared" si="1302"/>
        <v>271.47000000000003</v>
      </c>
      <c r="AR185" s="23">
        <f>+'QTR Raw'!L91</f>
        <v>278.12</v>
      </c>
      <c r="AS185" s="23">
        <f t="shared" si="1302"/>
        <v>278.12</v>
      </c>
      <c r="AT185" s="23">
        <f>+'QTR Raw'!N91</f>
        <v>564.09</v>
      </c>
      <c r="AU185" s="23">
        <f t="shared" si="1302"/>
        <v>564.09</v>
      </c>
      <c r="AV185" s="23">
        <f>+'QTR Raw'!P91</f>
        <v>776.13</v>
      </c>
      <c r="AW185" s="23">
        <f t="shared" si="1302"/>
        <v>776.13</v>
      </c>
      <c r="AX185" s="23">
        <f>+'QTR Raw'!R91</f>
        <v>511.34</v>
      </c>
      <c r="AY185" s="23">
        <f t="shared" si="1302"/>
        <v>511.34</v>
      </c>
      <c r="AZ185" s="23">
        <f>+'QTR Raw'!T91</f>
        <v>600.65</v>
      </c>
      <c r="BA185" s="23">
        <f t="shared" si="1302"/>
        <v>600.65</v>
      </c>
      <c r="BB185" s="23">
        <f>+'QTR Raw'!V91</f>
        <v>649.49</v>
      </c>
      <c r="BC185" s="23">
        <f t="shared" si="1302"/>
        <v>649.49</v>
      </c>
      <c r="BD185" s="23">
        <f>+'QTR Raw'!X91</f>
        <v>425.75</v>
      </c>
      <c r="BE185" s="23">
        <f t="shared" si="1302"/>
        <v>425.75</v>
      </c>
      <c r="BF185" s="23">
        <f>+'QTR Raw'!Z91</f>
        <v>632.59</v>
      </c>
      <c r="BG185" s="23">
        <f t="shared" si="1302"/>
        <v>632.59</v>
      </c>
      <c r="BH185" s="23">
        <f>+'QTR Raw'!AB91</f>
        <v>708.95</v>
      </c>
      <c r="BI185" s="23">
        <f t="shared" si="1302"/>
        <v>708.95</v>
      </c>
      <c r="BJ185" s="23">
        <f>+'QTR Raw'!AD91</f>
        <v>682.91</v>
      </c>
      <c r="BK185" s="23">
        <f t="shared" si="1302"/>
        <v>682.91</v>
      </c>
      <c r="BL185" s="23">
        <f>+'QTR Raw'!AF91</f>
        <v>1134.3900000000001</v>
      </c>
      <c r="BM185" s="23">
        <f t="shared" si="1302"/>
        <v>1134.3900000000001</v>
      </c>
      <c r="BN185" s="23">
        <f>+'QTR Raw'!AH91</f>
        <v>1234.18</v>
      </c>
      <c r="BO185" s="23">
        <f t="shared" si="1302"/>
        <v>1234.18</v>
      </c>
      <c r="BP185" s="23">
        <f>+'QTR Raw'!AJ91</f>
        <v>843.53</v>
      </c>
      <c r="BQ185" s="23">
        <f t="shared" si="1302"/>
        <v>843.53</v>
      </c>
      <c r="BR185" s="23">
        <f>+'QTR Raw'!AL91</f>
        <v>551.30999999999995</v>
      </c>
      <c r="BS185" s="23">
        <f t="shared" si="1302"/>
        <v>551.30999999999995</v>
      </c>
      <c r="BT185" s="23">
        <f>+'QTR Raw'!AN91</f>
        <v>635.38</v>
      </c>
      <c r="BU185" s="23">
        <f t="shared" si="1302"/>
        <v>635.38</v>
      </c>
      <c r="BV185" s="23">
        <f>+'QTR Raw'!AP91</f>
        <v>550.53</v>
      </c>
      <c r="BW185" s="23">
        <f t="shared" si="1302"/>
        <v>550.53</v>
      </c>
      <c r="BX185" s="23">
        <f>+'QTR Raw'!AR91</f>
        <v>695.65</v>
      </c>
      <c r="BY185" s="23">
        <f t="shared" si="1302"/>
        <v>695.65</v>
      </c>
      <c r="BZ185" s="23">
        <f>+'QTR Raw'!AT91</f>
        <v>634.88</v>
      </c>
      <c r="CA185" s="23">
        <f t="shared" si="1302"/>
        <v>634.88</v>
      </c>
      <c r="CB185" s="23">
        <f>+'QTR Raw'!AV91</f>
        <v>624.41</v>
      </c>
      <c r="CC185" s="23">
        <f t="shared" si="1302"/>
        <v>624.41</v>
      </c>
      <c r="CD185" s="23">
        <f>+'QTR Raw'!AX91</f>
        <v>605.14</v>
      </c>
      <c r="CE185" s="23">
        <f t="shared" si="1302"/>
        <v>605.14</v>
      </c>
      <c r="CF185" s="23">
        <f>+'QTR Raw'!AZ91</f>
        <v>264.14</v>
      </c>
      <c r="CG185" s="23">
        <f t="shared" ref="CG185:CG186" si="1306">+CF185</f>
        <v>264.14</v>
      </c>
      <c r="CH185" s="23">
        <f t="shared" si="1256"/>
        <v>411.90999999999997</v>
      </c>
      <c r="CJ185" s="23">
        <f>+'QTR Raw'!BD91</f>
        <v>430.18</v>
      </c>
      <c r="CL185" s="23">
        <f>+'QTR Raw'!BF91</f>
        <v>871.97</v>
      </c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E185" s="121"/>
      <c r="DF185" s="23">
        <v>0</v>
      </c>
    </row>
    <row r="186" spans="1:110" s="23" customFormat="1" outlineLevel="1" x14ac:dyDescent="0.2">
      <c r="A186" s="23" t="s">
        <v>72</v>
      </c>
      <c r="B186" s="23">
        <f>'Annual Raw'!C57</f>
        <v>15.0631</v>
      </c>
      <c r="C186" s="23">
        <f>'Annual Raw'!D57</f>
        <v>17.883299999999998</v>
      </c>
      <c r="D186" s="23">
        <f>'Annual Raw'!E57</f>
        <v>17.058599999999998</v>
      </c>
      <c r="E186" s="23">
        <f>'Annual Raw'!F57</f>
        <v>23.597300000000001</v>
      </c>
      <c r="F186" s="23">
        <f>'Annual Raw'!G57</f>
        <v>37.681399999999996</v>
      </c>
      <c r="G186" s="23">
        <f>'Annual Raw'!H57</f>
        <v>40.332000000000001</v>
      </c>
      <c r="H186" s="23">
        <f>'Annual Raw'!I57</f>
        <v>46.275500000000001</v>
      </c>
      <c r="I186" s="23">
        <f>'Annual Raw'!J57</f>
        <v>27.361000000000001</v>
      </c>
      <c r="J186" s="23">
        <f>'Annual Raw'!K57</f>
        <v>18.6998</v>
      </c>
      <c r="K186" s="23">
        <f>'Annual Raw'!L57</f>
        <v>30.190200000000001</v>
      </c>
      <c r="L186" s="23">
        <f>'Annual Raw'!M57</f>
        <v>10.721500000000001</v>
      </c>
      <c r="M186" s="23">
        <f>'Annual Raw'!N57</f>
        <v>14.7309</v>
      </c>
      <c r="N186" s="23">
        <f>'Annual Raw'!O57</f>
        <v>10.2867</v>
      </c>
      <c r="O186" s="23">
        <f>'Annual Raw'!P57</f>
        <v>17.135100000000001</v>
      </c>
      <c r="P186" s="23">
        <f>'Annual Raw'!Q57</f>
        <v>11.57</v>
      </c>
      <c r="Q186" s="23">
        <f>'Annual Raw'!R57</f>
        <v>9.15</v>
      </c>
      <c r="R186" s="23">
        <f>'Annual Raw'!S57</f>
        <v>19.84</v>
      </c>
      <c r="S186" s="23">
        <f>'Annual Raw'!T57</f>
        <v>15.13</v>
      </c>
      <c r="T186" s="23">
        <f>'Annual Raw'!U57</f>
        <v>15.79</v>
      </c>
      <c r="U186" s="23">
        <f>'Annual Raw'!V57</f>
        <v>16.37</v>
      </c>
      <c r="V186" s="23">
        <f>'Annual Raw'!W57</f>
        <v>21.17</v>
      </c>
      <c r="W186" s="23">
        <f>'Annual Raw'!X57</f>
        <v>21.58</v>
      </c>
      <c r="X186" s="23">
        <f>'Annual Raw'!Y57</f>
        <v>22.54</v>
      </c>
      <c r="Y186" s="23">
        <f>'Annual Raw'!Z57</f>
        <v>25.37</v>
      </c>
      <c r="Z186" s="23">
        <f>'Annual Raw'!AA57</f>
        <v>26.52</v>
      </c>
      <c r="AA186" s="23">
        <f>'Annual Raw'!AB57</f>
        <v>26.16</v>
      </c>
      <c r="AB186" s="24">
        <f t="shared" si="1298"/>
        <v>0</v>
      </c>
      <c r="AC186" s="24">
        <f t="shared" si="1299"/>
        <v>0</v>
      </c>
      <c r="AD186" s="24">
        <f t="shared" si="1300"/>
        <v>0</v>
      </c>
      <c r="AE186" s="24">
        <f t="shared" si="1301"/>
        <v>0</v>
      </c>
      <c r="AJ186" s="23">
        <f>+'QTR Raw'!D92</f>
        <v>3.06</v>
      </c>
      <c r="AK186" s="23">
        <f t="shared" si="1302"/>
        <v>3.06</v>
      </c>
      <c r="AL186" s="23">
        <f>+'QTR Raw'!F92</f>
        <v>10.29</v>
      </c>
      <c r="AM186" s="23">
        <f t="shared" si="1302"/>
        <v>10.29</v>
      </c>
      <c r="AN186" s="23">
        <f>+'QTR Raw'!H92</f>
        <v>25.15</v>
      </c>
      <c r="AO186" s="23">
        <f t="shared" si="1302"/>
        <v>25.15</v>
      </c>
      <c r="AP186" s="23">
        <f>+'QTR Raw'!J92</f>
        <v>17.14</v>
      </c>
      <c r="AQ186" s="23">
        <f t="shared" si="1302"/>
        <v>17.14</v>
      </c>
      <c r="AR186" s="23">
        <f>+'QTR Raw'!L92</f>
        <v>29.14</v>
      </c>
      <c r="AS186" s="23">
        <f t="shared" si="1302"/>
        <v>29.14</v>
      </c>
      <c r="AT186" s="23">
        <f>+'QTR Raw'!N92</f>
        <v>11.57</v>
      </c>
      <c r="AU186" s="23">
        <f t="shared" si="1302"/>
        <v>11.57</v>
      </c>
      <c r="AV186" s="23">
        <f>+'QTR Raw'!P92</f>
        <v>23.79</v>
      </c>
      <c r="AW186" s="23">
        <f t="shared" si="1302"/>
        <v>23.79</v>
      </c>
      <c r="AX186" s="23">
        <f>+'QTR Raw'!R92</f>
        <v>6.03</v>
      </c>
      <c r="AY186" s="23">
        <f t="shared" si="1302"/>
        <v>6.03</v>
      </c>
      <c r="AZ186" s="23">
        <f>+'QTR Raw'!T92</f>
        <v>6.58</v>
      </c>
      <c r="BA186" s="23">
        <f t="shared" si="1302"/>
        <v>6.58</v>
      </c>
      <c r="BB186" s="23">
        <f>+'QTR Raw'!V92</f>
        <v>6.23</v>
      </c>
      <c r="BC186" s="23">
        <f t="shared" si="1302"/>
        <v>6.23</v>
      </c>
      <c r="BD186" s="23">
        <f>+'QTR Raw'!X92</f>
        <v>5.29</v>
      </c>
      <c r="BE186" s="23">
        <f t="shared" si="1302"/>
        <v>5.29</v>
      </c>
      <c r="BF186" s="23">
        <f>+'QTR Raw'!Z92</f>
        <v>4.5999999999999996</v>
      </c>
      <c r="BG186" s="23">
        <f t="shared" si="1302"/>
        <v>4.5999999999999996</v>
      </c>
      <c r="BH186" s="23">
        <f>+'QTR Raw'!AB92</f>
        <v>4.29</v>
      </c>
      <c r="BI186" s="23">
        <f t="shared" si="1302"/>
        <v>4.29</v>
      </c>
      <c r="BJ186" s="23">
        <f>+'QTR Raw'!AD92</f>
        <v>5.96</v>
      </c>
      <c r="BK186" s="23">
        <f t="shared" si="1302"/>
        <v>5.96</v>
      </c>
      <c r="BL186" s="23">
        <f>+'QTR Raw'!AF92</f>
        <v>34.85</v>
      </c>
      <c r="BM186" s="23">
        <f t="shared" si="1302"/>
        <v>34.85</v>
      </c>
      <c r="BN186" s="23">
        <f>+'QTR Raw'!AH92</f>
        <v>6.62</v>
      </c>
      <c r="BO186" s="23">
        <f t="shared" si="1302"/>
        <v>6.62</v>
      </c>
      <c r="BP186" s="23">
        <f>+'QTR Raw'!AJ92</f>
        <v>7.86</v>
      </c>
      <c r="BQ186" s="23">
        <f t="shared" si="1302"/>
        <v>7.86</v>
      </c>
      <c r="BR186" s="23">
        <f>+'QTR Raw'!AL92</f>
        <v>8.68</v>
      </c>
      <c r="BS186" s="23">
        <f t="shared" si="1302"/>
        <v>8.68</v>
      </c>
      <c r="BT186" s="23">
        <f>+'QTR Raw'!AN92</f>
        <v>9.5500000000000007</v>
      </c>
      <c r="BU186" s="23">
        <f t="shared" si="1302"/>
        <v>9.5500000000000007</v>
      </c>
      <c r="BV186" s="23">
        <f>+'QTR Raw'!AP92</f>
        <v>7.38</v>
      </c>
      <c r="BW186" s="23">
        <f t="shared" si="1302"/>
        <v>7.38</v>
      </c>
      <c r="BX186" s="23">
        <f>+'QTR Raw'!AR92</f>
        <v>9.92</v>
      </c>
      <c r="BY186" s="23">
        <f t="shared" si="1302"/>
        <v>9.92</v>
      </c>
      <c r="BZ186" s="23">
        <f>+'QTR Raw'!AT92</f>
        <v>7.91</v>
      </c>
      <c r="CA186" s="23">
        <f t="shared" si="1302"/>
        <v>7.91</v>
      </c>
      <c r="CB186" s="23">
        <f>+'QTR Raw'!AV92</f>
        <v>10.7</v>
      </c>
      <c r="CC186" s="23">
        <f t="shared" si="1302"/>
        <v>10.7</v>
      </c>
      <c r="CD186" s="23">
        <f>+'QTR Raw'!AX92</f>
        <v>8.77</v>
      </c>
      <c r="CE186" s="23">
        <f t="shared" si="1302"/>
        <v>8.77</v>
      </c>
      <c r="CF186" s="23">
        <f>+'QTR Raw'!AZ92</f>
        <v>9.94</v>
      </c>
      <c r="CG186" s="23">
        <f t="shared" si="1306"/>
        <v>9.94</v>
      </c>
      <c r="CH186" s="23">
        <f t="shared" si="1256"/>
        <v>26.52</v>
      </c>
      <c r="CJ186" s="23">
        <f>+'QTR Raw'!BD92</f>
        <v>11.75</v>
      </c>
      <c r="CL186" s="23">
        <f>+'QTR Raw'!BF92</f>
        <v>14.87</v>
      </c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E186" s="121"/>
      <c r="DF186" s="23">
        <v>0</v>
      </c>
    </row>
    <row r="187" spans="1:110" s="22" customFormat="1" x14ac:dyDescent="0.2">
      <c r="A187" s="22" t="s">
        <v>73</v>
      </c>
      <c r="B187" s="22">
        <f>SUM(B180:B186)</f>
        <v>169.63969999999998</v>
      </c>
      <c r="C187" s="22">
        <f t="shared" ref="C187:V187" si="1307">SUM(C180:C186)</f>
        <v>149.64499999999998</v>
      </c>
      <c r="D187" s="22">
        <f t="shared" si="1307"/>
        <v>170.55559999999997</v>
      </c>
      <c r="E187" s="22">
        <f t="shared" si="1307"/>
        <v>202.90349999999995</v>
      </c>
      <c r="F187" s="22">
        <f t="shared" si="1307"/>
        <v>269.85429999999997</v>
      </c>
      <c r="G187" s="22">
        <f t="shared" si="1307"/>
        <v>267.36619999999999</v>
      </c>
      <c r="H187" s="22">
        <f t="shared" si="1307"/>
        <v>287.0949</v>
      </c>
      <c r="I187" s="22">
        <f t="shared" si="1307"/>
        <v>340.39019999999999</v>
      </c>
      <c r="J187" s="22">
        <f t="shared" si="1307"/>
        <v>363.56449999999995</v>
      </c>
      <c r="K187" s="22">
        <f t="shared" si="1307"/>
        <v>526.74270000000001</v>
      </c>
      <c r="L187" s="22">
        <f t="shared" si="1307"/>
        <v>676.6354</v>
      </c>
      <c r="M187" s="22">
        <f t="shared" si="1307"/>
        <v>675.31819999999993</v>
      </c>
      <c r="N187" s="22">
        <f t="shared" si="1307"/>
        <v>651.31479999999999</v>
      </c>
      <c r="O187" s="22">
        <f t="shared" si="1307"/>
        <v>951.59349999999995</v>
      </c>
      <c r="P187" s="22">
        <f t="shared" si="1307"/>
        <v>813.32000000000016</v>
      </c>
      <c r="Q187" s="22">
        <f t="shared" si="1307"/>
        <v>893.38</v>
      </c>
      <c r="R187" s="22">
        <f t="shared" si="1307"/>
        <v>1105.4599999999998</v>
      </c>
      <c r="S187" s="22">
        <f t="shared" si="1307"/>
        <v>1365.26</v>
      </c>
      <c r="T187" s="22">
        <f t="shared" si="1307"/>
        <v>1686.4600000000003</v>
      </c>
      <c r="U187" s="22">
        <f t="shared" si="1307"/>
        <v>1721.1200000000001</v>
      </c>
      <c r="V187" s="22">
        <f t="shared" si="1307"/>
        <v>2295.8700000000003</v>
      </c>
      <c r="W187" s="22">
        <f t="shared" ref="W187" si="1308">SUM(W180:W186)</f>
        <v>2994.4399999999996</v>
      </c>
      <c r="X187" s="22">
        <f t="shared" ref="X187:Y187" si="1309">SUM(X180:X186)</f>
        <v>3264.19</v>
      </c>
      <c r="Y187" s="22">
        <f t="shared" si="1309"/>
        <v>3143.96</v>
      </c>
      <c r="Z187" s="22">
        <f t="shared" ref="Z187:AA187" si="1310">SUM(Z180:Z186)</f>
        <v>3234.39</v>
      </c>
      <c r="AA187" s="22">
        <f t="shared" si="1310"/>
        <v>4064.76</v>
      </c>
      <c r="AB187" s="21">
        <f t="shared" ref="AA187:AD187" si="1311">SUM(AB180:AB186)</f>
        <v>4816.3760806081309</v>
      </c>
      <c r="AC187" s="21">
        <f t="shared" si="1311"/>
        <v>5634.460702079954</v>
      </c>
      <c r="AD187" s="21">
        <f t="shared" si="1311"/>
        <v>6577.5788620550975</v>
      </c>
      <c r="AE187" s="21">
        <f t="shared" ref="AE187" si="1312">SUM(AE180:AE186)</f>
        <v>7677.2127050187537</v>
      </c>
      <c r="AJ187" s="22">
        <f t="shared" ref="AJ187" si="1313">SUM(AJ180:AJ186)</f>
        <v>1206.33</v>
      </c>
      <c r="AK187" s="22">
        <f t="shared" ref="AK187" si="1314">SUM(AK180:AK186)</f>
        <v>1206.33</v>
      </c>
      <c r="AL187" s="22">
        <f t="shared" ref="AL187:AM187" si="1315">SUM(AL180:AL186)</f>
        <v>1016.6199999999999</v>
      </c>
      <c r="AM187" s="22">
        <f t="shared" si="1315"/>
        <v>1010.5271177656907</v>
      </c>
      <c r="AN187" s="22">
        <f t="shared" ref="AN187:AO187" si="1316">SUM(AN180:AN186)</f>
        <v>867.93999999999994</v>
      </c>
      <c r="AO187" s="22">
        <f t="shared" si="1316"/>
        <v>881.14704736399278</v>
      </c>
      <c r="AP187" s="22">
        <f t="shared" ref="AP187:CE187" si="1317">SUM(AP180:AP186)</f>
        <v>1094.3900000000001</v>
      </c>
      <c r="AQ187" s="22">
        <f t="shared" si="1317"/>
        <v>1333.4920117729316</v>
      </c>
      <c r="AR187" s="22">
        <f t="shared" si="1317"/>
        <v>900.5</v>
      </c>
      <c r="AS187" s="22">
        <f t="shared" si="1317"/>
        <v>860.38090342757687</v>
      </c>
      <c r="AT187" s="22">
        <f t="shared" si="1317"/>
        <v>1223.7900000000002</v>
      </c>
      <c r="AU187" s="22">
        <f t="shared" si="1317"/>
        <v>1299.0724354516535</v>
      </c>
      <c r="AV187" s="22">
        <f t="shared" si="1317"/>
        <v>1636.4499999999998</v>
      </c>
      <c r="AW187" s="22">
        <f t="shared" si="1317"/>
        <v>1542.1981070459287</v>
      </c>
      <c r="AX187" s="22">
        <f t="shared" si="1317"/>
        <v>1278.8899999999999</v>
      </c>
      <c r="AY187" s="22">
        <f t="shared" si="1317"/>
        <v>1300.5498006490104</v>
      </c>
      <c r="AZ187" s="22">
        <f t="shared" si="1317"/>
        <v>1391.3</v>
      </c>
      <c r="BA187" s="22">
        <f t="shared" si="1317"/>
        <v>1338.4379176368946</v>
      </c>
      <c r="BB187" s="22">
        <f t="shared" si="1317"/>
        <v>1524.24</v>
      </c>
      <c r="BC187" s="22">
        <f t="shared" si="1317"/>
        <v>1453.9058354748524</v>
      </c>
      <c r="BD187" s="22">
        <f t="shared" si="1317"/>
        <v>1419.0900000000001</v>
      </c>
      <c r="BE187" s="22">
        <f t="shared" si="1317"/>
        <v>1498.7960929860153</v>
      </c>
      <c r="BF187" s="22">
        <f t="shared" si="1317"/>
        <v>1749.06</v>
      </c>
      <c r="BG187" s="22">
        <f t="shared" si="1317"/>
        <v>1781.1850807867168</v>
      </c>
      <c r="BH187" s="22">
        <f t="shared" ref="BH187" si="1318">SUM(BH180:BH186)</f>
        <v>2137.67</v>
      </c>
      <c r="BI187" s="22">
        <f t="shared" si="1317"/>
        <v>2179.4325344881618</v>
      </c>
      <c r="BJ187" s="22">
        <f t="shared" si="1317"/>
        <v>2127.92</v>
      </c>
      <c r="BK187" s="22">
        <f t="shared" si="1317"/>
        <v>2003.9641795174939</v>
      </c>
      <c r="BL187" s="22">
        <f t="shared" si="1317"/>
        <v>2481.7800000000002</v>
      </c>
      <c r="BM187" s="22">
        <f t="shared" si="1317"/>
        <v>2560.3724883185637</v>
      </c>
      <c r="BN187" s="22">
        <f t="shared" si="1317"/>
        <v>2500.87</v>
      </c>
      <c r="BO187" s="22">
        <f t="shared" si="1317"/>
        <v>2308.3289756328622</v>
      </c>
      <c r="BP187" s="22">
        <f t="shared" si="1317"/>
        <v>2107.77</v>
      </c>
      <c r="BQ187" s="22">
        <f t="shared" si="1317"/>
        <v>2131.7284481371648</v>
      </c>
      <c r="BR187" s="22">
        <f t="shared" si="1317"/>
        <v>2295.87</v>
      </c>
      <c r="BS187" s="22">
        <f t="shared" si="1317"/>
        <v>2351.6448096945524</v>
      </c>
      <c r="BT187" s="22">
        <f t="shared" si="1317"/>
        <v>2715.2700000000004</v>
      </c>
      <c r="BU187" s="22">
        <f t="shared" si="1317"/>
        <v>3051.9701433618529</v>
      </c>
      <c r="BV187" s="22">
        <f t="shared" si="1317"/>
        <v>2994.4399999999996</v>
      </c>
      <c r="BW187" s="22">
        <f t="shared" si="1317"/>
        <v>3183.6916046283613</v>
      </c>
      <c r="BX187" s="22">
        <f t="shared" si="1317"/>
        <v>3368.6</v>
      </c>
      <c r="BY187" s="22">
        <f t="shared" si="1317"/>
        <v>3204.2128985079589</v>
      </c>
      <c r="BZ187" s="22">
        <f t="shared" si="1317"/>
        <v>3264.19</v>
      </c>
      <c r="CA187" s="22">
        <f t="shared" si="1317"/>
        <v>2990.4909169183366</v>
      </c>
      <c r="CB187" s="22">
        <f t="shared" si="1317"/>
        <v>3069.9599999999996</v>
      </c>
      <c r="CC187" s="22">
        <f t="shared" si="1317"/>
        <v>2976.5818193720575</v>
      </c>
      <c r="CD187" s="22">
        <f t="shared" si="1317"/>
        <v>3143.96</v>
      </c>
      <c r="CE187" s="22">
        <f t="shared" si="1317"/>
        <v>3068.3195349801385</v>
      </c>
      <c r="CF187" s="22">
        <f t="shared" ref="CF187:CG187" si="1319">SUM(CF180:CF186)</f>
        <v>2940.83</v>
      </c>
      <c r="CG187" s="22">
        <f t="shared" si="1319"/>
        <v>2963.1504305989547</v>
      </c>
      <c r="CH187" s="22">
        <f t="shared" ref="CH187:CI187" si="1320">SUM(CH180:CH186)</f>
        <v>3234.39</v>
      </c>
      <c r="CI187" s="22">
        <f t="shared" si="1320"/>
        <v>2863.4205376344084</v>
      </c>
      <c r="CJ187" s="22">
        <f t="shared" ref="CJ187:DB187" si="1321">SUM(CJ180:CJ186)</f>
        <v>3426.22</v>
      </c>
      <c r="CK187" s="22">
        <f t="shared" si="1321"/>
        <v>3456.4708140509151</v>
      </c>
      <c r="CL187" s="22">
        <f t="shared" ref="CL187" si="1322">SUM(CL180:CL186)</f>
        <v>4064.76</v>
      </c>
      <c r="CM187" s="21">
        <f t="shared" si="1321"/>
        <v>3791.4055839784296</v>
      </c>
      <c r="CN187" s="21">
        <f t="shared" si="1321"/>
        <v>3611.6892271604179</v>
      </c>
      <c r="CO187" s="21">
        <f t="shared" si="1321"/>
        <v>3783.6245289065</v>
      </c>
      <c r="CP187" s="21">
        <f t="shared" si="1321"/>
        <v>4816.3760806081309</v>
      </c>
      <c r="CQ187" s="21">
        <f t="shared" si="1321"/>
        <v>4384.1758266843926</v>
      </c>
      <c r="CR187" s="21">
        <f t="shared" si="1321"/>
        <v>4201.5226584747525</v>
      </c>
      <c r="CS187" s="21">
        <f t="shared" si="1321"/>
        <v>4426.2660148076011</v>
      </c>
      <c r="CT187" s="21">
        <f t="shared" si="1321"/>
        <v>5634.460702079954</v>
      </c>
      <c r="CU187" s="21">
        <f t="shared" si="1321"/>
        <v>5106.8645055693851</v>
      </c>
      <c r="CV187" s="21">
        <f t="shared" si="1321"/>
        <v>4903.0251840367573</v>
      </c>
      <c r="CW187" s="21">
        <f t="shared" si="1321"/>
        <v>5169.3332314261106</v>
      </c>
      <c r="CX187" s="21">
        <f t="shared" si="1321"/>
        <v>6577.5788620550975</v>
      </c>
      <c r="CY187" s="21">
        <f t="shared" si="1321"/>
        <v>5958.5169322682386</v>
      </c>
      <c r="CZ187" s="21">
        <f t="shared" si="1321"/>
        <v>5723.0448437901996</v>
      </c>
      <c r="DA187" s="21">
        <f t="shared" si="1321"/>
        <v>6034.2590814046061</v>
      </c>
      <c r="DB187" s="21">
        <f t="shared" si="1321"/>
        <v>7677.2127050187537</v>
      </c>
      <c r="DE187" s="123"/>
      <c r="DF187" s="22">
        <v>0</v>
      </c>
    </row>
    <row r="188" spans="1:110" s="22" customFormat="1" x14ac:dyDescent="0.2">
      <c r="A188" s="22" t="s">
        <v>74</v>
      </c>
      <c r="B188" s="22">
        <f>B179-B187</f>
        <v>167.35860000000005</v>
      </c>
      <c r="C188" s="22">
        <f t="shared" ref="C188:V188" si="1323">C179-C187</f>
        <v>90.443600000000004</v>
      </c>
      <c r="D188" s="22">
        <f t="shared" si="1323"/>
        <v>85.93020000000007</v>
      </c>
      <c r="E188" s="22">
        <f t="shared" si="1323"/>
        <v>61.236100000000079</v>
      </c>
      <c r="F188" s="22">
        <f t="shared" si="1323"/>
        <v>116.60829999999999</v>
      </c>
      <c r="G188" s="22">
        <f t="shared" si="1323"/>
        <v>134.8177</v>
      </c>
      <c r="H188" s="22">
        <f t="shared" si="1323"/>
        <v>232.59139999999996</v>
      </c>
      <c r="I188" s="22">
        <f t="shared" si="1323"/>
        <v>258.62610000000001</v>
      </c>
      <c r="J188" s="22">
        <f t="shared" si="1323"/>
        <v>270.36930000000007</v>
      </c>
      <c r="K188" s="22">
        <f t="shared" si="1323"/>
        <v>323.30430000000001</v>
      </c>
      <c r="L188" s="22">
        <f t="shared" si="1323"/>
        <v>516.57370000000003</v>
      </c>
      <c r="M188" s="22">
        <f t="shared" si="1323"/>
        <v>516.67789999999991</v>
      </c>
      <c r="N188" s="22">
        <f t="shared" si="1323"/>
        <v>675.80529999999987</v>
      </c>
      <c r="O188" s="22">
        <f t="shared" si="1323"/>
        <v>735.22550000000001</v>
      </c>
      <c r="P188" s="22">
        <f t="shared" si="1323"/>
        <v>841.78999999999974</v>
      </c>
      <c r="Q188" s="22">
        <f t="shared" si="1323"/>
        <v>746.44000000000017</v>
      </c>
      <c r="R188" s="22">
        <f t="shared" si="1323"/>
        <v>907.38000000000011</v>
      </c>
      <c r="S188" s="22">
        <f t="shared" si="1323"/>
        <v>1098.7899999999997</v>
      </c>
      <c r="T188" s="22">
        <f t="shared" si="1323"/>
        <v>1538.9599999999998</v>
      </c>
      <c r="U188" s="22">
        <f t="shared" si="1323"/>
        <v>1052.3700000000001</v>
      </c>
      <c r="V188" s="22">
        <f t="shared" si="1323"/>
        <v>1317.4999999999995</v>
      </c>
      <c r="W188" s="22">
        <f t="shared" ref="W188" si="1324">W179-W187</f>
        <v>1893.4000000000005</v>
      </c>
      <c r="X188" s="22">
        <f t="shared" ref="X188:Y188" si="1325">X179-X187</f>
        <v>1905.6699999999996</v>
      </c>
      <c r="Y188" s="22">
        <f t="shared" si="1325"/>
        <v>2329.2299999999996</v>
      </c>
      <c r="Z188" s="22">
        <f t="shared" ref="Z188:AA188" si="1326">Z179-Z187</f>
        <v>2575.15</v>
      </c>
      <c r="AA188" s="22">
        <f t="shared" si="1326"/>
        <v>2918.45</v>
      </c>
      <c r="AB188" s="21">
        <f t="shared" ref="AA188:AD188" si="1327">AB179-AB187</f>
        <v>3744.9327710082789</v>
      </c>
      <c r="AC188" s="21">
        <f t="shared" si="1327"/>
        <v>4381.0275977272304</v>
      </c>
      <c r="AD188" s="21">
        <f t="shared" si="1327"/>
        <v>5114.3412022117864</v>
      </c>
      <c r="AE188" s="21">
        <f t="shared" ref="AE188" si="1328">AE179-AE187</f>
        <v>5969.3522615027377</v>
      </c>
      <c r="AJ188" s="22">
        <f t="shared" ref="AJ188" si="1329">AJ179-AJ187</f>
        <v>-67.299999999999955</v>
      </c>
      <c r="AK188" s="22">
        <f t="shared" ref="AK188" si="1330">AK179-AK187</f>
        <v>7.7088132978328758</v>
      </c>
      <c r="AL188" s="22">
        <f t="shared" ref="AL188:AM188" si="1331">AL179-AL187</f>
        <v>310.51000000000022</v>
      </c>
      <c r="AM188" s="22">
        <f t="shared" si="1331"/>
        <v>303.99899492758072</v>
      </c>
      <c r="AN188" s="22">
        <f t="shared" ref="AN188:AO188" si="1332">AN179-AN187</f>
        <v>491.88</v>
      </c>
      <c r="AO188" s="22">
        <f t="shared" si="1332"/>
        <v>502.44664351989002</v>
      </c>
      <c r="AP188" s="22">
        <f t="shared" ref="AP188:CE188" si="1333">AP179-AP187</f>
        <v>592.41999999999985</v>
      </c>
      <c r="AQ188" s="22">
        <f t="shared" si="1333"/>
        <v>789.28348620852967</v>
      </c>
      <c r="AR188" s="22">
        <f t="shared" si="1333"/>
        <v>605.36999999999989</v>
      </c>
      <c r="AS188" s="22">
        <f t="shared" si="1333"/>
        <v>554.68780709055318</v>
      </c>
      <c r="AT188" s="22">
        <f t="shared" si="1333"/>
        <v>431.31999999999971</v>
      </c>
      <c r="AU188" s="22">
        <f t="shared" si="1333"/>
        <v>533.95809203225599</v>
      </c>
      <c r="AV188" s="22">
        <f t="shared" si="1333"/>
        <v>132.16000000000031</v>
      </c>
      <c r="AW188" s="22">
        <f t="shared" si="1333"/>
        <v>49.253777129925538</v>
      </c>
      <c r="AX188" s="22">
        <f t="shared" si="1333"/>
        <v>360.93000000000006</v>
      </c>
      <c r="AY188" s="22">
        <f t="shared" si="1333"/>
        <v>375.206583737556</v>
      </c>
      <c r="AZ188" s="22">
        <f t="shared" si="1333"/>
        <v>507.12999999999988</v>
      </c>
      <c r="BA188" s="22">
        <f t="shared" si="1333"/>
        <v>455.14372559345043</v>
      </c>
      <c r="BB188" s="22">
        <f t="shared" si="1333"/>
        <v>488.59999999999991</v>
      </c>
      <c r="BC188" s="22">
        <f t="shared" si="1333"/>
        <v>428.9407339527263</v>
      </c>
      <c r="BD188" s="22">
        <f t="shared" si="1333"/>
        <v>1059.3900000000003</v>
      </c>
      <c r="BE188" s="22">
        <f t="shared" si="1333"/>
        <v>1129.9768986264319</v>
      </c>
      <c r="BF188" s="22">
        <f t="shared" si="1333"/>
        <v>714.98999999999978</v>
      </c>
      <c r="BG188" s="22">
        <f t="shared" si="1333"/>
        <v>733.28201312435249</v>
      </c>
      <c r="BH188" s="22">
        <f t="shared" ref="BH188" si="1334">BH179-BH187</f>
        <v>1226.5</v>
      </c>
      <c r="BI188" s="22">
        <f t="shared" si="1333"/>
        <v>1260.23749508533</v>
      </c>
      <c r="BJ188" s="22">
        <f t="shared" si="1333"/>
        <v>1097.4999999999995</v>
      </c>
      <c r="BK188" s="22">
        <f t="shared" si="1333"/>
        <v>1019.3947956860452</v>
      </c>
      <c r="BL188" s="22">
        <f t="shared" si="1333"/>
        <v>788.92000000000007</v>
      </c>
      <c r="BM188" s="22">
        <f t="shared" si="1333"/>
        <v>849.71475704914246</v>
      </c>
      <c r="BN188" s="22">
        <f t="shared" si="1333"/>
        <v>500.20000000000027</v>
      </c>
      <c r="BO188" s="22">
        <f t="shared" si="1333"/>
        <v>330.3615972936168</v>
      </c>
      <c r="BP188" s="22">
        <f t="shared" si="1333"/>
        <v>1050.2800000000002</v>
      </c>
      <c r="BQ188" s="22">
        <f t="shared" si="1333"/>
        <v>1075.4966100065217</v>
      </c>
      <c r="BR188" s="22">
        <f t="shared" si="1333"/>
        <v>1534.2599999999998</v>
      </c>
      <c r="BS188" s="22">
        <f t="shared" si="1333"/>
        <v>1574.9052869441834</v>
      </c>
      <c r="BT188" s="22">
        <f t="shared" si="1333"/>
        <v>1729.37</v>
      </c>
      <c r="BU188" s="22">
        <f t="shared" si="1333"/>
        <v>1983.2458433516376</v>
      </c>
      <c r="BV188" s="22">
        <f t="shared" si="1333"/>
        <v>2148.7500000000009</v>
      </c>
      <c r="BW188" s="22">
        <f t="shared" si="1333"/>
        <v>2314.3689645350514</v>
      </c>
      <c r="BX188" s="22">
        <f t="shared" si="1333"/>
        <v>2250.9500000000012</v>
      </c>
      <c r="BY188" s="22">
        <f t="shared" si="1333"/>
        <v>2104.7267656889626</v>
      </c>
      <c r="BZ188" s="22">
        <f t="shared" si="1333"/>
        <v>2192.8800000000006</v>
      </c>
      <c r="CA188" s="22">
        <f t="shared" si="1333"/>
        <v>1968.5695887604579</v>
      </c>
      <c r="CB188" s="22">
        <f t="shared" si="1333"/>
        <v>2340.7900000000004</v>
      </c>
      <c r="CC188" s="22">
        <f t="shared" si="1333"/>
        <v>2253.1439240123887</v>
      </c>
      <c r="CD188" s="22">
        <f t="shared" si="1333"/>
        <v>2605.87</v>
      </c>
      <c r="CE188" s="22">
        <f t="shared" si="1333"/>
        <v>2534.5740020281587</v>
      </c>
      <c r="CF188" s="22">
        <f t="shared" ref="CF188:CG188" si="1335">CF179-CF187</f>
        <v>3327.5</v>
      </c>
      <c r="CG188" s="22">
        <f t="shared" si="1335"/>
        <v>3350.0917096048834</v>
      </c>
      <c r="CH188" s="22">
        <f t="shared" ref="CH188:CI188" si="1336">CH179-CH187</f>
        <v>2575.15</v>
      </c>
      <c r="CI188" s="22">
        <f t="shared" si="1336"/>
        <v>2279.7922939068098</v>
      </c>
      <c r="CJ188" s="22">
        <f t="shared" ref="CJ188:DB188" si="1337">CJ179-CJ187</f>
        <v>3110.0400000000004</v>
      </c>
      <c r="CK188" s="22">
        <f t="shared" si="1337"/>
        <v>3137.4991946024797</v>
      </c>
      <c r="CL188" s="22">
        <f t="shared" ref="CL188" si="1338">CL179-CL187</f>
        <v>3160.5200000000004</v>
      </c>
      <c r="CM188" s="21">
        <f t="shared" si="1337"/>
        <v>2947.975569597098</v>
      </c>
      <c r="CN188" s="21">
        <f t="shared" si="1337"/>
        <v>2808.2386257060784</v>
      </c>
      <c r="CO188" s="21">
        <f t="shared" si="1337"/>
        <v>2941.9254755753291</v>
      </c>
      <c r="CP188" s="21">
        <f t="shared" si="1337"/>
        <v>3744.9327710082789</v>
      </c>
      <c r="CQ188" s="21">
        <f t="shared" si="1337"/>
        <v>3408.8790934157369</v>
      </c>
      <c r="CR188" s="21">
        <f t="shared" si="1337"/>
        <v>3266.8586564920497</v>
      </c>
      <c r="CS188" s="21">
        <f t="shared" si="1337"/>
        <v>3441.605965695323</v>
      </c>
      <c r="CT188" s="21">
        <f t="shared" si="1337"/>
        <v>4381.0275977272304</v>
      </c>
      <c r="CU188" s="21">
        <f t="shared" si="1337"/>
        <v>3970.7996061617796</v>
      </c>
      <c r="CV188" s="21">
        <f t="shared" si="1337"/>
        <v>3812.3060536543007</v>
      </c>
      <c r="CW188" s="21">
        <f t="shared" si="1337"/>
        <v>4019.3716393063432</v>
      </c>
      <c r="CX188" s="21">
        <f t="shared" si="1337"/>
        <v>5114.3412022117864</v>
      </c>
      <c r="CY188" s="21">
        <f t="shared" si="1337"/>
        <v>4632.9947979148628</v>
      </c>
      <c r="CZ188" s="21">
        <f t="shared" si="1337"/>
        <v>4449.9054531376514</v>
      </c>
      <c r="DA188" s="21">
        <f t="shared" si="1337"/>
        <v>4691.8874698532973</v>
      </c>
      <c r="DB188" s="21">
        <f t="shared" si="1337"/>
        <v>5969.3522615027377</v>
      </c>
      <c r="DE188" s="123"/>
      <c r="DF188" s="22">
        <v>0</v>
      </c>
    </row>
    <row r="189" spans="1:110" s="23" customFormat="1" x14ac:dyDescent="0.2">
      <c r="AB189" s="24"/>
      <c r="AC189" s="24"/>
      <c r="AD189" s="24"/>
      <c r="AE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E189" s="121"/>
    </row>
    <row r="190" spans="1:110" s="23" customFormat="1" outlineLevel="1" x14ac:dyDescent="0.2">
      <c r="A190" s="23" t="s">
        <v>75</v>
      </c>
      <c r="B190" s="23">
        <f>'Annual Raw'!C75</f>
        <v>3.7233999999999998</v>
      </c>
      <c r="C190" s="23">
        <f>'Annual Raw'!D75</f>
        <v>1.7887</v>
      </c>
      <c r="D190" s="23">
        <f>'Annual Raw'!E75</f>
        <v>1.5281</v>
      </c>
      <c r="E190" s="23">
        <f>'Annual Raw'!F75</f>
        <v>0</v>
      </c>
      <c r="F190" s="23">
        <f>'Annual Raw'!G75</f>
        <v>0</v>
      </c>
      <c r="G190" s="23">
        <f>'Annual Raw'!H75</f>
        <v>0</v>
      </c>
      <c r="H190" s="23">
        <f>'Annual Raw'!I75</f>
        <v>0.14510000000000001</v>
      </c>
      <c r="I190" s="23">
        <f>'Annual Raw'!J75</f>
        <v>47.151499999999999</v>
      </c>
      <c r="J190" s="23">
        <f>'Annual Raw'!K75</f>
        <v>36.169899999999998</v>
      </c>
      <c r="K190" s="23">
        <f>'Annual Raw'!L75</f>
        <v>0.15640000000000001</v>
      </c>
      <c r="L190" s="23">
        <f>'Annual Raw'!M75</f>
        <v>110.3507</v>
      </c>
      <c r="M190" s="23">
        <f>'Annual Raw'!N75</f>
        <v>134.2123</v>
      </c>
      <c r="N190" s="23">
        <f>'Annual Raw'!O75</f>
        <v>141.4633</v>
      </c>
      <c r="O190" s="23">
        <f>'Annual Raw'!P75</f>
        <v>26.4802</v>
      </c>
      <c r="P190" s="23">
        <f>'Annual Raw'!Q75</f>
        <v>94.22</v>
      </c>
      <c r="Q190" s="23">
        <f>'Annual Raw'!R75</f>
        <v>160.6</v>
      </c>
      <c r="R190" s="23">
        <f>'Annual Raw'!S75</f>
        <v>170.76</v>
      </c>
      <c r="S190" s="23">
        <f>'Annual Raw'!T75</f>
        <v>121.7</v>
      </c>
      <c r="T190" s="23">
        <f>'Annual Raw'!U75</f>
        <v>100.49</v>
      </c>
      <c r="U190" s="23">
        <f>'Annual Raw'!V75</f>
        <v>198.5</v>
      </c>
      <c r="V190" s="23">
        <f>'Annual Raw'!W75</f>
        <v>412.52</v>
      </c>
      <c r="W190" s="23">
        <f>'Annual Raw'!X75</f>
        <v>316.74</v>
      </c>
      <c r="X190" s="23">
        <f>'Annual Raw'!Y75</f>
        <v>490.05</v>
      </c>
      <c r="Y190" s="23">
        <f>'Annual Raw'!Z75</f>
        <v>405.58</v>
      </c>
      <c r="Z190" s="23">
        <f>'Annual Raw'!AA75</f>
        <v>704.53</v>
      </c>
      <c r="AA190" s="23">
        <f>'Annual Raw'!AB75</f>
        <v>563.29999999999995</v>
      </c>
      <c r="AB190" s="24">
        <f t="shared" ref="AB190:AB191" si="1339">+CP190</f>
        <v>0</v>
      </c>
      <c r="AC190" s="24">
        <f t="shared" ref="AC190:AC191" si="1340">+CT190</f>
        <v>0</v>
      </c>
      <c r="AD190" s="24">
        <f t="shared" ref="AD190:AD191" si="1341">+CX190</f>
        <v>0</v>
      </c>
      <c r="AE190" s="24">
        <f t="shared" ref="AE190:AE191" si="1342">+DB190</f>
        <v>0</v>
      </c>
      <c r="AJ190" s="23">
        <f>+'QTR Raw'!D80</f>
        <v>62.72</v>
      </c>
      <c r="AL190" s="23">
        <f>+'QTR Raw'!F80</f>
        <v>141.46</v>
      </c>
      <c r="AN190" s="23">
        <f>+'QTR Raw'!H80</f>
        <v>148.22999999999999</v>
      </c>
      <c r="AP190" s="23">
        <f>+'QTR Raw'!J80</f>
        <v>26.48</v>
      </c>
      <c r="AR190" s="23">
        <f>+'QTR Raw'!L80</f>
        <v>95.4</v>
      </c>
      <c r="AT190" s="23">
        <f>+'QTR Raw'!N80</f>
        <v>94.22</v>
      </c>
      <c r="AV190" s="23">
        <f>+'QTR Raw'!P80</f>
        <v>229.22</v>
      </c>
      <c r="AX190" s="23">
        <f>+'QTR Raw'!R80</f>
        <v>160.6</v>
      </c>
      <c r="AZ190" s="23">
        <f>+'QTR Raw'!T80</f>
        <v>246.08</v>
      </c>
      <c r="BB190" s="23">
        <f>+'QTR Raw'!V80</f>
        <v>170.76</v>
      </c>
      <c r="BD190" s="23">
        <f>+'QTR Raw'!X80</f>
        <v>117.87</v>
      </c>
      <c r="BF190" s="23">
        <f>+'QTR Raw'!Z80</f>
        <v>121.7</v>
      </c>
      <c r="BH190" s="23">
        <f>+'QTR Raw'!AB80</f>
        <v>96.54</v>
      </c>
      <c r="BJ190" s="23">
        <f>+'QTR Raw'!AD80</f>
        <v>100.49</v>
      </c>
      <c r="BL190" s="23">
        <f>+'QTR Raw'!AF80</f>
        <v>104.42</v>
      </c>
      <c r="BN190" s="23">
        <f>+'QTR Raw'!AH80</f>
        <v>198.5</v>
      </c>
      <c r="BP190" s="23">
        <f>+'QTR Raw'!AJ80</f>
        <v>397.4</v>
      </c>
      <c r="BR190" s="23">
        <f>+'QTR Raw'!AL80</f>
        <v>412.52</v>
      </c>
      <c r="BT190" s="23">
        <f>+'QTR Raw'!AN80</f>
        <v>584.04999999999995</v>
      </c>
      <c r="BV190" s="23">
        <f>+'QTR Raw'!AP80</f>
        <v>316.74</v>
      </c>
      <c r="BX190" s="23">
        <f>+'QTR Raw'!AR80</f>
        <v>324.5</v>
      </c>
      <c r="BZ190" s="23">
        <f>+'QTR Raw'!AT80</f>
        <v>490.05</v>
      </c>
      <c r="CB190" s="23">
        <f>+'QTR Raw'!AV80</f>
        <v>553.27</v>
      </c>
      <c r="CD190" s="23">
        <f>+'QTR Raw'!AX80</f>
        <v>405.58</v>
      </c>
      <c r="CF190" s="23">
        <f>+'QTR Raw'!AZ80</f>
        <v>456.81</v>
      </c>
      <c r="CH190" s="23">
        <f t="shared" ref="CH190:CH191" si="1343">Z190</f>
        <v>704.53</v>
      </c>
      <c r="CJ190" s="23">
        <f>+'QTR Raw'!BD80</f>
        <v>412.29</v>
      </c>
      <c r="CL190" s="23">
        <f>+'QTR Raw'!BF80</f>
        <v>563.29999999999995</v>
      </c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E190" s="121"/>
      <c r="DF190" s="23">
        <v>0</v>
      </c>
    </row>
    <row r="191" spans="1:110" s="23" customFormat="1" outlineLevel="1" x14ac:dyDescent="0.2">
      <c r="A191" s="23" t="s">
        <v>76</v>
      </c>
      <c r="B191" s="23">
        <f>'Annual Raw'!C78</f>
        <v>21.325299999999999</v>
      </c>
      <c r="C191" s="23">
        <f>'Annual Raw'!D78</f>
        <v>21.5777</v>
      </c>
      <c r="D191" s="23">
        <f>'Annual Raw'!E78</f>
        <v>30.645499999999998</v>
      </c>
      <c r="E191" s="23">
        <f>'Annual Raw'!F78</f>
        <v>55.816499999999998</v>
      </c>
      <c r="F191" s="23">
        <f>'Annual Raw'!G78</f>
        <v>10.8499</v>
      </c>
      <c r="G191" s="23">
        <f>'Annual Raw'!H78</f>
        <v>10.149800000000001</v>
      </c>
      <c r="H191" s="23">
        <f>'Annual Raw'!I78</f>
        <v>20.436699999999998</v>
      </c>
      <c r="I191" s="23">
        <f>'Annual Raw'!J78</f>
        <v>22.5641</v>
      </c>
      <c r="J191" s="23">
        <f>'Annual Raw'!K78</f>
        <v>8.9588999999999999</v>
      </c>
      <c r="K191" s="23">
        <f>'Annual Raw'!L78</f>
        <v>90.402100000000004</v>
      </c>
      <c r="L191" s="23">
        <f>'Annual Raw'!M78</f>
        <v>90.247299999999996</v>
      </c>
      <c r="M191" s="23">
        <f>'Annual Raw'!N78</f>
        <v>140.07839999999999</v>
      </c>
      <c r="N191" s="23">
        <f>'Annual Raw'!O78</f>
        <v>190.97460000000001</v>
      </c>
      <c r="O191" s="23">
        <f>'Annual Raw'!P78</f>
        <v>82.458699999999993</v>
      </c>
      <c r="P191" s="23">
        <f>'Annual Raw'!Q78</f>
        <v>107.3</v>
      </c>
      <c r="Q191" s="23">
        <f>'Annual Raw'!R78</f>
        <v>389.23</v>
      </c>
      <c r="R191" s="23">
        <f>'Annual Raw'!S78</f>
        <v>96.12</v>
      </c>
      <c r="S191" s="23">
        <f>'Annual Raw'!T78</f>
        <v>96.74</v>
      </c>
      <c r="T191" s="23">
        <f>'Annual Raw'!U78</f>
        <v>198.88</v>
      </c>
      <c r="U191" s="23">
        <f>'Annual Raw'!V78</f>
        <v>125.47</v>
      </c>
      <c r="V191" s="23">
        <f>'Annual Raw'!W78</f>
        <v>282</v>
      </c>
      <c r="W191" s="23">
        <f>'Annual Raw'!X78</f>
        <v>459.35</v>
      </c>
      <c r="X191" s="23">
        <f>'Annual Raw'!Y78</f>
        <v>616.46</v>
      </c>
      <c r="Y191" s="23">
        <f>'Annual Raw'!Z78</f>
        <v>407.54</v>
      </c>
      <c r="Z191" s="23">
        <f>'Annual Raw'!AA78</f>
        <v>353.75</v>
      </c>
      <c r="AA191" s="23">
        <f>'Annual Raw'!AB78</f>
        <v>610.96</v>
      </c>
      <c r="AB191" s="24">
        <f t="shared" si="1339"/>
        <v>3877.9412311068891</v>
      </c>
      <c r="AC191" s="24">
        <f t="shared" si="1340"/>
        <v>7246.7527264045721</v>
      </c>
      <c r="AD191" s="24">
        <f t="shared" si="1341"/>
        <v>11231.097720628024</v>
      </c>
      <c r="AE191" s="24">
        <f t="shared" si="1342"/>
        <v>15932.209552797087</v>
      </c>
      <c r="AJ191" s="23">
        <f>+'QTR Raw'!D83</f>
        <v>78.430000000000007</v>
      </c>
      <c r="AK191" s="23">
        <f t="shared" ref="AK191:AM191" si="1344">+AK241</f>
        <v>155.39118670216698</v>
      </c>
      <c r="AL191" s="23">
        <f>+'QTR Raw'!F83</f>
        <v>190.96</v>
      </c>
      <c r="AM191" s="23">
        <f t="shared" si="1344"/>
        <v>382.74100507241963</v>
      </c>
      <c r="AN191" s="23">
        <f>+'QTR Raw'!H83</f>
        <v>102.11</v>
      </c>
      <c r="AO191" s="23">
        <f t="shared" ref="AO191" si="1345">+AO241</f>
        <v>311.83335648011018</v>
      </c>
      <c r="AP191" s="23">
        <f>+'QTR Raw'!J83</f>
        <v>82.46</v>
      </c>
      <c r="AQ191" s="23">
        <f t="shared" ref="AQ191" si="1346">+AQ241</f>
        <v>4.5765137914706031</v>
      </c>
      <c r="AR191" s="23">
        <f>+'QTR Raw'!L83</f>
        <v>232.12</v>
      </c>
      <c r="AS191" s="23">
        <f t="shared" ref="AS191" si="1347">+AS241</f>
        <v>449.60219290944627</v>
      </c>
      <c r="AT191" s="23">
        <f>+'QTR Raw'!N83</f>
        <v>107.3</v>
      </c>
      <c r="AU191" s="23">
        <f t="shared" ref="AU191" si="1348">+AU241</f>
        <v>212.30190796774394</v>
      </c>
      <c r="AV191" s="23">
        <f>+'QTR Raw'!P83</f>
        <v>96.91</v>
      </c>
      <c r="AW191" s="23">
        <f t="shared" ref="AW191" si="1349">+AW241</f>
        <v>505.91622287007499</v>
      </c>
      <c r="AX191" s="23">
        <f>+'QTR Raw'!R83</f>
        <v>389.23</v>
      </c>
      <c r="AY191" s="23">
        <f t="shared" ref="AY191" si="1350">+AY241</f>
        <v>690.11341626244393</v>
      </c>
      <c r="AZ191" s="23">
        <f>+'QTR Raw'!T83</f>
        <v>79.66</v>
      </c>
      <c r="BA191" s="23">
        <f t="shared" ref="BA191" si="1351">+BA241</f>
        <v>486.09627440654975</v>
      </c>
      <c r="BB191" s="23">
        <f>+'QTR Raw'!V83</f>
        <v>96.12</v>
      </c>
      <c r="BC191" s="23">
        <f t="shared" ref="BC191" si="1352">+BC241</f>
        <v>430.34926604727337</v>
      </c>
      <c r="BD191" s="23">
        <f>+'QTR Raw'!X83</f>
        <v>96.53</v>
      </c>
      <c r="BE191" s="23">
        <f t="shared" ref="BE191" si="1353">+BE241</f>
        <v>275.03310137356789</v>
      </c>
      <c r="BF191" s="23">
        <f>+'QTR Raw'!Z83</f>
        <v>96.74</v>
      </c>
      <c r="BG191" s="23">
        <f t="shared" ref="BG191" si="1354">+BG241</f>
        <v>333.98798687564721</v>
      </c>
      <c r="BH191" s="23">
        <f>+'QTR Raw'!AB83</f>
        <v>104.2</v>
      </c>
      <c r="BI191" s="23">
        <f t="shared" ref="BI191" si="1355">+BI241</f>
        <v>332.71250491467032</v>
      </c>
      <c r="BJ191" s="23">
        <f>+'QTR Raw'!AD83</f>
        <v>198.88</v>
      </c>
      <c r="BK191" s="23">
        <f t="shared" ref="BK191" si="1356">+BK241</f>
        <v>566.69520431395347</v>
      </c>
      <c r="BL191" s="23">
        <f>+'QTR Raw'!AF83</f>
        <v>185.62</v>
      </c>
      <c r="BM191" s="23">
        <f t="shared" ref="BM191" si="1357">+BM241</f>
        <v>572.23524295085804</v>
      </c>
      <c r="BN191" s="23">
        <f>+'QTR Raw'!AH83</f>
        <v>125.47</v>
      </c>
      <c r="BO191" s="23">
        <f t="shared" ref="BO191" si="1358">+BO241</f>
        <v>670.89840270638319</v>
      </c>
      <c r="BP191" s="23">
        <f>+'QTR Raw'!AJ83</f>
        <v>191.24</v>
      </c>
      <c r="BQ191" s="23">
        <f t="shared" ref="BQ191" si="1359">+BQ241</f>
        <v>888.1533899934791</v>
      </c>
      <c r="BR191" s="23">
        <f>+'QTR Raw'!AL83</f>
        <v>282</v>
      </c>
      <c r="BS191" s="23">
        <f t="shared" ref="BS191" si="1360">+BS241</f>
        <v>1049.154713055816</v>
      </c>
      <c r="BT191" s="23">
        <f>+'QTR Raw'!AN83</f>
        <v>162.97999999999999</v>
      </c>
      <c r="BU191" s="23">
        <f t="shared" ref="BU191" si="1361">+BU241</f>
        <v>998.69415664836276</v>
      </c>
      <c r="BV191" s="23">
        <f>+'QTR Raw'!AP83</f>
        <v>459.35</v>
      </c>
      <c r="BW191" s="23">
        <f t="shared" ref="BW191" si="1362">+BW241</f>
        <v>1218.4710354649496</v>
      </c>
      <c r="BX191" s="23">
        <f>+'QTR Raw'!AR83</f>
        <v>363.94</v>
      </c>
      <c r="BY191" s="23">
        <f t="shared" ref="BY191" si="1363">+BY241</f>
        <v>1345.563234311039</v>
      </c>
      <c r="BZ191" s="23">
        <f>+'QTR Raw'!AT83</f>
        <v>616.46</v>
      </c>
      <c r="CA191" s="23">
        <f t="shared" ref="CA191" si="1364">+CA241</f>
        <v>1690.1104112395415</v>
      </c>
      <c r="CB191" s="23">
        <f>+'QTR Raw'!AV83</f>
        <v>397.19</v>
      </c>
      <c r="CC191" s="23">
        <f t="shared" ref="CC191" si="1365">+CC241</f>
        <v>1291.5360759876125</v>
      </c>
      <c r="CD191" s="23">
        <f>+'QTR Raw'!AX83</f>
        <v>407.54</v>
      </c>
      <c r="CE191" s="23">
        <f t="shared" ref="CE191" si="1366">+CE241</f>
        <v>1136.6359979718413</v>
      </c>
      <c r="CF191" s="23">
        <f>+'QTR Raw'!AZ83</f>
        <v>154.51</v>
      </c>
      <c r="CG191" s="23">
        <f t="shared" ref="CG191:CI191" si="1367">+CG241</f>
        <v>859.80829039511673</v>
      </c>
      <c r="CH191" s="23">
        <f t="shared" si="1343"/>
        <v>353.75</v>
      </c>
      <c r="CI191" s="23">
        <f t="shared" si="1367"/>
        <v>1989.1977060931899</v>
      </c>
      <c r="CJ191" s="23">
        <f>+'QTR Raw'!BD83</f>
        <v>222.38</v>
      </c>
      <c r="CK191" s="23">
        <f t="shared" ref="CK191:DB191" si="1368">+CK241</f>
        <v>1256.7608053975209</v>
      </c>
      <c r="CL191" s="23">
        <f>+'QTR Raw'!BF83</f>
        <v>610.96</v>
      </c>
      <c r="CM191" s="24">
        <f t="shared" si="1368"/>
        <v>2152.2498644974817</v>
      </c>
      <c r="CN191" s="24">
        <f t="shared" si="1368"/>
        <v>3035.820439581048</v>
      </c>
      <c r="CO191" s="24">
        <f t="shared" si="1368"/>
        <v>3702.5756662050999</v>
      </c>
      <c r="CP191" s="24">
        <f t="shared" si="1368"/>
        <v>3877.9412311068891</v>
      </c>
      <c r="CQ191" s="24">
        <f t="shared" si="1368"/>
        <v>5148.882667068141</v>
      </c>
      <c r="CR191" s="24">
        <f t="shared" si="1368"/>
        <v>6200.581420069343</v>
      </c>
      <c r="CS191" s="24">
        <f t="shared" si="1368"/>
        <v>6987.5211911177976</v>
      </c>
      <c r="CT191" s="24">
        <f t="shared" si="1368"/>
        <v>7246.7527264045721</v>
      </c>
      <c r="CU191" s="24">
        <f t="shared" si="1368"/>
        <v>8757.3631660284427</v>
      </c>
      <c r="CV191" s="24">
        <f t="shared" si="1368"/>
        <v>9986.659363642837</v>
      </c>
      <c r="CW191" s="24">
        <f t="shared" si="1368"/>
        <v>10911.032063949851</v>
      </c>
      <c r="CX191" s="24">
        <f t="shared" si="1368"/>
        <v>11231.097720628024</v>
      </c>
      <c r="CY191" s="24">
        <f t="shared" si="1368"/>
        <v>13007.590102736325</v>
      </c>
      <c r="CZ191" s="24">
        <f t="shared" si="1368"/>
        <v>14452.273984869578</v>
      </c>
      <c r="DA191" s="24">
        <f t="shared" si="1368"/>
        <v>15543.766298083674</v>
      </c>
      <c r="DB191" s="24">
        <f t="shared" si="1368"/>
        <v>15932.209552797087</v>
      </c>
      <c r="DE191" s="121"/>
      <c r="DF191" s="23">
        <v>0</v>
      </c>
    </row>
    <row r="192" spans="1:110" s="22" customFormat="1" x14ac:dyDescent="0.2">
      <c r="A192" s="22" t="s">
        <v>77</v>
      </c>
      <c r="B192" s="22">
        <f>B190+B191</f>
        <v>25.048699999999997</v>
      </c>
      <c r="C192" s="22">
        <f t="shared" ref="C192:V192" si="1369">C190+C191</f>
        <v>23.366399999999999</v>
      </c>
      <c r="D192" s="22">
        <f t="shared" si="1369"/>
        <v>32.1736</v>
      </c>
      <c r="E192" s="22">
        <f t="shared" si="1369"/>
        <v>55.816499999999998</v>
      </c>
      <c r="F192" s="22">
        <f t="shared" si="1369"/>
        <v>10.8499</v>
      </c>
      <c r="G192" s="22">
        <f t="shared" si="1369"/>
        <v>10.149800000000001</v>
      </c>
      <c r="H192" s="22">
        <f t="shared" si="1369"/>
        <v>20.581799999999998</v>
      </c>
      <c r="I192" s="22">
        <f t="shared" si="1369"/>
        <v>69.715599999999995</v>
      </c>
      <c r="J192" s="22">
        <f t="shared" si="1369"/>
        <v>45.128799999999998</v>
      </c>
      <c r="K192" s="22">
        <f t="shared" si="1369"/>
        <v>90.558500000000009</v>
      </c>
      <c r="L192" s="22">
        <f t="shared" si="1369"/>
        <v>200.59800000000001</v>
      </c>
      <c r="M192" s="22">
        <f t="shared" si="1369"/>
        <v>274.29070000000002</v>
      </c>
      <c r="N192" s="22">
        <f t="shared" si="1369"/>
        <v>332.43790000000001</v>
      </c>
      <c r="O192" s="22">
        <f t="shared" si="1369"/>
        <v>108.93889999999999</v>
      </c>
      <c r="P192" s="22">
        <f t="shared" si="1369"/>
        <v>201.51999999999998</v>
      </c>
      <c r="Q192" s="22">
        <f t="shared" si="1369"/>
        <v>549.83000000000004</v>
      </c>
      <c r="R192" s="22">
        <f t="shared" si="1369"/>
        <v>266.88</v>
      </c>
      <c r="S192" s="22">
        <f t="shared" si="1369"/>
        <v>218.44</v>
      </c>
      <c r="T192" s="22">
        <f t="shared" si="1369"/>
        <v>299.37</v>
      </c>
      <c r="U192" s="22">
        <f t="shared" si="1369"/>
        <v>323.97000000000003</v>
      </c>
      <c r="V192" s="22">
        <f t="shared" si="1369"/>
        <v>694.52</v>
      </c>
      <c r="W192" s="22">
        <f t="shared" ref="W192" si="1370">W190+W191</f>
        <v>776.09</v>
      </c>
      <c r="X192" s="22">
        <f t="shared" ref="X192:Y192" si="1371">X190+X191</f>
        <v>1106.51</v>
      </c>
      <c r="Y192" s="22">
        <f t="shared" si="1371"/>
        <v>813.12</v>
      </c>
      <c r="Z192" s="22">
        <f t="shared" ref="Z192:AA192" si="1372">Z190+Z191</f>
        <v>1058.28</v>
      </c>
      <c r="AA192" s="22">
        <f t="shared" si="1372"/>
        <v>1174.26</v>
      </c>
      <c r="AB192" s="21">
        <f t="shared" ref="AA192:AD192" si="1373">AB190+AB191</f>
        <v>3877.9412311068891</v>
      </c>
      <c r="AC192" s="21">
        <f t="shared" si="1373"/>
        <v>7246.7527264045721</v>
      </c>
      <c r="AD192" s="21">
        <f t="shared" si="1373"/>
        <v>11231.097720628024</v>
      </c>
      <c r="AE192" s="21">
        <f t="shared" ref="AE192" si="1374">AE190+AE191</f>
        <v>15932.209552797087</v>
      </c>
      <c r="AJ192" s="22">
        <f t="shared" ref="AJ192" si="1375">AJ190+AJ191</f>
        <v>141.15</v>
      </c>
      <c r="AK192" s="22">
        <f t="shared" ref="AK192" si="1376">AK190+AK191</f>
        <v>155.39118670216698</v>
      </c>
      <c r="AL192" s="22">
        <f t="shared" ref="AL192:AM192" si="1377">AL190+AL191</f>
        <v>332.42</v>
      </c>
      <c r="AM192" s="22">
        <f t="shared" si="1377"/>
        <v>382.74100507241963</v>
      </c>
      <c r="AN192" s="22">
        <f t="shared" ref="AN192:AO192" si="1378">AN190+AN191</f>
        <v>250.33999999999997</v>
      </c>
      <c r="AO192" s="22">
        <f t="shared" si="1378"/>
        <v>311.83335648011018</v>
      </c>
      <c r="AP192" s="22">
        <f t="shared" ref="AP192:CE192" si="1379">AP190+AP191</f>
        <v>108.94</v>
      </c>
      <c r="AQ192" s="22">
        <f t="shared" si="1379"/>
        <v>4.5765137914706031</v>
      </c>
      <c r="AR192" s="22">
        <f t="shared" si="1379"/>
        <v>327.52</v>
      </c>
      <c r="AS192" s="22">
        <f t="shared" si="1379"/>
        <v>449.60219290944627</v>
      </c>
      <c r="AT192" s="22">
        <f t="shared" si="1379"/>
        <v>201.51999999999998</v>
      </c>
      <c r="AU192" s="22">
        <f t="shared" si="1379"/>
        <v>212.30190796774394</v>
      </c>
      <c r="AV192" s="22">
        <f t="shared" si="1379"/>
        <v>326.13</v>
      </c>
      <c r="AW192" s="22">
        <f t="shared" si="1379"/>
        <v>505.91622287007499</v>
      </c>
      <c r="AX192" s="22">
        <f t="shared" si="1379"/>
        <v>549.83000000000004</v>
      </c>
      <c r="AY192" s="22">
        <f t="shared" si="1379"/>
        <v>690.11341626244393</v>
      </c>
      <c r="AZ192" s="22">
        <f t="shared" si="1379"/>
        <v>325.74</v>
      </c>
      <c r="BA192" s="22">
        <f t="shared" si="1379"/>
        <v>486.09627440654975</v>
      </c>
      <c r="BB192" s="22">
        <f t="shared" si="1379"/>
        <v>266.88</v>
      </c>
      <c r="BC192" s="22">
        <f t="shared" si="1379"/>
        <v>430.34926604727337</v>
      </c>
      <c r="BD192" s="22">
        <f t="shared" si="1379"/>
        <v>214.4</v>
      </c>
      <c r="BE192" s="22">
        <f t="shared" si="1379"/>
        <v>275.03310137356789</v>
      </c>
      <c r="BF192" s="22">
        <f t="shared" si="1379"/>
        <v>218.44</v>
      </c>
      <c r="BG192" s="22">
        <f t="shared" si="1379"/>
        <v>333.98798687564721</v>
      </c>
      <c r="BH192" s="22">
        <f t="shared" si="1379"/>
        <v>200.74</v>
      </c>
      <c r="BI192" s="22">
        <f t="shared" si="1379"/>
        <v>332.71250491467032</v>
      </c>
      <c r="BJ192" s="22">
        <f t="shared" si="1379"/>
        <v>299.37</v>
      </c>
      <c r="BK192" s="22">
        <f t="shared" si="1379"/>
        <v>566.69520431395347</v>
      </c>
      <c r="BL192" s="22">
        <f t="shared" si="1379"/>
        <v>290.04000000000002</v>
      </c>
      <c r="BM192" s="22">
        <f t="shared" si="1379"/>
        <v>572.23524295085804</v>
      </c>
      <c r="BN192" s="22">
        <f t="shared" si="1379"/>
        <v>323.97000000000003</v>
      </c>
      <c r="BO192" s="22">
        <f t="shared" si="1379"/>
        <v>670.89840270638319</v>
      </c>
      <c r="BP192" s="22">
        <f t="shared" si="1379"/>
        <v>588.64</v>
      </c>
      <c r="BQ192" s="22">
        <f t="shared" si="1379"/>
        <v>888.1533899934791</v>
      </c>
      <c r="BR192" s="22">
        <f t="shared" si="1379"/>
        <v>694.52</v>
      </c>
      <c r="BS192" s="22">
        <f t="shared" si="1379"/>
        <v>1049.154713055816</v>
      </c>
      <c r="BT192" s="22">
        <f t="shared" si="1379"/>
        <v>747.03</v>
      </c>
      <c r="BU192" s="22">
        <f t="shared" si="1379"/>
        <v>998.69415664836276</v>
      </c>
      <c r="BV192" s="22">
        <f t="shared" si="1379"/>
        <v>776.09</v>
      </c>
      <c r="BW192" s="22">
        <f t="shared" si="1379"/>
        <v>1218.4710354649496</v>
      </c>
      <c r="BX192" s="22">
        <f t="shared" si="1379"/>
        <v>688.44</v>
      </c>
      <c r="BY192" s="22">
        <f t="shared" si="1379"/>
        <v>1345.563234311039</v>
      </c>
      <c r="BZ192" s="22">
        <f t="shared" si="1379"/>
        <v>1106.51</v>
      </c>
      <c r="CA192" s="22">
        <f t="shared" si="1379"/>
        <v>1690.1104112395415</v>
      </c>
      <c r="CB192" s="22">
        <f t="shared" si="1379"/>
        <v>950.46</v>
      </c>
      <c r="CC192" s="22">
        <f t="shared" si="1379"/>
        <v>1291.5360759876125</v>
      </c>
      <c r="CD192" s="22">
        <f t="shared" si="1379"/>
        <v>813.12</v>
      </c>
      <c r="CE192" s="22">
        <f t="shared" si="1379"/>
        <v>1136.6359979718413</v>
      </c>
      <c r="CF192" s="22">
        <f t="shared" ref="CF192:CG192" si="1380">CF190+CF191</f>
        <v>611.31999999999994</v>
      </c>
      <c r="CG192" s="22">
        <f t="shared" si="1380"/>
        <v>859.80829039511673</v>
      </c>
      <c r="CH192" s="22">
        <f t="shared" ref="CH192:CI192" si="1381">CH190+CH191</f>
        <v>1058.28</v>
      </c>
      <c r="CI192" s="22">
        <f t="shared" si="1381"/>
        <v>1989.1977060931899</v>
      </c>
      <c r="CJ192" s="22">
        <f t="shared" ref="CJ192:DB192" si="1382">CJ190+CJ191</f>
        <v>634.67000000000007</v>
      </c>
      <c r="CK192" s="22">
        <f t="shared" si="1382"/>
        <v>1256.7608053975209</v>
      </c>
      <c r="CL192" s="22">
        <f t="shared" ref="CL192" si="1383">CL190+CL191</f>
        <v>1174.26</v>
      </c>
      <c r="CM192" s="21">
        <f t="shared" si="1382"/>
        <v>2152.2498644974817</v>
      </c>
      <c r="CN192" s="21">
        <f t="shared" si="1382"/>
        <v>3035.820439581048</v>
      </c>
      <c r="CO192" s="21">
        <f t="shared" si="1382"/>
        <v>3702.5756662050999</v>
      </c>
      <c r="CP192" s="21">
        <f t="shared" si="1382"/>
        <v>3877.9412311068891</v>
      </c>
      <c r="CQ192" s="21">
        <f t="shared" si="1382"/>
        <v>5148.882667068141</v>
      </c>
      <c r="CR192" s="21">
        <f t="shared" si="1382"/>
        <v>6200.581420069343</v>
      </c>
      <c r="CS192" s="21">
        <f t="shared" si="1382"/>
        <v>6987.5211911177976</v>
      </c>
      <c r="CT192" s="21">
        <f t="shared" si="1382"/>
        <v>7246.7527264045721</v>
      </c>
      <c r="CU192" s="21">
        <f t="shared" si="1382"/>
        <v>8757.3631660284427</v>
      </c>
      <c r="CV192" s="21">
        <f t="shared" si="1382"/>
        <v>9986.659363642837</v>
      </c>
      <c r="CW192" s="21">
        <f t="shared" si="1382"/>
        <v>10911.032063949851</v>
      </c>
      <c r="CX192" s="21">
        <f t="shared" si="1382"/>
        <v>11231.097720628024</v>
      </c>
      <c r="CY192" s="21">
        <f t="shared" si="1382"/>
        <v>13007.590102736325</v>
      </c>
      <c r="CZ192" s="21">
        <f t="shared" si="1382"/>
        <v>14452.273984869578</v>
      </c>
      <c r="DA192" s="21">
        <f t="shared" si="1382"/>
        <v>15543.766298083674</v>
      </c>
      <c r="DB192" s="21">
        <f t="shared" si="1382"/>
        <v>15932.209552797087</v>
      </c>
      <c r="DE192" s="123"/>
      <c r="DF192" s="22">
        <v>0</v>
      </c>
    </row>
    <row r="193" spans="1:110" s="23" customFormat="1" x14ac:dyDescent="0.2">
      <c r="AB193" s="24"/>
      <c r="AC193" s="24"/>
      <c r="AD193" s="24"/>
      <c r="AE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E193" s="121"/>
    </row>
    <row r="194" spans="1:110" s="23" customFormat="1" x14ac:dyDescent="0.2">
      <c r="A194" s="23" t="s">
        <v>78</v>
      </c>
      <c r="B194" s="23">
        <f>-'Annual Raw'!C49</f>
        <v>0</v>
      </c>
      <c r="C194" s="23">
        <f>-'Annual Raw'!D49</f>
        <v>-44.605899999999998</v>
      </c>
      <c r="D194" s="23">
        <f>-'Annual Raw'!E49</f>
        <v>-63.9133</v>
      </c>
      <c r="E194" s="23">
        <f>-'Annual Raw'!F49</f>
        <v>-89.590500000000006</v>
      </c>
      <c r="F194" s="23">
        <f>-'Annual Raw'!G49</f>
        <v>-101.8036</v>
      </c>
      <c r="G194" s="23">
        <f>-'Annual Raw'!H49</f>
        <v>-108.05410000000001</v>
      </c>
      <c r="H194" s="23">
        <f>-'Annual Raw'!I49</f>
        <v>-127.2257</v>
      </c>
      <c r="I194" s="23">
        <f>-'Annual Raw'!J49</f>
        <v>-148.4357</v>
      </c>
      <c r="J194" s="23">
        <f>-'Annual Raw'!K49</f>
        <v>-151.25399999999999</v>
      </c>
      <c r="K194" s="23">
        <f>-'Annual Raw'!L49</f>
        <v>-191.26439999999999</v>
      </c>
      <c r="L194" s="23">
        <f>-'Annual Raw'!M49</f>
        <v>-200.70670000000001</v>
      </c>
      <c r="M194" s="23">
        <f>-'Annual Raw'!N49</f>
        <v>-212.77099999999999</v>
      </c>
      <c r="N194" s="23">
        <f>-'Annual Raw'!O49</f>
        <v>-250.28809999999999</v>
      </c>
      <c r="O194" s="23">
        <f>-'Annual Raw'!P49</f>
        <v>-275.1755</v>
      </c>
      <c r="P194" s="23">
        <f>-'Annual Raw'!Q49</f>
        <v>-338.58</v>
      </c>
      <c r="Q194" s="23">
        <f>-'Annual Raw'!R49</f>
        <v>-252.33</v>
      </c>
      <c r="R194" s="23">
        <f>-'Annual Raw'!S49</f>
        <v>-284</v>
      </c>
      <c r="S194" s="23">
        <f>-'Annual Raw'!T49</f>
        <v>-291.38</v>
      </c>
      <c r="T194" s="23">
        <f>-'Annual Raw'!U49</f>
        <v>-341.98</v>
      </c>
      <c r="U194" s="23">
        <f>-'Annual Raw'!V49</f>
        <v>-161.24</v>
      </c>
      <c r="V194" s="23">
        <f>-'Annual Raw'!W49</f>
        <v>-368.02</v>
      </c>
      <c r="W194" s="23">
        <f>-'Annual Raw'!X49</f>
        <v>-665.86</v>
      </c>
      <c r="X194" s="23">
        <f>-'Annual Raw'!Y49</f>
        <v>-790.57</v>
      </c>
      <c r="Y194" s="23">
        <f>-'Annual Raw'!Z49</f>
        <v>-911.16</v>
      </c>
      <c r="Z194" s="23">
        <f>-'Annual Raw'!AA49</f>
        <v>-1019.56</v>
      </c>
      <c r="AA194" s="23">
        <f>-'Annual Raw'!AB49</f>
        <v>-984.75</v>
      </c>
      <c r="AB194" s="24">
        <f t="shared" ref="AB194:AB195" si="1384">+CP194</f>
        <v>-984.75</v>
      </c>
      <c r="AC194" s="24">
        <f t="shared" ref="AC194:AC195" si="1385">+CT194</f>
        <v>-984.75</v>
      </c>
      <c r="AD194" s="24">
        <f t="shared" ref="AD194:AD195" si="1386">+CX194</f>
        <v>-984.75</v>
      </c>
      <c r="AE194" s="24">
        <f t="shared" ref="AE194:AE195" si="1387">+DB194</f>
        <v>-984.75</v>
      </c>
      <c r="AJ194" s="23">
        <f>+'QTR Raw'!D96</f>
        <v>-224.69</v>
      </c>
      <c r="AK194" s="23">
        <f t="shared" ref="AK194:CE194" si="1388">+AJ194</f>
        <v>-224.69</v>
      </c>
      <c r="AL194" s="23">
        <f>+'QTR Raw'!F96</f>
        <v>-250.29</v>
      </c>
      <c r="AM194" s="23">
        <f t="shared" si="1388"/>
        <v>-250.29</v>
      </c>
      <c r="AN194" s="23">
        <f>+'QTR Raw'!H96</f>
        <v>-252.45</v>
      </c>
      <c r="AO194" s="23">
        <f t="shared" si="1388"/>
        <v>-252.45</v>
      </c>
      <c r="AP194" s="23">
        <f>+'QTR Raw'!J96</f>
        <v>-275.17</v>
      </c>
      <c r="AQ194" s="23">
        <f t="shared" si="1388"/>
        <v>-275.17</v>
      </c>
      <c r="AR194" s="23">
        <f>+'QTR Raw'!L96</f>
        <v>-300.89</v>
      </c>
      <c r="AS194" s="23">
        <f t="shared" si="1388"/>
        <v>-300.89</v>
      </c>
      <c r="AT194" s="23">
        <f>+'QTR Raw'!N96</f>
        <v>-338.58</v>
      </c>
      <c r="AU194" s="23">
        <f t="shared" si="1388"/>
        <v>-338.58</v>
      </c>
      <c r="AV194" s="23">
        <f>+'QTR Raw'!P96</f>
        <v>-374.51</v>
      </c>
      <c r="AW194" s="23">
        <f t="shared" si="1388"/>
        <v>-374.51</v>
      </c>
      <c r="AX194" s="23">
        <f>+'QTR Raw'!R96</f>
        <v>-252.33</v>
      </c>
      <c r="AY194" s="23">
        <f t="shared" si="1388"/>
        <v>-252.33</v>
      </c>
      <c r="AZ194" s="23">
        <f>+'QTR Raw'!T96</f>
        <v>-323.5</v>
      </c>
      <c r="BA194" s="23">
        <f t="shared" si="1388"/>
        <v>-323.5</v>
      </c>
      <c r="BB194" s="23">
        <f>+'QTR Raw'!V96</f>
        <v>-284</v>
      </c>
      <c r="BC194" s="23">
        <f t="shared" si="1388"/>
        <v>-284</v>
      </c>
      <c r="BD194" s="23">
        <f>+'QTR Raw'!X96</f>
        <v>-275.39</v>
      </c>
      <c r="BE194" s="23">
        <f t="shared" si="1388"/>
        <v>-275.39</v>
      </c>
      <c r="BF194" s="23">
        <f>+'QTR Raw'!Z96</f>
        <v>-291.38</v>
      </c>
      <c r="BG194" s="23">
        <f t="shared" si="1388"/>
        <v>-291.38</v>
      </c>
      <c r="BH194" s="23">
        <f>+'QTR Raw'!AB96</f>
        <v>-289.57</v>
      </c>
      <c r="BI194" s="23">
        <f t="shared" si="1388"/>
        <v>-289.57</v>
      </c>
      <c r="BJ194" s="23">
        <f>+'QTR Raw'!AD96</f>
        <v>-341.98</v>
      </c>
      <c r="BK194" s="23">
        <f t="shared" si="1388"/>
        <v>-341.98</v>
      </c>
      <c r="BL194" s="23">
        <f>+'QTR Raw'!AF96</f>
        <v>-338.8</v>
      </c>
      <c r="BM194" s="23">
        <f t="shared" si="1388"/>
        <v>-338.8</v>
      </c>
      <c r="BN194" s="23">
        <f>+'QTR Raw'!AH96</f>
        <v>-161.24</v>
      </c>
      <c r="BO194" s="23">
        <f t="shared" si="1388"/>
        <v>-161.24</v>
      </c>
      <c r="BP194" s="23">
        <f>+'QTR Raw'!AJ96</f>
        <v>-248.06</v>
      </c>
      <c r="BQ194" s="23">
        <f t="shared" si="1388"/>
        <v>-248.06</v>
      </c>
      <c r="BR194" s="23">
        <f>+'QTR Raw'!AL96</f>
        <v>-368.02</v>
      </c>
      <c r="BS194" s="23">
        <f t="shared" si="1388"/>
        <v>-368.02</v>
      </c>
      <c r="BT194" s="23">
        <f>+'QTR Raw'!AN96</f>
        <v>-495.83</v>
      </c>
      <c r="BU194" s="23">
        <f t="shared" si="1388"/>
        <v>-495.83</v>
      </c>
      <c r="BV194" s="23">
        <f>+'QTR Raw'!AP96</f>
        <v>-665.86</v>
      </c>
      <c r="BW194" s="23">
        <f t="shared" si="1388"/>
        <v>-665.86</v>
      </c>
      <c r="BX194" s="23">
        <f>+'QTR Raw'!AR96</f>
        <v>-728.71</v>
      </c>
      <c r="BY194" s="23">
        <f t="shared" si="1388"/>
        <v>-728.71</v>
      </c>
      <c r="BZ194" s="23">
        <f>+'QTR Raw'!AT96</f>
        <v>-790.57</v>
      </c>
      <c r="CA194" s="23">
        <f t="shared" si="1388"/>
        <v>-790.57</v>
      </c>
      <c r="CB194" s="23">
        <f>+'QTR Raw'!AV96</f>
        <v>-854.8</v>
      </c>
      <c r="CC194" s="23">
        <f t="shared" si="1388"/>
        <v>-854.8</v>
      </c>
      <c r="CD194" s="23">
        <f>+'QTR Raw'!AX96</f>
        <v>-911.16</v>
      </c>
      <c r="CE194" s="23">
        <f t="shared" si="1388"/>
        <v>-911.16</v>
      </c>
      <c r="CF194" s="23">
        <f>+'QTR Raw'!AZ96</f>
        <v>-954.4</v>
      </c>
      <c r="CG194" s="23">
        <f t="shared" ref="CG194:CI195" si="1389">+CF194</f>
        <v>-954.4</v>
      </c>
      <c r="CH194" s="23">
        <f t="shared" ref="CH194:CH195" si="1390">Z194</f>
        <v>-1019.56</v>
      </c>
      <c r="CI194" s="23">
        <f t="shared" si="1389"/>
        <v>-1019.56</v>
      </c>
      <c r="CJ194" s="23">
        <f>+'QTR Raw'!BD96</f>
        <v>-1006.04</v>
      </c>
      <c r="CK194" s="23">
        <f t="shared" ref="CK194:CK195" si="1391">+CJ194</f>
        <v>-1006.04</v>
      </c>
      <c r="CL194" s="23">
        <f>+'QTR Raw'!BF96</f>
        <v>-984.75</v>
      </c>
      <c r="CM194" s="24">
        <f t="shared" ref="CM194:CM195" si="1392">+CL194</f>
        <v>-984.75</v>
      </c>
      <c r="CN194" s="24">
        <f t="shared" ref="CN194:CN195" si="1393">+CM194</f>
        <v>-984.75</v>
      </c>
      <c r="CO194" s="24">
        <f t="shared" ref="CO194:CO195" si="1394">+CN194</f>
        <v>-984.75</v>
      </c>
      <c r="CP194" s="24">
        <f t="shared" ref="CP194:CP195" si="1395">+CO194</f>
        <v>-984.75</v>
      </c>
      <c r="CQ194" s="24">
        <f t="shared" ref="CQ194:CQ195" si="1396">+CP194</f>
        <v>-984.75</v>
      </c>
      <c r="CR194" s="24">
        <f t="shared" ref="CR194:CR195" si="1397">+CQ194</f>
        <v>-984.75</v>
      </c>
      <c r="CS194" s="24">
        <f t="shared" ref="CS194:CS195" si="1398">+CR194</f>
        <v>-984.75</v>
      </c>
      <c r="CT194" s="24">
        <f t="shared" ref="CT194:CT195" si="1399">+CS194</f>
        <v>-984.75</v>
      </c>
      <c r="CU194" s="24">
        <f t="shared" ref="CU194:CU195" si="1400">+CT194</f>
        <v>-984.75</v>
      </c>
      <c r="CV194" s="24">
        <f t="shared" ref="CV194:CV195" si="1401">+CU194</f>
        <v>-984.75</v>
      </c>
      <c r="CW194" s="24">
        <f t="shared" ref="CW194:CW195" si="1402">+CV194</f>
        <v>-984.75</v>
      </c>
      <c r="CX194" s="24">
        <f t="shared" ref="CX194:CX195" si="1403">+CW194</f>
        <v>-984.75</v>
      </c>
      <c r="CY194" s="24">
        <f t="shared" ref="CY194:CY195" si="1404">+CX194</f>
        <v>-984.75</v>
      </c>
      <c r="CZ194" s="24">
        <f t="shared" ref="CZ194:CZ195" si="1405">+CY194</f>
        <v>-984.75</v>
      </c>
      <c r="DA194" s="24">
        <f t="shared" ref="DA194:DA195" si="1406">+CZ194</f>
        <v>-984.75</v>
      </c>
      <c r="DB194" s="24">
        <f t="shared" ref="DB194:DB195" si="1407">+DA194</f>
        <v>-984.75</v>
      </c>
      <c r="DE194" s="121"/>
      <c r="DF194" s="23">
        <v>0</v>
      </c>
    </row>
    <row r="195" spans="1:110" s="23" customFormat="1" x14ac:dyDescent="0.2">
      <c r="A195" s="23" t="s">
        <v>79</v>
      </c>
      <c r="B195" s="23">
        <f>'Annual Raw'!C83</f>
        <v>0</v>
      </c>
      <c r="C195" s="23">
        <f>'Annual Raw'!D83</f>
        <v>1.5669999999999999</v>
      </c>
      <c r="D195" s="23">
        <f>'Annual Raw'!E83</f>
        <v>0.67159999999999997</v>
      </c>
      <c r="E195" s="23">
        <f>'Annual Raw'!F83</f>
        <v>0</v>
      </c>
      <c r="F195" s="23">
        <f>'Annual Raw'!G83</f>
        <v>0</v>
      </c>
      <c r="G195" s="23">
        <f>'Annual Raw'!H83</f>
        <v>0</v>
      </c>
      <c r="H195" s="23">
        <f>'Annual Raw'!I83</f>
        <v>0</v>
      </c>
      <c r="I195" s="23">
        <f>'Annual Raw'!J83</f>
        <v>4.1000000000000003E-3</v>
      </c>
      <c r="J195" s="23">
        <f>'Annual Raw'!K83</f>
        <v>0</v>
      </c>
      <c r="K195" s="23">
        <f>'Annual Raw'!L83</f>
        <v>0</v>
      </c>
      <c r="L195" s="23">
        <f>'Annual Raw'!M83</f>
        <v>0</v>
      </c>
      <c r="M195" s="23">
        <f>'Annual Raw'!N83</f>
        <v>0</v>
      </c>
      <c r="N195" s="23">
        <f>'Annual Raw'!O83</f>
        <v>0</v>
      </c>
      <c r="O195" s="23">
        <f>'Annual Raw'!P83</f>
        <v>0</v>
      </c>
      <c r="P195" s="23">
        <f>'Annual Raw'!Q83</f>
        <v>0</v>
      </c>
      <c r="Q195" s="23">
        <f>'Annual Raw'!R83</f>
        <v>0</v>
      </c>
      <c r="R195" s="23">
        <f>'Annual Raw'!S83</f>
        <v>0</v>
      </c>
      <c r="S195" s="23">
        <f>'Annual Raw'!T83</f>
        <v>0</v>
      </c>
      <c r="T195" s="23">
        <f>'Annual Raw'!U83</f>
        <v>0</v>
      </c>
      <c r="U195" s="23">
        <f>'Annual Raw'!V83</f>
        <v>0</v>
      </c>
      <c r="V195" s="23">
        <f>'Annual Raw'!W83</f>
        <v>0</v>
      </c>
      <c r="W195" s="23">
        <f>'Annual Raw'!X83</f>
        <v>0</v>
      </c>
      <c r="X195" s="23">
        <f>'Annual Raw'!Y83</f>
        <v>0</v>
      </c>
      <c r="Y195" s="23">
        <f>'Annual Raw'!Z83</f>
        <v>0</v>
      </c>
      <c r="Z195" s="23">
        <f>'Annual Raw'!AA83</f>
        <v>0</v>
      </c>
      <c r="AA195" s="23">
        <f>'Annual Raw'!AB83</f>
        <v>0</v>
      </c>
      <c r="AB195" s="24">
        <f t="shared" si="1384"/>
        <v>0</v>
      </c>
      <c r="AC195" s="24">
        <f t="shared" si="1385"/>
        <v>0</v>
      </c>
      <c r="AD195" s="24">
        <f t="shared" si="1386"/>
        <v>0</v>
      </c>
      <c r="AE195" s="24">
        <f t="shared" si="1387"/>
        <v>0</v>
      </c>
      <c r="AJ195" s="23">
        <f>+'QTR Raw'!D95</f>
        <v>0</v>
      </c>
      <c r="AK195" s="23">
        <f t="shared" ref="AK195:CE195" si="1408">+AJ195</f>
        <v>0</v>
      </c>
      <c r="AL195" s="23">
        <f>+'QTR Raw'!F95</f>
        <v>0</v>
      </c>
      <c r="AM195" s="23">
        <f t="shared" si="1408"/>
        <v>0</v>
      </c>
      <c r="AN195" s="23">
        <f>+'QTR Raw'!H95</f>
        <v>0</v>
      </c>
      <c r="AO195" s="23">
        <f t="shared" si="1408"/>
        <v>0</v>
      </c>
      <c r="AP195" s="23">
        <f>+'QTR Raw'!J95</f>
        <v>0</v>
      </c>
      <c r="AQ195" s="23">
        <f t="shared" si="1408"/>
        <v>0</v>
      </c>
      <c r="AR195" s="23">
        <f>+'QTR Raw'!L95</f>
        <v>0</v>
      </c>
      <c r="AS195" s="23">
        <f t="shared" si="1408"/>
        <v>0</v>
      </c>
      <c r="AT195" s="23">
        <f>+'QTR Raw'!N95</f>
        <v>0</v>
      </c>
      <c r="AU195" s="23">
        <f t="shared" si="1408"/>
        <v>0</v>
      </c>
      <c r="AV195" s="23">
        <f>+'QTR Raw'!P95</f>
        <v>0</v>
      </c>
      <c r="AW195" s="23">
        <f t="shared" si="1408"/>
        <v>0</v>
      </c>
      <c r="AX195" s="23">
        <f>+'QTR Raw'!R95</f>
        <v>0</v>
      </c>
      <c r="AY195" s="23">
        <f t="shared" si="1408"/>
        <v>0</v>
      </c>
      <c r="AZ195" s="23">
        <f>+'QTR Raw'!T95</f>
        <v>0</v>
      </c>
      <c r="BA195" s="23">
        <f t="shared" si="1408"/>
        <v>0</v>
      </c>
      <c r="BB195" s="23">
        <f>+'QTR Raw'!V95</f>
        <v>0</v>
      </c>
      <c r="BC195" s="23">
        <f t="shared" si="1408"/>
        <v>0</v>
      </c>
      <c r="BD195" s="23">
        <f>+'QTR Raw'!X95</f>
        <v>0</v>
      </c>
      <c r="BE195" s="23">
        <f t="shared" si="1408"/>
        <v>0</v>
      </c>
      <c r="BF195" s="23">
        <f>+'QTR Raw'!Z95</f>
        <v>0</v>
      </c>
      <c r="BG195" s="23">
        <f t="shared" si="1408"/>
        <v>0</v>
      </c>
      <c r="BH195" s="23">
        <f>+'QTR Raw'!AB95</f>
        <v>0</v>
      </c>
      <c r="BI195" s="23">
        <f t="shared" si="1408"/>
        <v>0</v>
      </c>
      <c r="BJ195" s="23">
        <f>+'QTR Raw'!AD95</f>
        <v>0</v>
      </c>
      <c r="BK195" s="23">
        <f t="shared" si="1408"/>
        <v>0</v>
      </c>
      <c r="BL195" s="23">
        <f>+'QTR Raw'!AF95</f>
        <v>0</v>
      </c>
      <c r="BM195" s="23">
        <f t="shared" si="1408"/>
        <v>0</v>
      </c>
      <c r="BN195" s="23">
        <f>+'QTR Raw'!AH95</f>
        <v>0</v>
      </c>
      <c r="BO195" s="23">
        <f t="shared" si="1408"/>
        <v>0</v>
      </c>
      <c r="BP195" s="23">
        <f>+'QTR Raw'!AJ95</f>
        <v>0</v>
      </c>
      <c r="BQ195" s="23">
        <f t="shared" si="1408"/>
        <v>0</v>
      </c>
      <c r="BR195" s="23">
        <f>+'QTR Raw'!AL95</f>
        <v>0</v>
      </c>
      <c r="BS195" s="23">
        <f t="shared" si="1408"/>
        <v>0</v>
      </c>
      <c r="BT195" s="23">
        <f>+'QTR Raw'!AN95</f>
        <v>0</v>
      </c>
      <c r="BU195" s="23">
        <f t="shared" si="1408"/>
        <v>0</v>
      </c>
      <c r="BV195" s="23">
        <f>+'QTR Raw'!AP95</f>
        <v>0</v>
      </c>
      <c r="BW195" s="23">
        <f t="shared" si="1408"/>
        <v>0</v>
      </c>
      <c r="BX195" s="23">
        <f>+'QTR Raw'!AR95</f>
        <v>0</v>
      </c>
      <c r="BY195" s="23">
        <f t="shared" si="1408"/>
        <v>0</v>
      </c>
      <c r="BZ195" s="23">
        <f>+'QTR Raw'!AT95</f>
        <v>0</v>
      </c>
      <c r="CA195" s="23">
        <f t="shared" si="1408"/>
        <v>0</v>
      </c>
      <c r="CB195" s="23">
        <f>+'QTR Raw'!AV95</f>
        <v>0</v>
      </c>
      <c r="CC195" s="23">
        <f t="shared" si="1408"/>
        <v>0</v>
      </c>
      <c r="CD195" s="23">
        <f>+'QTR Raw'!AX95</f>
        <v>0</v>
      </c>
      <c r="CE195" s="23">
        <f t="shared" si="1408"/>
        <v>0</v>
      </c>
      <c r="CF195" s="23">
        <f>+'QTR Raw'!AZ95</f>
        <v>0</v>
      </c>
      <c r="CG195" s="23">
        <f t="shared" si="1389"/>
        <v>0</v>
      </c>
      <c r="CH195" s="23">
        <f t="shared" si="1390"/>
        <v>0</v>
      </c>
      <c r="CI195" s="23">
        <f t="shared" si="1389"/>
        <v>0</v>
      </c>
      <c r="CJ195" s="23">
        <f>+'QTR Raw'!BD95</f>
        <v>0</v>
      </c>
      <c r="CK195" s="23">
        <f t="shared" si="1391"/>
        <v>0</v>
      </c>
      <c r="CL195" s="23">
        <f>+'QTR Raw'!BF95</f>
        <v>0</v>
      </c>
      <c r="CM195" s="24">
        <f t="shared" si="1392"/>
        <v>0</v>
      </c>
      <c r="CN195" s="24">
        <f t="shared" si="1393"/>
        <v>0</v>
      </c>
      <c r="CO195" s="24">
        <f t="shared" si="1394"/>
        <v>0</v>
      </c>
      <c r="CP195" s="24">
        <f t="shared" si="1395"/>
        <v>0</v>
      </c>
      <c r="CQ195" s="24">
        <f t="shared" si="1396"/>
        <v>0</v>
      </c>
      <c r="CR195" s="24">
        <f t="shared" si="1397"/>
        <v>0</v>
      </c>
      <c r="CS195" s="24">
        <f t="shared" si="1398"/>
        <v>0</v>
      </c>
      <c r="CT195" s="24">
        <f t="shared" si="1399"/>
        <v>0</v>
      </c>
      <c r="CU195" s="24">
        <f t="shared" si="1400"/>
        <v>0</v>
      </c>
      <c r="CV195" s="24">
        <f t="shared" si="1401"/>
        <v>0</v>
      </c>
      <c r="CW195" s="24">
        <f t="shared" si="1402"/>
        <v>0</v>
      </c>
      <c r="CX195" s="24">
        <f t="shared" si="1403"/>
        <v>0</v>
      </c>
      <c r="CY195" s="24">
        <f t="shared" si="1404"/>
        <v>0</v>
      </c>
      <c r="CZ195" s="24">
        <f t="shared" si="1405"/>
        <v>0</v>
      </c>
      <c r="DA195" s="24">
        <f t="shared" si="1406"/>
        <v>0</v>
      </c>
      <c r="DB195" s="24">
        <f t="shared" si="1407"/>
        <v>0</v>
      </c>
      <c r="DE195" s="121"/>
      <c r="DF195" s="23">
        <v>0</v>
      </c>
    </row>
    <row r="196" spans="1:110" s="26" customFormat="1" x14ac:dyDescent="0.2">
      <c r="A196" s="26" t="s">
        <v>438</v>
      </c>
      <c r="B196" s="26">
        <f t="shared" ref="B196:W196" si="1409">B194+B192+B188+B171+B169+B195</f>
        <v>897.90599999999995</v>
      </c>
      <c r="C196" s="26">
        <f t="shared" si="1409"/>
        <v>720.61590000000001</v>
      </c>
      <c r="D196" s="26">
        <f t="shared" si="1409"/>
        <v>650.31370000000004</v>
      </c>
      <c r="E196" s="26">
        <f t="shared" si="1409"/>
        <v>660.67050000000017</v>
      </c>
      <c r="F196" s="26">
        <f t="shared" si="1409"/>
        <v>906.27480000000014</v>
      </c>
      <c r="G196" s="26">
        <f t="shared" si="1409"/>
        <v>1176.0705</v>
      </c>
      <c r="H196" s="26">
        <f t="shared" si="1409"/>
        <v>1324.1067999999998</v>
      </c>
      <c r="I196" s="26">
        <f t="shared" si="1409"/>
        <v>1444.9851000000001</v>
      </c>
      <c r="J196" s="26">
        <f t="shared" si="1409"/>
        <v>2029.4270000000004</v>
      </c>
      <c r="K196" s="26">
        <f t="shared" si="1409"/>
        <v>2305.6264999999999</v>
      </c>
      <c r="L196" s="26">
        <f t="shared" si="1409"/>
        <v>2671.1100999999999</v>
      </c>
      <c r="M196" s="26">
        <f t="shared" si="1409"/>
        <v>3079.9557000000004</v>
      </c>
      <c r="N196" s="26">
        <f t="shared" si="1409"/>
        <v>3672.9313999999995</v>
      </c>
      <c r="O196" s="26">
        <f t="shared" si="1409"/>
        <v>4241.9767000000002</v>
      </c>
      <c r="P196" s="26">
        <f t="shared" si="1409"/>
        <v>4731.2299999999996</v>
      </c>
      <c r="Q196" s="26">
        <f t="shared" si="1409"/>
        <v>5278.23</v>
      </c>
      <c r="R196" s="26">
        <f t="shared" si="1409"/>
        <v>5578.8700000000008</v>
      </c>
      <c r="S196" s="26">
        <f t="shared" si="1409"/>
        <v>6706.369999999999</v>
      </c>
      <c r="T196" s="26">
        <f t="shared" si="1409"/>
        <v>7859.4599999999991</v>
      </c>
      <c r="U196" s="26">
        <f t="shared" si="1409"/>
        <v>8980.14</v>
      </c>
      <c r="V196" s="26">
        <f t="shared" si="1409"/>
        <v>10247.380000000001</v>
      </c>
      <c r="W196" s="26">
        <f t="shared" si="1409"/>
        <v>12104.71</v>
      </c>
      <c r="X196" s="26">
        <f t="shared" ref="X196:Y196" si="1410">X194+X192+X188+X171+X169+X195</f>
        <v>14681.11</v>
      </c>
      <c r="Y196" s="26">
        <f t="shared" si="1410"/>
        <v>16399.260000000002</v>
      </c>
      <c r="Z196" s="26">
        <f t="shared" ref="Z196:AA196" si="1411">Z194+Z192+Z188+Z171+Z169+Z195</f>
        <v>17267.440000000002</v>
      </c>
      <c r="AA196" s="26">
        <f t="shared" si="1411"/>
        <v>19047.089999999997</v>
      </c>
      <c r="AB196" s="27">
        <f t="shared" ref="AA196:AD196" si="1412">AB194+AB192+AB188+AB171+AB169+AB195</f>
        <v>21463.803126723164</v>
      </c>
      <c r="AC196" s="27">
        <f t="shared" si="1412"/>
        <v>24330.033090568988</v>
      </c>
      <c r="AD196" s="27">
        <f t="shared" si="1412"/>
        <v>28010.214495749733</v>
      </c>
      <c r="AE196" s="27">
        <f t="shared" ref="AE196" si="1413">AE194+AE192+AE188+AE171+AE169+AE195</f>
        <v>32621.065344486138</v>
      </c>
      <c r="AJ196" s="26">
        <f t="shared" ref="AJ196" si="1414">AJ194+AJ192+AJ188+AJ171+AJ169+AJ195</f>
        <v>2331.2800000000002</v>
      </c>
      <c r="AK196" s="26">
        <f t="shared" ref="AK196:AL196" si="1415">AK194+AK192+AK188+AK171+AK169+AK195</f>
        <v>2420.5300000000002</v>
      </c>
      <c r="AL196" s="26">
        <f t="shared" si="1415"/>
        <v>3307.6200000000003</v>
      </c>
      <c r="AM196" s="26">
        <f t="shared" ref="AM196:AO196" si="1416">AM194+AM192+AM188+AM171+AM169+AM195</f>
        <v>3351.4300000000003</v>
      </c>
      <c r="AN196" s="26">
        <f t="shared" si="1416"/>
        <v>3165.1299999999997</v>
      </c>
      <c r="AO196" s="26">
        <f t="shared" si="1416"/>
        <v>3237.19</v>
      </c>
      <c r="AP196" s="26">
        <f t="shared" ref="AP196:CE196" si="1417">AP194+AP192+AP188+AP171+AP169+AP195</f>
        <v>4099.1799999999994</v>
      </c>
      <c r="AQ196" s="26">
        <f t="shared" si="1417"/>
        <v>4191.68</v>
      </c>
      <c r="AR196" s="26">
        <f t="shared" si="1417"/>
        <v>3635.91</v>
      </c>
      <c r="AS196" s="26">
        <f t="shared" si="1417"/>
        <v>3707.3099999999995</v>
      </c>
      <c r="AT196" s="26">
        <f t="shared" si="1417"/>
        <v>4320.7599999999993</v>
      </c>
      <c r="AU196" s="26">
        <f t="shared" si="1417"/>
        <v>4434.1799999999994</v>
      </c>
      <c r="AV196" s="26">
        <f t="shared" si="1417"/>
        <v>4234.1400000000003</v>
      </c>
      <c r="AW196" s="26">
        <f t="shared" si="1417"/>
        <v>4331.0200000000013</v>
      </c>
      <c r="AX196" s="26">
        <f t="shared" si="1417"/>
        <v>4892.7199999999993</v>
      </c>
      <c r="AY196" s="26">
        <f t="shared" si="1417"/>
        <v>5047.2799999999988</v>
      </c>
      <c r="AZ196" s="26">
        <f t="shared" si="1417"/>
        <v>4971.7299999999996</v>
      </c>
      <c r="BA196" s="26">
        <f t="shared" si="1417"/>
        <v>5080.1000000000004</v>
      </c>
      <c r="BB196" s="26">
        <f t="shared" si="1417"/>
        <v>5160.09</v>
      </c>
      <c r="BC196" s="26">
        <f t="shared" si="1417"/>
        <v>5263.9</v>
      </c>
      <c r="BD196" s="26">
        <f t="shared" si="1417"/>
        <v>6134.85</v>
      </c>
      <c r="BE196" s="26">
        <f t="shared" si="1417"/>
        <v>6266.07</v>
      </c>
      <c r="BF196" s="26">
        <f t="shared" si="1417"/>
        <v>6322.57</v>
      </c>
      <c r="BG196" s="26">
        <f t="shared" si="1417"/>
        <v>6456.4099999999989</v>
      </c>
      <c r="BH196" s="26">
        <f t="shared" ref="BH196" si="1418">BH194+BH192+BH188+BH171+BH169+BH195</f>
        <v>7160.66</v>
      </c>
      <c r="BI196" s="26">
        <f t="shared" si="1417"/>
        <v>7326.37</v>
      </c>
      <c r="BJ196" s="26">
        <f t="shared" si="1417"/>
        <v>7417.9999999999991</v>
      </c>
      <c r="BK196" s="26">
        <f t="shared" si="1417"/>
        <v>7607.2199999999984</v>
      </c>
      <c r="BL196" s="26">
        <f t="shared" si="1417"/>
        <v>7555.9699999999993</v>
      </c>
      <c r="BM196" s="26">
        <f t="shared" si="1417"/>
        <v>7898.96</v>
      </c>
      <c r="BN196" s="26">
        <f t="shared" si="1417"/>
        <v>8200.3900000000012</v>
      </c>
      <c r="BO196" s="26">
        <f t="shared" si="1417"/>
        <v>8377.48</v>
      </c>
      <c r="BP196" s="26">
        <f t="shared" si="1417"/>
        <v>9138.16</v>
      </c>
      <c r="BQ196" s="26">
        <f t="shared" si="1417"/>
        <v>9462.8900000000012</v>
      </c>
      <c r="BR196" s="26">
        <f t="shared" si="1417"/>
        <v>10247.380000000001</v>
      </c>
      <c r="BS196" s="26">
        <f t="shared" si="1417"/>
        <v>10642.66</v>
      </c>
      <c r="BT196" s="26">
        <f t="shared" si="1417"/>
        <v>10789.67</v>
      </c>
      <c r="BU196" s="26">
        <f t="shared" si="1417"/>
        <v>11295.210000000001</v>
      </c>
      <c r="BV196" s="26">
        <f t="shared" si="1417"/>
        <v>12104.710000000001</v>
      </c>
      <c r="BW196" s="26">
        <f t="shared" si="1417"/>
        <v>12712.710000000001</v>
      </c>
      <c r="BX196" s="26">
        <f t="shared" si="1417"/>
        <v>12940.100000000002</v>
      </c>
      <c r="BY196" s="26">
        <f t="shared" si="1417"/>
        <v>13451.000000000002</v>
      </c>
      <c r="BZ196" s="26">
        <f t="shared" si="1417"/>
        <v>14681.11</v>
      </c>
      <c r="CA196" s="26">
        <f t="shared" si="1417"/>
        <v>15040.4</v>
      </c>
      <c r="CB196" s="26">
        <f t="shared" si="1417"/>
        <v>15708.990000000002</v>
      </c>
      <c r="CC196" s="26">
        <f t="shared" si="1417"/>
        <v>15962.420000000002</v>
      </c>
      <c r="CD196" s="26">
        <f t="shared" si="1417"/>
        <v>16399.259999999998</v>
      </c>
      <c r="CE196" s="26">
        <f t="shared" si="1417"/>
        <v>16651.48</v>
      </c>
      <c r="CF196" s="26">
        <f t="shared" ref="CF196:CG196" si="1419">CF194+CF192+CF188+CF171+CF169+CF195</f>
        <v>17146.47</v>
      </c>
      <c r="CG196" s="26">
        <f t="shared" si="1419"/>
        <v>17417.55</v>
      </c>
      <c r="CH196" s="26">
        <f t="shared" ref="CH196:CI196" si="1420">CH194+CH192+CH188+CH171+CH169+CH195</f>
        <v>17267.440000000002</v>
      </c>
      <c r="CI196" s="26">
        <f t="shared" si="1420"/>
        <v>17699.759999999998</v>
      </c>
      <c r="CJ196" s="26">
        <f t="shared" ref="CJ196:DB196" si="1421">CJ194+CJ192+CJ188+CJ171+CJ169+CJ195</f>
        <v>17790.55</v>
      </c>
      <c r="CK196" s="26">
        <f t="shared" ref="CK196:CL196" si="1422">CK194+CK192+CK188+CK171+CK169+CK195</f>
        <v>18223.21</v>
      </c>
      <c r="CL196" s="26">
        <f t="shared" si="1422"/>
        <v>19047.09</v>
      </c>
      <c r="CM196" s="27">
        <f t="shared" si="1421"/>
        <v>19589.28587574128</v>
      </c>
      <c r="CN196" s="27">
        <f t="shared" si="1421"/>
        <v>20113.512296950248</v>
      </c>
      <c r="CO196" s="27">
        <f t="shared" si="1421"/>
        <v>20697.930086396809</v>
      </c>
      <c r="CP196" s="27">
        <f t="shared" si="1421"/>
        <v>21463.803126723164</v>
      </c>
      <c r="CQ196" s="27">
        <f t="shared" si="1421"/>
        <v>22104.010305225889</v>
      </c>
      <c r="CR196" s="27">
        <f t="shared" si="1421"/>
        <v>22725.785694774338</v>
      </c>
      <c r="CS196" s="27">
        <f t="shared" si="1421"/>
        <v>23406.191615807169</v>
      </c>
      <c r="CT196" s="27">
        <f t="shared" si="1421"/>
        <v>24330.033090568988</v>
      </c>
      <c r="CU196" s="27">
        <f t="shared" si="1421"/>
        <v>25161.924514999351</v>
      </c>
      <c r="CV196" s="27">
        <f t="shared" si="1421"/>
        <v>25970.411430021657</v>
      </c>
      <c r="CW196" s="27">
        <f t="shared" si="1421"/>
        <v>26845.56724768805</v>
      </c>
      <c r="CX196" s="27">
        <f t="shared" si="1421"/>
        <v>28010.214495749733</v>
      </c>
      <c r="CY196" s="27">
        <f t="shared" si="1421"/>
        <v>29060.731425384183</v>
      </c>
      <c r="CZ196" s="27">
        <f t="shared" si="1421"/>
        <v>30083.323382671369</v>
      </c>
      <c r="DA196" s="27">
        <f t="shared" si="1421"/>
        <v>31183.292191873836</v>
      </c>
      <c r="DB196" s="27">
        <f t="shared" si="1421"/>
        <v>32621.065344486138</v>
      </c>
      <c r="DE196" s="119"/>
      <c r="DF196" s="26">
        <v>0</v>
      </c>
    </row>
    <row r="197" spans="1:110" s="23" customFormat="1" x14ac:dyDescent="0.2">
      <c r="A197" s="28" t="s">
        <v>439</v>
      </c>
      <c r="B197" s="23">
        <f t="shared" ref="B197:W197" si="1423">B196-B160</f>
        <v>0</v>
      </c>
      <c r="C197" s="23">
        <f t="shared" si="1423"/>
        <v>0</v>
      </c>
      <c r="D197" s="23">
        <f t="shared" si="1423"/>
        <v>0</v>
      </c>
      <c r="E197" s="23">
        <f t="shared" si="1423"/>
        <v>0</v>
      </c>
      <c r="F197" s="23">
        <f t="shared" si="1423"/>
        <v>0</v>
      </c>
      <c r="G197" s="23">
        <f t="shared" si="1423"/>
        <v>0</v>
      </c>
      <c r="H197" s="23">
        <f t="shared" si="1423"/>
        <v>0</v>
      </c>
      <c r="I197" s="23">
        <f t="shared" si="1423"/>
        <v>0</v>
      </c>
      <c r="J197" s="23">
        <f t="shared" si="1423"/>
        <v>0</v>
      </c>
      <c r="K197" s="23">
        <f t="shared" si="1423"/>
        <v>0</v>
      </c>
      <c r="L197" s="23">
        <f t="shared" si="1423"/>
        <v>0</v>
      </c>
      <c r="M197" s="23">
        <f t="shared" si="1423"/>
        <v>0</v>
      </c>
      <c r="N197" s="23">
        <f t="shared" si="1423"/>
        <v>0</v>
      </c>
      <c r="O197" s="23">
        <f t="shared" si="1423"/>
        <v>0</v>
      </c>
      <c r="P197" s="23">
        <f t="shared" si="1423"/>
        <v>0</v>
      </c>
      <c r="Q197" s="23">
        <f t="shared" si="1423"/>
        <v>0</v>
      </c>
      <c r="R197" s="23">
        <f t="shared" si="1423"/>
        <v>0</v>
      </c>
      <c r="S197" s="23">
        <f t="shared" si="1423"/>
        <v>0</v>
      </c>
      <c r="T197" s="23">
        <f t="shared" si="1423"/>
        <v>0</v>
      </c>
      <c r="U197" s="23">
        <f t="shared" si="1423"/>
        <v>0</v>
      </c>
      <c r="V197" s="23">
        <f t="shared" si="1423"/>
        <v>0</v>
      </c>
      <c r="W197" s="23">
        <f t="shared" si="1423"/>
        <v>0</v>
      </c>
      <c r="X197" s="23">
        <f t="shared" ref="X197:Y197" si="1424">X196-X160</f>
        <v>0</v>
      </c>
      <c r="Y197" s="23">
        <f t="shared" si="1424"/>
        <v>0</v>
      </c>
      <c r="Z197" s="23">
        <f t="shared" ref="Z197:AA197" si="1425">Z196-Z160</f>
        <v>0</v>
      </c>
      <c r="AA197" s="23">
        <f t="shared" si="1425"/>
        <v>0</v>
      </c>
      <c r="AB197" s="24">
        <f t="shared" ref="AA197:AD197" si="1426">AB196-AB160</f>
        <v>0</v>
      </c>
      <c r="AC197" s="24">
        <f t="shared" si="1426"/>
        <v>0</v>
      </c>
      <c r="AD197" s="24">
        <f t="shared" si="1426"/>
        <v>0</v>
      </c>
      <c r="AE197" s="24">
        <f t="shared" ref="AE197" si="1427">AE196-AE160</f>
        <v>0</v>
      </c>
      <c r="AJ197" s="23">
        <f t="shared" ref="AJ197" si="1428">AJ196-AJ160</f>
        <v>0</v>
      </c>
      <c r="AK197" s="23">
        <f t="shared" ref="AK197" si="1429">AK196-AK160</f>
        <v>0</v>
      </c>
      <c r="AL197" s="23">
        <f t="shared" ref="AL197:AM197" si="1430">AL196-AL160</f>
        <v>0</v>
      </c>
      <c r="AM197" s="23">
        <f t="shared" si="1430"/>
        <v>0</v>
      </c>
      <c r="AN197" s="23">
        <f t="shared" ref="AN197:AO197" si="1431">AN196-AN160</f>
        <v>0</v>
      </c>
      <c r="AO197" s="23">
        <f t="shared" si="1431"/>
        <v>0</v>
      </c>
      <c r="AP197" s="23">
        <f t="shared" ref="AP197:CE197" si="1432">AP196-AP160</f>
        <v>0</v>
      </c>
      <c r="AQ197" s="23">
        <f t="shared" si="1432"/>
        <v>0</v>
      </c>
      <c r="AR197" s="23">
        <f t="shared" si="1432"/>
        <v>0</v>
      </c>
      <c r="AS197" s="23">
        <f t="shared" si="1432"/>
        <v>0</v>
      </c>
      <c r="AT197" s="23">
        <f t="shared" si="1432"/>
        <v>0</v>
      </c>
      <c r="AU197" s="23">
        <f t="shared" si="1432"/>
        <v>0</v>
      </c>
      <c r="AV197" s="23">
        <f t="shared" si="1432"/>
        <v>0</v>
      </c>
      <c r="AW197" s="23">
        <f t="shared" si="1432"/>
        <v>0</v>
      </c>
      <c r="AX197" s="23">
        <f t="shared" si="1432"/>
        <v>9.999999999308784E-3</v>
      </c>
      <c r="AY197" s="23">
        <f t="shared" si="1432"/>
        <v>9.9999999983992893E-3</v>
      </c>
      <c r="AZ197" s="23">
        <f t="shared" si="1432"/>
        <v>0</v>
      </c>
      <c r="BA197" s="23">
        <f t="shared" si="1432"/>
        <v>0</v>
      </c>
      <c r="BB197" s="23">
        <f t="shared" si="1432"/>
        <v>0</v>
      </c>
      <c r="BC197" s="23">
        <f t="shared" si="1432"/>
        <v>0</v>
      </c>
      <c r="BD197" s="23">
        <f t="shared" si="1432"/>
        <v>0</v>
      </c>
      <c r="BE197" s="23">
        <f t="shared" si="1432"/>
        <v>0</v>
      </c>
      <c r="BF197" s="23">
        <f t="shared" si="1432"/>
        <v>0</v>
      </c>
      <c r="BG197" s="23">
        <f t="shared" si="1432"/>
        <v>0</v>
      </c>
      <c r="BH197" s="23">
        <f t="shared" ref="BH197" si="1433">BH196-BH160</f>
        <v>0</v>
      </c>
      <c r="BI197" s="23">
        <f t="shared" si="1432"/>
        <v>0</v>
      </c>
      <c r="BJ197" s="23">
        <f t="shared" si="1432"/>
        <v>0</v>
      </c>
      <c r="BK197" s="23">
        <f t="shared" si="1432"/>
        <v>0</v>
      </c>
      <c r="BL197" s="23">
        <f t="shared" si="1432"/>
        <v>0</v>
      </c>
      <c r="BM197" s="23">
        <f t="shared" si="1432"/>
        <v>0</v>
      </c>
      <c r="BN197" s="23">
        <f t="shared" si="1432"/>
        <v>0</v>
      </c>
      <c r="BO197" s="23">
        <f t="shared" si="1432"/>
        <v>0</v>
      </c>
      <c r="BP197" s="23">
        <f t="shared" si="1432"/>
        <v>0</v>
      </c>
      <c r="BQ197" s="23">
        <f t="shared" si="1432"/>
        <v>0</v>
      </c>
      <c r="BR197" s="23">
        <f t="shared" si="1432"/>
        <v>0</v>
      </c>
      <c r="BS197" s="23">
        <f t="shared" si="1432"/>
        <v>0</v>
      </c>
      <c r="BT197" s="23">
        <f t="shared" si="1432"/>
        <v>0</v>
      </c>
      <c r="BU197" s="23">
        <f t="shared" si="1432"/>
        <v>0</v>
      </c>
      <c r="BV197" s="23">
        <f t="shared" si="1432"/>
        <v>0</v>
      </c>
      <c r="BW197" s="23">
        <f t="shared" si="1432"/>
        <v>0</v>
      </c>
      <c r="BX197" s="23">
        <f t="shared" si="1432"/>
        <v>0</v>
      </c>
      <c r="BY197" s="23">
        <f t="shared" si="1432"/>
        <v>0</v>
      </c>
      <c r="BZ197" s="23">
        <f t="shared" si="1432"/>
        <v>0</v>
      </c>
      <c r="CA197" s="23">
        <f t="shared" si="1432"/>
        <v>0</v>
      </c>
      <c r="CB197" s="23">
        <f t="shared" si="1432"/>
        <v>0</v>
      </c>
      <c r="CC197" s="23">
        <f t="shared" si="1432"/>
        <v>0</v>
      </c>
      <c r="CD197" s="23">
        <f t="shared" si="1432"/>
        <v>0</v>
      </c>
      <c r="CE197" s="23">
        <f t="shared" si="1432"/>
        <v>0</v>
      </c>
      <c r="CF197" s="23">
        <f t="shared" ref="CF197:CG197" si="1434">CF196-CF160</f>
        <v>0</v>
      </c>
      <c r="CG197" s="23">
        <f t="shared" si="1434"/>
        <v>0</v>
      </c>
      <c r="CH197" s="23">
        <f t="shared" ref="CH197:CI197" si="1435">CH196-CH160</f>
        <v>0</v>
      </c>
      <c r="CI197" s="23">
        <f t="shared" si="1435"/>
        <v>0</v>
      </c>
      <c r="CJ197" s="23">
        <f t="shared" ref="CJ197:DB197" si="1436">CJ196-CJ160</f>
        <v>0</v>
      </c>
      <c r="CK197" s="23">
        <f t="shared" ref="CK197:CL197" si="1437">CK196-CK160</f>
        <v>0</v>
      </c>
      <c r="CL197" s="23">
        <f t="shared" si="1437"/>
        <v>0</v>
      </c>
      <c r="CM197" s="24">
        <f t="shared" si="1436"/>
        <v>0</v>
      </c>
      <c r="CN197" s="24">
        <f t="shared" si="1436"/>
        <v>0</v>
      </c>
      <c r="CO197" s="24">
        <f t="shared" si="1436"/>
        <v>0</v>
      </c>
      <c r="CP197" s="24">
        <f t="shared" si="1436"/>
        <v>0</v>
      </c>
      <c r="CQ197" s="24">
        <f t="shared" si="1436"/>
        <v>0</v>
      </c>
      <c r="CR197" s="24">
        <f t="shared" si="1436"/>
        <v>0</v>
      </c>
      <c r="CS197" s="24">
        <f t="shared" si="1436"/>
        <v>0</v>
      </c>
      <c r="CT197" s="24">
        <f t="shared" si="1436"/>
        <v>0</v>
      </c>
      <c r="CU197" s="24">
        <f t="shared" si="1436"/>
        <v>0</v>
      </c>
      <c r="CV197" s="24">
        <f t="shared" si="1436"/>
        <v>0</v>
      </c>
      <c r="CW197" s="24">
        <f t="shared" si="1436"/>
        <v>0</v>
      </c>
      <c r="CX197" s="24">
        <f t="shared" si="1436"/>
        <v>0</v>
      </c>
      <c r="CY197" s="24">
        <f t="shared" si="1436"/>
        <v>0</v>
      </c>
      <c r="CZ197" s="24">
        <f t="shared" si="1436"/>
        <v>0</v>
      </c>
      <c r="DA197" s="24">
        <f t="shared" si="1436"/>
        <v>0</v>
      </c>
      <c r="DB197" s="24">
        <f t="shared" si="1436"/>
        <v>0</v>
      </c>
      <c r="DE197" s="121"/>
      <c r="DF197" s="23">
        <v>0</v>
      </c>
    </row>
    <row r="198" spans="1:110" s="23" customFormat="1" x14ac:dyDescent="0.2">
      <c r="A198" s="28"/>
      <c r="AB198" s="24"/>
      <c r="AC198" s="24"/>
      <c r="AD198" s="24"/>
      <c r="AE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E198" s="121"/>
    </row>
    <row r="199" spans="1:110" s="22" customFormat="1" x14ac:dyDescent="0.2">
      <c r="A199" s="22" t="s">
        <v>80</v>
      </c>
      <c r="B199" s="22">
        <f t="shared" ref="B199:W199" si="1438">B159-B192</f>
        <v>375.50800000000004</v>
      </c>
      <c r="C199" s="22">
        <f t="shared" si="1438"/>
        <v>358.95670000000001</v>
      </c>
      <c r="D199" s="22">
        <f t="shared" si="1438"/>
        <v>262.15939999999995</v>
      </c>
      <c r="E199" s="22">
        <f t="shared" si="1438"/>
        <v>200.15040000000002</v>
      </c>
      <c r="F199" s="22">
        <f t="shared" si="1438"/>
        <v>443.53499999999997</v>
      </c>
      <c r="G199" s="22">
        <f t="shared" si="1438"/>
        <v>605.11099999999999</v>
      </c>
      <c r="H199" s="22">
        <f t="shared" si="1438"/>
        <v>468.71690000000001</v>
      </c>
      <c r="I199" s="22">
        <f t="shared" si="1438"/>
        <v>447.59220000000005</v>
      </c>
      <c r="J199" s="22">
        <f t="shared" si="1438"/>
        <v>1009.0439000000001</v>
      </c>
      <c r="K199" s="22">
        <f t="shared" si="1438"/>
        <v>941.20870000000002</v>
      </c>
      <c r="L199" s="22">
        <f t="shared" si="1438"/>
        <v>772.53569999999991</v>
      </c>
      <c r="M199" s="22">
        <f t="shared" si="1438"/>
        <v>954.1280999999999</v>
      </c>
      <c r="N199" s="22">
        <f t="shared" si="1438"/>
        <v>1371.5663</v>
      </c>
      <c r="O199" s="22">
        <f t="shared" si="1438"/>
        <v>2066.3843999999999</v>
      </c>
      <c r="P199" s="22">
        <f t="shared" si="1438"/>
        <v>2233.37</v>
      </c>
      <c r="Q199" s="22">
        <f t="shared" si="1438"/>
        <v>1965.42</v>
      </c>
      <c r="R199" s="22">
        <f t="shared" si="1438"/>
        <v>2129.33</v>
      </c>
      <c r="S199" s="22">
        <f t="shared" si="1438"/>
        <v>2923.4</v>
      </c>
      <c r="T199" s="22">
        <f t="shared" si="1438"/>
        <v>3430.8200000000006</v>
      </c>
      <c r="U199" s="22">
        <f t="shared" si="1438"/>
        <v>3722.8500000000004</v>
      </c>
      <c r="V199" s="22">
        <f t="shared" si="1438"/>
        <v>2696.44</v>
      </c>
      <c r="W199" s="22">
        <f t="shared" si="1438"/>
        <v>2763.2599999999993</v>
      </c>
      <c r="X199" s="22">
        <f t="shared" ref="X199:Y199" si="1439">X159-X192</f>
        <v>3247.5499999999993</v>
      </c>
      <c r="Y199" s="22">
        <f t="shared" si="1439"/>
        <v>4107.12</v>
      </c>
      <c r="Z199" s="22">
        <f t="shared" ref="Z199:AA199" si="1440">Z159-Z192</f>
        <v>3582.96</v>
      </c>
      <c r="AA199" s="22">
        <f t="shared" si="1440"/>
        <v>3830.0699999999997</v>
      </c>
      <c r="AB199" s="21">
        <f t="shared" ref="AA199:AD199" si="1441">AB159-AB192</f>
        <v>1126.3887688931109</v>
      </c>
      <c r="AC199" s="21">
        <f t="shared" si="1441"/>
        <v>-2242.4227264045721</v>
      </c>
      <c r="AD199" s="21">
        <f t="shared" si="1441"/>
        <v>-6226.7677206280241</v>
      </c>
      <c r="AE199" s="21">
        <f t="shared" ref="AE199" si="1442">AE159-AE192</f>
        <v>-10927.879552797087</v>
      </c>
      <c r="AJ199" s="22">
        <f t="shared" ref="AJ199:AM199" si="1443">AJ159-AJ192</f>
        <v>245.01000000000002</v>
      </c>
      <c r="AK199" s="22">
        <f t="shared" si="1443"/>
        <v>230.76881329783305</v>
      </c>
      <c r="AL199" s="22">
        <f t="shared" si="1443"/>
        <v>1006.27</v>
      </c>
      <c r="AM199" s="22">
        <f t="shared" si="1443"/>
        <v>955.94899492758043</v>
      </c>
      <c r="AN199" s="22">
        <f t="shared" ref="AN199:AO199" si="1444">AN159-AN192</f>
        <v>809.72</v>
      </c>
      <c r="AO199" s="22">
        <f t="shared" si="1444"/>
        <v>748.22664351988976</v>
      </c>
      <c r="AP199" s="22">
        <f t="shared" ref="AP199:CE199" si="1445">AP159-AP192</f>
        <v>1923.58</v>
      </c>
      <c r="AQ199" s="22">
        <f t="shared" si="1445"/>
        <v>2027.9434862085293</v>
      </c>
      <c r="AR199" s="22">
        <f t="shared" si="1445"/>
        <v>1007.9200000000001</v>
      </c>
      <c r="AS199" s="22">
        <f t="shared" si="1445"/>
        <v>885.83780709055372</v>
      </c>
      <c r="AT199" s="22">
        <f t="shared" si="1445"/>
        <v>1822.9</v>
      </c>
      <c r="AU199" s="22">
        <f t="shared" si="1445"/>
        <v>1812.1180920322561</v>
      </c>
      <c r="AV199" s="22">
        <f t="shared" si="1445"/>
        <v>1437.56</v>
      </c>
      <c r="AW199" s="22">
        <f t="shared" si="1445"/>
        <v>1257.7737771299251</v>
      </c>
      <c r="AX199" s="22">
        <f t="shared" si="1445"/>
        <v>1579.9</v>
      </c>
      <c r="AY199" s="22">
        <f t="shared" si="1445"/>
        <v>1439.6165837375561</v>
      </c>
      <c r="AZ199" s="22">
        <f t="shared" si="1445"/>
        <v>1770.4399999999998</v>
      </c>
      <c r="BA199" s="22">
        <f t="shared" si="1445"/>
        <v>1610.08372559345</v>
      </c>
      <c r="BB199" s="22">
        <f t="shared" si="1445"/>
        <v>1710.5499999999997</v>
      </c>
      <c r="BC199" s="22">
        <f t="shared" si="1445"/>
        <v>1547.0807339527264</v>
      </c>
      <c r="BD199" s="22">
        <f t="shared" si="1445"/>
        <v>2574.65</v>
      </c>
      <c r="BE199" s="22">
        <f t="shared" si="1445"/>
        <v>2514.0168986264325</v>
      </c>
      <c r="BF199" s="22">
        <f t="shared" si="1445"/>
        <v>2539.6</v>
      </c>
      <c r="BG199" s="22">
        <f t="shared" si="1445"/>
        <v>2424.0520131243529</v>
      </c>
      <c r="BH199" s="22">
        <f t="shared" si="1445"/>
        <v>3193.58</v>
      </c>
      <c r="BI199" s="22">
        <f t="shared" si="1445"/>
        <v>3061.6074950853294</v>
      </c>
      <c r="BJ199" s="22">
        <f t="shared" si="1445"/>
        <v>2989.3600000000006</v>
      </c>
      <c r="BK199" s="22">
        <f t="shared" si="1445"/>
        <v>2722.0347956860469</v>
      </c>
      <c r="BL199" s="22">
        <f t="shared" si="1445"/>
        <v>2700.1400000000003</v>
      </c>
      <c r="BM199" s="22">
        <f t="shared" si="1445"/>
        <v>2417.944757049142</v>
      </c>
      <c r="BN199" s="22">
        <f t="shared" si="1445"/>
        <v>2943.1000000000004</v>
      </c>
      <c r="BO199" s="22">
        <f t="shared" si="1445"/>
        <v>2596.1715972936172</v>
      </c>
      <c r="BP199" s="22">
        <f t="shared" si="1445"/>
        <v>3091.9</v>
      </c>
      <c r="BQ199" s="22">
        <f t="shared" si="1445"/>
        <v>2792.3866100065206</v>
      </c>
      <c r="BR199" s="22">
        <f t="shared" si="1445"/>
        <v>2696.44</v>
      </c>
      <c r="BS199" s="22">
        <f t="shared" si="1445"/>
        <v>2341.805286944184</v>
      </c>
      <c r="BT199" s="22">
        <f t="shared" si="1445"/>
        <v>2515.71</v>
      </c>
      <c r="BU199" s="22">
        <f t="shared" si="1445"/>
        <v>2264.0458433516369</v>
      </c>
      <c r="BV199" s="22">
        <f t="shared" si="1445"/>
        <v>2763.2599999999998</v>
      </c>
      <c r="BW199" s="22">
        <f t="shared" si="1445"/>
        <v>2320.8789645350503</v>
      </c>
      <c r="BX199" s="22">
        <f t="shared" si="1445"/>
        <v>3026.83</v>
      </c>
      <c r="BY199" s="22">
        <f t="shared" si="1445"/>
        <v>2369.7067656889612</v>
      </c>
      <c r="BZ199" s="22">
        <f t="shared" si="1445"/>
        <v>3247.5499999999993</v>
      </c>
      <c r="CA199" s="22">
        <f t="shared" si="1445"/>
        <v>2663.949588760458</v>
      </c>
      <c r="CB199" s="22">
        <f t="shared" si="1445"/>
        <v>3906.7200000000003</v>
      </c>
      <c r="CC199" s="22">
        <f t="shared" si="1445"/>
        <v>3565.6439240123877</v>
      </c>
      <c r="CD199" s="22">
        <f t="shared" si="1445"/>
        <v>4107.12</v>
      </c>
      <c r="CE199" s="22">
        <f t="shared" si="1445"/>
        <v>3783.6040020281584</v>
      </c>
      <c r="CF199" s="22">
        <f t="shared" ref="CF199:CG199" si="1446">CF159-CF192</f>
        <v>4537.84</v>
      </c>
      <c r="CG199" s="22">
        <f t="shared" si="1446"/>
        <v>4289.3517096048836</v>
      </c>
      <c r="CH199" s="22">
        <f t="shared" ref="CH199:CI199" si="1447">CH159-CH192</f>
        <v>3582.96</v>
      </c>
      <c r="CI199" s="22">
        <f t="shared" si="1447"/>
        <v>2652.0422939068098</v>
      </c>
      <c r="CJ199" s="22">
        <f t="shared" ref="CJ199:DB199" si="1448">CJ159-CJ192</f>
        <v>3892.26</v>
      </c>
      <c r="CK199" s="22">
        <f t="shared" ref="CK199:CL199" si="1449">CK159-CK192</f>
        <v>3270.1691946024794</v>
      </c>
      <c r="CL199" s="22">
        <f t="shared" si="1449"/>
        <v>3830.0699999999997</v>
      </c>
      <c r="CM199" s="21">
        <f t="shared" si="1448"/>
        <v>2852.0801355025183</v>
      </c>
      <c r="CN199" s="21">
        <f t="shared" si="1448"/>
        <v>1968.5095604189519</v>
      </c>
      <c r="CO199" s="21">
        <f t="shared" si="1448"/>
        <v>1301.7543337949</v>
      </c>
      <c r="CP199" s="21">
        <f t="shared" si="1448"/>
        <v>1126.3887688931109</v>
      </c>
      <c r="CQ199" s="21">
        <f t="shared" si="1448"/>
        <v>-144.55266706814109</v>
      </c>
      <c r="CR199" s="21">
        <f t="shared" si="1448"/>
        <v>-1196.2514200693431</v>
      </c>
      <c r="CS199" s="21">
        <f t="shared" si="1448"/>
        <v>-1983.1911911177976</v>
      </c>
      <c r="CT199" s="21">
        <f t="shared" si="1448"/>
        <v>-2242.4227264045721</v>
      </c>
      <c r="CU199" s="21">
        <f t="shared" si="1448"/>
        <v>-3753.0331660284428</v>
      </c>
      <c r="CV199" s="21">
        <f t="shared" si="1448"/>
        <v>-4982.3293636428371</v>
      </c>
      <c r="CW199" s="21">
        <f t="shared" si="1448"/>
        <v>-5906.7020639498514</v>
      </c>
      <c r="CX199" s="21">
        <f t="shared" si="1448"/>
        <v>-6226.7677206280241</v>
      </c>
      <c r="CY199" s="21">
        <f t="shared" si="1448"/>
        <v>-8003.2601027363253</v>
      </c>
      <c r="CZ199" s="21">
        <f t="shared" si="1448"/>
        <v>-9447.9439848695783</v>
      </c>
      <c r="DA199" s="21">
        <f t="shared" si="1448"/>
        <v>-10539.436298083674</v>
      </c>
      <c r="DB199" s="21">
        <f t="shared" si="1448"/>
        <v>-10927.879552797087</v>
      </c>
      <c r="DE199" s="123"/>
      <c r="DF199" s="22">
        <v>0</v>
      </c>
    </row>
    <row r="200" spans="1:110" x14ac:dyDescent="0.2">
      <c r="AA200" s="2"/>
      <c r="CE200" s="111"/>
      <c r="CG200" s="111"/>
    </row>
    <row r="201" spans="1:110" s="49" customFormat="1" x14ac:dyDescent="0.2">
      <c r="A201" s="49" t="s">
        <v>81</v>
      </c>
      <c r="B201" s="49">
        <f>'Annual Raw'!C85</f>
        <v>161.3663</v>
      </c>
      <c r="C201" s="49">
        <f>'Annual Raw'!D85</f>
        <v>127.7633</v>
      </c>
      <c r="D201" s="49">
        <f>'Annual Raw'!E85</f>
        <v>123.52760000000001</v>
      </c>
      <c r="E201" s="49">
        <f>'Annual Raw'!F85</f>
        <v>111.3031</v>
      </c>
      <c r="F201" s="49">
        <f>'Annual Raw'!G85</f>
        <v>168.58840000000001</v>
      </c>
      <c r="G201" s="49">
        <f>'Annual Raw'!H85</f>
        <v>197.66139999999999</v>
      </c>
      <c r="H201" s="49">
        <f>'Annual Raw'!I85</f>
        <v>138.04179999999999</v>
      </c>
      <c r="I201" s="49">
        <f>'Annual Raw'!J85</f>
        <v>115.2988</v>
      </c>
      <c r="J201" s="49">
        <f>'Annual Raw'!K85</f>
        <v>114.29940000000001</v>
      </c>
      <c r="K201" s="49">
        <f>'Annual Raw'!L85</f>
        <v>114.06910000000001</v>
      </c>
      <c r="L201" s="49">
        <f>'Annual Raw'!M85</f>
        <v>123.2415</v>
      </c>
      <c r="M201" s="49">
        <f>'Annual Raw'!N85</f>
        <v>130.43690000000001</v>
      </c>
      <c r="N201" s="49">
        <f>'Annual Raw'!O85</f>
        <v>217.8862</v>
      </c>
      <c r="O201" s="49">
        <f>'Annual Raw'!P85</f>
        <v>333.58350000000002</v>
      </c>
      <c r="P201" s="49">
        <f>'Annual Raw'!Q85</f>
        <v>360.27</v>
      </c>
      <c r="Q201" s="49">
        <f>'Annual Raw'!R85</f>
        <v>471.35</v>
      </c>
      <c r="R201" s="49">
        <f>'Annual Raw'!S85</f>
        <v>782.74</v>
      </c>
      <c r="S201" s="49">
        <f>'Annual Raw'!T85</f>
        <v>147.97999999999999</v>
      </c>
      <c r="T201" s="49">
        <f>'Annual Raw'!U85</f>
        <v>107.16</v>
      </c>
      <c r="U201" s="49">
        <f>'Annual Raw'!V85</f>
        <v>58.05</v>
      </c>
      <c r="V201" s="49">
        <f>'Annual Raw'!W85</f>
        <v>60.42</v>
      </c>
      <c r="W201" s="49">
        <f>'Annual Raw'!X85</f>
        <v>79.95</v>
      </c>
      <c r="X201" s="49">
        <f>'Annual Raw'!Y85</f>
        <v>280.58999999999997</v>
      </c>
      <c r="Y201" s="49">
        <f>'Annual Raw'!Z85</f>
        <v>292.38</v>
      </c>
      <c r="Z201" s="49">
        <f>'Annual Raw'!AA85</f>
        <v>466.35</v>
      </c>
      <c r="AA201" s="49">
        <f>'Annual Raw'!AB85</f>
        <v>235.73</v>
      </c>
      <c r="AB201" s="50"/>
      <c r="AC201" s="50"/>
      <c r="AD201" s="50"/>
      <c r="AE201" s="50"/>
      <c r="CM201" s="50"/>
      <c r="CN201" s="50"/>
      <c r="CO201" s="50"/>
      <c r="CP201" s="50"/>
      <c r="CQ201" s="50"/>
      <c r="CR201" s="50"/>
      <c r="CS201" s="50"/>
      <c r="CT201" s="50"/>
      <c r="CU201" s="50"/>
      <c r="CV201" s="50"/>
      <c r="CW201" s="50"/>
      <c r="CX201" s="50"/>
      <c r="CY201" s="50"/>
      <c r="CZ201" s="50"/>
      <c r="DA201" s="50"/>
      <c r="DB201" s="50"/>
      <c r="DE201" s="132"/>
    </row>
    <row r="202" spans="1:110" s="29" customFormat="1" x14ac:dyDescent="0.2">
      <c r="A202" s="29" t="s">
        <v>82</v>
      </c>
      <c r="B202" s="29">
        <f>'Annual Raw'!C95</f>
        <v>17.576000000000001</v>
      </c>
      <c r="C202" s="29">
        <f>'Annual Raw'!D95</f>
        <v>8.25</v>
      </c>
      <c r="D202" s="29">
        <f>'Annual Raw'!E95</f>
        <v>8.25</v>
      </c>
      <c r="E202" s="29">
        <f>'Annual Raw'!F95</f>
        <v>8.25</v>
      </c>
      <c r="F202" s="29">
        <f>'Annual Raw'!G95</f>
        <v>0</v>
      </c>
      <c r="G202" s="29">
        <f>'Annual Raw'!H95</f>
        <v>0</v>
      </c>
      <c r="H202" s="29">
        <f>'Annual Raw'!I95</f>
        <v>0</v>
      </c>
      <c r="I202" s="29">
        <f>'Annual Raw'!J95</f>
        <v>0</v>
      </c>
      <c r="J202" s="29">
        <f>'Annual Raw'!K95</f>
        <v>9.9629999999999992</v>
      </c>
      <c r="K202" s="29">
        <f>'Annual Raw'!L95</f>
        <v>10.9978</v>
      </c>
      <c r="L202" s="29">
        <f>'Annual Raw'!M95</f>
        <v>15.048999999999999</v>
      </c>
      <c r="M202" s="29">
        <f>'Annual Raw'!N95</f>
        <v>19.212299999999999</v>
      </c>
      <c r="N202" s="29">
        <f>'Annual Raw'!O95</f>
        <v>13.9236</v>
      </c>
      <c r="O202" s="29">
        <f>'Annual Raw'!P95</f>
        <v>11.1944</v>
      </c>
      <c r="P202" s="29">
        <f>'Annual Raw'!Q95</f>
        <v>11.86</v>
      </c>
      <c r="Q202" s="29">
        <f>'Annual Raw'!R95</f>
        <v>13.25</v>
      </c>
      <c r="R202" s="29">
        <f>'Annual Raw'!S95</f>
        <v>125.85</v>
      </c>
      <c r="S202" s="29">
        <f>'Annual Raw'!T95</f>
        <v>0</v>
      </c>
      <c r="T202" s="29">
        <f>'Annual Raw'!U95</f>
        <v>0</v>
      </c>
      <c r="U202" s="29">
        <f>'Annual Raw'!V95</f>
        <v>0</v>
      </c>
      <c r="V202" s="29">
        <f>'Annual Raw'!W95</f>
        <v>0</v>
      </c>
      <c r="W202" s="29">
        <f>'Annual Raw'!X95</f>
        <v>0</v>
      </c>
      <c r="X202" s="29">
        <f>'Annual Raw'!Y95</f>
        <v>0</v>
      </c>
      <c r="Y202" s="29">
        <f>'Annual Raw'!Z95</f>
        <v>0</v>
      </c>
      <c r="Z202" s="29">
        <f>'Annual Raw'!AA95</f>
        <v>0</v>
      </c>
      <c r="AA202" s="29">
        <f>'Annual Raw'!AB95</f>
        <v>0</v>
      </c>
      <c r="AB202" s="30"/>
      <c r="AC202" s="30"/>
      <c r="AD202" s="30"/>
      <c r="AE202" s="30"/>
      <c r="CM202" s="30"/>
      <c r="CN202" s="30"/>
      <c r="CO202" s="30"/>
      <c r="CP202" s="30"/>
      <c r="CQ202" s="30"/>
      <c r="CR202" s="30"/>
      <c r="CS202" s="30"/>
      <c r="CT202" s="30"/>
      <c r="CU202" s="30"/>
      <c r="CV202" s="30"/>
      <c r="CW202" s="30"/>
      <c r="CX202" s="30"/>
      <c r="CY202" s="30"/>
      <c r="CZ202" s="30"/>
      <c r="DA202" s="30"/>
      <c r="DB202" s="30"/>
      <c r="DE202" s="133"/>
    </row>
    <row r="203" spans="1:110" s="29" customFormat="1" x14ac:dyDescent="0.2">
      <c r="A203" s="29" t="s">
        <v>83</v>
      </c>
      <c r="B203" s="29">
        <f>'Annual Raw'!C93</f>
        <v>43.895299999999999</v>
      </c>
      <c r="C203" s="29">
        <f>'Annual Raw'!D93</f>
        <v>10.0419</v>
      </c>
      <c r="D203" s="29">
        <f>'Annual Raw'!E93</f>
        <v>32.984200000000001</v>
      </c>
      <c r="E203" s="29">
        <f>'Annual Raw'!F93</f>
        <v>42.176099999999998</v>
      </c>
      <c r="F203" s="29">
        <f>'Annual Raw'!G93</f>
        <v>37.152299999999997</v>
      </c>
      <c r="G203" s="29">
        <f>'Annual Raw'!H93</f>
        <v>71.305199999999999</v>
      </c>
      <c r="H203" s="29">
        <f>'Annual Raw'!I93</f>
        <v>71.708399999999997</v>
      </c>
      <c r="I203" s="29">
        <f>'Annual Raw'!J93</f>
        <v>70.249899999999997</v>
      </c>
      <c r="J203" s="29">
        <f>'Annual Raw'!K93</f>
        <v>101.6439</v>
      </c>
      <c r="K203" s="29">
        <f>'Annual Raw'!L93</f>
        <v>103.07129999999999</v>
      </c>
      <c r="L203" s="29">
        <f>'Annual Raw'!M93</f>
        <v>108.1925</v>
      </c>
      <c r="M203" s="29">
        <f>'Annual Raw'!N93</f>
        <v>109.343</v>
      </c>
      <c r="N203" s="29">
        <f>'Annual Raw'!O93</f>
        <v>203.96260000000001</v>
      </c>
      <c r="O203" s="29">
        <f>'Annual Raw'!P93</f>
        <v>322.38909999999998</v>
      </c>
      <c r="P203" s="29">
        <f>'Annual Raw'!Q93</f>
        <v>253.17</v>
      </c>
      <c r="Q203" s="29">
        <f>'Annual Raw'!R93</f>
        <v>272.64</v>
      </c>
      <c r="R203" s="29">
        <f>'Annual Raw'!S93</f>
        <v>256.08</v>
      </c>
      <c r="S203" s="29">
        <f>'Annual Raw'!T93</f>
        <v>147.97999999999999</v>
      </c>
      <c r="T203" s="29">
        <f>'Annual Raw'!U93</f>
        <v>107.16</v>
      </c>
      <c r="U203" s="29">
        <f>'Annual Raw'!V93</f>
        <v>58.05</v>
      </c>
      <c r="V203" s="29">
        <f>'Annual Raw'!W93</f>
        <v>60.42</v>
      </c>
      <c r="W203" s="29">
        <f>'Annual Raw'!X93</f>
        <v>79.95</v>
      </c>
      <c r="X203" s="29">
        <f>'Annual Raw'!Y93</f>
        <v>280.58999999999997</v>
      </c>
      <c r="Y203" s="29">
        <f>'Annual Raw'!Z93</f>
        <v>292.38</v>
      </c>
      <c r="Z203" s="29">
        <f>'Annual Raw'!AA93</f>
        <v>466.35</v>
      </c>
      <c r="AA203" s="29">
        <f>'Annual Raw'!AB93</f>
        <v>235.73</v>
      </c>
      <c r="AB203" s="30"/>
      <c r="AC203" s="30"/>
      <c r="AD203" s="30"/>
      <c r="AE203" s="30"/>
      <c r="CM203" s="30"/>
      <c r="CN203" s="30"/>
      <c r="CO203" s="30"/>
      <c r="CP203" s="30"/>
      <c r="CQ203" s="30"/>
      <c r="CR203" s="30"/>
      <c r="CS203" s="30"/>
      <c r="CT203" s="30"/>
      <c r="CU203" s="30"/>
      <c r="CV203" s="30"/>
      <c r="CW203" s="30"/>
      <c r="CX203" s="30"/>
      <c r="CY203" s="30"/>
      <c r="CZ203" s="30"/>
      <c r="DA203" s="30"/>
      <c r="DB203" s="30"/>
      <c r="DE203" s="133"/>
    </row>
    <row r="204" spans="1:110" s="29" customFormat="1" x14ac:dyDescent="0.2">
      <c r="A204" s="29" t="s">
        <v>84</v>
      </c>
      <c r="B204" s="29">
        <f t="shared" ref="B204:V204" si="1450">B201-B202-B203</f>
        <v>99.89500000000001</v>
      </c>
      <c r="C204" s="29">
        <f t="shared" si="1450"/>
        <v>109.4714</v>
      </c>
      <c r="D204" s="29">
        <f t="shared" si="1450"/>
        <v>82.293400000000005</v>
      </c>
      <c r="E204" s="29">
        <f t="shared" si="1450"/>
        <v>60.877000000000002</v>
      </c>
      <c r="F204" s="29">
        <f t="shared" si="1450"/>
        <v>131.43610000000001</v>
      </c>
      <c r="G204" s="29">
        <f t="shared" si="1450"/>
        <v>126.35619999999999</v>
      </c>
      <c r="H204" s="29">
        <f t="shared" si="1450"/>
        <v>66.333399999999997</v>
      </c>
      <c r="I204" s="29">
        <f t="shared" si="1450"/>
        <v>45.048900000000003</v>
      </c>
      <c r="J204" s="29">
        <f t="shared" si="1450"/>
        <v>2.6925000000000097</v>
      </c>
      <c r="K204" s="29">
        <f t="shared" si="1450"/>
        <v>0</v>
      </c>
      <c r="L204" s="29">
        <f t="shared" si="1450"/>
        <v>0</v>
      </c>
      <c r="M204" s="29">
        <f t="shared" si="1450"/>
        <v>1.8816000000000059</v>
      </c>
      <c r="N204" s="29">
        <f t="shared" si="1450"/>
        <v>0</v>
      </c>
      <c r="O204" s="29">
        <f t="shared" si="1450"/>
        <v>0</v>
      </c>
      <c r="P204" s="29">
        <f t="shared" si="1450"/>
        <v>95.239999999999981</v>
      </c>
      <c r="Q204" s="29">
        <f t="shared" si="1450"/>
        <v>185.46000000000004</v>
      </c>
      <c r="R204" s="29">
        <f t="shared" si="1450"/>
        <v>400.81</v>
      </c>
      <c r="S204" s="29">
        <f t="shared" si="1450"/>
        <v>0</v>
      </c>
      <c r="T204" s="29">
        <f t="shared" si="1450"/>
        <v>0</v>
      </c>
      <c r="U204" s="29">
        <f t="shared" si="1450"/>
        <v>0</v>
      </c>
      <c r="V204" s="29">
        <f t="shared" si="1450"/>
        <v>0</v>
      </c>
      <c r="W204" s="29">
        <f t="shared" ref="W204" si="1451">W201-W202-W203</f>
        <v>0</v>
      </c>
      <c r="X204" s="29">
        <f t="shared" ref="X204:Y204" si="1452">X201-X202-X203</f>
        <v>0</v>
      </c>
      <c r="Y204" s="29">
        <f t="shared" si="1452"/>
        <v>0</v>
      </c>
      <c r="Z204" s="29">
        <f t="shared" ref="Z204:AA204" si="1453">Z201-Z202-Z203</f>
        <v>0</v>
      </c>
      <c r="AA204" s="29">
        <f t="shared" si="1453"/>
        <v>0</v>
      </c>
      <c r="AB204" s="30">
        <f t="shared" ref="AA204:AD204" si="1454">AB201-AB202-AB203</f>
        <v>0</v>
      </c>
      <c r="AC204" s="30">
        <f t="shared" si="1454"/>
        <v>0</v>
      </c>
      <c r="AD204" s="30">
        <f t="shared" si="1454"/>
        <v>0</v>
      </c>
      <c r="AE204" s="30">
        <f t="shared" ref="AE204" si="1455">AE201-AE202-AE203</f>
        <v>0</v>
      </c>
      <c r="CM204" s="30"/>
      <c r="CN204" s="30"/>
      <c r="CO204" s="30"/>
      <c r="CP204" s="30"/>
      <c r="CQ204" s="30"/>
      <c r="CR204" s="30"/>
      <c r="CS204" s="30"/>
      <c r="CT204" s="30"/>
      <c r="CU204" s="30"/>
      <c r="CV204" s="30"/>
      <c r="CW204" s="30"/>
      <c r="CX204" s="30"/>
      <c r="CY204" s="30"/>
      <c r="CZ204" s="30"/>
      <c r="DA204" s="30"/>
      <c r="DB204" s="30"/>
      <c r="DE204" s="133"/>
      <c r="DF204" s="29">
        <v>0</v>
      </c>
    </row>
    <row r="205" spans="1:110" s="5" customFormat="1" x14ac:dyDescent="0.2">
      <c r="AB205" s="63"/>
      <c r="AC205" s="63"/>
      <c r="AD205" s="63"/>
      <c r="AE205" s="63"/>
      <c r="CE205" s="112"/>
      <c r="CG205" s="112"/>
      <c r="CM205" s="30"/>
      <c r="CN205" s="30"/>
      <c r="CO205" s="30"/>
      <c r="CP205" s="30"/>
      <c r="CQ205" s="30"/>
      <c r="CR205" s="30"/>
      <c r="CS205" s="30"/>
      <c r="CT205" s="30"/>
      <c r="CU205" s="30"/>
      <c r="CV205" s="30"/>
      <c r="CW205" s="30"/>
      <c r="CX205" s="30"/>
      <c r="CY205" s="30"/>
      <c r="CZ205" s="30"/>
      <c r="DA205" s="30"/>
      <c r="DB205" s="30"/>
      <c r="DE205" s="133"/>
    </row>
    <row r="206" spans="1:110" s="95" customFormat="1" x14ac:dyDescent="0.2">
      <c r="A206" s="95" t="s">
        <v>85</v>
      </c>
      <c r="B206" s="95">
        <f t="shared" ref="B206:W206" si="1456">B201/B151</f>
        <v>0.32445265329618439</v>
      </c>
      <c r="C206" s="95">
        <f t="shared" si="1456"/>
        <v>0.37767076331509275</v>
      </c>
      <c r="D206" s="95">
        <f t="shared" si="1456"/>
        <v>0.34700645287792287</v>
      </c>
      <c r="E206" s="95">
        <f t="shared" si="1456"/>
        <v>0.27502374577345001</v>
      </c>
      <c r="F206" s="95">
        <f t="shared" si="1456"/>
        <v>0.37307406073913135</v>
      </c>
      <c r="G206" s="95">
        <f t="shared" si="1456"/>
        <v>0.35245717040914232</v>
      </c>
      <c r="H206" s="95">
        <f t="shared" si="1456"/>
        <v>0.16535752348354071</v>
      </c>
      <c r="I206" s="95">
        <f t="shared" si="1456"/>
        <v>0.12428761596300783</v>
      </c>
      <c r="J206" s="95">
        <f t="shared" si="1456"/>
        <v>0.11719958579008573</v>
      </c>
      <c r="K206" s="95">
        <f t="shared" si="1456"/>
        <v>8.9546074672454012E-2</v>
      </c>
      <c r="L206" s="95">
        <f t="shared" si="1456"/>
        <v>7.2581397479964976E-2</v>
      </c>
      <c r="M206" s="95">
        <f t="shared" si="1456"/>
        <v>7.0448139453040695E-2</v>
      </c>
      <c r="N206" s="95">
        <f t="shared" si="1456"/>
        <v>0.1106623952373658</v>
      </c>
      <c r="O206" s="95">
        <f t="shared" si="1456"/>
        <v>0.16141240713125871</v>
      </c>
      <c r="P206" s="95">
        <f t="shared" si="1456"/>
        <v>0.15688878824564306</v>
      </c>
      <c r="Q206" s="95">
        <f t="shared" si="1456"/>
        <v>0.17059479257902699</v>
      </c>
      <c r="R206" s="95">
        <f t="shared" si="1456"/>
        <v>0.2459389315855291</v>
      </c>
      <c r="S206" s="95">
        <f t="shared" si="1456"/>
        <v>4.1514589581235106E-2</v>
      </c>
      <c r="T206" s="95">
        <f t="shared" si="1456"/>
        <v>2.5951318271752632E-2</v>
      </c>
      <c r="U206" s="95">
        <f t="shared" si="1456"/>
        <v>1.1766923694388361E-2</v>
      </c>
      <c r="V206" s="95">
        <f t="shared" si="1456"/>
        <v>8.8121789505310345E-3</v>
      </c>
      <c r="W206" s="95">
        <f t="shared" si="1456"/>
        <v>9.3341085488525873E-3</v>
      </c>
      <c r="X206" s="95">
        <f t="shared" ref="X206:Y206" si="1457">X201/X151</f>
        <v>2.7170392319200546E-2</v>
      </c>
      <c r="Y206" s="95">
        <f t="shared" si="1457"/>
        <v>2.5470815452887097E-2</v>
      </c>
      <c r="Z206" s="95">
        <f t="shared" ref="Z206:AA206" si="1458">Z201/Z151</f>
        <v>3.6935103198111871E-2</v>
      </c>
      <c r="AA206" s="95">
        <f t="shared" si="1458"/>
        <v>1.678658611270149E-2</v>
      </c>
      <c r="AB206" s="87">
        <f t="shared" ref="AA206:AD206" si="1459">AB201/AB151</f>
        <v>0</v>
      </c>
      <c r="AC206" s="87">
        <f t="shared" si="1459"/>
        <v>0</v>
      </c>
      <c r="AD206" s="87">
        <f t="shared" si="1459"/>
        <v>0</v>
      </c>
      <c r="AE206" s="87">
        <f t="shared" ref="AE206" si="1460">AE201/AE151</f>
        <v>0</v>
      </c>
      <c r="CM206" s="96"/>
      <c r="CN206" s="96"/>
      <c r="CO206" s="96"/>
      <c r="CP206" s="96"/>
      <c r="CQ206" s="96"/>
      <c r="CR206" s="96"/>
      <c r="CS206" s="96"/>
      <c r="CT206" s="96"/>
      <c r="CU206" s="96"/>
      <c r="CV206" s="96"/>
      <c r="CW206" s="96"/>
      <c r="CX206" s="96"/>
      <c r="CY206" s="96"/>
      <c r="CZ206" s="96"/>
      <c r="DA206" s="96"/>
      <c r="DB206" s="96"/>
      <c r="DE206" s="134"/>
    </row>
    <row r="207" spans="1:110" x14ac:dyDescent="0.2">
      <c r="A207" s="146" t="s">
        <v>492</v>
      </c>
      <c r="AA207" s="2"/>
      <c r="CE207" s="111"/>
      <c r="CG207" s="111"/>
    </row>
    <row r="208" spans="1:110" s="6" customFormat="1" x14ac:dyDescent="0.2">
      <c r="AB208" s="19"/>
      <c r="AC208" s="19"/>
      <c r="AD208" s="19"/>
      <c r="AE208" s="19"/>
      <c r="CE208" s="113"/>
      <c r="CG208" s="113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1"/>
    </row>
    <row r="209" spans="1:110" s="62" customFormat="1" x14ac:dyDescent="0.2">
      <c r="A209" s="147" t="s">
        <v>493</v>
      </c>
      <c r="AB209" s="63"/>
      <c r="AC209" s="63"/>
      <c r="AD209" s="63"/>
      <c r="AE209" s="63"/>
      <c r="CE209" s="114"/>
      <c r="CG209" s="114"/>
      <c r="CM209" s="30"/>
      <c r="CN209" s="30"/>
      <c r="CO209" s="30"/>
      <c r="CP209" s="30"/>
      <c r="CQ209" s="30"/>
      <c r="CR209" s="30"/>
      <c r="CS209" s="30"/>
      <c r="CT209" s="30"/>
      <c r="CU209" s="30"/>
      <c r="CV209" s="30"/>
      <c r="CW209" s="30"/>
      <c r="CX209" s="30"/>
      <c r="CY209" s="30"/>
      <c r="CZ209" s="30"/>
      <c r="DA209" s="30"/>
      <c r="DB209" s="30"/>
      <c r="DE209" s="133"/>
    </row>
    <row r="210" spans="1:110" s="62" customFormat="1" outlineLevel="1" x14ac:dyDescent="0.2">
      <c r="A210" s="68" t="s">
        <v>464</v>
      </c>
      <c r="B210" s="67">
        <f t="shared" ref="B210:AE210" si="1461">B175/B39*365</f>
        <v>38.301424813506273</v>
      </c>
      <c r="C210" s="67">
        <f t="shared" si="1461"/>
        <v>35.065779751218379</v>
      </c>
      <c r="D210" s="67">
        <f t="shared" si="1461"/>
        <v>40.015936859916565</v>
      </c>
      <c r="E210" s="67">
        <f t="shared" si="1461"/>
        <v>38.244271030361098</v>
      </c>
      <c r="F210" s="67">
        <f t="shared" si="1461"/>
        <v>58.796063171068582</v>
      </c>
      <c r="G210" s="67">
        <f t="shared" si="1461"/>
        <v>42.368819593518197</v>
      </c>
      <c r="H210" s="67">
        <f t="shared" si="1461"/>
        <v>35.739342481181986</v>
      </c>
      <c r="I210" s="67">
        <f t="shared" si="1461"/>
        <v>49.337238627020596</v>
      </c>
      <c r="J210" s="67">
        <f t="shared" si="1461"/>
        <v>41.620904944709935</v>
      </c>
      <c r="K210" s="67">
        <f t="shared" si="1461"/>
        <v>42.133323460771649</v>
      </c>
      <c r="L210" s="67">
        <f t="shared" si="1461"/>
        <v>48.998349143290682</v>
      </c>
      <c r="M210" s="67">
        <f t="shared" si="1461"/>
        <v>41.768379205302004</v>
      </c>
      <c r="N210" s="67">
        <f t="shared" si="1461"/>
        <v>50.563089902243078</v>
      </c>
      <c r="O210" s="67">
        <f t="shared" si="1461"/>
        <v>63.066237579822989</v>
      </c>
      <c r="P210" s="67">
        <f t="shared" si="1461"/>
        <v>57.263519761310825</v>
      </c>
      <c r="Q210" s="67">
        <f t="shared" si="1461"/>
        <v>50.004032035800385</v>
      </c>
      <c r="R210" s="67">
        <f t="shared" si="1461"/>
        <v>59.557235442190247</v>
      </c>
      <c r="S210" s="67">
        <f t="shared" si="1461"/>
        <v>60.391407578805591</v>
      </c>
      <c r="T210" s="67">
        <f t="shared" si="1461"/>
        <v>64.138889367148181</v>
      </c>
      <c r="U210" s="67">
        <f t="shared" si="1461"/>
        <v>59.980321154382828</v>
      </c>
      <c r="V210" s="67">
        <f t="shared" si="1461"/>
        <v>62.624722883556082</v>
      </c>
      <c r="W210" s="67">
        <f t="shared" si="1461"/>
        <v>62.234167410167899</v>
      </c>
      <c r="X210" s="67">
        <f t="shared" si="1461"/>
        <v>55.074642263822469</v>
      </c>
      <c r="Y210" s="67">
        <f t="shared" si="1461"/>
        <v>63.222494140561011</v>
      </c>
      <c r="Z210" s="67">
        <f t="shared" si="1461"/>
        <v>57.419682675326541</v>
      </c>
      <c r="AA210" s="67">
        <f t="shared" ref="AA210" si="1462">AA175/AA39*365</f>
        <v>63.301872711351692</v>
      </c>
      <c r="AB210" s="18">
        <f t="shared" si="1461"/>
        <v>66.376448291633523</v>
      </c>
      <c r="AC210" s="18">
        <f t="shared" si="1461"/>
        <v>66.642976352886421</v>
      </c>
      <c r="AD210" s="18">
        <f t="shared" si="1461"/>
        <v>66.675859503055293</v>
      </c>
      <c r="AE210" s="18">
        <f t="shared" si="1461"/>
        <v>66.67861966163359</v>
      </c>
      <c r="AI210" s="67">
        <f>AJ175/AI39*90</f>
        <v>50.582800546952953</v>
      </c>
      <c r="AJ210" s="67">
        <f>AJ175/AJ39*90</f>
        <v>51.088162838728948</v>
      </c>
      <c r="AK210" s="67">
        <f t="shared" ref="AK210:CE210" si="1463">+AJ210</f>
        <v>51.088162838728948</v>
      </c>
      <c r="AL210" s="67">
        <f>AL175/AL39*90</f>
        <v>61.957709466479251</v>
      </c>
      <c r="AM210" s="67">
        <f t="shared" ref="AM210:AM211" si="1464">+AL210</f>
        <v>61.957709466479251</v>
      </c>
      <c r="AN210" s="67">
        <f>AN175/AN39*90</f>
        <v>64.450106056476557</v>
      </c>
      <c r="AO210" s="67">
        <f t="shared" ref="AO210:AO211" si="1465">+AN210</f>
        <v>64.450106056476557</v>
      </c>
      <c r="AP210" s="67">
        <f>AP175/AP39*90</f>
        <v>75.752723336114926</v>
      </c>
      <c r="AQ210" s="67">
        <f t="shared" ref="AQ210:AQ211" si="1466">+AP210</f>
        <v>75.752723336114926</v>
      </c>
      <c r="AR210" s="67">
        <f>AR175/AR39*90</f>
        <v>52.873212439153569</v>
      </c>
      <c r="AS210" s="67">
        <f t="shared" ref="AS210:AS211" si="1467">+AR210</f>
        <v>52.873212439153569</v>
      </c>
      <c r="AT210" s="67">
        <f>AT175/AT39*90</f>
        <v>63.544980395058076</v>
      </c>
      <c r="AU210" s="67">
        <f t="shared" ref="AU210:AU211" si="1468">+AT210</f>
        <v>63.544980395058076</v>
      </c>
      <c r="AV210" s="67">
        <f>AV175/AV39*90</f>
        <v>56.586401011508322</v>
      </c>
      <c r="AW210" s="67">
        <f t="shared" ref="AW210:AW211" si="1469">+AV210</f>
        <v>56.586401011508322</v>
      </c>
      <c r="AX210" s="67">
        <f>AX175/AX39*90</f>
        <v>51.037318099616328</v>
      </c>
      <c r="AY210" s="67">
        <f t="shared" ref="AY210:AY211" si="1470">+AX210</f>
        <v>51.037318099616328</v>
      </c>
      <c r="AZ210" s="67">
        <f>AZ175/AZ39*90</f>
        <v>59.630229974904339</v>
      </c>
      <c r="BA210" s="67">
        <f t="shared" ref="BA210:BA211" si="1471">+AZ210</f>
        <v>59.630229974904339</v>
      </c>
      <c r="BB210" s="67">
        <f>BB175/BB39*90</f>
        <v>53.255061986388405</v>
      </c>
      <c r="BC210" s="67">
        <f t="shared" ref="BC210:BC211" si="1472">+BB210</f>
        <v>53.255061986388405</v>
      </c>
      <c r="BD210" s="67">
        <f>BD175/BD39*90</f>
        <v>62.305216762668785</v>
      </c>
      <c r="BE210" s="67">
        <f t="shared" ref="BE210:BE211" si="1473">+BD210</f>
        <v>62.305216762668785</v>
      </c>
      <c r="BF210" s="67">
        <f>BF175/BF39*90</f>
        <v>53.487443170188612</v>
      </c>
      <c r="BG210" s="67">
        <f t="shared" ref="BG210:BG211" si="1474">+BF210</f>
        <v>53.487443170188612</v>
      </c>
      <c r="BH210" s="67">
        <f>BH175/BH39*90</f>
        <v>64.052594090999733</v>
      </c>
      <c r="BI210" s="67">
        <f t="shared" ref="BI210:BI211" si="1475">+BH210</f>
        <v>64.052594090999733</v>
      </c>
      <c r="BJ210" s="67">
        <f>BJ175/BJ39*90</f>
        <v>56.906715127234797</v>
      </c>
      <c r="BK210" s="67">
        <f t="shared" ref="BK210:BK211" si="1476">+BJ210</f>
        <v>56.906715127234797</v>
      </c>
      <c r="BL210" s="67">
        <f>BL175/BL39*90</f>
        <v>63.38583266198642</v>
      </c>
      <c r="BM210" s="67">
        <f t="shared" ref="BM210:BM211" si="1477">+BL210</f>
        <v>63.38583266198642</v>
      </c>
      <c r="BN210" s="67">
        <f>BN175/BN39*90</f>
        <v>58.191922834705011</v>
      </c>
      <c r="BO210" s="67">
        <f t="shared" ref="BO210:BO211" si="1478">+BN210</f>
        <v>58.191922834705011</v>
      </c>
      <c r="BP210" s="67">
        <f>BP175/BP39*90</f>
        <v>50.317969564410262</v>
      </c>
      <c r="BQ210" s="67">
        <f t="shared" ref="BQ210:BQ211" si="1479">+BP210</f>
        <v>50.317969564410262</v>
      </c>
      <c r="BR210" s="67">
        <f>BR175/BR39*90</f>
        <v>50.59106858665848</v>
      </c>
      <c r="BS210" s="67">
        <f t="shared" ref="BS210:BS211" si="1480">+BR210</f>
        <v>50.59106858665848</v>
      </c>
      <c r="BT210" s="67">
        <f>BT175/BT39*90</f>
        <v>56.47520051286206</v>
      </c>
      <c r="BU210" s="67">
        <f t="shared" ref="BU210:BU211" si="1481">+BT210</f>
        <v>56.47520051286206</v>
      </c>
      <c r="BV210" s="67">
        <f>BV175/BV39*90</f>
        <v>54.223591460013175</v>
      </c>
      <c r="BW210" s="67">
        <f t="shared" ref="BW210:BW211" si="1482">+BV210</f>
        <v>54.223591460013175</v>
      </c>
      <c r="BX210" s="67">
        <f>BX175/BX39*90</f>
        <v>57.21759331291009</v>
      </c>
      <c r="BY210" s="67">
        <f t="shared" ref="BY210:BY211" si="1483">+BX210</f>
        <v>57.21759331291009</v>
      </c>
      <c r="BZ210" s="67">
        <f>BZ175/BZ39*90</f>
        <v>54.177137124843497</v>
      </c>
      <c r="CA210" s="67">
        <f t="shared" ref="CA210:CA211" si="1484">+BZ210</f>
        <v>54.177137124843497</v>
      </c>
      <c r="CB210" s="67">
        <f>CB175/CB39*90</f>
        <v>64.890663947428067</v>
      </c>
      <c r="CC210" s="67">
        <f t="shared" ref="CC210:CC211" si="1485">+CB210</f>
        <v>64.890663947428067</v>
      </c>
      <c r="CD210" s="67">
        <f>CD175/CD39*90</f>
        <v>58.654775978082434</v>
      </c>
      <c r="CE210" s="67">
        <f t="shared" si="1463"/>
        <v>58.654775978082434</v>
      </c>
      <c r="CF210" s="67">
        <f>CF175/CF39*90</f>
        <v>69.740472505329564</v>
      </c>
      <c r="CG210" s="67">
        <f t="shared" ref="CG210:CI211" si="1486">+CF210</f>
        <v>69.740472505329564</v>
      </c>
      <c r="CH210" s="67">
        <f>CH175/CH39*90</f>
        <v>49.01243583858448</v>
      </c>
      <c r="CI210" s="67">
        <f t="shared" si="1486"/>
        <v>49.01243583858448</v>
      </c>
      <c r="CJ210" s="67">
        <f>CJ175/CJ39*90</f>
        <v>67.488317917471335</v>
      </c>
      <c r="CK210" s="67">
        <f t="shared" ref="CK210:CK211" si="1487">+CJ210</f>
        <v>67.488317917471335</v>
      </c>
      <c r="CL210" s="67">
        <f>CL175/CL39*90</f>
        <v>54.381008716905335</v>
      </c>
      <c r="CM210" s="30">
        <f t="shared" ref="CM210:CM211" si="1488">+CL210</f>
        <v>54.381008716905335</v>
      </c>
      <c r="CN210" s="30">
        <f t="shared" ref="CN210:CN211" si="1489">+CM210</f>
        <v>54.381008716905335</v>
      </c>
      <c r="CO210" s="30">
        <f t="shared" ref="CO210:CO211" si="1490">+CN210</f>
        <v>54.381008716905335</v>
      </c>
      <c r="CP210" s="30">
        <f t="shared" ref="CP210:CP211" si="1491">+CO210</f>
        <v>54.381008716905335</v>
      </c>
      <c r="CQ210" s="30">
        <f t="shared" ref="CQ210:CQ211" si="1492">+CP210</f>
        <v>54.381008716905335</v>
      </c>
      <c r="CR210" s="30">
        <f t="shared" ref="CR210:CR211" si="1493">+CQ210</f>
        <v>54.381008716905335</v>
      </c>
      <c r="CS210" s="30">
        <f t="shared" ref="CS210:CS211" si="1494">+CR210</f>
        <v>54.381008716905335</v>
      </c>
      <c r="CT210" s="30">
        <f t="shared" ref="CT210:CT211" si="1495">+CS210</f>
        <v>54.381008716905335</v>
      </c>
      <c r="CU210" s="30">
        <f t="shared" ref="CU210:CU211" si="1496">+CT210</f>
        <v>54.381008716905335</v>
      </c>
      <c r="CV210" s="30">
        <f t="shared" ref="CV210:CV211" si="1497">+CU210</f>
        <v>54.381008716905335</v>
      </c>
      <c r="CW210" s="30">
        <f t="shared" ref="CW210:CW211" si="1498">+CV210</f>
        <v>54.381008716905335</v>
      </c>
      <c r="CX210" s="30">
        <f t="shared" ref="CX210:CX211" si="1499">+CW210</f>
        <v>54.381008716905335</v>
      </c>
      <c r="CY210" s="30">
        <f t="shared" ref="CY210:CY211" si="1500">+CX210</f>
        <v>54.381008716905335</v>
      </c>
      <c r="CZ210" s="30">
        <f t="shared" ref="CZ210:CZ211" si="1501">+CY210</f>
        <v>54.381008716905335</v>
      </c>
      <c r="DA210" s="30">
        <f t="shared" ref="DA210:DA211" si="1502">+CZ210</f>
        <v>54.381008716905335</v>
      </c>
      <c r="DB210" s="30">
        <f t="shared" ref="DB210:DB211" si="1503">+DA210</f>
        <v>54.381008716905335</v>
      </c>
      <c r="DE210" s="133"/>
    </row>
    <row r="211" spans="1:110" s="62" customFormat="1" outlineLevel="1" x14ac:dyDescent="0.2">
      <c r="A211" s="68" t="s">
        <v>465</v>
      </c>
      <c r="B211" s="67">
        <f t="shared" ref="B211:AE211" si="1504">B176/B39*365</f>
        <v>40.62100987753697</v>
      </c>
      <c r="C211" s="67">
        <f t="shared" si="1504"/>
        <v>36.171986954448187</v>
      </c>
      <c r="D211" s="67">
        <f t="shared" si="1504"/>
        <v>27.402410416070225</v>
      </c>
      <c r="E211" s="67">
        <f t="shared" si="1504"/>
        <v>36.627057343213679</v>
      </c>
      <c r="F211" s="67">
        <f t="shared" si="1504"/>
        <v>29.915089070374478</v>
      </c>
      <c r="G211" s="67">
        <f t="shared" si="1504"/>
        <v>31.097706648838923</v>
      </c>
      <c r="H211" s="67">
        <f t="shared" si="1504"/>
        <v>38.426124923349384</v>
      </c>
      <c r="I211" s="67">
        <f t="shared" si="1504"/>
        <v>48.252102911670725</v>
      </c>
      <c r="J211" s="67">
        <f t="shared" si="1504"/>
        <v>41.605942637289289</v>
      </c>
      <c r="K211" s="67">
        <f t="shared" si="1504"/>
        <v>49.493674704577309</v>
      </c>
      <c r="L211" s="67">
        <f t="shared" si="1504"/>
        <v>47.809894902797815</v>
      </c>
      <c r="M211" s="67">
        <f t="shared" si="1504"/>
        <v>41.432104875289234</v>
      </c>
      <c r="N211" s="67">
        <f t="shared" si="1504"/>
        <v>45.667148962909359</v>
      </c>
      <c r="O211" s="67">
        <f t="shared" si="1504"/>
        <v>58.426544158567886</v>
      </c>
      <c r="P211" s="67">
        <f t="shared" si="1504"/>
        <v>45.800315622059024</v>
      </c>
      <c r="Q211" s="67">
        <f t="shared" si="1504"/>
        <v>38.33704552831918</v>
      </c>
      <c r="R211" s="67">
        <f t="shared" si="1504"/>
        <v>46.677825171952598</v>
      </c>
      <c r="S211" s="67">
        <f t="shared" si="1504"/>
        <v>42.89946729060722</v>
      </c>
      <c r="T211" s="67">
        <f t="shared" si="1504"/>
        <v>53.875012195611873</v>
      </c>
      <c r="U211" s="67">
        <f t="shared" si="1504"/>
        <v>44.493281695458748</v>
      </c>
      <c r="V211" s="67">
        <f t="shared" si="1504"/>
        <v>54.453457312947862</v>
      </c>
      <c r="W211" s="67">
        <f t="shared" si="1504"/>
        <v>52.164226467687392</v>
      </c>
      <c r="X211" s="67">
        <f t="shared" si="1504"/>
        <v>43.240915942613597</v>
      </c>
      <c r="Y211" s="67">
        <f t="shared" si="1504"/>
        <v>52.796694591447455</v>
      </c>
      <c r="Z211" s="67">
        <f t="shared" si="1504"/>
        <v>53.031628661419219</v>
      </c>
      <c r="AA211" s="67">
        <f t="shared" ref="AA211" si="1505">AA176/AA39*365</f>
        <v>58.14808549594013</v>
      </c>
      <c r="AB211" s="18">
        <f t="shared" si="1504"/>
        <v>60.972341336224268</v>
      </c>
      <c r="AC211" s="18">
        <f t="shared" si="1504"/>
        <v>61.217169740645566</v>
      </c>
      <c r="AD211" s="18">
        <f t="shared" si="1504"/>
        <v>61.247375675249025</v>
      </c>
      <c r="AE211" s="18">
        <f t="shared" si="1504"/>
        <v>61.249911112671619</v>
      </c>
      <c r="AI211" s="67">
        <f>AJ176/AI39*90</f>
        <v>52.501940204737792</v>
      </c>
      <c r="AJ211" s="67">
        <f>AJ176/AJ39*90</f>
        <v>53.026476223654413</v>
      </c>
      <c r="AK211" s="67">
        <f>+AJ211</f>
        <v>53.026476223654413</v>
      </c>
      <c r="AL211" s="67">
        <f>AL176/AL39*90</f>
        <v>55.958076147405734</v>
      </c>
      <c r="AM211" s="67">
        <f t="shared" si="1464"/>
        <v>55.958076147405734</v>
      </c>
      <c r="AN211" s="67">
        <f>AN176/AN39*90</f>
        <v>56.569813601298733</v>
      </c>
      <c r="AO211" s="67">
        <f t="shared" si="1465"/>
        <v>56.569813601298733</v>
      </c>
      <c r="AP211" s="67">
        <f>AP176/AP39*90</f>
        <v>70.179864227880657</v>
      </c>
      <c r="AQ211" s="67">
        <f t="shared" si="1466"/>
        <v>70.179864227880657</v>
      </c>
      <c r="AR211" s="67">
        <f>AR176/AR39*90</f>
        <v>45.514893187722265</v>
      </c>
      <c r="AS211" s="67">
        <f t="shared" si="1467"/>
        <v>45.514893187722265</v>
      </c>
      <c r="AT211" s="67">
        <f>AT176/AT39*90</f>
        <v>50.824332322260858</v>
      </c>
      <c r="AU211" s="67">
        <f t="shared" si="1468"/>
        <v>50.824332322260858</v>
      </c>
      <c r="AV211" s="67">
        <f>AV176/AV39*90</f>
        <v>47.897415660661501</v>
      </c>
      <c r="AW211" s="67">
        <f t="shared" si="1469"/>
        <v>47.897415660661501</v>
      </c>
      <c r="AX211" s="67">
        <f>AX176/AX39*90</f>
        <v>39.129244342285389</v>
      </c>
      <c r="AY211" s="67">
        <f t="shared" si="1470"/>
        <v>39.129244342285389</v>
      </c>
      <c r="AZ211" s="67">
        <f>AZ176/AZ39*90</f>
        <v>49.058460525774464</v>
      </c>
      <c r="BA211" s="67">
        <f t="shared" si="1471"/>
        <v>49.058460525774464</v>
      </c>
      <c r="BB211" s="67">
        <f>BB176/BB39*90</f>
        <v>41.738513456270645</v>
      </c>
      <c r="BC211" s="67">
        <f t="shared" si="1472"/>
        <v>41.738513456270645</v>
      </c>
      <c r="BD211" s="67">
        <f>BD176/BD39*90</f>
        <v>59.961521419743015</v>
      </c>
      <c r="BE211" s="67">
        <f t="shared" si="1473"/>
        <v>59.961521419743015</v>
      </c>
      <c r="BF211" s="67">
        <f>BF176/BF39*90</f>
        <v>37.995186910381015</v>
      </c>
      <c r="BG211" s="67">
        <f t="shared" si="1474"/>
        <v>37.995186910381015</v>
      </c>
      <c r="BH211" s="67">
        <f>BH176/BH39*90</f>
        <v>62.178181714578763</v>
      </c>
      <c r="BI211" s="67">
        <f t="shared" si="1475"/>
        <v>62.178181714578763</v>
      </c>
      <c r="BJ211" s="67">
        <f>BJ176/BJ39*90</f>
        <v>47.800172434265882</v>
      </c>
      <c r="BK211" s="67">
        <f t="shared" si="1476"/>
        <v>47.800172434265882</v>
      </c>
      <c r="BL211" s="67">
        <f>BL176/BL39*90</f>
        <v>47.935953504430884</v>
      </c>
      <c r="BM211" s="67">
        <f t="shared" si="1477"/>
        <v>47.935953504430884</v>
      </c>
      <c r="BN211" s="67">
        <f>BN176/BN39*90</f>
        <v>43.166651415899196</v>
      </c>
      <c r="BO211" s="67">
        <f t="shared" si="1478"/>
        <v>43.166651415899196</v>
      </c>
      <c r="BP211" s="67">
        <f>BP176/BP39*90</f>
        <v>46.78065336081454</v>
      </c>
      <c r="BQ211" s="67">
        <f t="shared" si="1479"/>
        <v>46.78065336081454</v>
      </c>
      <c r="BR211" s="67">
        <f>BR176/BR39*90</f>
        <v>43.989952639349603</v>
      </c>
      <c r="BS211" s="67">
        <f t="shared" si="1480"/>
        <v>43.989952639349603</v>
      </c>
      <c r="BT211" s="67">
        <f>BT176/BT39*90</f>
        <v>48.38145524609277</v>
      </c>
      <c r="BU211" s="67">
        <f t="shared" si="1481"/>
        <v>48.38145524609277</v>
      </c>
      <c r="BV211" s="67">
        <f>BV176/BV39*90</f>
        <v>45.449819970586745</v>
      </c>
      <c r="BW211" s="67">
        <f t="shared" si="1482"/>
        <v>45.449819970586745</v>
      </c>
      <c r="BX211" s="67">
        <f>BX176/BX39*90</f>
        <v>45.121439569931695</v>
      </c>
      <c r="BY211" s="67">
        <f t="shared" si="1483"/>
        <v>45.121439569931695</v>
      </c>
      <c r="BZ211" s="67">
        <f>BZ176/BZ39*90</f>
        <v>42.536255091858578</v>
      </c>
      <c r="CA211" s="67">
        <f t="shared" si="1484"/>
        <v>42.536255091858578</v>
      </c>
      <c r="CB211" s="67">
        <f>CB176/CB39*90</f>
        <v>49.520734194425557</v>
      </c>
      <c r="CC211" s="67">
        <f t="shared" si="1485"/>
        <v>49.520734194425557</v>
      </c>
      <c r="CD211" s="67">
        <f>CD176/CD39*90</f>
        <v>48.982222794937435</v>
      </c>
      <c r="CE211" s="114">
        <f t="shared" ref="CE211" si="1506">+CD211</f>
        <v>48.982222794937435</v>
      </c>
      <c r="CF211" s="67">
        <f>CF176/CF39*90</f>
        <v>53.531641503372953</v>
      </c>
      <c r="CG211" s="67">
        <f t="shared" si="1486"/>
        <v>53.531641503372953</v>
      </c>
      <c r="CH211" s="67">
        <f>CH176/CH39*90</f>
        <v>45.266869757542878</v>
      </c>
      <c r="CI211" s="67">
        <f t="shared" si="1486"/>
        <v>45.266869757542878</v>
      </c>
      <c r="CJ211" s="67">
        <f>CJ176/CJ39*90</f>
        <v>50.51950584996937</v>
      </c>
      <c r="CK211" s="67">
        <f t="shared" si="1487"/>
        <v>50.51950584996937</v>
      </c>
      <c r="CL211" s="67">
        <f>CL176/CL39*90</f>
        <v>49.953522838811999</v>
      </c>
      <c r="CM211" s="30">
        <f t="shared" si="1488"/>
        <v>49.953522838811999</v>
      </c>
      <c r="CN211" s="30">
        <f t="shared" si="1489"/>
        <v>49.953522838811999</v>
      </c>
      <c r="CO211" s="30">
        <f t="shared" si="1490"/>
        <v>49.953522838811999</v>
      </c>
      <c r="CP211" s="30">
        <f t="shared" si="1491"/>
        <v>49.953522838811999</v>
      </c>
      <c r="CQ211" s="30">
        <f t="shared" si="1492"/>
        <v>49.953522838811999</v>
      </c>
      <c r="CR211" s="30">
        <f t="shared" si="1493"/>
        <v>49.953522838811999</v>
      </c>
      <c r="CS211" s="30">
        <f t="shared" si="1494"/>
        <v>49.953522838811999</v>
      </c>
      <c r="CT211" s="30">
        <f t="shared" si="1495"/>
        <v>49.953522838811999</v>
      </c>
      <c r="CU211" s="30">
        <f t="shared" si="1496"/>
        <v>49.953522838811999</v>
      </c>
      <c r="CV211" s="30">
        <f t="shared" si="1497"/>
        <v>49.953522838811999</v>
      </c>
      <c r="CW211" s="30">
        <f t="shared" si="1498"/>
        <v>49.953522838811999</v>
      </c>
      <c r="CX211" s="30">
        <f t="shared" si="1499"/>
        <v>49.953522838811999</v>
      </c>
      <c r="CY211" s="30">
        <f t="shared" si="1500"/>
        <v>49.953522838811999</v>
      </c>
      <c r="CZ211" s="30">
        <f t="shared" si="1501"/>
        <v>49.953522838811999</v>
      </c>
      <c r="DA211" s="30">
        <f t="shared" si="1502"/>
        <v>49.953522838811999</v>
      </c>
      <c r="DB211" s="30">
        <f t="shared" si="1503"/>
        <v>49.953522838811999</v>
      </c>
      <c r="DE211" s="133"/>
    </row>
    <row r="212" spans="1:110" s="62" customFormat="1" outlineLevel="1" x14ac:dyDescent="0.2">
      <c r="A212" s="68" t="s">
        <v>466</v>
      </c>
      <c r="B212" s="67">
        <f>B213-B211-B210</f>
        <v>71.827020179118293</v>
      </c>
      <c r="C212" s="67">
        <f t="shared" ref="C212:U212" si="1507">C213-C211-C210</f>
        <v>19.009179753051477</v>
      </c>
      <c r="D212" s="67">
        <f t="shared" si="1507"/>
        <v>16.050620627661488</v>
      </c>
      <c r="E212" s="67">
        <f t="shared" si="1507"/>
        <v>19.541352903393822</v>
      </c>
      <c r="F212" s="67">
        <f t="shared" si="1507"/>
        <v>24.164281267454371</v>
      </c>
      <c r="G212" s="67">
        <f t="shared" si="1507"/>
        <v>23.509566172120742</v>
      </c>
      <c r="H212" s="67">
        <f t="shared" si="1507"/>
        <v>18.479760696225682</v>
      </c>
      <c r="I212" s="67">
        <f t="shared" si="1507"/>
        <v>20.389092686431852</v>
      </c>
      <c r="J212" s="67">
        <f t="shared" si="1507"/>
        <v>22.870606556013499</v>
      </c>
      <c r="K212" s="67">
        <f t="shared" si="1507"/>
        <v>24.930521847156299</v>
      </c>
      <c r="L212" s="67">
        <f t="shared" si="1507"/>
        <v>19.181123991411283</v>
      </c>
      <c r="M212" s="67">
        <f t="shared" si="1507"/>
        <v>18.895155333926795</v>
      </c>
      <c r="N212" s="67">
        <f t="shared" si="1507"/>
        <v>22.910838602706932</v>
      </c>
      <c r="O212" s="67">
        <f t="shared" si="1507"/>
        <v>21.032559211060722</v>
      </c>
      <c r="P212" s="67">
        <f t="shared" si="1507"/>
        <v>21.071625248120846</v>
      </c>
      <c r="Q212" s="67">
        <f t="shared" si="1507"/>
        <v>33.851921188501258</v>
      </c>
      <c r="R212" s="67">
        <f t="shared" si="1507"/>
        <v>36.794965142244152</v>
      </c>
      <c r="S212" s="67">
        <f t="shared" si="1507"/>
        <v>52.011310361499859</v>
      </c>
      <c r="T212" s="67">
        <f t="shared" si="1507"/>
        <v>50.899383332472468</v>
      </c>
      <c r="U212" s="67">
        <f t="shared" si="1507"/>
        <v>34.013465337324298</v>
      </c>
      <c r="V212" s="67">
        <f>V213-V211-V210</f>
        <v>37.297046588336634</v>
      </c>
      <c r="W212" s="67">
        <f t="shared" ref="W212" si="1508">W213-W211-W210</f>
        <v>27.848470859136611</v>
      </c>
      <c r="X212" s="67">
        <f t="shared" ref="X212:Y212" si="1509">X213-X211-X210</f>
        <v>26.878761802905416</v>
      </c>
      <c r="Y212" s="67">
        <f t="shared" si="1509"/>
        <v>32.716330189437812</v>
      </c>
      <c r="Z212" s="67">
        <f t="shared" ref="Z212:AA212" si="1510">Z213-Z211-Z210</f>
        <v>31.560695325585641</v>
      </c>
      <c r="AA212" s="67">
        <f t="shared" si="1510"/>
        <v>37.06826950823914</v>
      </c>
      <c r="AB212" s="18">
        <f t="shared" ref="AA212:AD212" si="1511">AB213-AB211-AB210</f>
        <v>44.630535172967683</v>
      </c>
      <c r="AC212" s="18">
        <f t="shared" si="1511"/>
        <v>44.809744671494428</v>
      </c>
      <c r="AD212" s="18">
        <f t="shared" si="1511"/>
        <v>44.83185481188282</v>
      </c>
      <c r="AE212" s="18">
        <f t="shared" ref="AE212" si="1512">AE213-AE211-AE210</f>
        <v>44.833710701399085</v>
      </c>
      <c r="AI212" s="67">
        <f t="shared" ref="AI212:AK212" si="1513">AI213-AI211-AI210</f>
        <v>-103.08474075169075</v>
      </c>
      <c r="AJ212" s="67">
        <f t="shared" ref="AJ212:AM212" si="1514">AJ213-AJ211-AJ210</f>
        <v>23.429964914026925</v>
      </c>
      <c r="AK212" s="67">
        <f t="shared" si="1513"/>
        <v>18.806637132426971</v>
      </c>
      <c r="AL212" s="67">
        <f t="shared" si="1514"/>
        <v>28.074191774124564</v>
      </c>
      <c r="AM212" s="67">
        <f t="shared" si="1514"/>
        <v>25.502708697487698</v>
      </c>
      <c r="AN212" s="67">
        <f t="shared" ref="AN212:AY212" si="1515">AN213-AN211-AN210</f>
        <v>24.003483866380662</v>
      </c>
      <c r="AO212" s="67">
        <f t="shared" si="1515"/>
        <v>23.510916118249213</v>
      </c>
      <c r="AP212" s="67">
        <f t="shared" si="1515"/>
        <v>25.263086673131994</v>
      </c>
      <c r="AQ212" s="67">
        <f t="shared" si="1515"/>
        <v>19.353988623924749</v>
      </c>
      <c r="AR212" s="67">
        <f t="shared" si="1515"/>
        <v>15.551968523796312</v>
      </c>
      <c r="AS212" s="67">
        <f t="shared" si="1515"/>
        <v>16.022516433611706</v>
      </c>
      <c r="AT212" s="67">
        <f t="shared" si="1515"/>
        <v>23.383054671894655</v>
      </c>
      <c r="AU212" s="67">
        <f t="shared" si="1515"/>
        <v>20.702571702268784</v>
      </c>
      <c r="AV212" s="67">
        <f t="shared" si="1515"/>
        <v>23.706259915761358</v>
      </c>
      <c r="AW212" s="67">
        <f t="shared" si="1515"/>
        <v>18.438806353573931</v>
      </c>
      <c r="AX212" s="67">
        <f t="shared" si="1515"/>
        <v>34.551439146821707</v>
      </c>
      <c r="AY212" s="67">
        <f t="shared" si="1515"/>
        <v>25.905377062304964</v>
      </c>
      <c r="AZ212" s="67">
        <f t="shared" ref="AZ212:BC212" si="1516">AZ213-AZ211-AZ210</f>
        <v>31.895256510470233</v>
      </c>
      <c r="BA212" s="67">
        <f t="shared" si="1516"/>
        <v>25.221756129816896</v>
      </c>
      <c r="BB212" s="67">
        <f t="shared" si="1516"/>
        <v>32.901428934511863</v>
      </c>
      <c r="BC212" s="67">
        <f t="shared" si="1516"/>
        <v>26.995461601550623</v>
      </c>
      <c r="BD212" s="67">
        <f t="shared" ref="BD212:CE212" si="1517">BD213-BD211-BD210</f>
        <v>51.130337445488685</v>
      </c>
      <c r="BE212" s="67">
        <f t="shared" si="1517"/>
        <v>47.081442457732685</v>
      </c>
      <c r="BF212" s="67">
        <f t="shared" si="1517"/>
        <v>46.065361260830997</v>
      </c>
      <c r="BG212" s="67">
        <f t="shared" si="1517"/>
        <v>43.523925375421641</v>
      </c>
      <c r="BH212" s="67">
        <f t="shared" si="1517"/>
        <v>46.295677939542443</v>
      </c>
      <c r="BI212" s="67">
        <f t="shared" si="1517"/>
        <v>44.917900463295709</v>
      </c>
      <c r="BJ212" s="67">
        <f t="shared" si="1517"/>
        <v>45.160069593230681</v>
      </c>
      <c r="BK212" s="67">
        <f t="shared" si="1517"/>
        <v>49.608232338412854</v>
      </c>
      <c r="BL212" s="67">
        <f t="shared" si="1517"/>
        <v>58.06652088847968</v>
      </c>
      <c r="BM212" s="67">
        <f t="shared" si="1517"/>
        <v>54.530421672097667</v>
      </c>
      <c r="BN212" s="67">
        <f t="shared" si="1517"/>
        <v>44.024103389438224</v>
      </c>
      <c r="BO212" s="67">
        <f t="shared" si="1517"/>
        <v>52.336634346220151</v>
      </c>
      <c r="BP212" s="67">
        <f t="shared" si="1517"/>
        <v>38.192904709091167</v>
      </c>
      <c r="BQ212" s="67">
        <f t="shared" si="1517"/>
        <v>37.381860874669812</v>
      </c>
      <c r="BR212" s="67">
        <f t="shared" si="1517"/>
        <v>37.611450923245059</v>
      </c>
      <c r="BS212" s="67">
        <f t="shared" si="1517"/>
        <v>36.33307401644808</v>
      </c>
      <c r="BT212" s="67">
        <f t="shared" si="1517"/>
        <v>36.04571376238566</v>
      </c>
      <c r="BU212" s="67">
        <f t="shared" si="1517"/>
        <v>30.584780640012909</v>
      </c>
      <c r="BV212" s="67">
        <f t="shared" si="1517"/>
        <v>30.738627719458428</v>
      </c>
      <c r="BW212" s="67">
        <f t="shared" si="1517"/>
        <v>27.37691599337591</v>
      </c>
      <c r="BX212" s="67">
        <f t="shared" si="1517"/>
        <v>33.33407550874788</v>
      </c>
      <c r="BY212" s="67">
        <f t="shared" si="1517"/>
        <v>35.370301685306949</v>
      </c>
      <c r="BZ212" s="67">
        <f t="shared" si="1517"/>
        <v>33.282531649590155</v>
      </c>
      <c r="CA212" s="67">
        <f t="shared" si="1517"/>
        <v>36.978831410054468</v>
      </c>
      <c r="CB212" s="67">
        <f t="shared" si="1517"/>
        <v>38.850271923861328</v>
      </c>
      <c r="CC212" s="67">
        <f t="shared" si="1517"/>
        <v>39.754717239733282</v>
      </c>
      <c r="CD212" s="67">
        <f t="shared" si="1517"/>
        <v>37.327256326791336</v>
      </c>
      <c r="CE212" s="114">
        <f t="shared" si="1517"/>
        <v>38.657742654226432</v>
      </c>
      <c r="CF212" s="67">
        <f t="shared" ref="CF212:CG212" si="1518">CF213-CF211-CF210</f>
        <v>41.476798177729762</v>
      </c>
      <c r="CG212" s="67">
        <f t="shared" si="1518"/>
        <v>41.083396729619409</v>
      </c>
      <c r="CH212" s="67">
        <f t="shared" ref="CH212" si="1519">CH213-CH211-CH210</f>
        <v>26.93965697116387</v>
      </c>
      <c r="CI212" s="67">
        <f>CH212</f>
        <v>26.93965697116387</v>
      </c>
      <c r="CJ212" s="67">
        <f t="shared" ref="CJ212:CL212" si="1520">CJ213-CJ211-CJ210</f>
        <v>43.594565118853694</v>
      </c>
      <c r="CK212" s="67">
        <f t="shared" ref="CK212:DB212" si="1521">CJ212</f>
        <v>43.594565118853694</v>
      </c>
      <c r="CL212" s="67">
        <f t="shared" si="1520"/>
        <v>36.564980271582648</v>
      </c>
      <c r="CM212" s="30">
        <f t="shared" si="1521"/>
        <v>36.564980271582648</v>
      </c>
      <c r="CN212" s="30">
        <f t="shared" si="1521"/>
        <v>36.564980271582648</v>
      </c>
      <c r="CO212" s="30">
        <f t="shared" si="1521"/>
        <v>36.564980271582648</v>
      </c>
      <c r="CP212" s="30">
        <f t="shared" si="1521"/>
        <v>36.564980271582648</v>
      </c>
      <c r="CQ212" s="30">
        <f t="shared" si="1521"/>
        <v>36.564980271582648</v>
      </c>
      <c r="CR212" s="30">
        <f t="shared" si="1521"/>
        <v>36.564980271582648</v>
      </c>
      <c r="CS212" s="30">
        <f t="shared" si="1521"/>
        <v>36.564980271582648</v>
      </c>
      <c r="CT212" s="30">
        <f t="shared" si="1521"/>
        <v>36.564980271582648</v>
      </c>
      <c r="CU212" s="30">
        <f t="shared" si="1521"/>
        <v>36.564980271582648</v>
      </c>
      <c r="CV212" s="30">
        <f t="shared" si="1521"/>
        <v>36.564980271582648</v>
      </c>
      <c r="CW212" s="30">
        <f t="shared" si="1521"/>
        <v>36.564980271582648</v>
      </c>
      <c r="CX212" s="30">
        <f t="shared" si="1521"/>
        <v>36.564980271582648</v>
      </c>
      <c r="CY212" s="30">
        <f t="shared" si="1521"/>
        <v>36.564980271582648</v>
      </c>
      <c r="CZ212" s="30">
        <f t="shared" si="1521"/>
        <v>36.564980271582648</v>
      </c>
      <c r="DA212" s="30">
        <f t="shared" si="1521"/>
        <v>36.564980271582648</v>
      </c>
      <c r="DB212" s="30">
        <f t="shared" si="1521"/>
        <v>36.564980271582648</v>
      </c>
      <c r="DE212" s="133"/>
    </row>
    <row r="213" spans="1:110" s="7" customFormat="1" outlineLevel="1" x14ac:dyDescent="0.2">
      <c r="A213" s="69" t="s">
        <v>467</v>
      </c>
      <c r="B213" s="70">
        <f t="shared" ref="B213:AE213" si="1522">B179/B39*365</f>
        <v>150.74945487016154</v>
      </c>
      <c r="C213" s="70">
        <f t="shared" si="1522"/>
        <v>90.246946458718043</v>
      </c>
      <c r="D213" s="70">
        <f t="shared" si="1522"/>
        <v>83.468967903648277</v>
      </c>
      <c r="E213" s="70">
        <f t="shared" si="1522"/>
        <v>94.412681276968598</v>
      </c>
      <c r="F213" s="70">
        <f t="shared" si="1522"/>
        <v>112.87543350889743</v>
      </c>
      <c r="G213" s="70">
        <f t="shared" si="1522"/>
        <v>96.976092414477861</v>
      </c>
      <c r="H213" s="70">
        <f t="shared" si="1522"/>
        <v>92.645228100757052</v>
      </c>
      <c r="I213" s="70">
        <f t="shared" si="1522"/>
        <v>117.97843422512318</v>
      </c>
      <c r="J213" s="70">
        <f t="shared" si="1522"/>
        <v>106.09745413801272</v>
      </c>
      <c r="K213" s="70">
        <f t="shared" si="1522"/>
        <v>116.55752001250525</v>
      </c>
      <c r="L213" s="70">
        <f t="shared" si="1522"/>
        <v>115.98936803749977</v>
      </c>
      <c r="M213" s="70">
        <f t="shared" si="1522"/>
        <v>102.09563941451803</v>
      </c>
      <c r="N213" s="70">
        <f t="shared" si="1522"/>
        <v>119.14107746785938</v>
      </c>
      <c r="O213" s="70">
        <f t="shared" si="1522"/>
        <v>142.52534094945159</v>
      </c>
      <c r="P213" s="70">
        <f t="shared" si="1522"/>
        <v>124.1354606314907</v>
      </c>
      <c r="Q213" s="70">
        <f t="shared" si="1522"/>
        <v>122.19299875262082</v>
      </c>
      <c r="R213" s="70">
        <f t="shared" si="1522"/>
        <v>143.030025756387</v>
      </c>
      <c r="S213" s="70">
        <f t="shared" si="1522"/>
        <v>155.30218523091267</v>
      </c>
      <c r="T213" s="70">
        <f t="shared" si="1522"/>
        <v>168.91328489523252</v>
      </c>
      <c r="U213" s="70">
        <f t="shared" si="1522"/>
        <v>138.48706818716587</v>
      </c>
      <c r="V213" s="70">
        <f t="shared" si="1522"/>
        <v>154.37522678484058</v>
      </c>
      <c r="W213" s="70">
        <f t="shared" si="1522"/>
        <v>142.24686473699191</v>
      </c>
      <c r="X213" s="70">
        <f t="shared" si="1522"/>
        <v>125.19432000934148</v>
      </c>
      <c r="Y213" s="70">
        <f t="shared" si="1522"/>
        <v>148.73551892144627</v>
      </c>
      <c r="Z213" s="70">
        <f t="shared" si="1522"/>
        <v>142.0120066623314</v>
      </c>
      <c r="AA213" s="70">
        <f t="shared" ref="AA213" si="1523">AA179/AA39*365</f>
        <v>158.51822771553097</v>
      </c>
      <c r="AB213" s="71">
        <f t="shared" si="1522"/>
        <v>171.97932480082548</v>
      </c>
      <c r="AC213" s="71">
        <f t="shared" si="1522"/>
        <v>172.66989076502642</v>
      </c>
      <c r="AD213" s="71">
        <f t="shared" si="1522"/>
        <v>172.75508999018714</v>
      </c>
      <c r="AE213" s="71">
        <f t="shared" si="1522"/>
        <v>172.76224147570429</v>
      </c>
      <c r="AI213" s="70">
        <f t="shared" ref="AI213:CD213" si="1524">AI179/AI39*90</f>
        <v>0</v>
      </c>
      <c r="AJ213" s="70">
        <f t="shared" si="1524"/>
        <v>127.54460397641029</v>
      </c>
      <c r="AK213" s="70">
        <f t="shared" si="1524"/>
        <v>122.92127619481033</v>
      </c>
      <c r="AL213" s="70">
        <f t="shared" si="1524"/>
        <v>145.98997738800955</v>
      </c>
      <c r="AM213" s="70">
        <f t="shared" si="1524"/>
        <v>143.41849431137268</v>
      </c>
      <c r="AN213" s="70">
        <f t="shared" si="1524"/>
        <v>145.02340352415595</v>
      </c>
      <c r="AO213" s="70">
        <f t="shared" si="1524"/>
        <v>144.5308357760245</v>
      </c>
      <c r="AP213" s="70">
        <f t="shared" si="1524"/>
        <v>171.19567423712758</v>
      </c>
      <c r="AQ213" s="70">
        <f t="shared" si="1524"/>
        <v>165.28657618792033</v>
      </c>
      <c r="AR213" s="70">
        <f t="shared" si="1524"/>
        <v>113.94007415067215</v>
      </c>
      <c r="AS213" s="70">
        <f t="shared" si="1524"/>
        <v>114.41062206048754</v>
      </c>
      <c r="AT213" s="70">
        <f t="shared" si="1524"/>
        <v>137.75236738921359</v>
      </c>
      <c r="AU213" s="70">
        <f t="shared" si="1524"/>
        <v>135.07188441958772</v>
      </c>
      <c r="AV213" s="70">
        <f t="shared" si="1524"/>
        <v>128.19007658793117</v>
      </c>
      <c r="AW213" s="70">
        <f t="shared" si="1524"/>
        <v>122.92262302574375</v>
      </c>
      <c r="AX213" s="70">
        <f t="shared" si="1524"/>
        <v>124.71800158872342</v>
      </c>
      <c r="AY213" s="70">
        <f t="shared" si="1524"/>
        <v>116.07193950420668</v>
      </c>
      <c r="AZ213" s="70">
        <f t="shared" si="1524"/>
        <v>140.58394701114904</v>
      </c>
      <c r="BA213" s="70">
        <f t="shared" si="1524"/>
        <v>133.9104466304957</v>
      </c>
      <c r="BB213" s="70">
        <f t="shared" si="1524"/>
        <v>127.89500437717092</v>
      </c>
      <c r="BC213" s="70">
        <f t="shared" si="1524"/>
        <v>121.98903704420968</v>
      </c>
      <c r="BD213" s="70">
        <f t="shared" si="1524"/>
        <v>173.39707562790048</v>
      </c>
      <c r="BE213" s="70">
        <f t="shared" si="1524"/>
        <v>169.34818064014448</v>
      </c>
      <c r="BF213" s="70">
        <f t="shared" si="1524"/>
        <v>137.54799134140063</v>
      </c>
      <c r="BG213" s="70">
        <f t="shared" si="1524"/>
        <v>135.00655545599128</v>
      </c>
      <c r="BH213" s="70">
        <f t="shared" si="1524"/>
        <v>172.52645374512093</v>
      </c>
      <c r="BI213" s="70">
        <f t="shared" si="1524"/>
        <v>171.1486762688742</v>
      </c>
      <c r="BJ213" s="70">
        <f t="shared" si="1524"/>
        <v>149.86695715473135</v>
      </c>
      <c r="BK213" s="70">
        <f t="shared" si="1524"/>
        <v>154.31511989991353</v>
      </c>
      <c r="BL213" s="70">
        <f t="shared" si="1524"/>
        <v>169.38830705489698</v>
      </c>
      <c r="BM213" s="70">
        <f t="shared" si="1524"/>
        <v>165.85220783851497</v>
      </c>
      <c r="BN213" s="70">
        <f t="shared" si="1524"/>
        <v>145.38267764004243</v>
      </c>
      <c r="BO213" s="70">
        <f t="shared" si="1524"/>
        <v>153.69520859682436</v>
      </c>
      <c r="BP213" s="70">
        <f t="shared" si="1524"/>
        <v>135.29152763431597</v>
      </c>
      <c r="BQ213" s="70">
        <f t="shared" si="1524"/>
        <v>134.48048379989461</v>
      </c>
      <c r="BR213" s="70">
        <f t="shared" si="1524"/>
        <v>132.19247214925315</v>
      </c>
      <c r="BS213" s="70">
        <f t="shared" si="1524"/>
        <v>130.91409524245617</v>
      </c>
      <c r="BT213" s="70">
        <f t="shared" si="1524"/>
        <v>140.90236952134049</v>
      </c>
      <c r="BU213" s="70">
        <f t="shared" si="1524"/>
        <v>135.44143639896774</v>
      </c>
      <c r="BV213" s="70">
        <f t="shared" si="1524"/>
        <v>130.41203915005835</v>
      </c>
      <c r="BW213" s="70">
        <f t="shared" si="1524"/>
        <v>127.05032742397583</v>
      </c>
      <c r="BX213" s="70">
        <f t="shared" si="1524"/>
        <v>135.67310839158966</v>
      </c>
      <c r="BY213" s="70">
        <f t="shared" si="1524"/>
        <v>137.70933456814873</v>
      </c>
      <c r="BZ213" s="70">
        <f t="shared" si="1524"/>
        <v>129.99592386629223</v>
      </c>
      <c r="CA213" s="70">
        <f t="shared" si="1524"/>
        <v>133.69222362675654</v>
      </c>
      <c r="CB213" s="70">
        <f t="shared" si="1524"/>
        <v>153.26167006571495</v>
      </c>
      <c r="CC213" s="70">
        <f t="shared" si="1524"/>
        <v>154.16611538158691</v>
      </c>
      <c r="CD213" s="70">
        <f t="shared" si="1524"/>
        <v>144.9642550998112</v>
      </c>
      <c r="CE213" s="115">
        <f>CE179/CE41*90</f>
        <v>146.29474142724629</v>
      </c>
      <c r="CF213" s="70">
        <f>CF179/CF39*90</f>
        <v>164.74891218643228</v>
      </c>
      <c r="CG213" s="70">
        <f>CG179/CG41*90</f>
        <v>164.35551073832193</v>
      </c>
      <c r="CH213" s="70">
        <f>CH179/CH39*90</f>
        <v>121.21896256729123</v>
      </c>
      <c r="CI213" s="70">
        <f>CI210+CI211+CI212</f>
        <v>121.21896256729123</v>
      </c>
      <c r="CJ213" s="70">
        <f>CJ179/CJ39*90</f>
        <v>161.60238888629439</v>
      </c>
      <c r="CK213" s="70">
        <f t="shared" ref="CK213:DB213" si="1525">CK210+CK211+CK212</f>
        <v>161.60238888629439</v>
      </c>
      <c r="CL213" s="70">
        <f>CL179/CL39*90</f>
        <v>140.89951182729999</v>
      </c>
      <c r="CM213" s="50">
        <f t="shared" si="1525"/>
        <v>140.89951182729999</v>
      </c>
      <c r="CN213" s="50">
        <f t="shared" si="1525"/>
        <v>140.89951182729999</v>
      </c>
      <c r="CO213" s="50">
        <f t="shared" si="1525"/>
        <v>140.89951182729999</v>
      </c>
      <c r="CP213" s="50">
        <f t="shared" si="1525"/>
        <v>140.89951182729999</v>
      </c>
      <c r="CQ213" s="50">
        <f t="shared" si="1525"/>
        <v>140.89951182729999</v>
      </c>
      <c r="CR213" s="50">
        <f t="shared" si="1525"/>
        <v>140.89951182729999</v>
      </c>
      <c r="CS213" s="50">
        <f t="shared" si="1525"/>
        <v>140.89951182729999</v>
      </c>
      <c r="CT213" s="50">
        <f t="shared" si="1525"/>
        <v>140.89951182729999</v>
      </c>
      <c r="CU213" s="50">
        <f t="shared" si="1525"/>
        <v>140.89951182729999</v>
      </c>
      <c r="CV213" s="50">
        <f t="shared" si="1525"/>
        <v>140.89951182729999</v>
      </c>
      <c r="CW213" s="50">
        <f t="shared" si="1525"/>
        <v>140.89951182729999</v>
      </c>
      <c r="CX213" s="50">
        <f t="shared" si="1525"/>
        <v>140.89951182729999</v>
      </c>
      <c r="CY213" s="50">
        <f t="shared" si="1525"/>
        <v>140.89951182729999</v>
      </c>
      <c r="CZ213" s="50">
        <f t="shared" si="1525"/>
        <v>140.89951182729999</v>
      </c>
      <c r="DA213" s="50">
        <f t="shared" si="1525"/>
        <v>140.89951182729999</v>
      </c>
      <c r="DB213" s="50">
        <f t="shared" si="1525"/>
        <v>140.89951182729999</v>
      </c>
      <c r="DE213" s="132"/>
    </row>
    <row r="214" spans="1:110" s="62" customFormat="1" outlineLevel="1" x14ac:dyDescent="0.2">
      <c r="A214" s="68" t="s">
        <v>468</v>
      </c>
      <c r="B214" s="67">
        <f t="shared" ref="B214:AE214" si="1526">B184/B39*365</f>
        <v>58.181844308565047</v>
      </c>
      <c r="C214" s="67">
        <f t="shared" si="1526"/>
        <v>46.272419145765369</v>
      </c>
      <c r="D214" s="67">
        <f t="shared" si="1526"/>
        <v>47.395327565351202</v>
      </c>
      <c r="E214" s="67">
        <f t="shared" si="1526"/>
        <v>61.887867223847103</v>
      </c>
      <c r="F214" s="67">
        <f t="shared" si="1526"/>
        <v>65.512699190036543</v>
      </c>
      <c r="G214" s="67">
        <f t="shared" si="1526"/>
        <v>52.682430104664228</v>
      </c>
      <c r="H214" s="67">
        <f t="shared" si="1526"/>
        <v>41.308595931650238</v>
      </c>
      <c r="I214" s="67">
        <f t="shared" si="1526"/>
        <v>59.723135268669843</v>
      </c>
      <c r="J214" s="67">
        <f t="shared" si="1526"/>
        <v>48.848469301523295</v>
      </c>
      <c r="K214" s="67">
        <f t="shared" si="1526"/>
        <v>58.400069107931785</v>
      </c>
      <c r="L214" s="67">
        <f t="shared" si="1526"/>
        <v>54.708225384832154</v>
      </c>
      <c r="M214" s="67">
        <f t="shared" si="1526"/>
        <v>45.532166109876599</v>
      </c>
      <c r="N214" s="67">
        <f t="shared" si="1526"/>
        <v>46.5191415456462</v>
      </c>
      <c r="O214" s="67">
        <f t="shared" si="1526"/>
        <v>66.632195300773816</v>
      </c>
      <c r="P214" s="67">
        <f t="shared" si="1526"/>
        <v>43.608776594651694</v>
      </c>
      <c r="Q214" s="67">
        <f t="shared" si="1526"/>
        <v>53.24622774979737</v>
      </c>
      <c r="R214" s="67">
        <f t="shared" si="1526"/>
        <v>57.479475683284051</v>
      </c>
      <c r="S214" s="67">
        <f t="shared" si="1526"/>
        <v>65.815528867323422</v>
      </c>
      <c r="T214" s="67">
        <f t="shared" si="1526"/>
        <v>72.396495124624806</v>
      </c>
      <c r="U214" s="67">
        <f t="shared" si="1526"/>
        <v>55.509372246876829</v>
      </c>
      <c r="V214" s="67">
        <f t="shared" si="1526"/>
        <v>67.724607706119627</v>
      </c>
      <c r="W214" s="67">
        <f t="shared" si="1526"/>
        <v>61.00838302632512</v>
      </c>
      <c r="X214" s="67">
        <f t="shared" si="1526"/>
        <v>54.032861703652202</v>
      </c>
      <c r="Y214" s="67">
        <f t="shared" si="1526"/>
        <v>59.724762718779694</v>
      </c>
      <c r="Z214" s="67">
        <f t="shared" si="1526"/>
        <v>56.994835152839165</v>
      </c>
      <c r="AA214" s="67">
        <f t="shared" ref="AA214" si="1527">AA184/AA39*365</f>
        <v>58.678582356511697</v>
      </c>
      <c r="AB214" s="18">
        <f t="shared" si="1526"/>
        <v>61.528604459673495</v>
      </c>
      <c r="AC214" s="18">
        <f t="shared" si="1526"/>
        <v>61.775666483633884</v>
      </c>
      <c r="AD214" s="18">
        <f t="shared" si="1526"/>
        <v>61.806147993148208</v>
      </c>
      <c r="AE214" s="18">
        <f t="shared" si="1526"/>
        <v>61.808706561884279</v>
      </c>
      <c r="AI214" s="67">
        <f>AJ184/AI39*90</f>
        <v>0</v>
      </c>
      <c r="AJ214" s="67">
        <f>AJ184/AJ39*90</f>
        <v>0</v>
      </c>
      <c r="AK214" s="67">
        <f t="shared" ref="AK214:CE214" si="1528">+AJ214</f>
        <v>0</v>
      </c>
      <c r="AL214" s="67">
        <f>AL184/AL39*90</f>
        <v>57.002016745095638</v>
      </c>
      <c r="AM214" s="67">
        <f t="shared" ref="AM214" si="1529">+AL214</f>
        <v>57.002016745095638</v>
      </c>
      <c r="AN214" s="67">
        <f>AN184/AN39*90</f>
        <v>67.230444726208376</v>
      </c>
      <c r="AO214" s="67">
        <f t="shared" ref="AO214" si="1530">+AN214</f>
        <v>67.230444726208376</v>
      </c>
      <c r="AP214" s="67">
        <f>AP184/AP39*90</f>
        <v>80.035634542953161</v>
      </c>
      <c r="AQ214" s="67">
        <f t="shared" ref="AQ214" si="1531">+AP214</f>
        <v>80.035634542953161</v>
      </c>
      <c r="AR214" s="67">
        <f>AR184/AR39*90</f>
        <v>43.47120986657923</v>
      </c>
      <c r="AS214" s="67">
        <f t="shared" ref="AS214" si="1532">+AR214</f>
        <v>43.47120986657923</v>
      </c>
      <c r="AT214" s="67">
        <f>AT184/AT39*90</f>
        <v>48.392394762151376</v>
      </c>
      <c r="AU214" s="67">
        <f t="shared" ref="AU214" si="1533">+AT214</f>
        <v>48.392394762151376</v>
      </c>
      <c r="AV214" s="67">
        <f>AV184/AV39*90</f>
        <v>55.587617076451018</v>
      </c>
      <c r="AW214" s="67">
        <f t="shared" ref="AW214" si="1534">+AV214</f>
        <v>55.587617076451018</v>
      </c>
      <c r="AX214" s="67">
        <f>AX184/AX39*90</f>
        <v>54.345750164787802</v>
      </c>
      <c r="AY214" s="67">
        <f t="shared" ref="AY214" si="1535">+AX214</f>
        <v>54.345750164787802</v>
      </c>
      <c r="AZ214" s="67">
        <f>AZ184/AZ39*90</f>
        <v>54.798288558851354</v>
      </c>
      <c r="BA214" s="67">
        <f t="shared" ref="BA214" si="1536">+AZ214</f>
        <v>54.798288558851354</v>
      </c>
      <c r="BB214" s="67">
        <f>BB184/BB39*90</f>
        <v>51.39716472282624</v>
      </c>
      <c r="BC214" s="67">
        <f t="shared" ref="BC214" si="1537">+BB214</f>
        <v>51.39716472282624</v>
      </c>
      <c r="BD214" s="67">
        <f>BD184/BD39*90</f>
        <v>64.842704227979752</v>
      </c>
      <c r="BE214" s="67">
        <f t="shared" ref="BE214" si="1538">+BD214</f>
        <v>64.842704227979752</v>
      </c>
      <c r="BF214" s="67">
        <f>BF184/BF39*90</f>
        <v>58.291477233962048</v>
      </c>
      <c r="BG214" s="67">
        <f t="shared" ref="BG214" si="1539">+BF214</f>
        <v>58.291477233962048</v>
      </c>
      <c r="BH214" s="67">
        <f>BH184/BH39*90</f>
        <v>69.824040570956427</v>
      </c>
      <c r="BI214" s="67">
        <f t="shared" ref="BI214" si="1540">+BH214</f>
        <v>69.824040570956427</v>
      </c>
      <c r="BJ214" s="67">
        <f>BJ184/BJ39*90</f>
        <v>64.233209600561707</v>
      </c>
      <c r="BK214" s="67">
        <f t="shared" ref="BK214" si="1541">+BJ214</f>
        <v>64.233209600561707</v>
      </c>
      <c r="BL214" s="67">
        <f>BL184/BL39*90</f>
        <v>62.76798250661755</v>
      </c>
      <c r="BM214" s="67">
        <f t="shared" ref="BM214" si="1542">+BL214</f>
        <v>62.76798250661755</v>
      </c>
      <c r="BN214" s="67">
        <f>BN184/BN39*90</f>
        <v>53.8542816081127</v>
      </c>
      <c r="BO214" s="67">
        <f t="shared" ref="BO214" si="1543">+BN214</f>
        <v>53.8542816081127</v>
      </c>
      <c r="BP214" s="67">
        <f>BP184/BP39*90</f>
        <v>47.307159551224998</v>
      </c>
      <c r="BQ214" s="67">
        <f t="shared" ref="BQ214" si="1544">+BP214</f>
        <v>47.307159551224998</v>
      </c>
      <c r="BR214" s="67">
        <f>BR184/BR39*90</f>
        <v>54.710984986482082</v>
      </c>
      <c r="BS214" s="67">
        <f t="shared" ref="BS214" si="1545">+BR214</f>
        <v>54.710984986482082</v>
      </c>
      <c r="BT214" s="67">
        <f>BT184/BT39*90</f>
        <v>59.781047351680357</v>
      </c>
      <c r="BU214" s="67">
        <f t="shared" ref="BU214" si="1546">+BT214</f>
        <v>59.781047351680357</v>
      </c>
      <c r="BV214" s="67">
        <f>BV184/BV39*90</f>
        <v>53.155585983062025</v>
      </c>
      <c r="BW214" s="67">
        <f t="shared" ref="BW214" si="1547">+BV214</f>
        <v>53.155585983062025</v>
      </c>
      <c r="BX214" s="67">
        <f>BX184/BX39*90</f>
        <v>54.16180675898255</v>
      </c>
      <c r="BY214" s="67">
        <f t="shared" ref="BY214" si="1548">+BX214</f>
        <v>54.16180675898255</v>
      </c>
      <c r="BZ214" s="67">
        <f>BZ184/BZ39*90</f>
        <v>53.152333586547691</v>
      </c>
      <c r="CA214" s="67">
        <f t="shared" ref="CA214" si="1549">+BZ214</f>
        <v>53.152333586547691</v>
      </c>
      <c r="CB214" s="67">
        <f>CB184/CB39*90</f>
        <v>59.017108542941315</v>
      </c>
      <c r="CC214" s="67">
        <f t="shared" ref="CC214" si="1550">+CB214</f>
        <v>59.017108542941315</v>
      </c>
      <c r="CD214" s="67">
        <f>CD184/CD39*90</f>
        <v>55.409749729672193</v>
      </c>
      <c r="CE214" s="114">
        <f t="shared" si="1528"/>
        <v>55.409749729672193</v>
      </c>
      <c r="CF214" s="67">
        <f>CF184/CF39*90</f>
        <v>61.263761936746192</v>
      </c>
      <c r="CG214" s="67">
        <f t="shared" ref="CG214:CI214" si="1551">+CF214</f>
        <v>61.263761936746192</v>
      </c>
      <c r="CH214" s="67">
        <f>CH184/CH39*90</f>
        <v>48.649793431540296</v>
      </c>
      <c r="CI214" s="67">
        <f t="shared" si="1551"/>
        <v>48.649793431540296</v>
      </c>
      <c r="CJ214" s="67">
        <f>CJ184/CJ39*90</f>
        <v>61.277900329378411</v>
      </c>
      <c r="CK214" s="67">
        <f t="shared" ref="CK214" si="1552">+CJ214</f>
        <v>61.277900329378411</v>
      </c>
      <c r="CL214" s="67">
        <f>CL184/CL39*90</f>
        <v>50.409259030544916</v>
      </c>
      <c r="CM214" s="30">
        <f t="shared" ref="CM214" si="1553">+CL214</f>
        <v>50.409259030544916</v>
      </c>
      <c r="CN214" s="30">
        <f t="shared" ref="CN214" si="1554">+CM214</f>
        <v>50.409259030544916</v>
      </c>
      <c r="CO214" s="30">
        <f t="shared" ref="CO214" si="1555">+CN214</f>
        <v>50.409259030544916</v>
      </c>
      <c r="CP214" s="30">
        <f t="shared" ref="CP214" si="1556">+CO214</f>
        <v>50.409259030544916</v>
      </c>
      <c r="CQ214" s="30">
        <f t="shared" ref="CQ214" si="1557">+CP214</f>
        <v>50.409259030544916</v>
      </c>
      <c r="CR214" s="30">
        <f t="shared" ref="CR214" si="1558">+CQ214</f>
        <v>50.409259030544916</v>
      </c>
      <c r="CS214" s="30">
        <f t="shared" ref="CS214" si="1559">+CR214</f>
        <v>50.409259030544916</v>
      </c>
      <c r="CT214" s="30">
        <f t="shared" ref="CT214" si="1560">+CS214</f>
        <v>50.409259030544916</v>
      </c>
      <c r="CU214" s="30">
        <f t="shared" ref="CU214" si="1561">+CT214</f>
        <v>50.409259030544916</v>
      </c>
      <c r="CV214" s="30">
        <f t="shared" ref="CV214" si="1562">+CU214</f>
        <v>50.409259030544916</v>
      </c>
      <c r="CW214" s="30">
        <f t="shared" ref="CW214" si="1563">+CV214</f>
        <v>50.409259030544916</v>
      </c>
      <c r="CX214" s="30">
        <f t="shared" ref="CX214" si="1564">+CW214</f>
        <v>50.409259030544916</v>
      </c>
      <c r="CY214" s="30">
        <f t="shared" ref="CY214" si="1565">+CX214</f>
        <v>50.409259030544916</v>
      </c>
      <c r="CZ214" s="30">
        <f t="shared" ref="CZ214" si="1566">+CY214</f>
        <v>50.409259030544916</v>
      </c>
      <c r="DA214" s="30">
        <f t="shared" ref="DA214" si="1567">+CZ214</f>
        <v>50.409259030544916</v>
      </c>
      <c r="DB214" s="30">
        <f t="shared" ref="DB214" si="1568">+DA214</f>
        <v>50.409259030544916</v>
      </c>
      <c r="DE214" s="133"/>
    </row>
    <row r="215" spans="1:110" s="62" customFormat="1" outlineLevel="1" x14ac:dyDescent="0.2">
      <c r="A215" s="68" t="s">
        <v>466</v>
      </c>
      <c r="B215" s="67">
        <f>B216-B214</f>
        <v>17.703085376058695</v>
      </c>
      <c r="C215" s="67">
        <f t="shared" ref="C215:V215" si="1569">C216-C214</f>
        <v>9.9776664593606625</v>
      </c>
      <c r="D215" s="67">
        <f t="shared" si="1569"/>
        <v>8.1091093359800581</v>
      </c>
      <c r="E215" s="67">
        <f t="shared" si="1569"/>
        <v>10.636901782698637</v>
      </c>
      <c r="F215" s="67">
        <f t="shared" si="1569"/>
        <v>13.304555304292421</v>
      </c>
      <c r="G215" s="67">
        <f t="shared" si="1569"/>
        <v>11.785912162909817</v>
      </c>
      <c r="H215" s="67">
        <f t="shared" si="1569"/>
        <v>9.8722269937646487</v>
      </c>
      <c r="I215" s="67">
        <f t="shared" si="1569"/>
        <v>7.3179499598565272</v>
      </c>
      <c r="J215" s="67">
        <f t="shared" si="1569"/>
        <v>11.999000678716783</v>
      </c>
      <c r="K215" s="67">
        <f t="shared" si="1569"/>
        <v>13.826316958592827</v>
      </c>
      <c r="L215" s="67">
        <f t="shared" si="1569"/>
        <v>11.066090648963488</v>
      </c>
      <c r="M215" s="67">
        <f t="shared" si="1569"/>
        <v>12.309502530869267</v>
      </c>
      <c r="N215" s="67">
        <f t="shared" si="1569"/>
        <v>11.952090291444762</v>
      </c>
      <c r="O215" s="67">
        <f t="shared" si="1569"/>
        <v>13.771326376882158</v>
      </c>
      <c r="P215" s="67">
        <f t="shared" si="1569"/>
        <v>17.391309708255086</v>
      </c>
      <c r="Q215" s="67">
        <f t="shared" si="1569"/>
        <v>13.324969836289142</v>
      </c>
      <c r="R215" s="67">
        <f t="shared" si="1569"/>
        <v>21.073202260643711</v>
      </c>
      <c r="S215" s="67">
        <f t="shared" si="1569"/>
        <v>20.232993446897424</v>
      </c>
      <c r="T215" s="67">
        <f t="shared" si="1569"/>
        <v>15.9223899955809</v>
      </c>
      <c r="U215" s="67">
        <f t="shared" si="1569"/>
        <v>30.430314861529872</v>
      </c>
      <c r="V215" s="67">
        <f t="shared" si="1569"/>
        <v>30.362621644462237</v>
      </c>
      <c r="W215" s="67">
        <f t="shared" ref="W215" si="1570">W216-W214</f>
        <v>26.136388824438811</v>
      </c>
      <c r="X215" s="67">
        <f t="shared" ref="X215:Y215" si="1571">X216-X214</f>
        <v>25.013388568365301</v>
      </c>
      <c r="Y215" s="67">
        <f t="shared" si="1571"/>
        <v>25.713258265010431</v>
      </c>
      <c r="Z215" s="67">
        <f t="shared" ref="Z215:AA215" si="1572">Z216-Z214</f>
        <v>22.068604332658488</v>
      </c>
      <c r="AA215" s="67">
        <f t="shared" si="1572"/>
        <v>33.591097531245026</v>
      </c>
      <c r="AB215" s="18">
        <f t="shared" ref="AA215:AD215" si="1573">AB216-AB214</f>
        <v>35.22261906071649</v>
      </c>
      <c r="AC215" s="18">
        <f t="shared" si="1573"/>
        <v>35.364052002853654</v>
      </c>
      <c r="AD215" s="18">
        <f t="shared" si="1573"/>
        <v>35.381501425076827</v>
      </c>
      <c r="AE215" s="18">
        <f t="shared" ref="AE215" si="1574">AE216-AE214</f>
        <v>35.382966101428948</v>
      </c>
      <c r="AI215" s="67">
        <f t="shared" ref="AI215:AK215" si="1575">AI216-AI214</f>
        <v>0</v>
      </c>
      <c r="AJ215" s="67">
        <f t="shared" ref="AJ215:AM215" si="1576">AJ216-AJ214</f>
        <v>135.08062308706795</v>
      </c>
      <c r="AK215" s="67">
        <f t="shared" si="1575"/>
        <v>122.14075982405022</v>
      </c>
      <c r="AL215" s="67">
        <f t="shared" si="1576"/>
        <v>54.830532298478268</v>
      </c>
      <c r="AM215" s="67">
        <f t="shared" si="1576"/>
        <v>53.249332612909676</v>
      </c>
      <c r="AN215" s="67">
        <f t="shared" ref="AN215:AY215" si="1577">AN216-AN214</f>
        <v>25.334463022431834</v>
      </c>
      <c r="AO215" s="67">
        <f t="shared" si="1577"/>
        <v>24.814582680455445</v>
      </c>
      <c r="AP215" s="67">
        <f t="shared" si="1577"/>
        <v>31.034867723674438</v>
      </c>
      <c r="AQ215" s="67">
        <f t="shared" si="1577"/>
        <v>23.79462410167281</v>
      </c>
      <c r="AR215" s="67">
        <f t="shared" si="1577"/>
        <v>24.664178163383696</v>
      </c>
      <c r="AS215" s="67">
        <f t="shared" si="1577"/>
        <v>26.091994830435482</v>
      </c>
      <c r="AT215" s="67">
        <f t="shared" si="1577"/>
        <v>53.461844344159211</v>
      </c>
      <c r="AU215" s="67">
        <f t="shared" si="1577"/>
        <v>47.333322416630487</v>
      </c>
      <c r="AV215" s="67">
        <f t="shared" si="1577"/>
        <v>63.023411263499518</v>
      </c>
      <c r="AW215" s="67">
        <f t="shared" si="1577"/>
        <v>63.530678882332019</v>
      </c>
      <c r="AX215" s="67">
        <f t="shared" si="1577"/>
        <v>42.92139199215778</v>
      </c>
      <c r="AY215" s="67">
        <f t="shared" si="1577"/>
        <v>35.737354509403858</v>
      </c>
      <c r="AZ215" s="67">
        <f t="shared" ref="AZ215:BC215" si="1578">AZ216-AZ214</f>
        <v>48.231291397539806</v>
      </c>
      <c r="BA215" s="67">
        <f t="shared" si="1578"/>
        <v>45.130711057325598</v>
      </c>
      <c r="BB215" s="67">
        <f t="shared" si="1578"/>
        <v>45.452401796052079</v>
      </c>
      <c r="BC215" s="67">
        <f t="shared" si="1578"/>
        <v>42.800937078137487</v>
      </c>
      <c r="BD215" s="67">
        <f t="shared" ref="BD215:CE215" si="1579">BD216-BD214</f>
        <v>34.438329330006312</v>
      </c>
      <c r="BE215" s="67">
        <f t="shared" si="1579"/>
        <v>31.711236453695605</v>
      </c>
      <c r="BF215" s="67">
        <f t="shared" si="1579"/>
        <v>39.344402612465665</v>
      </c>
      <c r="BG215" s="67">
        <f t="shared" si="1579"/>
        <v>37.343762125078491</v>
      </c>
      <c r="BH215" s="67">
        <f t="shared" si="1579"/>
        <v>39.803185275933799</v>
      </c>
      <c r="BI215" s="67">
        <f t="shared" si="1579"/>
        <v>38.618626919802296</v>
      </c>
      <c r="BJ215" s="67">
        <f t="shared" si="1579"/>
        <v>34.639152903762067</v>
      </c>
      <c r="BK215" s="67">
        <f t="shared" si="1579"/>
        <v>38.051029609423296</v>
      </c>
      <c r="BL215" s="67">
        <f t="shared" si="1579"/>
        <v>65.762458280584639</v>
      </c>
      <c r="BM215" s="67">
        <f t="shared" si="1579"/>
        <v>61.757696610087059</v>
      </c>
      <c r="BN215" s="67">
        <f t="shared" si="1579"/>
        <v>67.296900146945617</v>
      </c>
      <c r="BO215" s="67">
        <f t="shared" si="1579"/>
        <v>80.598430301383218</v>
      </c>
      <c r="BP215" s="67">
        <f t="shared" si="1579"/>
        <v>42.990151511545434</v>
      </c>
      <c r="BQ215" s="67">
        <f t="shared" si="1579"/>
        <v>42.077235942806823</v>
      </c>
      <c r="BR215" s="67">
        <f t="shared" si="1579"/>
        <v>24.528291756945897</v>
      </c>
      <c r="BS215" s="67">
        <f t="shared" si="1579"/>
        <v>23.694598799733264</v>
      </c>
      <c r="BT215" s="67">
        <f t="shared" si="1579"/>
        <v>26.297459994293718</v>
      </c>
      <c r="BU215" s="67">
        <f t="shared" si="1579"/>
        <v>22.313389342682186</v>
      </c>
      <c r="BV215" s="67">
        <f t="shared" si="1579"/>
        <v>22.77219940159236</v>
      </c>
      <c r="BW215" s="67">
        <f t="shared" si="1579"/>
        <v>20.41382193754653</v>
      </c>
      <c r="BX215" s="67">
        <f t="shared" si="1579"/>
        <v>27.166490511779131</v>
      </c>
      <c r="BY215" s="67">
        <f t="shared" si="1579"/>
        <v>28.952723444471488</v>
      </c>
      <c r="BZ215" s="67">
        <f t="shared" si="1579"/>
        <v>24.605766405776471</v>
      </c>
      <c r="CA215" s="67">
        <f t="shared" si="1579"/>
        <v>27.468860682124635</v>
      </c>
      <c r="CB215" s="67">
        <f t="shared" si="1579"/>
        <v>27.940743258554264</v>
      </c>
      <c r="CC215" s="67">
        <f t="shared" si="1579"/>
        <v>28.728994928839313</v>
      </c>
      <c r="CD215" s="67">
        <f t="shared" si="1579"/>
        <v>23.85551888933086</v>
      </c>
      <c r="CE215" s="114">
        <f t="shared" si="1579"/>
        <v>24.705820916306912</v>
      </c>
      <c r="CF215" s="67">
        <f t="shared" ref="CF215:CG215" si="1580">CF216-CF214</f>
        <v>16.029319860993496</v>
      </c>
      <c r="CG215" s="67">
        <f t="shared" si="1580"/>
        <v>15.877284074177993</v>
      </c>
      <c r="CH215" s="67">
        <f t="shared" ref="CH215" si="1581">CH216-CH214</f>
        <v>18.837374285356582</v>
      </c>
      <c r="CI215" s="67">
        <f>CH215</f>
        <v>18.837374285356582</v>
      </c>
      <c r="CJ215" s="67">
        <f t="shared" ref="CJ215:CL215" si="1582">CJ216-CJ214</f>
        <v>23.431908773992561</v>
      </c>
      <c r="CK215" s="67">
        <f t="shared" ref="CK215:DB215" si="1583">CJ215</f>
        <v>23.431908773992561</v>
      </c>
      <c r="CL215" s="67">
        <f t="shared" si="1582"/>
        <v>28.857246861979093</v>
      </c>
      <c r="CM215" s="30">
        <f t="shared" si="1583"/>
        <v>28.857246861979093</v>
      </c>
      <c r="CN215" s="30">
        <f t="shared" si="1583"/>
        <v>28.857246861979093</v>
      </c>
      <c r="CO215" s="30">
        <f t="shared" si="1583"/>
        <v>28.857246861979093</v>
      </c>
      <c r="CP215" s="30">
        <f t="shared" si="1583"/>
        <v>28.857246861979093</v>
      </c>
      <c r="CQ215" s="30">
        <f t="shared" si="1583"/>
        <v>28.857246861979093</v>
      </c>
      <c r="CR215" s="30">
        <f t="shared" si="1583"/>
        <v>28.857246861979093</v>
      </c>
      <c r="CS215" s="30">
        <f t="shared" si="1583"/>
        <v>28.857246861979093</v>
      </c>
      <c r="CT215" s="30">
        <f t="shared" si="1583"/>
        <v>28.857246861979093</v>
      </c>
      <c r="CU215" s="30">
        <f t="shared" si="1583"/>
        <v>28.857246861979093</v>
      </c>
      <c r="CV215" s="30">
        <f t="shared" si="1583"/>
        <v>28.857246861979093</v>
      </c>
      <c r="CW215" s="30">
        <f t="shared" si="1583"/>
        <v>28.857246861979093</v>
      </c>
      <c r="CX215" s="30">
        <f t="shared" si="1583"/>
        <v>28.857246861979093</v>
      </c>
      <c r="CY215" s="30">
        <f t="shared" si="1583"/>
        <v>28.857246861979093</v>
      </c>
      <c r="CZ215" s="30">
        <f t="shared" si="1583"/>
        <v>28.857246861979093</v>
      </c>
      <c r="DA215" s="30">
        <f t="shared" si="1583"/>
        <v>28.857246861979093</v>
      </c>
      <c r="DB215" s="30">
        <f t="shared" si="1583"/>
        <v>28.857246861979093</v>
      </c>
      <c r="DE215" s="133"/>
    </row>
    <row r="216" spans="1:110" s="7" customFormat="1" outlineLevel="1" x14ac:dyDescent="0.2">
      <c r="A216" s="69" t="s">
        <v>469</v>
      </c>
      <c r="B216" s="70">
        <f t="shared" ref="B216:AE216" si="1584">B187/B39*365</f>
        <v>75.884929684623742</v>
      </c>
      <c r="C216" s="70">
        <f t="shared" si="1584"/>
        <v>56.250085605126031</v>
      </c>
      <c r="D216" s="70">
        <f t="shared" si="1584"/>
        <v>55.50443690133126</v>
      </c>
      <c r="E216" s="70">
        <f t="shared" si="1584"/>
        <v>72.524769006545739</v>
      </c>
      <c r="F216" s="70">
        <f t="shared" si="1584"/>
        <v>78.817254494328964</v>
      </c>
      <c r="G216" s="70">
        <f t="shared" si="1584"/>
        <v>64.468342267574045</v>
      </c>
      <c r="H216" s="70">
        <f t="shared" si="1584"/>
        <v>51.180822925414887</v>
      </c>
      <c r="I216" s="70">
        <f t="shared" si="1584"/>
        <v>67.04108522852637</v>
      </c>
      <c r="J216" s="70">
        <f t="shared" si="1584"/>
        <v>60.847469980240078</v>
      </c>
      <c r="K216" s="70">
        <f t="shared" si="1584"/>
        <v>72.226386066524611</v>
      </c>
      <c r="L216" s="70">
        <f t="shared" si="1584"/>
        <v>65.774316033795643</v>
      </c>
      <c r="M216" s="70">
        <f t="shared" si="1584"/>
        <v>57.841668640745866</v>
      </c>
      <c r="N216" s="70">
        <f t="shared" si="1584"/>
        <v>58.471231837090961</v>
      </c>
      <c r="O216" s="70">
        <f t="shared" si="1584"/>
        <v>80.403521677655974</v>
      </c>
      <c r="P216" s="70">
        <f t="shared" si="1584"/>
        <v>61.00008630290678</v>
      </c>
      <c r="Q216" s="70">
        <f t="shared" si="1584"/>
        <v>66.571197586086512</v>
      </c>
      <c r="R216" s="70">
        <f t="shared" si="1584"/>
        <v>78.552677943927762</v>
      </c>
      <c r="S216" s="70">
        <f t="shared" si="1584"/>
        <v>86.048522314220847</v>
      </c>
      <c r="T216" s="70">
        <f t="shared" si="1584"/>
        <v>88.318885120205707</v>
      </c>
      <c r="U216" s="70">
        <f t="shared" si="1584"/>
        <v>85.939687108406702</v>
      </c>
      <c r="V216" s="70">
        <f t="shared" si="1584"/>
        <v>98.087229350581865</v>
      </c>
      <c r="W216" s="70">
        <f t="shared" si="1584"/>
        <v>87.144771850763931</v>
      </c>
      <c r="X216" s="70">
        <f t="shared" si="1584"/>
        <v>79.046250272017502</v>
      </c>
      <c r="Y216" s="70">
        <f t="shared" si="1584"/>
        <v>85.438020983790125</v>
      </c>
      <c r="Z216" s="70">
        <f t="shared" si="1584"/>
        <v>79.063439485497653</v>
      </c>
      <c r="AA216" s="70">
        <f t="shared" ref="AA216" si="1585">AA187/AA39*365</f>
        <v>92.269679887756723</v>
      </c>
      <c r="AB216" s="71">
        <f t="shared" si="1584"/>
        <v>96.751223520389985</v>
      </c>
      <c r="AC216" s="71">
        <f t="shared" si="1584"/>
        <v>97.139718486487538</v>
      </c>
      <c r="AD216" s="71">
        <f t="shared" si="1584"/>
        <v>97.187649418225035</v>
      </c>
      <c r="AE216" s="71">
        <f t="shared" si="1584"/>
        <v>97.191672663313227</v>
      </c>
      <c r="AI216" s="70">
        <f t="shared" ref="AI216:CD216" si="1586">AI187/AI39*90</f>
        <v>0</v>
      </c>
      <c r="AJ216" s="70">
        <f t="shared" si="1586"/>
        <v>135.08062308706795</v>
      </c>
      <c r="AK216" s="70">
        <f>AK187/AK39*90</f>
        <v>122.14075982405022</v>
      </c>
      <c r="AL216" s="70">
        <f t="shared" si="1586"/>
        <v>111.83254904357391</v>
      </c>
      <c r="AM216" s="70">
        <f t="shared" si="1586"/>
        <v>110.25134935800531</v>
      </c>
      <c r="AN216" s="70">
        <f t="shared" si="1586"/>
        <v>92.564907748640209</v>
      </c>
      <c r="AO216" s="70">
        <f t="shared" si="1586"/>
        <v>92.04502740666382</v>
      </c>
      <c r="AP216" s="70">
        <f t="shared" si="1586"/>
        <v>111.0705022666276</v>
      </c>
      <c r="AQ216" s="70">
        <f t="shared" si="1586"/>
        <v>103.83025864462597</v>
      </c>
      <c r="AR216" s="70">
        <f t="shared" si="1586"/>
        <v>68.135388029962925</v>
      </c>
      <c r="AS216" s="70">
        <f t="shared" si="1586"/>
        <v>69.563204697014712</v>
      </c>
      <c r="AT216" s="70">
        <f t="shared" si="1586"/>
        <v>101.85423910631059</v>
      </c>
      <c r="AU216" s="70">
        <f t="shared" si="1586"/>
        <v>95.725717178781863</v>
      </c>
      <c r="AV216" s="70">
        <f t="shared" si="1586"/>
        <v>118.61102833995054</v>
      </c>
      <c r="AW216" s="70">
        <f t="shared" si="1586"/>
        <v>119.11829595878304</v>
      </c>
      <c r="AX216" s="70">
        <f t="shared" si="1586"/>
        <v>97.267142156945582</v>
      </c>
      <c r="AY216" s="70">
        <f t="shared" si="1586"/>
        <v>90.083104674191659</v>
      </c>
      <c r="AZ216" s="70">
        <f t="shared" si="1586"/>
        <v>103.02957995639116</v>
      </c>
      <c r="BA216" s="70">
        <f t="shared" si="1586"/>
        <v>99.928999616176952</v>
      </c>
      <c r="BB216" s="70">
        <f t="shared" si="1586"/>
        <v>96.849566518878319</v>
      </c>
      <c r="BC216" s="70">
        <f t="shared" si="1586"/>
        <v>94.198101800963727</v>
      </c>
      <c r="BD216" s="70">
        <f t="shared" si="1586"/>
        <v>99.281033557986063</v>
      </c>
      <c r="BE216" s="70">
        <f t="shared" si="1586"/>
        <v>96.553940681675357</v>
      </c>
      <c r="BF216" s="70">
        <f t="shared" si="1586"/>
        <v>97.635879846427713</v>
      </c>
      <c r="BG216" s="70">
        <f t="shared" si="1586"/>
        <v>95.63523935904054</v>
      </c>
      <c r="BH216" s="70">
        <f t="shared" si="1586"/>
        <v>109.62722584689023</v>
      </c>
      <c r="BI216" s="70">
        <f t="shared" si="1586"/>
        <v>108.44266749075872</v>
      </c>
      <c r="BJ216" s="70">
        <f t="shared" si="1586"/>
        <v>98.872362504323775</v>
      </c>
      <c r="BK216" s="70">
        <f t="shared" si="1586"/>
        <v>102.284239209985</v>
      </c>
      <c r="BL216" s="70">
        <f t="shared" si="1586"/>
        <v>128.5304407872022</v>
      </c>
      <c r="BM216" s="70">
        <f t="shared" si="1586"/>
        <v>124.52567911670461</v>
      </c>
      <c r="BN216" s="70">
        <f t="shared" si="1586"/>
        <v>121.15118175505832</v>
      </c>
      <c r="BO216" s="70">
        <f t="shared" si="1586"/>
        <v>134.45271190949592</v>
      </c>
      <c r="BP216" s="70">
        <f t="shared" si="1586"/>
        <v>90.297311062770433</v>
      </c>
      <c r="BQ216" s="70">
        <f t="shared" si="1586"/>
        <v>89.384395494031821</v>
      </c>
      <c r="BR216" s="70">
        <f t="shared" si="1586"/>
        <v>79.239276743427979</v>
      </c>
      <c r="BS216" s="70">
        <f t="shared" si="1586"/>
        <v>78.405583786215345</v>
      </c>
      <c r="BT216" s="70">
        <f t="shared" si="1586"/>
        <v>86.078507345974074</v>
      </c>
      <c r="BU216" s="70">
        <f t="shared" si="1586"/>
        <v>82.094436694362543</v>
      </c>
      <c r="BV216" s="70">
        <f t="shared" si="1586"/>
        <v>75.927785384654385</v>
      </c>
      <c r="BW216" s="70">
        <f t="shared" si="1586"/>
        <v>73.569407920608555</v>
      </c>
      <c r="BX216" s="70">
        <f t="shared" si="1586"/>
        <v>81.328297270761681</v>
      </c>
      <c r="BY216" s="70">
        <f t="shared" si="1586"/>
        <v>83.114530203454038</v>
      </c>
      <c r="BZ216" s="70">
        <f t="shared" si="1586"/>
        <v>77.758099992324162</v>
      </c>
      <c r="CA216" s="70">
        <f t="shared" si="1586"/>
        <v>80.621194268672326</v>
      </c>
      <c r="CB216" s="70">
        <f t="shared" si="1586"/>
        <v>86.957851801495579</v>
      </c>
      <c r="CC216" s="70">
        <f t="shared" si="1586"/>
        <v>87.746103471780629</v>
      </c>
      <c r="CD216" s="70">
        <f t="shared" si="1586"/>
        <v>79.265268619003052</v>
      </c>
      <c r="CE216" s="115">
        <f>CE187/CE41*90</f>
        <v>80.115570645979105</v>
      </c>
      <c r="CF216" s="70">
        <f>CF187/CF39*90</f>
        <v>77.293081797739688</v>
      </c>
      <c r="CG216" s="70">
        <f>CG187/CG41*90</f>
        <v>77.141046010924185</v>
      </c>
      <c r="CH216" s="70">
        <f>CH187/CH39*90</f>
        <v>67.487167716896877</v>
      </c>
      <c r="CI216" s="70">
        <f>CI214+CI215</f>
        <v>67.487167716896877</v>
      </c>
      <c r="CJ216" s="70">
        <f>CJ187/CJ39*90</f>
        <v>84.709809103370972</v>
      </c>
      <c r="CK216" s="70">
        <f t="shared" ref="CK216:DB216" si="1587">CK214+CK215</f>
        <v>84.709809103370972</v>
      </c>
      <c r="CL216" s="70">
        <f>CL187/CL39*90</f>
        <v>79.266505892524009</v>
      </c>
      <c r="CM216" s="50">
        <f t="shared" si="1587"/>
        <v>79.266505892524009</v>
      </c>
      <c r="CN216" s="50">
        <f t="shared" si="1587"/>
        <v>79.266505892524009</v>
      </c>
      <c r="CO216" s="50">
        <f t="shared" si="1587"/>
        <v>79.266505892524009</v>
      </c>
      <c r="CP216" s="50">
        <f t="shared" si="1587"/>
        <v>79.266505892524009</v>
      </c>
      <c r="CQ216" s="50">
        <f t="shared" si="1587"/>
        <v>79.266505892524009</v>
      </c>
      <c r="CR216" s="50">
        <f t="shared" si="1587"/>
        <v>79.266505892524009</v>
      </c>
      <c r="CS216" s="50">
        <f t="shared" si="1587"/>
        <v>79.266505892524009</v>
      </c>
      <c r="CT216" s="50">
        <f t="shared" si="1587"/>
        <v>79.266505892524009</v>
      </c>
      <c r="CU216" s="50">
        <f t="shared" si="1587"/>
        <v>79.266505892524009</v>
      </c>
      <c r="CV216" s="50">
        <f t="shared" si="1587"/>
        <v>79.266505892524009</v>
      </c>
      <c r="CW216" s="50">
        <f t="shared" si="1587"/>
        <v>79.266505892524009</v>
      </c>
      <c r="CX216" s="50">
        <f t="shared" si="1587"/>
        <v>79.266505892524009</v>
      </c>
      <c r="CY216" s="50">
        <f t="shared" si="1587"/>
        <v>79.266505892524009</v>
      </c>
      <c r="CZ216" s="50">
        <f t="shared" si="1587"/>
        <v>79.266505892524009</v>
      </c>
      <c r="DA216" s="50">
        <f t="shared" si="1587"/>
        <v>79.266505892524009</v>
      </c>
      <c r="DB216" s="50">
        <f t="shared" si="1587"/>
        <v>79.266505892524009</v>
      </c>
      <c r="DE216" s="132"/>
    </row>
    <row r="217" spans="1:110" s="7" customFormat="1" x14ac:dyDescent="0.2">
      <c r="A217" s="69" t="s">
        <v>470</v>
      </c>
      <c r="B217" s="70">
        <f>B213-B216</f>
        <v>74.864525185537801</v>
      </c>
      <c r="C217" s="70">
        <f t="shared" ref="C217:V217" si="1588">C213-C216</f>
        <v>33.996860853592011</v>
      </c>
      <c r="D217" s="70">
        <f t="shared" si="1588"/>
        <v>27.964531002317017</v>
      </c>
      <c r="E217" s="70">
        <f t="shared" si="1588"/>
        <v>21.887912270422859</v>
      </c>
      <c r="F217" s="70">
        <f t="shared" si="1588"/>
        <v>34.058179014568466</v>
      </c>
      <c r="G217" s="70">
        <f t="shared" si="1588"/>
        <v>32.507750146903817</v>
      </c>
      <c r="H217" s="70">
        <f t="shared" si="1588"/>
        <v>41.464405175342165</v>
      </c>
      <c r="I217" s="70">
        <f t="shared" si="1588"/>
        <v>50.93734899659681</v>
      </c>
      <c r="J217" s="70">
        <f t="shared" si="1588"/>
        <v>45.249984157772644</v>
      </c>
      <c r="K217" s="70">
        <f t="shared" si="1588"/>
        <v>44.331133945980639</v>
      </c>
      <c r="L217" s="70">
        <f t="shared" si="1588"/>
        <v>50.21505200370413</v>
      </c>
      <c r="M217" s="70">
        <f t="shared" si="1588"/>
        <v>44.253970773772167</v>
      </c>
      <c r="N217" s="70">
        <f t="shared" si="1588"/>
        <v>60.669845630768414</v>
      </c>
      <c r="O217" s="70">
        <f t="shared" si="1588"/>
        <v>62.121819271795616</v>
      </c>
      <c r="P217" s="70">
        <f t="shared" si="1588"/>
        <v>63.135374328583922</v>
      </c>
      <c r="Q217" s="70">
        <f t="shared" si="1588"/>
        <v>55.621801166534311</v>
      </c>
      <c r="R217" s="70">
        <f t="shared" si="1588"/>
        <v>64.477347812459243</v>
      </c>
      <c r="S217" s="70">
        <f t="shared" si="1588"/>
        <v>69.253662916691823</v>
      </c>
      <c r="T217" s="70">
        <f t="shared" si="1588"/>
        <v>80.594399775026815</v>
      </c>
      <c r="U217" s="70">
        <f t="shared" si="1588"/>
        <v>52.547381078759173</v>
      </c>
      <c r="V217" s="70">
        <f t="shared" si="1588"/>
        <v>56.287997434258713</v>
      </c>
      <c r="W217" s="70">
        <f t="shared" ref="W217" si="1589">W213-W216</f>
        <v>55.102092886227979</v>
      </c>
      <c r="X217" s="70">
        <f t="shared" ref="X217:Y217" si="1590">X213-X216</f>
        <v>46.148069737323979</v>
      </c>
      <c r="Y217" s="70">
        <f t="shared" si="1590"/>
        <v>63.297497937656146</v>
      </c>
      <c r="Z217" s="70">
        <f t="shared" ref="Z217:AA217" si="1591">Z213-Z216</f>
        <v>62.948567176833748</v>
      </c>
      <c r="AA217" s="70">
        <f t="shared" si="1591"/>
        <v>66.248547827774246</v>
      </c>
      <c r="AB217" s="71">
        <f t="shared" ref="AA217:AD217" si="1592">AB213-AB216</f>
        <v>75.228101280435496</v>
      </c>
      <c r="AC217" s="71">
        <f t="shared" si="1592"/>
        <v>75.530172278538885</v>
      </c>
      <c r="AD217" s="71">
        <f t="shared" si="1592"/>
        <v>75.567440571962109</v>
      </c>
      <c r="AE217" s="71">
        <f t="shared" ref="AE217" si="1593">AE213-AE216</f>
        <v>75.570568812391059</v>
      </c>
      <c r="AI217" s="70">
        <f t="shared" ref="AI217:AK217" si="1594">AI213-AI216</f>
        <v>0</v>
      </c>
      <c r="AJ217" s="70">
        <f t="shared" ref="AJ217:AM217" si="1595">AJ213-AJ216</f>
        <v>-7.5360191106576622</v>
      </c>
      <c r="AK217" s="70">
        <f t="shared" si="1594"/>
        <v>0.78051637076011104</v>
      </c>
      <c r="AL217" s="70">
        <f t="shared" si="1595"/>
        <v>34.157428344435644</v>
      </c>
      <c r="AM217" s="70">
        <f t="shared" si="1595"/>
        <v>33.167144953367369</v>
      </c>
      <c r="AN217" s="70">
        <f t="shared" ref="AN217:AY217" si="1596">AN213-AN216</f>
        <v>52.458495775515743</v>
      </c>
      <c r="AO217" s="70">
        <f t="shared" si="1596"/>
        <v>52.485808369360683</v>
      </c>
      <c r="AP217" s="70">
        <f t="shared" si="1596"/>
        <v>60.125171970499977</v>
      </c>
      <c r="AQ217" s="70">
        <f t="shared" si="1596"/>
        <v>61.456317543294361</v>
      </c>
      <c r="AR217" s="70">
        <f t="shared" si="1596"/>
        <v>45.804686120709221</v>
      </c>
      <c r="AS217" s="70">
        <f t="shared" si="1596"/>
        <v>44.847417363472829</v>
      </c>
      <c r="AT217" s="70">
        <f t="shared" si="1596"/>
        <v>35.898128282903002</v>
      </c>
      <c r="AU217" s="70">
        <f t="shared" si="1596"/>
        <v>39.346167240805855</v>
      </c>
      <c r="AV217" s="70">
        <f t="shared" si="1596"/>
        <v>9.5790482479806371</v>
      </c>
      <c r="AW217" s="70">
        <f t="shared" si="1596"/>
        <v>3.8043270669607097</v>
      </c>
      <c r="AX217" s="70">
        <f t="shared" si="1596"/>
        <v>27.450859431777843</v>
      </c>
      <c r="AY217" s="70">
        <f t="shared" si="1596"/>
        <v>25.988834830015023</v>
      </c>
      <c r="AZ217" s="70">
        <f t="shared" ref="AZ217:BC217" si="1597">AZ213-AZ216</f>
        <v>37.554367054757876</v>
      </c>
      <c r="BA217" s="70">
        <f t="shared" si="1597"/>
        <v>33.981447014318746</v>
      </c>
      <c r="BB217" s="70">
        <f t="shared" si="1597"/>
        <v>31.045437858292601</v>
      </c>
      <c r="BC217" s="70">
        <f t="shared" si="1597"/>
        <v>27.790935243245954</v>
      </c>
      <c r="BD217" s="70">
        <f t="shared" ref="BD217:CE217" si="1598">BD213-BD216</f>
        <v>74.116042069914414</v>
      </c>
      <c r="BE217" s="70">
        <f t="shared" si="1598"/>
        <v>72.79423995846912</v>
      </c>
      <c r="BF217" s="70">
        <f t="shared" si="1598"/>
        <v>39.912111494972919</v>
      </c>
      <c r="BG217" s="70">
        <f t="shared" si="1598"/>
        <v>39.371316096950736</v>
      </c>
      <c r="BH217" s="70">
        <f t="shared" si="1598"/>
        <v>62.899227898230706</v>
      </c>
      <c r="BI217" s="70">
        <f t="shared" si="1598"/>
        <v>62.706008778115475</v>
      </c>
      <c r="BJ217" s="70">
        <f t="shared" si="1598"/>
        <v>50.994594650407578</v>
      </c>
      <c r="BK217" s="70">
        <f t="shared" si="1598"/>
        <v>52.030880689928523</v>
      </c>
      <c r="BL217" s="70">
        <f t="shared" si="1598"/>
        <v>40.857866267694789</v>
      </c>
      <c r="BM217" s="70">
        <f t="shared" si="1598"/>
        <v>41.326528721810362</v>
      </c>
      <c r="BN217" s="70">
        <f t="shared" si="1598"/>
        <v>24.231495884984113</v>
      </c>
      <c r="BO217" s="70">
        <f t="shared" si="1598"/>
        <v>19.24249668732844</v>
      </c>
      <c r="BP217" s="70">
        <f t="shared" si="1598"/>
        <v>44.994216571545536</v>
      </c>
      <c r="BQ217" s="70">
        <f t="shared" si="1598"/>
        <v>45.096088305862793</v>
      </c>
      <c r="BR217" s="70">
        <f t="shared" si="1598"/>
        <v>52.95319540582517</v>
      </c>
      <c r="BS217" s="70">
        <f t="shared" si="1598"/>
        <v>52.508511456240825</v>
      </c>
      <c r="BT217" s="70">
        <f t="shared" si="1598"/>
        <v>54.823862175366415</v>
      </c>
      <c r="BU217" s="70">
        <f t="shared" si="1598"/>
        <v>53.346999704605196</v>
      </c>
      <c r="BV217" s="70">
        <f t="shared" si="1598"/>
        <v>54.484253765403963</v>
      </c>
      <c r="BW217" s="70">
        <f t="shared" si="1598"/>
        <v>53.480919503367275</v>
      </c>
      <c r="BX217" s="70">
        <f t="shared" si="1598"/>
        <v>54.344811120827984</v>
      </c>
      <c r="BY217" s="70">
        <f t="shared" si="1598"/>
        <v>54.594804364694696</v>
      </c>
      <c r="BZ217" s="70">
        <f t="shared" si="1598"/>
        <v>52.237823873968068</v>
      </c>
      <c r="CA217" s="70">
        <f t="shared" si="1598"/>
        <v>53.071029358084218</v>
      </c>
      <c r="CB217" s="70">
        <f t="shared" si="1598"/>
        <v>66.303818264219373</v>
      </c>
      <c r="CC217" s="70">
        <f t="shared" si="1598"/>
        <v>66.420011909806277</v>
      </c>
      <c r="CD217" s="70">
        <f t="shared" si="1598"/>
        <v>65.698986480808145</v>
      </c>
      <c r="CE217" s="115">
        <f t="shared" si="1598"/>
        <v>66.179170781267189</v>
      </c>
      <c r="CF217" s="70">
        <f t="shared" ref="CF217:CG217" si="1599">CF213-CF216</f>
        <v>87.45583038869259</v>
      </c>
      <c r="CG217" s="70">
        <f t="shared" si="1599"/>
        <v>87.21446472739774</v>
      </c>
      <c r="CH217" s="70">
        <f t="shared" ref="CH217:CI217" si="1600">CH213-CH216</f>
        <v>53.731794850394351</v>
      </c>
      <c r="CI217" s="70">
        <f t="shared" si="1600"/>
        <v>53.731794850394351</v>
      </c>
      <c r="CJ217" s="70">
        <f t="shared" ref="CJ217:DB217" si="1601">CJ213-CJ216</f>
        <v>76.89257978292342</v>
      </c>
      <c r="CK217" s="70">
        <f t="shared" si="1601"/>
        <v>76.89257978292342</v>
      </c>
      <c r="CL217" s="70">
        <f t="shared" ref="CL217" si="1602">CL213-CL216</f>
        <v>61.63300593477598</v>
      </c>
      <c r="CM217" s="50">
        <f t="shared" si="1601"/>
        <v>61.63300593477598</v>
      </c>
      <c r="CN217" s="50">
        <f t="shared" si="1601"/>
        <v>61.63300593477598</v>
      </c>
      <c r="CO217" s="50">
        <f t="shared" si="1601"/>
        <v>61.63300593477598</v>
      </c>
      <c r="CP217" s="50">
        <f t="shared" si="1601"/>
        <v>61.63300593477598</v>
      </c>
      <c r="CQ217" s="50">
        <f t="shared" si="1601"/>
        <v>61.63300593477598</v>
      </c>
      <c r="CR217" s="50">
        <f t="shared" si="1601"/>
        <v>61.63300593477598</v>
      </c>
      <c r="CS217" s="50">
        <f t="shared" si="1601"/>
        <v>61.63300593477598</v>
      </c>
      <c r="CT217" s="50">
        <f t="shared" si="1601"/>
        <v>61.63300593477598</v>
      </c>
      <c r="CU217" s="50">
        <f t="shared" si="1601"/>
        <v>61.63300593477598</v>
      </c>
      <c r="CV217" s="50">
        <f t="shared" si="1601"/>
        <v>61.63300593477598</v>
      </c>
      <c r="CW217" s="50">
        <f t="shared" si="1601"/>
        <v>61.63300593477598</v>
      </c>
      <c r="CX217" s="50">
        <f t="shared" si="1601"/>
        <v>61.63300593477598</v>
      </c>
      <c r="CY217" s="50">
        <f t="shared" si="1601"/>
        <v>61.63300593477598</v>
      </c>
      <c r="CZ217" s="50">
        <f t="shared" si="1601"/>
        <v>61.63300593477598</v>
      </c>
      <c r="DA217" s="50">
        <f t="shared" si="1601"/>
        <v>61.63300593477598</v>
      </c>
      <c r="DB217" s="50">
        <f t="shared" si="1601"/>
        <v>61.63300593477598</v>
      </c>
      <c r="DE217" s="132"/>
    </row>
    <row r="218" spans="1:110" s="7" customFormat="1" x14ac:dyDescent="0.2">
      <c r="A218" s="69" t="s">
        <v>86</v>
      </c>
      <c r="AB218" s="77"/>
      <c r="AC218" s="77"/>
      <c r="AD218" s="77"/>
      <c r="AE218" s="77"/>
      <c r="CE218" s="115"/>
      <c r="CG218" s="115"/>
      <c r="CM218" s="50"/>
      <c r="CN218" s="50"/>
      <c r="CO218" s="50"/>
      <c r="CP218" s="50"/>
      <c r="CQ218" s="50"/>
      <c r="CR218" s="50"/>
      <c r="CS218" s="50"/>
      <c r="CT218" s="50"/>
      <c r="CU218" s="50"/>
      <c r="CV218" s="50"/>
      <c r="CW218" s="50"/>
      <c r="CX218" s="50"/>
      <c r="CY218" s="50"/>
      <c r="CZ218" s="50"/>
      <c r="DA218" s="50"/>
      <c r="DB218" s="50"/>
      <c r="DE218" s="132"/>
    </row>
    <row r="219" spans="1:110" s="86" customFormat="1" x14ac:dyDescent="0.2">
      <c r="A219" s="86" t="s">
        <v>440</v>
      </c>
      <c r="C219" s="86">
        <f t="shared" ref="C219:Y219" si="1603">C41/B41-1</f>
        <v>1.7403114173117462E-2</v>
      </c>
      <c r="D219" s="86">
        <f t="shared" si="1603"/>
        <v>0.14098854838652497</v>
      </c>
      <c r="E219" s="86">
        <f t="shared" si="1603"/>
        <v>0.1265479601421593</v>
      </c>
      <c r="F219" s="86">
        <f t="shared" si="1603"/>
        <v>0.2652029523268109</v>
      </c>
      <c r="G219" s="86">
        <f t="shared" si="1603"/>
        <v>0.19741529587128448</v>
      </c>
      <c r="H219" s="86">
        <f t="shared" si="1603"/>
        <v>0.37430420248947804</v>
      </c>
      <c r="I219" s="86">
        <f t="shared" si="1603"/>
        <v>-0.10759899683797858</v>
      </c>
      <c r="J219" s="86">
        <f t="shared" si="1603"/>
        <v>0.20164663759319179</v>
      </c>
      <c r="K219" s="86">
        <f t="shared" si="1603"/>
        <v>0.23513179945046114</v>
      </c>
      <c r="L219" s="86">
        <f t="shared" si="1603"/>
        <v>0.39015170540361255</v>
      </c>
      <c r="M219" s="86">
        <f t="shared" si="1603"/>
        <v>0.15185122712928845</v>
      </c>
      <c r="N219" s="86">
        <f t="shared" si="1603"/>
        <v>-5.4500927079918826E-2</v>
      </c>
      <c r="O219" s="86">
        <f t="shared" si="1603"/>
        <v>6.2151364554563493E-2</v>
      </c>
      <c r="P219" s="86">
        <f t="shared" si="1603"/>
        <v>0.1298610924281054</v>
      </c>
      <c r="Q219" s="86">
        <f t="shared" si="1603"/>
        <v>1.1645759221119656E-2</v>
      </c>
      <c r="R219" s="86">
        <f t="shared" si="1603"/>
        <v>4.9878938842341736E-2</v>
      </c>
      <c r="S219" s="86">
        <f t="shared" si="1603"/>
        <v>0.15911900120287026</v>
      </c>
      <c r="T219" s="86">
        <f t="shared" si="1603"/>
        <v>0.27027002848431936</v>
      </c>
      <c r="U219" s="86">
        <f t="shared" si="1603"/>
        <v>1.5468498885146786E-2</v>
      </c>
      <c r="V219" s="86">
        <f t="shared" si="1603"/>
        <v>0.16514943663905934</v>
      </c>
      <c r="W219" s="86">
        <f t="shared" si="1603"/>
        <v>0.48019057052109249</v>
      </c>
      <c r="X219" s="86">
        <f t="shared" si="1603"/>
        <v>0.19596723732191479</v>
      </c>
      <c r="Y219" s="86">
        <f t="shared" si="1603"/>
        <v>-0.11645601116322857</v>
      </c>
      <c r="Z219" s="86">
        <f>Z41/Y41-1</f>
        <v>0.11832002386874629</v>
      </c>
      <c r="AA219" s="86">
        <f>AA41/Z41-1</f>
        <v>7.4418756597498081E-2</v>
      </c>
      <c r="AB219" s="87">
        <f t="shared" ref="AA219:AE219" si="1604">AB41/AA41-1</f>
        <v>0.1509876414573712</v>
      </c>
      <c r="AC219" s="87">
        <f t="shared" si="1604"/>
        <v>0.16517615573183164</v>
      </c>
      <c r="AD219" s="87">
        <f t="shared" si="1604"/>
        <v>0.16680819767529709</v>
      </c>
      <c r="AE219" s="87">
        <f t="shared" si="1604"/>
        <v>0.16713080422606397</v>
      </c>
      <c r="AN219" s="86">
        <f t="shared" ref="AN219:CI219" si="1605">+(AN41+AM41)/(AJ41+AI41)-1</f>
        <v>4.8471451595436532E-2</v>
      </c>
      <c r="AO219" s="86">
        <f t="shared" si="1605"/>
        <v>1.5906046689628806E-2</v>
      </c>
      <c r="AP219" s="86">
        <f t="shared" si="1605"/>
        <v>3.653222507455256E-2</v>
      </c>
      <c r="AQ219" s="86">
        <f t="shared" si="1605"/>
        <v>0.25558192145966041</v>
      </c>
      <c r="AR219" s="86">
        <f t="shared" si="1605"/>
        <v>0.42141589909349397</v>
      </c>
      <c r="AS219" s="86">
        <f t="shared" si="1605"/>
        <v>0.3480564123089962</v>
      </c>
      <c r="AT219" s="86">
        <f t="shared" si="1605"/>
        <v>0.2513341150227355</v>
      </c>
      <c r="AU219" s="86">
        <f t="shared" si="1605"/>
        <v>0.127446228267309</v>
      </c>
      <c r="AV219" s="86">
        <f t="shared" si="1605"/>
        <v>1.4712671191888793E-2</v>
      </c>
      <c r="AW219" s="86">
        <f t="shared" si="1605"/>
        <v>-2.1220483442783045E-2</v>
      </c>
      <c r="AX219" s="86">
        <f t="shared" si="1605"/>
        <v>6.5363360865176023E-3</v>
      </c>
      <c r="AY219" s="86">
        <f t="shared" si="1605"/>
        <v>1.2784824968624209E-2</v>
      </c>
      <c r="AZ219" s="86">
        <f t="shared" si="1605"/>
        <v>-4.5873878427903358E-3</v>
      </c>
      <c r="BA219" s="86">
        <f t="shared" si="1605"/>
        <v>1.3690869185060794E-2</v>
      </c>
      <c r="BB219" s="86">
        <f t="shared" si="1605"/>
        <v>0.11456039090492132</v>
      </c>
      <c r="BC219" s="86">
        <f t="shared" si="1605"/>
        <v>0.12302705205881215</v>
      </c>
      <c r="BD219" s="86">
        <f t="shared" si="1605"/>
        <v>9.1705071074603906E-2</v>
      </c>
      <c r="BE219" s="86">
        <f t="shared" si="1605"/>
        <v>0.1809420286666108</v>
      </c>
      <c r="BF219" s="86">
        <f t="shared" si="1605"/>
        <v>0.22612596461777912</v>
      </c>
      <c r="BG219" s="86">
        <f t="shared" si="1605"/>
        <v>0.25010595283094506</v>
      </c>
      <c r="BH219" s="86">
        <f t="shared" si="1605"/>
        <v>0.31781866954037463</v>
      </c>
      <c r="BI219" s="86">
        <f t="shared" si="1605"/>
        <v>0.32159985690276471</v>
      </c>
      <c r="BJ219" s="86">
        <f t="shared" si="1605"/>
        <v>0.24416730634393691</v>
      </c>
      <c r="BK219" s="86">
        <f t="shared" si="1605"/>
        <v>0.12964625825407583</v>
      </c>
      <c r="BL219" s="86">
        <f t="shared" si="1605"/>
        <v>2.8618156895390268E-2</v>
      </c>
      <c r="BM219" s="86">
        <f t="shared" si="1605"/>
        <v>1.0596362611025034E-2</v>
      </c>
      <c r="BN219" s="86">
        <f t="shared" si="1605"/>
        <v>-1.679170750859349E-2</v>
      </c>
      <c r="BO219" s="86">
        <f t="shared" si="1605"/>
        <v>-8.9711838469483163E-2</v>
      </c>
      <c r="BP219" s="86">
        <f t="shared" si="1605"/>
        <v>3.7296103955525961E-2</v>
      </c>
      <c r="BQ219" s="86">
        <f t="shared" si="1605"/>
        <v>0.18235363049931919</v>
      </c>
      <c r="BR219" s="86">
        <f t="shared" si="1605"/>
        <v>0.29142897501928688</v>
      </c>
      <c r="BS219" s="86">
        <f t="shared" si="1605"/>
        <v>0.57628437601171445</v>
      </c>
      <c r="BT219" s="86">
        <f t="shared" si="1605"/>
        <v>0.5268574421746206</v>
      </c>
      <c r="BU219" s="86">
        <f t="shared" si="1605"/>
        <v>0.45949759890505359</v>
      </c>
      <c r="BV219" s="86">
        <f t="shared" si="1605"/>
        <v>0.45040028943681842</v>
      </c>
      <c r="BW219" s="86">
        <f t="shared" si="1605"/>
        <v>0.39800265684325575</v>
      </c>
      <c r="BX219" s="86">
        <f t="shared" si="1605"/>
        <v>0.36530242652621614</v>
      </c>
      <c r="BY219" s="86">
        <f t="shared" si="1605"/>
        <v>0.1554575381093124</v>
      </c>
      <c r="BZ219" s="86">
        <f t="shared" si="1605"/>
        <v>4.4872659453046859E-2</v>
      </c>
      <c r="CA219" s="86">
        <f t="shared" si="1605"/>
        <v>-4.7786372513737962E-2</v>
      </c>
      <c r="CB219" s="86">
        <f t="shared" si="1605"/>
        <v>-0.14397180472257676</v>
      </c>
      <c r="CC219" s="86">
        <f t="shared" si="1605"/>
        <v>-0.13337074186434417</v>
      </c>
      <c r="CD219" s="86">
        <f t="shared" si="1605"/>
        <v>-8.5470595583438502E-2</v>
      </c>
      <c r="CE219" s="86">
        <f t="shared" si="1605"/>
        <v>-9.0449316534388924E-3</v>
      </c>
      <c r="CF219" s="86">
        <f t="shared" si="1605"/>
        <v>5.8040445549908171E-2</v>
      </c>
      <c r="CG219" s="86">
        <f t="shared" si="1605"/>
        <v>0.1074709238020346</v>
      </c>
      <c r="CH219" s="86">
        <f t="shared" si="1605"/>
        <v>0.17247162277220363</v>
      </c>
      <c r="CI219" s="86">
        <f t="shared" si="1605"/>
        <v>0.15512589221563733</v>
      </c>
      <c r="CJ219" s="86">
        <f>+(CJ41+CI41)/(CF41+CE41)-1</f>
        <v>8.4629098836402905E-2</v>
      </c>
      <c r="CL219" s="86">
        <f>+(CL41+CK41)/(CH41+CG41)-1</f>
        <v>5.6436570182944124E-2</v>
      </c>
      <c r="CM219" s="87"/>
      <c r="CN219" s="87"/>
      <c r="CO219" s="87"/>
      <c r="CP219" s="87"/>
      <c r="CQ219" s="87"/>
      <c r="CR219" s="87"/>
      <c r="CS219" s="87"/>
      <c r="CT219" s="87"/>
      <c r="CU219" s="87"/>
      <c r="CV219" s="87"/>
      <c r="CW219" s="87"/>
      <c r="CX219" s="87"/>
      <c r="CY219" s="87"/>
      <c r="CZ219" s="87"/>
      <c r="DA219" s="87"/>
      <c r="DB219" s="87"/>
      <c r="DE219" s="135"/>
    </row>
    <row r="220" spans="1:110" s="86" customFormat="1" x14ac:dyDescent="0.2">
      <c r="A220" s="86" t="s">
        <v>441</v>
      </c>
      <c r="C220" s="86">
        <f t="shared" ref="C220" si="1606">C217/B217-1</f>
        <v>-0.54588824587697427</v>
      </c>
      <c r="D220" s="86">
        <f t="shared" ref="D220" si="1607">D217/C217-1</f>
        <v>-0.17743784866647871</v>
      </c>
      <c r="E220" s="86">
        <f>E217/D217-1</f>
        <v>-0.21729735897915381</v>
      </c>
      <c r="F220" s="86">
        <f t="shared" ref="F220" si="1608">F217/E217-1</f>
        <v>0.55602684229465282</v>
      </c>
      <c r="G220" s="86">
        <f t="shared" ref="G220" si="1609">G217/F217-1</f>
        <v>-4.5522952563067154E-2</v>
      </c>
      <c r="H220" s="86">
        <f t="shared" ref="H220" si="1610">H217/G217-1</f>
        <v>0.2755236824438132</v>
      </c>
      <c r="I220" s="86">
        <f t="shared" ref="I220" si="1611">I217/H217-1</f>
        <v>0.22845965789684031</v>
      </c>
      <c r="J220" s="86">
        <f t="shared" ref="J220" si="1612">J217/I217-1</f>
        <v>-0.11165411924370361</v>
      </c>
      <c r="K220" s="86">
        <f>K217/J217-1</f>
        <v>-2.0306089137805183E-2</v>
      </c>
      <c r="L220" s="86">
        <f t="shared" ref="L220" si="1613">L217/K217-1</f>
        <v>0.13272654078493229</v>
      </c>
      <c r="M220" s="86">
        <f t="shared" ref="M220" si="1614">M217/L217-1</f>
        <v>-0.11871104364269591</v>
      </c>
      <c r="N220" s="86">
        <f t="shared" ref="N220" si="1615">N217/M217-1</f>
        <v>0.37094693583350447</v>
      </c>
      <c r="O220" s="86">
        <f t="shared" ref="O220" si="1616">O217/N217-1</f>
        <v>2.3932377376790992E-2</v>
      </c>
      <c r="P220" s="86">
        <f t="shared" ref="P220" si="1617">P217/O217-1</f>
        <v>1.6315604865881239E-2</v>
      </c>
      <c r="Q220" s="86">
        <f t="shared" ref="Q220" si="1618">Q217/P217-1</f>
        <v>-0.11900734322007356</v>
      </c>
      <c r="R220" s="86">
        <f t="shared" ref="R220" si="1619">R217/Q217-1</f>
        <v>0.15920999428643112</v>
      </c>
      <c r="S220" s="86">
        <f t="shared" ref="S220" si="1620">S217/R217-1</f>
        <v>7.4077412708182688E-2</v>
      </c>
      <c r="T220" s="86">
        <f t="shared" ref="T220" si="1621">T217/S217-1</f>
        <v>0.16375649143608828</v>
      </c>
      <c r="U220" s="86">
        <f t="shared" ref="U220" si="1622">U217/T217-1</f>
        <v>-0.34800207923328141</v>
      </c>
      <c r="V220" s="86">
        <f t="shared" ref="V220" si="1623">V217/U217-1</f>
        <v>7.1185590579538438E-2</v>
      </c>
      <c r="W220" s="86">
        <f t="shared" ref="W220:AA220" si="1624">W217/V217-1</f>
        <v>-2.1068515528835485E-2</v>
      </c>
      <c r="X220" s="86">
        <f t="shared" si="1624"/>
        <v>-0.16249878507140947</v>
      </c>
      <c r="Y220" s="86">
        <f t="shared" si="1624"/>
        <v>0.37161745437993754</v>
      </c>
      <c r="Z220" s="86">
        <f t="shared" si="1624"/>
        <v>-5.512552189125608E-3</v>
      </c>
      <c r="AA220" s="86">
        <f t="shared" si="1624"/>
        <v>5.2423443438676998E-2</v>
      </c>
      <c r="AB220" s="87">
        <f t="shared" ref="AB220" si="1625">AB217/AA217-1</f>
        <v>0.13554340052864733</v>
      </c>
      <c r="AC220" s="87">
        <f t="shared" ref="AC220" si="1626">AC217/AB217-1</f>
        <v>4.0154010663824291E-3</v>
      </c>
      <c r="AD220" s="87">
        <f t="shared" ref="AD220" si="1627">AD217/AC217-1</f>
        <v>4.9342259257389998E-4</v>
      </c>
      <c r="AE220" s="87">
        <f t="shared" ref="AE220" si="1628">AE217/AD217-1</f>
        <v>4.1396670381832479E-5</v>
      </c>
      <c r="AN220" s="86">
        <f t="shared" ref="AN220:CI220" si="1629">+AN217/AJ217-1</f>
        <v>-7.9610353961718836</v>
      </c>
      <c r="AO220" s="86">
        <f t="shared" si="1629"/>
        <v>66.244980804498738</v>
      </c>
      <c r="AP220" s="86">
        <f t="shared" si="1629"/>
        <v>0.7602370812056336</v>
      </c>
      <c r="AQ220" s="86">
        <f t="shared" si="1629"/>
        <v>0.85292757726663693</v>
      </c>
      <c r="AR220" s="86">
        <f t="shared" si="1629"/>
        <v>-0.12683950533541788</v>
      </c>
      <c r="AS220" s="86">
        <f t="shared" si="1629"/>
        <v>-0.14553250189334743</v>
      </c>
      <c r="AT220" s="86">
        <f t="shared" si="1629"/>
        <v>-0.40294344105134228</v>
      </c>
      <c r="AU220" s="86">
        <f t="shared" si="1629"/>
        <v>-0.35977017801160127</v>
      </c>
      <c r="AV220" s="86">
        <f t="shared" si="1629"/>
        <v>-0.79087187230719269</v>
      </c>
      <c r="AW220" s="86">
        <f t="shared" si="1629"/>
        <v>-0.91517176928767263</v>
      </c>
      <c r="AX220" s="86">
        <f t="shared" si="1629"/>
        <v>-0.2353122364641026</v>
      </c>
      <c r="AY220" s="86">
        <f t="shared" si="1629"/>
        <v>-0.33948242859441624</v>
      </c>
      <c r="AZ220" s="86">
        <f t="shared" si="1629"/>
        <v>2.9204695584109546</v>
      </c>
      <c r="BA220" s="86">
        <f t="shared" si="1629"/>
        <v>7.9323148131600174</v>
      </c>
      <c r="BB220" s="86">
        <f t="shared" si="1629"/>
        <v>0.13094593396786625</v>
      </c>
      <c r="BC220" s="86">
        <f t="shared" si="1629"/>
        <v>6.9341331576344922E-2</v>
      </c>
      <c r="BD220" s="86">
        <f t="shared" si="1629"/>
        <v>0.9735665352007159</v>
      </c>
      <c r="BE220" s="86">
        <f t="shared" si="1629"/>
        <v>1.1421759917344265</v>
      </c>
      <c r="BF220" s="86">
        <f t="shared" si="1629"/>
        <v>0.2856031110642534</v>
      </c>
      <c r="BG220" s="86">
        <f t="shared" si="1629"/>
        <v>0.41669633469852974</v>
      </c>
      <c r="BH220" s="86">
        <f t="shared" si="1629"/>
        <v>-0.15134124621904088</v>
      </c>
      <c r="BI220" s="86">
        <f t="shared" si="1629"/>
        <v>-0.13858556921686693</v>
      </c>
      <c r="BJ220" s="86">
        <f t="shared" si="1629"/>
        <v>0.27767218371372149</v>
      </c>
      <c r="BK220" s="86">
        <f t="shared" si="1629"/>
        <v>0.32154283493607316</v>
      </c>
      <c r="BL220" s="86">
        <f t="shared" si="1629"/>
        <v>-0.35042340529518523</v>
      </c>
      <c r="BM220" s="86">
        <f t="shared" si="1629"/>
        <v>-0.34094786883911188</v>
      </c>
      <c r="BN220" s="86">
        <f t="shared" si="1629"/>
        <v>-0.52482226692647238</v>
      </c>
      <c r="BO220" s="86">
        <f t="shared" si="1629"/>
        <v>-0.63017161285426493</v>
      </c>
      <c r="BP220" s="86">
        <f t="shared" si="1629"/>
        <v>0.10123755060408635</v>
      </c>
      <c r="BQ220" s="86">
        <f t="shared" si="1629"/>
        <v>9.1214038552021481E-2</v>
      </c>
      <c r="BR220" s="86">
        <f t="shared" si="1629"/>
        <v>1.1853044342441712</v>
      </c>
      <c r="BS220" s="86">
        <f t="shared" si="1629"/>
        <v>1.7287785108893226</v>
      </c>
      <c r="BT220" s="86">
        <f t="shared" si="1629"/>
        <v>0.21846464618826533</v>
      </c>
      <c r="BU220" s="86">
        <f t="shared" si="1629"/>
        <v>0.18296290673330362</v>
      </c>
      <c r="BV220" s="86">
        <f t="shared" si="1629"/>
        <v>2.8913427184988461E-2</v>
      </c>
      <c r="BW220" s="86">
        <f t="shared" si="1629"/>
        <v>1.8519055676084584E-2</v>
      </c>
      <c r="BX220" s="86">
        <f t="shared" si="1629"/>
        <v>-8.7380026785796039E-3</v>
      </c>
      <c r="BY220" s="86">
        <f t="shared" si="1629"/>
        <v>2.3390343730648189E-2</v>
      </c>
      <c r="BZ220" s="86">
        <f t="shared" si="1629"/>
        <v>-4.123080956763181E-2</v>
      </c>
      <c r="CA220" s="86">
        <f t="shared" si="1629"/>
        <v>-7.664231450942971E-3</v>
      </c>
      <c r="CB220" s="86">
        <f t="shared" si="1629"/>
        <v>0.22005793923549088</v>
      </c>
      <c r="CC220" s="86">
        <f t="shared" si="1629"/>
        <v>0.21659950397695149</v>
      </c>
      <c r="CD220" s="86">
        <f t="shared" si="1629"/>
        <v>0.25768995736340861</v>
      </c>
      <c r="CE220" s="86">
        <f t="shared" si="1629"/>
        <v>0.24699240963914404</v>
      </c>
      <c r="CF220" s="86">
        <f t="shared" si="1629"/>
        <v>0.31901650128478076</v>
      </c>
      <c r="CG220" s="86">
        <f t="shared" si="1629"/>
        <v>0.31307511425666212</v>
      </c>
      <c r="CH220" s="86">
        <f t="shared" si="1629"/>
        <v>-0.18215184543082141</v>
      </c>
      <c r="CI220" s="86">
        <f t="shared" si="1629"/>
        <v>-0.18808600627550043</v>
      </c>
      <c r="CJ220" s="86">
        <f>+CJ217/CF217-1</f>
        <v>-0.12078383520940095</v>
      </c>
      <c r="CL220" s="86">
        <f>+CL217/CH217-1</f>
        <v>0.1470490815797425</v>
      </c>
      <c r="CM220" s="87"/>
      <c r="CN220" s="87"/>
      <c r="CO220" s="87"/>
      <c r="CP220" s="87"/>
      <c r="CQ220" s="87"/>
      <c r="CR220" s="87"/>
      <c r="CS220" s="87"/>
      <c r="CT220" s="87"/>
      <c r="CU220" s="87"/>
      <c r="CV220" s="87"/>
      <c r="CW220" s="87"/>
      <c r="CX220" s="87"/>
      <c r="CY220" s="87"/>
      <c r="CZ220" s="87"/>
      <c r="DA220" s="87"/>
      <c r="DB220" s="87"/>
      <c r="DE220" s="135"/>
    </row>
    <row r="221" spans="1:110" s="103" customFormat="1" x14ac:dyDescent="0.2">
      <c r="A221" s="141" t="s">
        <v>87</v>
      </c>
      <c r="C221" s="103">
        <f>IF(C220&gt;C219,"RF",0)</f>
        <v>0</v>
      </c>
      <c r="D221" s="103">
        <f>IF(D220&gt;D219,"RF",0)</f>
        <v>0</v>
      </c>
      <c r="E221" s="103">
        <f t="shared" ref="E221:U221" si="1630">IF(E220&gt;E219,"RF",0)</f>
        <v>0</v>
      </c>
      <c r="F221" s="103" t="str">
        <f t="shared" si="1630"/>
        <v>RF</v>
      </c>
      <c r="G221" s="103">
        <f t="shared" si="1630"/>
        <v>0</v>
      </c>
      <c r="H221" s="103">
        <f t="shared" si="1630"/>
        <v>0</v>
      </c>
      <c r="I221" s="103" t="str">
        <f t="shared" si="1630"/>
        <v>RF</v>
      </c>
      <c r="J221" s="103">
        <f t="shared" si="1630"/>
        <v>0</v>
      </c>
      <c r="K221" s="103">
        <f t="shared" si="1630"/>
        <v>0</v>
      </c>
      <c r="L221" s="103">
        <f t="shared" si="1630"/>
        <v>0</v>
      </c>
      <c r="M221" s="103">
        <f t="shared" si="1630"/>
        <v>0</v>
      </c>
      <c r="N221" s="103" t="str">
        <f t="shared" si="1630"/>
        <v>RF</v>
      </c>
      <c r="O221" s="103">
        <f t="shared" si="1630"/>
        <v>0</v>
      </c>
      <c r="P221" s="103">
        <f t="shared" si="1630"/>
        <v>0</v>
      </c>
      <c r="Q221" s="103">
        <f t="shared" si="1630"/>
        <v>0</v>
      </c>
      <c r="R221" s="103" t="str">
        <f t="shared" si="1630"/>
        <v>RF</v>
      </c>
      <c r="S221" s="103">
        <f t="shared" si="1630"/>
        <v>0</v>
      </c>
      <c r="T221" s="103">
        <f t="shared" si="1630"/>
        <v>0</v>
      </c>
      <c r="U221" s="103">
        <f t="shared" si="1630"/>
        <v>0</v>
      </c>
      <c r="V221" s="103">
        <f>IF(V220&gt;V219,"RF",0)</f>
        <v>0</v>
      </c>
      <c r="W221" s="103">
        <f t="shared" ref="W221" si="1631">IF(W220&gt;W219,"RF",0)</f>
        <v>0</v>
      </c>
      <c r="X221" s="103">
        <f t="shared" ref="X221:Y221" si="1632">IF(X220&gt;X219,"RF",0)</f>
        <v>0</v>
      </c>
      <c r="Y221" s="103" t="str">
        <f t="shared" si="1632"/>
        <v>RF</v>
      </c>
      <c r="Z221" s="103">
        <f t="shared" ref="Z221:AA221" si="1633">IF(Z220&gt;Z219,"RF",0)</f>
        <v>0</v>
      </c>
      <c r="AA221" s="103">
        <f t="shared" si="1633"/>
        <v>0</v>
      </c>
      <c r="AB221" s="73">
        <f t="shared" ref="AA221:AD221" si="1634">IF(AB220&gt;AB219,"RF",0)</f>
        <v>0</v>
      </c>
      <c r="AC221" s="73">
        <f t="shared" si="1634"/>
        <v>0</v>
      </c>
      <c r="AD221" s="73">
        <f t="shared" si="1634"/>
        <v>0</v>
      </c>
      <c r="AE221" s="73">
        <f t="shared" ref="AE221" si="1635">IF(AE220&gt;AE219,"RF",0)</f>
        <v>0</v>
      </c>
      <c r="CM221" s="73"/>
      <c r="CN221" s="73"/>
      <c r="CO221" s="73"/>
      <c r="CP221" s="73"/>
      <c r="CQ221" s="73"/>
      <c r="CR221" s="73"/>
      <c r="CS221" s="73"/>
      <c r="CT221" s="73"/>
      <c r="CU221" s="73"/>
      <c r="CV221" s="73"/>
      <c r="CW221" s="73"/>
      <c r="CX221" s="73"/>
      <c r="CY221" s="73"/>
      <c r="CZ221" s="73"/>
      <c r="DA221" s="73"/>
      <c r="DB221" s="73"/>
      <c r="DE221" s="136"/>
    </row>
    <row r="222" spans="1:110" x14ac:dyDescent="0.2">
      <c r="A222" s="147" t="s">
        <v>494</v>
      </c>
      <c r="AA222" s="2"/>
    </row>
    <row r="223" spans="1:110" x14ac:dyDescent="0.2">
      <c r="A223" s="146" t="s">
        <v>495</v>
      </c>
      <c r="AA223" s="2"/>
    </row>
    <row r="224" spans="1:110" s="23" customFormat="1" x14ac:dyDescent="0.2">
      <c r="A224" s="23" t="s">
        <v>22</v>
      </c>
      <c r="C224" s="23">
        <f t="shared" ref="C224:AE224" si="1636">C79</f>
        <v>26.85699999999995</v>
      </c>
      <c r="D224" s="23">
        <f t="shared" si="1636"/>
        <v>28.420800000000074</v>
      </c>
      <c r="E224" s="23">
        <f t="shared" si="1636"/>
        <v>38.609099999999913</v>
      </c>
      <c r="F224" s="23">
        <f t="shared" si="1636"/>
        <v>59.359299999999912</v>
      </c>
      <c r="G224" s="23">
        <f t="shared" si="1636"/>
        <v>102.66569999999999</v>
      </c>
      <c r="H224" s="23">
        <f t="shared" si="1636"/>
        <v>288.34179999999992</v>
      </c>
      <c r="I224" s="23">
        <f t="shared" si="1636"/>
        <v>134.65730000000022</v>
      </c>
      <c r="J224" s="23">
        <f t="shared" si="1636"/>
        <v>139.80740000000017</v>
      </c>
      <c r="K224" s="23">
        <f t="shared" si="1636"/>
        <v>324.41519999999991</v>
      </c>
      <c r="L224" s="23">
        <f t="shared" si="1636"/>
        <v>484.23769999999962</v>
      </c>
      <c r="M224" s="23">
        <f t="shared" si="1636"/>
        <v>378.81790000000001</v>
      </c>
      <c r="N224" s="23">
        <f t="shared" si="1636"/>
        <v>252.95159999999993</v>
      </c>
      <c r="O224" s="23">
        <f t="shared" si="1636"/>
        <v>162.45859999999976</v>
      </c>
      <c r="P224" s="23">
        <f t="shared" si="1636"/>
        <v>302.81000000000097</v>
      </c>
      <c r="Q224" s="23">
        <f t="shared" si="1636"/>
        <v>429.89000000000061</v>
      </c>
      <c r="R224" s="23">
        <f t="shared" si="1636"/>
        <v>514.99000000000069</v>
      </c>
      <c r="S224" s="23">
        <f t="shared" si="1636"/>
        <v>461.71000000000055</v>
      </c>
      <c r="T224" s="23">
        <f t="shared" si="1636"/>
        <v>641.62999999999965</v>
      </c>
      <c r="U224" s="23">
        <f t="shared" si="1636"/>
        <v>1019.0899999999995</v>
      </c>
      <c r="V224" s="23">
        <f t="shared" si="1636"/>
        <v>1197.9400000000005</v>
      </c>
      <c r="W224" s="23">
        <f t="shared" si="1636"/>
        <v>1888.9200000000005</v>
      </c>
      <c r="X224" s="23">
        <f t="shared" si="1636"/>
        <v>2162.3399999999988</v>
      </c>
      <c r="Y224" s="23">
        <f t="shared" si="1636"/>
        <v>1335.7100000000003</v>
      </c>
      <c r="Z224" s="23">
        <f t="shared" si="1636"/>
        <v>1250.7799999999984</v>
      </c>
      <c r="AA224" s="23">
        <f t="shared" ref="AA224" si="1637">AA79</f>
        <v>1835.180000000001</v>
      </c>
      <c r="AB224" s="24">
        <f t="shared" si="1636"/>
        <v>2416.7131267231689</v>
      </c>
      <c r="AC224" s="24">
        <f t="shared" si="1636"/>
        <v>2866.2299638458253</v>
      </c>
      <c r="AD224" s="24">
        <f t="shared" si="1636"/>
        <v>3680.1814051807446</v>
      </c>
      <c r="AE224" s="24">
        <f t="shared" si="1636"/>
        <v>4610.8508487364043</v>
      </c>
      <c r="AI224" s="23">
        <f t="shared" ref="AI224:BN224" si="1638">AI79</f>
        <v>22.02000000000001</v>
      </c>
      <c r="AJ224" s="23">
        <f t="shared" si="1638"/>
        <v>75.360000000000028</v>
      </c>
      <c r="AK224" s="23">
        <f t="shared" si="1638"/>
        <v>89.249999999999943</v>
      </c>
      <c r="AL224" s="23">
        <f t="shared" si="1638"/>
        <v>71.879999999999939</v>
      </c>
      <c r="AM224" s="23">
        <f t="shared" si="1638"/>
        <v>43.81</v>
      </c>
      <c r="AN224" s="23">
        <f t="shared" si="1638"/>
        <v>47.770000000000159</v>
      </c>
      <c r="AO224" s="23">
        <f t="shared" si="1638"/>
        <v>72.060000000000116</v>
      </c>
      <c r="AP224" s="23">
        <f t="shared" si="1638"/>
        <v>52.90000000000002</v>
      </c>
      <c r="AQ224" s="23">
        <f t="shared" si="1638"/>
        <v>92.500000000000185</v>
      </c>
      <c r="AR224" s="23">
        <f t="shared" si="1638"/>
        <v>78.489999999999952</v>
      </c>
      <c r="AS224" s="23">
        <f t="shared" si="1638"/>
        <v>71.399999999999778</v>
      </c>
      <c r="AT224" s="23">
        <f t="shared" si="1638"/>
        <v>60.41999999999986</v>
      </c>
      <c r="AU224" s="23">
        <f t="shared" si="1638"/>
        <v>113.42000000000021</v>
      </c>
      <c r="AV224" s="23">
        <f t="shared" si="1638"/>
        <v>102.11999999999992</v>
      </c>
      <c r="AW224" s="23">
        <f t="shared" si="1638"/>
        <v>96.880000000000052</v>
      </c>
      <c r="AX224" s="23">
        <f t="shared" si="1638"/>
        <v>111.69000000000018</v>
      </c>
      <c r="AY224" s="23">
        <f t="shared" si="1638"/>
        <v>154.56000000000003</v>
      </c>
      <c r="AZ224" s="23">
        <f t="shared" si="1638"/>
        <v>122.84000000000012</v>
      </c>
      <c r="BA224" s="23">
        <f t="shared" si="1638"/>
        <v>108.36999999999996</v>
      </c>
      <c r="BB224" s="23">
        <f t="shared" si="1638"/>
        <v>129.22000000000003</v>
      </c>
      <c r="BC224" s="23">
        <f t="shared" si="1638"/>
        <v>103.80999999999997</v>
      </c>
      <c r="BD224" s="23">
        <f t="shared" si="1638"/>
        <v>102.75999999999999</v>
      </c>
      <c r="BE224" s="23">
        <f t="shared" si="1638"/>
        <v>131.21999999999983</v>
      </c>
      <c r="BF224" s="23">
        <f t="shared" si="1638"/>
        <v>123.90999999999991</v>
      </c>
      <c r="BG224" s="23">
        <f t="shared" si="1638"/>
        <v>133.84000000000003</v>
      </c>
      <c r="BH224" s="23">
        <f t="shared" si="1638"/>
        <v>151.20000000000013</v>
      </c>
      <c r="BI224" s="23">
        <f t="shared" si="1638"/>
        <v>165.70999999999992</v>
      </c>
      <c r="BJ224" s="23">
        <f t="shared" si="1638"/>
        <v>190.88999999999987</v>
      </c>
      <c r="BK224" s="23">
        <f t="shared" si="1638"/>
        <v>189.22000000000008</v>
      </c>
      <c r="BL224" s="23">
        <f t="shared" si="1638"/>
        <v>301.13000000000011</v>
      </c>
      <c r="BM224" s="23">
        <f t="shared" si="1638"/>
        <v>342.99</v>
      </c>
      <c r="BN224" s="23">
        <f t="shared" si="1638"/>
        <v>185.74999999999994</v>
      </c>
      <c r="BO224" s="23">
        <f t="shared" ref="BO224:CT224" si="1639">BO79</f>
        <v>177.09000000000006</v>
      </c>
      <c r="BP224" s="23">
        <f t="shared" si="1639"/>
        <v>315.19999999999959</v>
      </c>
      <c r="BQ224" s="23">
        <f t="shared" si="1639"/>
        <v>324.73</v>
      </c>
      <c r="BR224" s="23">
        <f t="shared" si="1639"/>
        <v>380.92000000000007</v>
      </c>
      <c r="BS224" s="23">
        <f t="shared" si="1639"/>
        <v>395.28000000000031</v>
      </c>
      <c r="BT224" s="23">
        <f t="shared" si="1639"/>
        <v>382.45000000000039</v>
      </c>
      <c r="BU224" s="23">
        <f t="shared" si="1639"/>
        <v>505.53999999999996</v>
      </c>
      <c r="BV224" s="23">
        <f t="shared" si="1639"/>
        <v>605.65000000000032</v>
      </c>
      <c r="BW224" s="23">
        <f t="shared" si="1639"/>
        <v>607.99999999999977</v>
      </c>
      <c r="BX224" s="23">
        <f t="shared" si="1639"/>
        <v>480.99000000000035</v>
      </c>
      <c r="BY224" s="23">
        <f t="shared" si="1639"/>
        <v>510.9</v>
      </c>
      <c r="BZ224" s="23">
        <f t="shared" si="1639"/>
        <v>562.45000000000027</v>
      </c>
      <c r="CA224" s="23">
        <f t="shared" si="1639"/>
        <v>359.28999999999951</v>
      </c>
      <c r="CB224" s="23">
        <f t="shared" si="1639"/>
        <v>300.77999999999929</v>
      </c>
      <c r="CC224" s="23">
        <f t="shared" si="1639"/>
        <v>253.43000000000018</v>
      </c>
      <c r="CD224" s="23">
        <f t="shared" si="1639"/>
        <v>422.21000000000015</v>
      </c>
      <c r="CE224" s="23">
        <f t="shared" si="1639"/>
        <v>252.22000000000008</v>
      </c>
      <c r="CF224" s="23">
        <f t="shared" si="1639"/>
        <v>201.41999999999996</v>
      </c>
      <c r="CG224" s="23">
        <f t="shared" si="1639"/>
        <v>271.08000000000038</v>
      </c>
      <c r="CH224" s="23">
        <f t="shared" si="1639"/>
        <v>526.0600000000004</v>
      </c>
      <c r="CI224" s="23">
        <f t="shared" si="1639"/>
        <v>432.31999999999982</v>
      </c>
      <c r="CJ224" s="23">
        <f t="shared" si="1639"/>
        <v>388.17999999999995</v>
      </c>
      <c r="CK224" s="23">
        <f t="shared" si="1639"/>
        <v>432.66000000000031</v>
      </c>
      <c r="CL224" s="23">
        <f t="shared" ref="CL224" si="1640">CL79</f>
        <v>582.02</v>
      </c>
      <c r="CM224" s="24">
        <f t="shared" si="1639"/>
        <v>542.19587574127968</v>
      </c>
      <c r="CN224" s="24">
        <f t="shared" si="1639"/>
        <v>524.2264212089683</v>
      </c>
      <c r="CO224" s="24">
        <f t="shared" si="1639"/>
        <v>584.41778944655982</v>
      </c>
      <c r="CP224" s="24">
        <f t="shared" si="1639"/>
        <v>765.87304032636075</v>
      </c>
      <c r="CQ224" s="24">
        <f t="shared" si="1639"/>
        <v>640.20717850272649</v>
      </c>
      <c r="CR224" s="24">
        <f t="shared" si="1639"/>
        <v>621.7753895484484</v>
      </c>
      <c r="CS224" s="24">
        <f t="shared" si="1639"/>
        <v>680.40592103283041</v>
      </c>
      <c r="CT224" s="24">
        <f t="shared" si="1639"/>
        <v>923.84147476181874</v>
      </c>
      <c r="CU224" s="24">
        <f t="shared" ref="CU224:DB224" si="1641">CU79</f>
        <v>831.89142443036485</v>
      </c>
      <c r="CV224" s="24">
        <f t="shared" si="1641"/>
        <v>808.4869150223044</v>
      </c>
      <c r="CW224" s="24">
        <f t="shared" si="1641"/>
        <v>875.15581766639309</v>
      </c>
      <c r="CX224" s="24">
        <f t="shared" si="1641"/>
        <v>1164.6472480616835</v>
      </c>
      <c r="CY224" s="24">
        <f t="shared" si="1641"/>
        <v>1050.5169296344484</v>
      </c>
      <c r="CZ224" s="24">
        <f t="shared" si="1641"/>
        <v>1022.5919572871833</v>
      </c>
      <c r="DA224" s="24">
        <f t="shared" si="1641"/>
        <v>1099.9688092024662</v>
      </c>
      <c r="DB224" s="24">
        <f t="shared" si="1641"/>
        <v>1437.7731526123057</v>
      </c>
      <c r="DE224" s="121"/>
      <c r="DF224" s="23">
        <v>0</v>
      </c>
    </row>
    <row r="225" spans="1:110" s="23" customFormat="1" x14ac:dyDescent="0.2">
      <c r="A225" s="23" t="s">
        <v>88</v>
      </c>
      <c r="C225" s="23">
        <f t="shared" ref="C225:AE225" si="1642">C63</f>
        <v>57.0167</v>
      </c>
      <c r="D225" s="23">
        <f t="shared" si="1642"/>
        <v>58.274900000000002</v>
      </c>
      <c r="E225" s="23">
        <f t="shared" si="1642"/>
        <v>56.622500000000002</v>
      </c>
      <c r="F225" s="23">
        <f t="shared" si="1642"/>
        <v>59.5762</v>
      </c>
      <c r="G225" s="23">
        <f t="shared" si="1642"/>
        <v>70.594499999999996</v>
      </c>
      <c r="H225" s="23">
        <f t="shared" si="1642"/>
        <v>84.598699999999994</v>
      </c>
      <c r="I225" s="23">
        <f t="shared" si="1642"/>
        <v>104.5488</v>
      </c>
      <c r="J225" s="23">
        <f t="shared" si="1642"/>
        <v>115.357</v>
      </c>
      <c r="K225" s="23">
        <f t="shared" si="1642"/>
        <v>144.76339999999999</v>
      </c>
      <c r="L225" s="23">
        <f t="shared" si="1642"/>
        <v>170.0985</v>
      </c>
      <c r="M225" s="23">
        <f t="shared" si="1642"/>
        <v>183.6832</v>
      </c>
      <c r="N225" s="23">
        <f t="shared" si="1642"/>
        <v>208.87530000000001</v>
      </c>
      <c r="O225" s="23">
        <f t="shared" si="1642"/>
        <v>224.74619999999999</v>
      </c>
      <c r="P225" s="23">
        <f t="shared" si="1642"/>
        <v>245.03</v>
      </c>
      <c r="Q225" s="23">
        <f t="shared" si="1642"/>
        <v>274.95999999999998</v>
      </c>
      <c r="R225" s="23">
        <f t="shared" si="1642"/>
        <v>283.44</v>
      </c>
      <c r="S225" s="23">
        <f t="shared" si="1642"/>
        <v>315.8</v>
      </c>
      <c r="T225" s="23">
        <f t="shared" si="1642"/>
        <v>358.17</v>
      </c>
      <c r="U225" s="23">
        <f t="shared" si="1642"/>
        <v>388.61</v>
      </c>
      <c r="V225" s="23">
        <f t="shared" si="1642"/>
        <v>453.08</v>
      </c>
      <c r="W225" s="23">
        <f t="shared" si="1642"/>
        <v>517.23</v>
      </c>
      <c r="X225" s="23">
        <f t="shared" si="1642"/>
        <v>575.32000000000005</v>
      </c>
      <c r="Y225" s="23">
        <f t="shared" si="1642"/>
        <v>672.62</v>
      </c>
      <c r="Z225" s="23">
        <f t="shared" si="1642"/>
        <v>771.5</v>
      </c>
      <c r="AA225" s="23">
        <f t="shared" ref="AA225" si="1643">AA63</f>
        <v>852.07</v>
      </c>
      <c r="AB225" s="24">
        <f t="shared" si="1642"/>
        <v>871.38087539200262</v>
      </c>
      <c r="AC225" s="24">
        <f t="shared" si="1642"/>
        <v>1138.676358170811</v>
      </c>
      <c r="AD225" s="24">
        <f t="shared" si="1642"/>
        <v>1037.4771935272618</v>
      </c>
      <c r="AE225" s="24">
        <f t="shared" si="1642"/>
        <v>945.27204272360996</v>
      </c>
      <c r="AI225" s="23">
        <f t="shared" ref="AI225:BN225" si="1644">AI63</f>
        <v>42.2</v>
      </c>
      <c r="AJ225" s="23">
        <f t="shared" si="1644"/>
        <v>46.29</v>
      </c>
      <c r="AK225" s="23">
        <f t="shared" si="1644"/>
        <v>47.84</v>
      </c>
      <c r="AL225" s="23">
        <f t="shared" si="1644"/>
        <v>47.95</v>
      </c>
      <c r="AM225" s="23">
        <f t="shared" si="1644"/>
        <v>48.39</v>
      </c>
      <c r="AN225" s="23">
        <f t="shared" si="1644"/>
        <v>47.97</v>
      </c>
      <c r="AO225" s="23">
        <f t="shared" si="1644"/>
        <v>47.89</v>
      </c>
      <c r="AP225" s="23">
        <f t="shared" si="1644"/>
        <v>46.21</v>
      </c>
      <c r="AQ225" s="23">
        <f t="shared" si="1644"/>
        <v>57.82</v>
      </c>
      <c r="AR225" s="23">
        <f t="shared" si="1644"/>
        <v>61.6</v>
      </c>
      <c r="AS225" s="23">
        <f t="shared" si="1644"/>
        <v>60.8</v>
      </c>
      <c r="AT225" s="23">
        <f t="shared" si="1644"/>
        <v>64.81</v>
      </c>
      <c r="AU225" s="23">
        <f t="shared" si="1644"/>
        <v>72.459999999999994</v>
      </c>
      <c r="AV225" s="23">
        <f t="shared" si="1644"/>
        <v>73.319999999999993</v>
      </c>
      <c r="AW225" s="23">
        <f t="shared" si="1644"/>
        <v>71.430000000000007</v>
      </c>
      <c r="AX225" s="23">
        <f t="shared" si="1644"/>
        <v>69.459999999999994</v>
      </c>
      <c r="AY225" s="23">
        <f t="shared" si="1644"/>
        <v>69.59</v>
      </c>
      <c r="AZ225" s="23">
        <f t="shared" si="1644"/>
        <v>70.010000000000005</v>
      </c>
      <c r="BA225" s="23">
        <f t="shared" si="1644"/>
        <v>70.86</v>
      </c>
      <c r="BB225" s="23">
        <f t="shared" si="1644"/>
        <v>72.989999999999995</v>
      </c>
      <c r="BC225" s="23">
        <f t="shared" si="1644"/>
        <v>75.8</v>
      </c>
      <c r="BD225" s="23">
        <f t="shared" si="1644"/>
        <v>76.84</v>
      </c>
      <c r="BE225" s="23">
        <f t="shared" si="1644"/>
        <v>77.02</v>
      </c>
      <c r="BF225" s="23">
        <f t="shared" si="1644"/>
        <v>86.14</v>
      </c>
      <c r="BG225" s="23">
        <f t="shared" si="1644"/>
        <v>87.88</v>
      </c>
      <c r="BH225" s="23">
        <f t="shared" si="1644"/>
        <v>87.69</v>
      </c>
      <c r="BI225" s="23">
        <f t="shared" si="1644"/>
        <v>90.94</v>
      </c>
      <c r="BJ225" s="23">
        <f t="shared" si="1644"/>
        <v>94.93</v>
      </c>
      <c r="BK225" s="23">
        <f t="shared" si="1644"/>
        <v>92.46</v>
      </c>
      <c r="BL225" s="23">
        <f t="shared" si="1644"/>
        <v>92.92</v>
      </c>
      <c r="BM225" s="23">
        <f t="shared" si="1644"/>
        <v>101.86</v>
      </c>
      <c r="BN225" s="23">
        <f t="shared" si="1644"/>
        <v>101.37</v>
      </c>
      <c r="BO225" s="23">
        <f t="shared" ref="BO225:CT225" si="1645">BO63</f>
        <v>104.02</v>
      </c>
      <c r="BP225" s="23">
        <f t="shared" si="1645"/>
        <v>114.02</v>
      </c>
      <c r="BQ225" s="23">
        <f t="shared" si="1645"/>
        <v>116.56</v>
      </c>
      <c r="BR225" s="23">
        <f t="shared" si="1645"/>
        <v>118.48</v>
      </c>
      <c r="BS225" s="23">
        <f t="shared" si="1645"/>
        <v>122.95</v>
      </c>
      <c r="BT225" s="23">
        <f t="shared" si="1645"/>
        <v>130.29</v>
      </c>
      <c r="BU225" s="23">
        <f t="shared" si="1645"/>
        <v>132.38999999999999</v>
      </c>
      <c r="BV225" s="23">
        <f t="shared" si="1645"/>
        <v>131.6</v>
      </c>
      <c r="BW225" s="23">
        <f t="shared" si="1645"/>
        <v>130.72999999999999</v>
      </c>
      <c r="BX225" s="23">
        <f t="shared" si="1645"/>
        <v>139.30000000000001</v>
      </c>
      <c r="BY225" s="23">
        <f t="shared" si="1645"/>
        <v>150.65</v>
      </c>
      <c r="BZ225" s="23">
        <f t="shared" si="1645"/>
        <v>154.63999999999999</v>
      </c>
      <c r="CA225" s="23">
        <f t="shared" si="1645"/>
        <v>156.61000000000001</v>
      </c>
      <c r="CB225" s="23">
        <f t="shared" si="1645"/>
        <v>161.22999999999999</v>
      </c>
      <c r="CC225" s="23">
        <f t="shared" si="1645"/>
        <v>168.89</v>
      </c>
      <c r="CD225" s="23">
        <f t="shared" si="1645"/>
        <v>185.89</v>
      </c>
      <c r="CE225" s="23">
        <f t="shared" si="1645"/>
        <v>188.16</v>
      </c>
      <c r="CF225" s="23">
        <f t="shared" si="1645"/>
        <v>193.93</v>
      </c>
      <c r="CG225" s="23">
        <f t="shared" si="1645"/>
        <v>194.26</v>
      </c>
      <c r="CH225" s="23">
        <f t="shared" si="1645"/>
        <v>195.15</v>
      </c>
      <c r="CI225" s="23">
        <f t="shared" si="1645"/>
        <v>203.24</v>
      </c>
      <c r="CJ225" s="23">
        <f t="shared" si="1645"/>
        <v>212.13</v>
      </c>
      <c r="CK225" s="23">
        <f t="shared" si="1645"/>
        <v>216.89</v>
      </c>
      <c r="CL225" s="23">
        <f t="shared" ref="CL225" si="1646">CL63</f>
        <v>219.81</v>
      </c>
      <c r="CM225" s="24">
        <f t="shared" si="1645"/>
        <v>223.24955835329956</v>
      </c>
      <c r="CN225" s="24">
        <f t="shared" si="1645"/>
        <v>219.6072099835788</v>
      </c>
      <c r="CO225" s="24">
        <f t="shared" si="1645"/>
        <v>216.0242870467425</v>
      </c>
      <c r="CP225" s="24">
        <f t="shared" si="1645"/>
        <v>212.49982000838182</v>
      </c>
      <c r="CQ225" s="24">
        <f t="shared" si="1645"/>
        <v>294.68057986598393</v>
      </c>
      <c r="CR225" s="24">
        <f t="shared" si="1645"/>
        <v>287.90292652906629</v>
      </c>
      <c r="CS225" s="24">
        <f t="shared" si="1645"/>
        <v>281.28115921889776</v>
      </c>
      <c r="CT225" s="24">
        <f t="shared" si="1645"/>
        <v>274.81169255686308</v>
      </c>
      <c r="CU225" s="24">
        <f t="shared" ref="CU225:DB225" si="1647">CU63</f>
        <v>268.49102362805525</v>
      </c>
      <c r="CV225" s="24">
        <f t="shared" si="1647"/>
        <v>262.31573008460998</v>
      </c>
      <c r="CW225" s="24">
        <f t="shared" si="1647"/>
        <v>256.28246829266391</v>
      </c>
      <c r="CX225" s="24">
        <f t="shared" si="1647"/>
        <v>250.38797152193271</v>
      </c>
      <c r="CY225" s="24">
        <f t="shared" si="1647"/>
        <v>244.62904817692822</v>
      </c>
      <c r="CZ225" s="24">
        <f t="shared" si="1647"/>
        <v>239.00258006885886</v>
      </c>
      <c r="DA225" s="24">
        <f t="shared" si="1647"/>
        <v>233.50552072727513</v>
      </c>
      <c r="DB225" s="24">
        <f t="shared" si="1647"/>
        <v>228.13489375054783</v>
      </c>
      <c r="DE225" s="121"/>
      <c r="DF225" s="23">
        <v>0</v>
      </c>
    </row>
    <row r="226" spans="1:110" s="22" customFormat="1" x14ac:dyDescent="0.2">
      <c r="A226" s="22" t="s">
        <v>89</v>
      </c>
      <c r="C226" s="22">
        <f t="shared" ref="C226:W226" si="1648">C224+C225</f>
        <v>83.873699999999957</v>
      </c>
      <c r="D226" s="22">
        <f t="shared" si="1648"/>
        <v>86.695700000000073</v>
      </c>
      <c r="E226" s="22">
        <f t="shared" si="1648"/>
        <v>95.231599999999915</v>
      </c>
      <c r="F226" s="22">
        <f t="shared" si="1648"/>
        <v>118.93549999999991</v>
      </c>
      <c r="G226" s="22">
        <f t="shared" si="1648"/>
        <v>173.2602</v>
      </c>
      <c r="H226" s="22">
        <f t="shared" si="1648"/>
        <v>372.94049999999993</v>
      </c>
      <c r="I226" s="22">
        <f t="shared" si="1648"/>
        <v>239.20610000000022</v>
      </c>
      <c r="J226" s="22">
        <f t="shared" si="1648"/>
        <v>255.16440000000017</v>
      </c>
      <c r="K226" s="22">
        <f t="shared" si="1648"/>
        <v>469.1785999999999</v>
      </c>
      <c r="L226" s="22">
        <f t="shared" si="1648"/>
        <v>654.33619999999962</v>
      </c>
      <c r="M226" s="22">
        <f t="shared" si="1648"/>
        <v>562.50109999999995</v>
      </c>
      <c r="N226" s="22">
        <f t="shared" si="1648"/>
        <v>461.82689999999991</v>
      </c>
      <c r="O226" s="22">
        <f t="shared" si="1648"/>
        <v>387.20479999999975</v>
      </c>
      <c r="P226" s="22">
        <f t="shared" si="1648"/>
        <v>547.84000000000094</v>
      </c>
      <c r="Q226" s="22">
        <f t="shared" si="1648"/>
        <v>704.85000000000059</v>
      </c>
      <c r="R226" s="22">
        <f t="shared" si="1648"/>
        <v>798.43000000000075</v>
      </c>
      <c r="S226" s="22">
        <f t="shared" si="1648"/>
        <v>777.51000000000056</v>
      </c>
      <c r="T226" s="22">
        <f t="shared" si="1648"/>
        <v>999.79999999999973</v>
      </c>
      <c r="U226" s="22">
        <f t="shared" si="1648"/>
        <v>1407.6999999999994</v>
      </c>
      <c r="V226" s="22">
        <f t="shared" si="1648"/>
        <v>1651.0200000000004</v>
      </c>
      <c r="W226" s="22">
        <f t="shared" si="1648"/>
        <v>2406.1500000000005</v>
      </c>
      <c r="X226" s="22">
        <f t="shared" ref="X226:Y226" si="1649">X224+X225</f>
        <v>2737.6599999999989</v>
      </c>
      <c r="Y226" s="22">
        <f t="shared" si="1649"/>
        <v>2008.3300000000004</v>
      </c>
      <c r="Z226" s="22">
        <f t="shared" ref="Z226:AA226" si="1650">Z224+Z225</f>
        <v>2022.2799999999984</v>
      </c>
      <c r="AA226" s="22">
        <f t="shared" si="1650"/>
        <v>2687.2500000000009</v>
      </c>
      <c r="AB226" s="21">
        <f t="shared" ref="AA226:AD226" si="1651">AB224+AB225</f>
        <v>3288.0940021151714</v>
      </c>
      <c r="AC226" s="21">
        <f t="shared" si="1651"/>
        <v>4004.9063220166363</v>
      </c>
      <c r="AD226" s="21">
        <f t="shared" si="1651"/>
        <v>4717.6585987080061</v>
      </c>
      <c r="AE226" s="21">
        <f t="shared" ref="AE226" si="1652">AE224+AE225</f>
        <v>5556.1228914600142</v>
      </c>
      <c r="AI226" s="22">
        <f t="shared" ref="AI226" si="1653">AI224+AI225</f>
        <v>64.220000000000013</v>
      </c>
      <c r="AJ226" s="22">
        <f t="shared" ref="AJ226:AL226" si="1654">AJ224+AJ225</f>
        <v>121.65000000000003</v>
      </c>
      <c r="AK226" s="22">
        <f t="shared" si="1654"/>
        <v>137.08999999999995</v>
      </c>
      <c r="AL226" s="22">
        <f t="shared" si="1654"/>
        <v>119.82999999999994</v>
      </c>
      <c r="AM226" s="22">
        <f t="shared" ref="AM226" si="1655">AM224+AM225</f>
        <v>92.2</v>
      </c>
      <c r="AN226" s="22">
        <f t="shared" ref="AN226:CD226" si="1656">AN224+AN225</f>
        <v>95.740000000000151</v>
      </c>
      <c r="AO226" s="22">
        <f t="shared" si="1656"/>
        <v>119.95000000000012</v>
      </c>
      <c r="AP226" s="22">
        <f t="shared" si="1656"/>
        <v>99.110000000000014</v>
      </c>
      <c r="AQ226" s="22">
        <f t="shared" si="1656"/>
        <v>150.32000000000019</v>
      </c>
      <c r="AR226" s="22">
        <f t="shared" si="1656"/>
        <v>140.08999999999995</v>
      </c>
      <c r="AS226" s="22">
        <f t="shared" si="1656"/>
        <v>132.19999999999976</v>
      </c>
      <c r="AT226" s="22">
        <f t="shared" si="1656"/>
        <v>125.22999999999986</v>
      </c>
      <c r="AU226" s="22">
        <f t="shared" si="1656"/>
        <v>185.88000000000022</v>
      </c>
      <c r="AV226" s="22">
        <f t="shared" si="1656"/>
        <v>175.43999999999991</v>
      </c>
      <c r="AW226" s="22">
        <f t="shared" si="1656"/>
        <v>168.31000000000006</v>
      </c>
      <c r="AX226" s="22">
        <f t="shared" si="1656"/>
        <v>181.15000000000018</v>
      </c>
      <c r="AY226" s="22">
        <f t="shared" si="1656"/>
        <v>224.15000000000003</v>
      </c>
      <c r="AZ226" s="22">
        <f t="shared" si="1656"/>
        <v>192.85000000000014</v>
      </c>
      <c r="BA226" s="22">
        <f t="shared" si="1656"/>
        <v>179.22999999999996</v>
      </c>
      <c r="BB226" s="22">
        <f t="shared" si="1656"/>
        <v>202.21000000000004</v>
      </c>
      <c r="BC226" s="22">
        <f t="shared" si="1656"/>
        <v>179.60999999999996</v>
      </c>
      <c r="BD226" s="22">
        <f t="shared" si="1656"/>
        <v>179.6</v>
      </c>
      <c r="BE226" s="22">
        <f t="shared" si="1656"/>
        <v>208.23999999999984</v>
      </c>
      <c r="BF226" s="22">
        <f t="shared" si="1656"/>
        <v>210.0499999999999</v>
      </c>
      <c r="BG226" s="22">
        <f t="shared" si="1656"/>
        <v>221.72000000000003</v>
      </c>
      <c r="BH226" s="22">
        <f t="shared" si="1656"/>
        <v>238.89000000000013</v>
      </c>
      <c r="BI226" s="22">
        <f t="shared" si="1656"/>
        <v>256.64999999999992</v>
      </c>
      <c r="BJ226" s="22">
        <f t="shared" si="1656"/>
        <v>285.81999999999988</v>
      </c>
      <c r="BK226" s="22">
        <f t="shared" si="1656"/>
        <v>281.68000000000006</v>
      </c>
      <c r="BL226" s="22">
        <f t="shared" si="1656"/>
        <v>394.05000000000013</v>
      </c>
      <c r="BM226" s="22">
        <f t="shared" si="1656"/>
        <v>444.85</v>
      </c>
      <c r="BN226" s="22">
        <f t="shared" si="1656"/>
        <v>287.11999999999995</v>
      </c>
      <c r="BO226" s="22">
        <f t="shared" si="1656"/>
        <v>281.11000000000007</v>
      </c>
      <c r="BP226" s="22">
        <f t="shared" si="1656"/>
        <v>429.21999999999957</v>
      </c>
      <c r="BQ226" s="22">
        <f t="shared" si="1656"/>
        <v>441.29</v>
      </c>
      <c r="BR226" s="22">
        <f t="shared" si="1656"/>
        <v>499.40000000000009</v>
      </c>
      <c r="BS226" s="22">
        <f t="shared" si="1656"/>
        <v>518.23000000000036</v>
      </c>
      <c r="BT226" s="22">
        <f t="shared" si="1656"/>
        <v>512.74000000000035</v>
      </c>
      <c r="BU226" s="22">
        <f t="shared" si="1656"/>
        <v>637.92999999999995</v>
      </c>
      <c r="BV226" s="22">
        <f t="shared" si="1656"/>
        <v>737.25000000000034</v>
      </c>
      <c r="BW226" s="22">
        <f t="shared" si="1656"/>
        <v>738.72999999999979</v>
      </c>
      <c r="BX226" s="22">
        <f t="shared" si="1656"/>
        <v>620.29000000000042</v>
      </c>
      <c r="BY226" s="22">
        <f t="shared" si="1656"/>
        <v>661.55</v>
      </c>
      <c r="BZ226" s="22">
        <f t="shared" si="1656"/>
        <v>717.09000000000026</v>
      </c>
      <c r="CA226" s="22">
        <f t="shared" si="1656"/>
        <v>515.89999999999952</v>
      </c>
      <c r="CB226" s="22">
        <f t="shared" si="1656"/>
        <v>462.00999999999931</v>
      </c>
      <c r="CC226" s="22">
        <f t="shared" si="1656"/>
        <v>422.32000000000016</v>
      </c>
      <c r="CD226" s="22">
        <f t="shared" si="1656"/>
        <v>608.10000000000014</v>
      </c>
      <c r="CE226" s="22">
        <f t="shared" ref="CE226:CF226" si="1657">CE224+CE225</f>
        <v>440.38000000000011</v>
      </c>
      <c r="CF226" s="22">
        <f t="shared" si="1657"/>
        <v>395.34999999999997</v>
      </c>
      <c r="CG226" s="22">
        <f t="shared" ref="CG226:CH226" si="1658">CG224+CG225</f>
        <v>465.34000000000037</v>
      </c>
      <c r="CH226" s="22">
        <f t="shared" si="1658"/>
        <v>721.21000000000038</v>
      </c>
      <c r="CI226" s="22">
        <f t="shared" ref="CI226:CJ226" si="1659">CI224+CI225</f>
        <v>635.55999999999983</v>
      </c>
      <c r="CJ226" s="22">
        <f t="shared" si="1659"/>
        <v>600.30999999999995</v>
      </c>
      <c r="CK226" s="22">
        <f t="shared" ref="CK226:DB226" si="1660">CK224+CK225</f>
        <v>649.5500000000003</v>
      </c>
      <c r="CL226" s="22">
        <f t="shared" si="1660"/>
        <v>801.82999999999993</v>
      </c>
      <c r="CM226" s="21">
        <f t="shared" si="1660"/>
        <v>765.44543409457924</v>
      </c>
      <c r="CN226" s="21">
        <f t="shared" si="1660"/>
        <v>743.83363119254705</v>
      </c>
      <c r="CO226" s="21">
        <f t="shared" si="1660"/>
        <v>800.44207649330235</v>
      </c>
      <c r="CP226" s="21">
        <f t="shared" si="1660"/>
        <v>978.37286033474254</v>
      </c>
      <c r="CQ226" s="21">
        <f t="shared" si="1660"/>
        <v>934.88775836871037</v>
      </c>
      <c r="CR226" s="21">
        <f t="shared" si="1660"/>
        <v>909.67831607751464</v>
      </c>
      <c r="CS226" s="21">
        <f t="shared" si="1660"/>
        <v>961.68708025172816</v>
      </c>
      <c r="CT226" s="21">
        <f t="shared" si="1660"/>
        <v>1198.6531673186819</v>
      </c>
      <c r="CU226" s="21">
        <f t="shared" si="1660"/>
        <v>1100.3824480584201</v>
      </c>
      <c r="CV226" s="21">
        <f t="shared" si="1660"/>
        <v>1070.8026451069145</v>
      </c>
      <c r="CW226" s="21">
        <f t="shared" si="1660"/>
        <v>1131.4382859590569</v>
      </c>
      <c r="CX226" s="21">
        <f t="shared" si="1660"/>
        <v>1415.0352195836163</v>
      </c>
      <c r="CY226" s="21">
        <f t="shared" si="1660"/>
        <v>1295.1459778113767</v>
      </c>
      <c r="CZ226" s="21">
        <f t="shared" si="1660"/>
        <v>1261.5945373560421</v>
      </c>
      <c r="DA226" s="21">
        <f t="shared" si="1660"/>
        <v>1333.4743299297413</v>
      </c>
      <c r="DB226" s="21">
        <f t="shared" si="1660"/>
        <v>1665.9080463628536</v>
      </c>
      <c r="DE226" s="123"/>
      <c r="DF226" s="22">
        <v>0</v>
      </c>
    </row>
    <row r="227" spans="1:110" s="23" customFormat="1" x14ac:dyDescent="0.2">
      <c r="A227" s="23" t="s">
        <v>65</v>
      </c>
      <c r="C227" s="23">
        <f t="shared" ref="C227:AA227" si="1661">B179-C179+B194+B195-C194-C195</f>
        <v>139.94860000000003</v>
      </c>
      <c r="D227" s="23">
        <f t="shared" si="1661"/>
        <v>3.8055999999999468</v>
      </c>
      <c r="E227" s="23">
        <f>D179-E179+D194+D195-E194-E195</f>
        <v>18.695000000000022</v>
      </c>
      <c r="F227" s="23">
        <f t="shared" si="1661"/>
        <v>-110.10989999999994</v>
      </c>
      <c r="G227" s="23">
        <f t="shared" si="1661"/>
        <v>-9.4708000000000396</v>
      </c>
      <c r="H227" s="23">
        <f t="shared" si="1661"/>
        <v>-98.330799999999968</v>
      </c>
      <c r="I227" s="23">
        <f t="shared" si="1661"/>
        <v>-58.124100000000062</v>
      </c>
      <c r="J227" s="23">
        <f>I179-J179+I194+I195-J194-J195</f>
        <v>-32.095100000000031</v>
      </c>
      <c r="K227" s="23">
        <f>J179-K179+J194+J195-K194-K195</f>
        <v>-176.10280000000003</v>
      </c>
      <c r="L227" s="23">
        <f t="shared" si="1661"/>
        <v>-333.71980000000002</v>
      </c>
      <c r="M227" s="23">
        <f t="shared" si="1661"/>
        <v>13.277300000000167</v>
      </c>
      <c r="N227" s="23">
        <f t="shared" si="1661"/>
        <v>-97.606899999999996</v>
      </c>
      <c r="O227" s="23">
        <f t="shared" si="1661"/>
        <v>-334.81150000000008</v>
      </c>
      <c r="P227" s="23">
        <f t="shared" si="1661"/>
        <v>95.113500000000045</v>
      </c>
      <c r="Q227" s="23">
        <f t="shared" si="1661"/>
        <v>-70.960000000000235</v>
      </c>
      <c r="R227" s="23">
        <f t="shared" si="1661"/>
        <v>-341.3499999999998</v>
      </c>
      <c r="S227" s="23">
        <f t="shared" si="1661"/>
        <v>-443.82999999999981</v>
      </c>
      <c r="T227" s="23">
        <f t="shared" si="1661"/>
        <v>-710.77000000000044</v>
      </c>
      <c r="U227" s="23">
        <f t="shared" si="1661"/>
        <v>271.18999999999983</v>
      </c>
      <c r="V227" s="23">
        <f t="shared" si="1661"/>
        <v>-633.09999999999968</v>
      </c>
      <c r="W227" s="23">
        <f t="shared" si="1661"/>
        <v>-976.63000000000022</v>
      </c>
      <c r="X227" s="23">
        <f t="shared" si="1661"/>
        <v>-157.30999999999949</v>
      </c>
      <c r="Y227" s="23">
        <f t="shared" si="1661"/>
        <v>-182.74000000000012</v>
      </c>
      <c r="Z227" s="23">
        <f t="shared" si="1661"/>
        <v>-227.95000000000027</v>
      </c>
      <c r="AA227" s="23">
        <f t="shared" si="1661"/>
        <v>-1208.48</v>
      </c>
      <c r="AB227" s="24">
        <f t="shared" ref="AB227" si="1662">AA179-AB179+AA194+AA195-AB194-AB195</f>
        <v>-1578.0988516164098</v>
      </c>
      <c r="AC227" s="24">
        <f t="shared" ref="AC227" si="1663">AB179-AC179+AB194+AB195-AC194-AC195</f>
        <v>-1454.1794481907746</v>
      </c>
      <c r="AD227" s="24">
        <f t="shared" ref="AD227" si="1664">AC179-AD179+AC194+AC195-AD194-AD195</f>
        <v>-1676.4317644596995</v>
      </c>
      <c r="AE227" s="24">
        <f t="shared" ref="AE227" si="1665">AD179-AE179+AD194+AD195-AE194-AE195</f>
        <v>-1954.6449022546076</v>
      </c>
      <c r="AI227" s="23">
        <f>AH179-AI179+AH194+AH195-AI194-AJ195</f>
        <v>0</v>
      </c>
      <c r="AJ227" s="23">
        <f t="shared" ref="AJ227:AL227" si="1666">AI179-AJ179+AI194+AI195-AJ194-AK195</f>
        <v>-914.33999999999992</v>
      </c>
      <c r="AK227" s="23">
        <f t="shared" si="1666"/>
        <v>-75.00881329783283</v>
      </c>
      <c r="AL227" s="23">
        <f t="shared" si="1666"/>
        <v>-87.491186702167312</v>
      </c>
      <c r="AM227" s="23">
        <f t="shared" ref="AM227" si="1667">AL179-AM179+AL194+AL195-AM194-AM195</f>
        <v>12.603887306728666</v>
      </c>
      <c r="AN227" s="23">
        <f t="shared" ref="AN227" si="1668">AM179-AN179+AM194+AM195-AN194-AN195</f>
        <v>-43.133887306728468</v>
      </c>
      <c r="AO227" s="23">
        <f t="shared" ref="AO227" si="1669">AN179-AO179+AN194+AN195-AO194-AO195</f>
        <v>-23.773690883882864</v>
      </c>
      <c r="AP227" s="23">
        <f t="shared" ref="AP227" si="1670">AO179-AP179+AO194+AO195-AP194-AP195</f>
        <v>-280.49630911611717</v>
      </c>
      <c r="AQ227" s="23">
        <f t="shared" ref="AQ227" si="1671">AP179-AQ179+AP194+AP195-AQ194-AQ195</f>
        <v>-435.9654979814614</v>
      </c>
      <c r="AR227" s="23">
        <f t="shared" ref="AR227" si="1672">AQ179-AR179+AQ194+AQ195-AR194-AR195</f>
        <v>642.62549798146142</v>
      </c>
      <c r="AS227" s="23">
        <f t="shared" ref="AS227" si="1673">AR179-AS179+AR194+AR195-AS194-AS195</f>
        <v>90.801289481869844</v>
      </c>
      <c r="AT227" s="23">
        <f t="shared" ref="AT227" si="1674">AS179-AT179+AS194+AS195-AT194-AT195</f>
        <v>-202.35128948186986</v>
      </c>
      <c r="AU227" s="23">
        <f t="shared" ref="AU227" si="1675">AT179-AU179+AT194+AT195-AU194-AU195</f>
        <v>-177.92052748390955</v>
      </c>
      <c r="AV227" s="23">
        <f t="shared" ref="AV227" si="1676">AU179-AV179+AU194+AU195-AV194-AV195</f>
        <v>100.35052748390939</v>
      </c>
      <c r="AW227" s="23">
        <f t="shared" ref="AW227" si="1677">AV179-AW179+AV194+AV195-AW194-AW195</f>
        <v>177.15811582414585</v>
      </c>
      <c r="AX227" s="23">
        <f t="shared" ref="AX227" si="1678">AW179-AX179+AW194+AW195-AX194-AX195</f>
        <v>-170.54811582414564</v>
      </c>
      <c r="AY227" s="23">
        <f t="shared" ref="AY227" si="1679">AX179-AY179+AX194+AX195-AY194-AY195</f>
        <v>-35.936384386566516</v>
      </c>
      <c r="AZ227" s="23">
        <f t="shared" ref="AZ227" si="1680">AY179-AZ179+AY194+AY195-AZ194-AZ195</f>
        <v>-151.50361561343345</v>
      </c>
      <c r="BA227" s="23">
        <f t="shared" ref="BA227" si="1681">AZ179-BA179+AZ194+AZ195-BA194-BA195</f>
        <v>104.84835676965486</v>
      </c>
      <c r="BB227" s="23">
        <f t="shared" ref="BB227" si="1682">BA179-BB179+BA194+BA195-BB194-BB195</f>
        <v>-258.75835676965494</v>
      </c>
      <c r="BC227" s="23">
        <f t="shared" ref="BC227" si="1683">BB179-BC179+BB194+BB195-BC194-BC195</f>
        <v>129.99343057242118</v>
      </c>
      <c r="BD227" s="23">
        <f t="shared" ref="BD227" si="1684">BC179-BD179+BC194+BC195-BD194-BD195</f>
        <v>-604.24343057242174</v>
      </c>
      <c r="BE227" s="23">
        <f t="shared" ref="BE227" si="1685">BD179-BE179+BD194+BD195-BE194-BE195</f>
        <v>-150.29299161244671</v>
      </c>
      <c r="BF227" s="23">
        <f t="shared" ref="BF227" si="1686">BE179-BF179+BE194+BE195-BF194-BF195</f>
        <v>180.71299161244747</v>
      </c>
      <c r="BG227" s="23">
        <f t="shared" ref="BG227" si="1687">BF179-BG179+BF194+BF195-BG194-BG195</f>
        <v>-50.417093911069514</v>
      </c>
      <c r="BH227" s="23">
        <f t="shared" ref="BH227" si="1688">BG179-BH179+BG194+BG195-BH194-BH195</f>
        <v>-851.512906088931</v>
      </c>
      <c r="BI227" s="23">
        <f t="shared" ref="BI227" si="1689">BH179-BI179+BH194+BH195-BI194-BI195</f>
        <v>-75.500029573491702</v>
      </c>
      <c r="BJ227" s="23">
        <f t="shared" ref="BJ227" si="1690">BI179-BJ179+BI194+BI195-BJ194-BJ195</f>
        <v>266.66002957349218</v>
      </c>
      <c r="BK227" s="23">
        <f t="shared" ref="BK227" si="1691">BJ179-BK179+BJ194+BJ195-BK194-BK195</f>
        <v>202.06102479646052</v>
      </c>
      <c r="BL227" s="23">
        <f t="shared" ref="BL227" si="1692">BK179-BL179+BK194+BK195-BL194-BL195</f>
        <v>-250.52102479646118</v>
      </c>
      <c r="BM227" s="23">
        <f t="shared" ref="BM227" si="1693">BL179-BM179+BL194+BL195-BM194-BM195</f>
        <v>-139.38724536770587</v>
      </c>
      <c r="BN227" s="23">
        <f t="shared" ref="BN227" si="1694">BM179-BN179+BM194+BM195-BN194-BN195</f>
        <v>231.45724536770598</v>
      </c>
      <c r="BO227" s="23">
        <f t="shared" ref="BO227" si="1695">BN179-BO179+BN194+BN195-BO194-BO195</f>
        <v>362.37942707352113</v>
      </c>
      <c r="BP227" s="23">
        <f t="shared" ref="BP227" si="1696">BO179-BP179+BO194+BO195-BP194-BP195</f>
        <v>-432.53942707352115</v>
      </c>
      <c r="BQ227" s="23">
        <f t="shared" ref="BQ227" si="1697">BP179-BQ179+BP194+BP195-BQ194-BQ195</f>
        <v>-49.175058143686329</v>
      </c>
      <c r="BR227" s="23">
        <f t="shared" ref="BR227" si="1698">BQ179-BR179+BQ194+BQ195-BR194-BR195</f>
        <v>-502.94494185631311</v>
      </c>
      <c r="BS227" s="23">
        <f t="shared" ref="BS227" si="1699">BR179-BS179+BR194+BR195-BS194-BS195</f>
        <v>-96.42009663873614</v>
      </c>
      <c r="BT227" s="23">
        <f t="shared" ref="BT227" si="1700">BS179-BT179+BS194+BS195-BT194-BT195</f>
        <v>-390.27990336126453</v>
      </c>
      <c r="BU227" s="23">
        <f t="shared" ref="BU227" si="1701">BT179-BU179+BT194+BT195-BU194-BU195</f>
        <v>-590.57598671349024</v>
      </c>
      <c r="BV227" s="23">
        <f t="shared" ref="BV227" si="1702">BU179-BV179+BU194+BU195-BV194-BV195</f>
        <v>62.055986713490142</v>
      </c>
      <c r="BW227" s="23">
        <f t="shared" ref="BW227" si="1703">BV179-BW179+BV194+BV195-BW194-BW195</f>
        <v>-354.87056916341226</v>
      </c>
      <c r="BX227" s="23">
        <f t="shared" ref="BX227" si="1704">BW179-BX179+BW194+BW195-BX194-BX195</f>
        <v>-58.639430836588303</v>
      </c>
      <c r="BY227" s="23">
        <f t="shared" ref="BY227" si="1705">BX179-BY179+BX194+BX195-BY194-BY195</f>
        <v>310.61033580307958</v>
      </c>
      <c r="BZ227" s="23">
        <f t="shared" ref="BZ227" si="1706">BY179-BZ179+BY194+BY195-BZ194-BZ195</f>
        <v>-86.270335803079092</v>
      </c>
      <c r="CA227" s="23">
        <f t="shared" ref="CA227" si="1707">BZ179-CA179+BZ194+BZ195-CA194-CA195</f>
        <v>498.00949432120615</v>
      </c>
      <c r="CB227" s="23">
        <f t="shared" ref="CB227" si="1708">CA179-CB179+CA194+CA195-CB194-CB195</f>
        <v>-387.45949432120574</v>
      </c>
      <c r="CC227" s="23">
        <f t="shared" ref="CC227" si="1709">CB179-CC179+CB194+CB195-CC194-CC195</f>
        <v>181.0242566155539</v>
      </c>
      <c r="CD227" s="23">
        <f t="shared" ref="CD227" si="1710">CC179-CD179+CC194+CC195-CD194-CD195</f>
        <v>-463.74425661555381</v>
      </c>
      <c r="CE227" s="23">
        <f t="shared" ref="CE227" si="1711">CD179-CE179+CD194+CD195-CE194-CE195</f>
        <v>146.93646299170268</v>
      </c>
      <c r="CF227" s="23">
        <f t="shared" ref="CF227" si="1712">CE179-CF179+CE194+CE195-CF194-CF195</f>
        <v>-622.19646299170256</v>
      </c>
      <c r="CG227" s="23">
        <f t="shared" ref="CG227" si="1713">CF179-CG179+CF194+CF195-CG194-CG195</f>
        <v>-44.912140203838135</v>
      </c>
      <c r="CH227" s="23">
        <f t="shared" ref="CH227:CL227" si="1714">CG179-CH179+CG194+CG195-CH194-CH195</f>
        <v>568.86214020383807</v>
      </c>
      <c r="CI227" s="23">
        <f t="shared" si="1714"/>
        <v>666.32716845878167</v>
      </c>
      <c r="CJ227" s="23">
        <f t="shared" si="1714"/>
        <v>-1406.5671684587819</v>
      </c>
      <c r="CK227" s="23">
        <f t="shared" ref="CK227" si="1715">CJ179-CK179+CJ194+CJ195-CK194-CK195</f>
        <v>-57.710008653394652</v>
      </c>
      <c r="CL227" s="23">
        <f t="shared" si="1714"/>
        <v>-652.59999134660575</v>
      </c>
      <c r="CM227" s="24">
        <f t="shared" ref="CM227" si="1716">CL179-CM179+CL194+CL195-CM194-CM195</f>
        <v>485.89884642447305</v>
      </c>
      <c r="CN227" s="24">
        <f t="shared" ref="CN227" si="1717">CM179-CN179+CM194+CM195-CN194-CN195</f>
        <v>319.45330070903128</v>
      </c>
      <c r="CO227" s="24">
        <f t="shared" ref="CO227" si="1718">CN179-CO179+CN194+CN195-CO194-CO195</f>
        <v>-305.62215161533277</v>
      </c>
      <c r="CP227" s="24">
        <f t="shared" ref="CP227" si="1719">CO179-CP179+CO194+CO195-CP194-CP195</f>
        <v>-1835.7588471345807</v>
      </c>
      <c r="CQ227" s="24">
        <f t="shared" ref="CQ227" si="1720">CP179-CQ179+CP194+CP195-CQ194-CQ195</f>
        <v>768.25393151628032</v>
      </c>
      <c r="CR227" s="24">
        <f t="shared" ref="CR227" si="1721">CQ179-CR179+CQ194+CQ195-CR194-CR195</f>
        <v>324.67360513332733</v>
      </c>
      <c r="CS227" s="24">
        <f t="shared" ref="CS227" si="1722">CR179-CS179+CR194+CR195-CS194-CS195</f>
        <v>-399.49066553612192</v>
      </c>
      <c r="CT227" s="24">
        <f t="shared" ref="CT227" si="1723">CS179-CT179+CS194+CS195-CT194-CT195</f>
        <v>-2147.6163193042603</v>
      </c>
      <c r="CU227" s="24">
        <f t="shared" ref="CU227" si="1724">CT179-CU179+CT194+CT195-CU194-CU195</f>
        <v>937.82418807601971</v>
      </c>
      <c r="CV227" s="24">
        <f t="shared" ref="CV227" si="1725">CU179-CV179+CU194+CU195-CV194-CV195</f>
        <v>362.33287404010662</v>
      </c>
      <c r="CW227" s="24">
        <f t="shared" ref="CW227" si="1726">CV179-CW179+CV194+CV195-CW194-CW195</f>
        <v>-473.37363304139581</v>
      </c>
      <c r="CX227" s="24">
        <f t="shared" ref="CX227" si="1727">CW179-CX179+CW194+CW195-CX194-CX195</f>
        <v>-2503.21519353443</v>
      </c>
      <c r="CY227" s="24">
        <f t="shared" ref="CY227" si="1728">CX179-CY179+CX194+CX195-CY194-CY195</f>
        <v>1100.4083340837824</v>
      </c>
      <c r="CZ227" s="24">
        <f t="shared" ref="CZ227" si="1729">CY179-CZ179+CY194+CY195-CZ194-CZ195</f>
        <v>418.56143325525045</v>
      </c>
      <c r="DA227" s="24">
        <f t="shared" ref="DA227" si="1730">CZ179-DA179+CZ194+CZ195-DA194-DA195</f>
        <v>-553.1962543300524</v>
      </c>
      <c r="DB227" s="24">
        <f t="shared" ref="DB227" si="1731">DA179-DB179+DA194+DA195-DB194-DB195</f>
        <v>-2920.418415263588</v>
      </c>
      <c r="DE227" s="121"/>
      <c r="DF227" s="23">
        <v>0</v>
      </c>
    </row>
    <row r="228" spans="1:110" s="23" customFormat="1" x14ac:dyDescent="0.2">
      <c r="A228" s="23" t="s">
        <v>73</v>
      </c>
      <c r="C228" s="23">
        <f t="shared" ref="C228:AA228" si="1732">B187-C187</f>
        <v>19.994699999999995</v>
      </c>
      <c r="D228" s="23">
        <f t="shared" si="1732"/>
        <v>-20.910599999999988</v>
      </c>
      <c r="E228" s="23">
        <f>D187-E187</f>
        <v>-32.347899999999981</v>
      </c>
      <c r="F228" s="23">
        <f t="shared" si="1732"/>
        <v>-66.950800000000015</v>
      </c>
      <c r="G228" s="23">
        <f t="shared" si="1732"/>
        <v>2.4880999999999744</v>
      </c>
      <c r="H228" s="23">
        <f t="shared" si="1732"/>
        <v>-19.728700000000003</v>
      </c>
      <c r="I228" s="23">
        <f t="shared" si="1732"/>
        <v>-53.295299999999997</v>
      </c>
      <c r="J228" s="23">
        <f>I187-J187</f>
        <v>-23.17429999999996</v>
      </c>
      <c r="K228" s="23">
        <f>J187-K187</f>
        <v>-163.17820000000006</v>
      </c>
      <c r="L228" s="23">
        <f t="shared" si="1732"/>
        <v>-149.89269999999999</v>
      </c>
      <c r="M228" s="23">
        <f t="shared" si="1732"/>
        <v>1.3172000000000708</v>
      </c>
      <c r="N228" s="23">
        <f t="shared" si="1732"/>
        <v>24.003399999999942</v>
      </c>
      <c r="O228" s="23">
        <f t="shared" si="1732"/>
        <v>-300.27869999999996</v>
      </c>
      <c r="P228" s="23">
        <f t="shared" si="1732"/>
        <v>138.27349999999979</v>
      </c>
      <c r="Q228" s="23">
        <f t="shared" si="1732"/>
        <v>-80.059999999999832</v>
      </c>
      <c r="R228" s="23">
        <f t="shared" si="1732"/>
        <v>-212.07999999999981</v>
      </c>
      <c r="S228" s="23">
        <f t="shared" si="1732"/>
        <v>-259.80000000000018</v>
      </c>
      <c r="T228" s="23">
        <f t="shared" si="1732"/>
        <v>-321.20000000000027</v>
      </c>
      <c r="U228" s="23">
        <f t="shared" si="1732"/>
        <v>-34.659999999999854</v>
      </c>
      <c r="V228" s="23">
        <f t="shared" si="1732"/>
        <v>-574.75000000000023</v>
      </c>
      <c r="W228" s="23">
        <f t="shared" si="1732"/>
        <v>-698.56999999999925</v>
      </c>
      <c r="X228" s="23">
        <f t="shared" si="1732"/>
        <v>-269.75000000000045</v>
      </c>
      <c r="Y228" s="23">
        <f t="shared" si="1732"/>
        <v>120.23000000000002</v>
      </c>
      <c r="Z228" s="23">
        <f t="shared" si="1732"/>
        <v>-90.429999999999836</v>
      </c>
      <c r="AA228" s="23">
        <f t="shared" si="1732"/>
        <v>-830.37000000000035</v>
      </c>
      <c r="AB228" s="24">
        <f t="shared" ref="AB228" si="1733">AA187-AB187</f>
        <v>-751.61608060813069</v>
      </c>
      <c r="AC228" s="24">
        <f t="shared" ref="AC228" si="1734">AB187-AC187</f>
        <v>-818.08462147182308</v>
      </c>
      <c r="AD228" s="24">
        <f t="shared" ref="AD228" si="1735">AC187-AD187</f>
        <v>-943.1181599751435</v>
      </c>
      <c r="AE228" s="24">
        <f t="shared" ref="AE228" si="1736">AD187-AE187</f>
        <v>-1099.6338429636562</v>
      </c>
      <c r="AI228" s="23">
        <f t="shared" ref="AI228" si="1737">AH187-AI187</f>
        <v>0</v>
      </c>
      <c r="AJ228" s="23">
        <f t="shared" ref="AJ228" si="1738">AI187-AJ187</f>
        <v>-1206.33</v>
      </c>
      <c r="AK228" s="23">
        <f t="shared" ref="AK228" si="1739">AJ187-AK187</f>
        <v>0</v>
      </c>
      <c r="AL228" s="23">
        <f t="shared" ref="AL228" si="1740">AK187-AL187</f>
        <v>189.71000000000004</v>
      </c>
      <c r="AM228" s="23">
        <f t="shared" ref="AM228" si="1741">AL187-AM187</f>
        <v>6.0928822343091724</v>
      </c>
      <c r="AN228" s="23">
        <f t="shared" ref="AN228" si="1742">AM187-AN187</f>
        <v>142.58711776569078</v>
      </c>
      <c r="AO228" s="23">
        <f t="shared" ref="AO228" si="1743">AN187-AO187</f>
        <v>-13.207047363992842</v>
      </c>
      <c r="AP228" s="23">
        <f t="shared" ref="AP228" si="1744">AO187-AP187</f>
        <v>-213.24295263600732</v>
      </c>
      <c r="AQ228" s="23">
        <f t="shared" ref="AQ228" si="1745">AP187-AQ187</f>
        <v>-239.10201177293152</v>
      </c>
      <c r="AR228" s="23">
        <f t="shared" ref="AR228" si="1746">AQ187-AR187</f>
        <v>432.99201177293162</v>
      </c>
      <c r="AS228" s="23">
        <f t="shared" ref="AS228" si="1747">AR187-AS187</f>
        <v>40.119096572423132</v>
      </c>
      <c r="AT228" s="23">
        <f t="shared" ref="AT228" si="1748">AS187-AT187</f>
        <v>-363.40909657242332</v>
      </c>
      <c r="AU228" s="23">
        <f t="shared" ref="AU228" si="1749">AT187-AU187</f>
        <v>-75.282435451653328</v>
      </c>
      <c r="AV228" s="23">
        <f t="shared" ref="AV228" si="1750">AU187-AV187</f>
        <v>-337.3775645483463</v>
      </c>
      <c r="AW228" s="23">
        <f t="shared" ref="AW228" si="1751">AV187-AW187</f>
        <v>94.251892954071081</v>
      </c>
      <c r="AX228" s="23">
        <f t="shared" ref="AX228" si="1752">AW187-AX187</f>
        <v>263.30810704592886</v>
      </c>
      <c r="AY228" s="23">
        <f t="shared" ref="AY228" si="1753">AX187-AY187</f>
        <v>-21.659800649010549</v>
      </c>
      <c r="AZ228" s="23">
        <f t="shared" ref="AZ228" si="1754">AY187-AZ187</f>
        <v>-90.750199350989533</v>
      </c>
      <c r="BA228" s="23">
        <f t="shared" ref="BA228" si="1755">AZ187-BA187</f>
        <v>52.862082363105401</v>
      </c>
      <c r="BB228" s="23">
        <f t="shared" ref="BB228" si="1756">BA187-BB187</f>
        <v>-185.80208236310546</v>
      </c>
      <c r="BC228" s="23">
        <f t="shared" ref="BC228" si="1757">BB187-BC187</f>
        <v>70.334164525147571</v>
      </c>
      <c r="BD228" s="23">
        <f t="shared" ref="BD228" si="1758">BC187-BD187</f>
        <v>34.815835474852292</v>
      </c>
      <c r="BE228" s="23">
        <f t="shared" ref="BE228" si="1759">BD187-BE187</f>
        <v>-79.706092986015165</v>
      </c>
      <c r="BF228" s="23">
        <f t="shared" ref="BF228" si="1760">BE187-BF187</f>
        <v>-250.26390701398464</v>
      </c>
      <c r="BG228" s="23">
        <f t="shared" ref="BG228" si="1761">BF187-BG187</f>
        <v>-32.125080786716808</v>
      </c>
      <c r="BH228" s="23">
        <f t="shared" ref="BH228" si="1762">BG187-BH187</f>
        <v>-356.48491921328332</v>
      </c>
      <c r="BI228" s="23">
        <f t="shared" ref="BI228" si="1763">BH187-BI187</f>
        <v>-41.762534488161691</v>
      </c>
      <c r="BJ228" s="23">
        <f t="shared" ref="BJ228" si="1764">BI187-BJ187</f>
        <v>51.512534488161691</v>
      </c>
      <c r="BK228" s="23">
        <f t="shared" ref="BK228" si="1765">BJ187-BK187</f>
        <v>123.95582048250617</v>
      </c>
      <c r="BL228" s="23">
        <f t="shared" ref="BL228" si="1766">BK187-BL187</f>
        <v>-477.8158204825063</v>
      </c>
      <c r="BM228" s="23">
        <f t="shared" ref="BM228" si="1767">BL187-BM187</f>
        <v>-78.592488318563483</v>
      </c>
      <c r="BN228" s="23">
        <f t="shared" ref="BN228" si="1768">BM187-BN187</f>
        <v>59.502488318563792</v>
      </c>
      <c r="BO228" s="23">
        <f t="shared" ref="BO228" si="1769">BN187-BO187</f>
        <v>192.54102436713765</v>
      </c>
      <c r="BP228" s="23">
        <f t="shared" ref="BP228" si="1770">BO187-BP187</f>
        <v>200.55897563286226</v>
      </c>
      <c r="BQ228" s="23">
        <f t="shared" ref="BQ228" si="1771">BP187-BQ187</f>
        <v>-23.958448137164851</v>
      </c>
      <c r="BR228" s="23">
        <f t="shared" ref="BR228" si="1772">BQ187-BR187</f>
        <v>-164.14155186283506</v>
      </c>
      <c r="BS228" s="23">
        <f t="shared" ref="BS228" si="1773">BR187-BS187</f>
        <v>-55.774809694552459</v>
      </c>
      <c r="BT228" s="23">
        <f t="shared" ref="BT228" si="1774">BS187-BT187</f>
        <v>-363.62519030544809</v>
      </c>
      <c r="BU228" s="23">
        <f t="shared" ref="BU228" si="1775">BT187-BU187</f>
        <v>-336.7001433618525</v>
      </c>
      <c r="BV228" s="23">
        <f t="shared" ref="BV228" si="1776">BU187-BV187</f>
        <v>57.530143361853334</v>
      </c>
      <c r="BW228" s="23">
        <f t="shared" ref="BW228" si="1777">BV187-BW187</f>
        <v>-189.25160462836175</v>
      </c>
      <c r="BX228" s="23">
        <f t="shared" ref="BX228" si="1778">BW187-BX187</f>
        <v>-184.90839537163856</v>
      </c>
      <c r="BY228" s="23">
        <f t="shared" ref="BY228" si="1779">BX187-BY187</f>
        <v>164.38710149204098</v>
      </c>
      <c r="BZ228" s="23">
        <f t="shared" ref="BZ228" si="1780">BY187-BZ187</f>
        <v>-59.977101492041129</v>
      </c>
      <c r="CA228" s="23">
        <f t="shared" ref="CA228" si="1781">BZ187-CA187</f>
        <v>273.6990830816635</v>
      </c>
      <c r="CB228" s="23">
        <f t="shared" ref="CB228" si="1782">CA187-CB187</f>
        <v>-79.46908308166303</v>
      </c>
      <c r="CC228" s="23">
        <f t="shared" ref="CC228" si="1783">CB187-CC187</f>
        <v>93.378180627942129</v>
      </c>
      <c r="CD228" s="23">
        <f t="shared" ref="CD228" si="1784">CC187-CD187</f>
        <v>-167.37818062794258</v>
      </c>
      <c r="CE228" s="23">
        <f t="shared" ref="CE228" si="1785">CD187-CE187</f>
        <v>75.640465019861495</v>
      </c>
      <c r="CF228" s="23">
        <f t="shared" ref="CF228" si="1786">CE187-CF187</f>
        <v>127.48953498013861</v>
      </c>
      <c r="CG228" s="23">
        <f t="shared" ref="CG228" si="1787">CF187-CG187</f>
        <v>-22.320430598954772</v>
      </c>
      <c r="CH228" s="23">
        <f t="shared" ref="CH228:CL228" si="1788">CG187-CH187</f>
        <v>-271.23956940104517</v>
      </c>
      <c r="CI228" s="23">
        <f t="shared" si="1788"/>
        <v>370.96946236559143</v>
      </c>
      <c r="CJ228" s="23">
        <f t="shared" si="1788"/>
        <v>-562.79946236559135</v>
      </c>
      <c r="CK228" s="23">
        <f t="shared" ref="CK228" si="1789">CJ187-CK187</f>
        <v>-30.250814050915324</v>
      </c>
      <c r="CL228" s="23">
        <f t="shared" si="1788"/>
        <v>-608.28918594908509</v>
      </c>
      <c r="CM228" s="24">
        <f t="shared" ref="CM228" si="1790">CL187-CM187</f>
        <v>273.35441602157061</v>
      </c>
      <c r="CN228" s="24">
        <f t="shared" ref="CN228" si="1791">CM187-CN187</f>
        <v>179.71635681801172</v>
      </c>
      <c r="CO228" s="24">
        <f t="shared" ref="CO228" si="1792">CN187-CO187</f>
        <v>-171.93530174608213</v>
      </c>
      <c r="CP228" s="24">
        <f t="shared" ref="CP228" si="1793">CO187-CP187</f>
        <v>-1032.7515517016309</v>
      </c>
      <c r="CQ228" s="24">
        <f t="shared" ref="CQ228" si="1794">CP187-CQ187</f>
        <v>432.20025392373827</v>
      </c>
      <c r="CR228" s="24">
        <f t="shared" ref="CR228" si="1795">CQ187-CR187</f>
        <v>182.65316820964017</v>
      </c>
      <c r="CS228" s="24">
        <f t="shared" ref="CS228" si="1796">CR187-CS187</f>
        <v>-224.74335633284863</v>
      </c>
      <c r="CT228" s="24">
        <f t="shared" ref="CT228" si="1797">CS187-CT187</f>
        <v>-1208.1946872723529</v>
      </c>
      <c r="CU228" s="24">
        <f t="shared" ref="CU228" si="1798">CT187-CU187</f>
        <v>527.59619651056892</v>
      </c>
      <c r="CV228" s="24">
        <f t="shared" ref="CV228" si="1799">CU187-CV187</f>
        <v>203.83932153262776</v>
      </c>
      <c r="CW228" s="24">
        <f t="shared" ref="CW228" si="1800">CV187-CW187</f>
        <v>-266.30804738935331</v>
      </c>
      <c r="CX228" s="24">
        <f t="shared" ref="CX228" si="1801">CW187-CX187</f>
        <v>-1408.2456306289869</v>
      </c>
      <c r="CY228" s="24">
        <f t="shared" ref="CY228" si="1802">CX187-CY187</f>
        <v>619.06192978685885</v>
      </c>
      <c r="CZ228" s="24">
        <f t="shared" ref="CZ228" si="1803">CY187-CZ187</f>
        <v>235.47208847803904</v>
      </c>
      <c r="DA228" s="24">
        <f t="shared" ref="DA228" si="1804">CZ187-DA187</f>
        <v>-311.21423761440656</v>
      </c>
      <c r="DB228" s="24">
        <f t="shared" ref="DB228" si="1805">DA187-DB187</f>
        <v>-1642.9536236141475</v>
      </c>
      <c r="DE228" s="121"/>
      <c r="DF228" s="23">
        <v>0</v>
      </c>
    </row>
    <row r="229" spans="1:110" s="22" customFormat="1" x14ac:dyDescent="0.2">
      <c r="A229" s="22" t="s">
        <v>90</v>
      </c>
      <c r="C229" s="22">
        <f t="shared" ref="C229:W229" si="1806">C227-C228</f>
        <v>119.95390000000003</v>
      </c>
      <c r="D229" s="22">
        <f t="shared" si="1806"/>
        <v>24.716199999999937</v>
      </c>
      <c r="E229" s="22">
        <f t="shared" si="1806"/>
        <v>51.042900000000003</v>
      </c>
      <c r="F229" s="22">
        <f t="shared" si="1806"/>
        <v>-43.159099999999924</v>
      </c>
      <c r="G229" s="22">
        <f t="shared" si="1806"/>
        <v>-11.958900000000014</v>
      </c>
      <c r="H229" s="22">
        <f t="shared" si="1806"/>
        <v>-78.602099999999965</v>
      </c>
      <c r="I229" s="22">
        <f t="shared" si="1806"/>
        <v>-4.828800000000065</v>
      </c>
      <c r="J229" s="22">
        <f>J227-J228</f>
        <v>-8.9208000000000709</v>
      </c>
      <c r="K229" s="22">
        <f t="shared" si="1806"/>
        <v>-12.92459999999997</v>
      </c>
      <c r="L229" s="22">
        <f t="shared" si="1806"/>
        <v>-183.82710000000003</v>
      </c>
      <c r="M229" s="22">
        <f t="shared" si="1806"/>
        <v>11.960100000000097</v>
      </c>
      <c r="N229" s="22">
        <f t="shared" si="1806"/>
        <v>-121.61029999999994</v>
      </c>
      <c r="O229" s="22">
        <f t="shared" si="1806"/>
        <v>-34.532800000000123</v>
      </c>
      <c r="P229" s="22">
        <f t="shared" si="1806"/>
        <v>-43.159999999999741</v>
      </c>
      <c r="Q229" s="22">
        <f t="shared" si="1806"/>
        <v>9.0999999999995964</v>
      </c>
      <c r="R229" s="22">
        <f t="shared" si="1806"/>
        <v>-129.26999999999998</v>
      </c>
      <c r="S229" s="22">
        <f t="shared" si="1806"/>
        <v>-184.02999999999963</v>
      </c>
      <c r="T229" s="22">
        <f t="shared" si="1806"/>
        <v>-389.57000000000016</v>
      </c>
      <c r="U229" s="22">
        <f t="shared" si="1806"/>
        <v>305.84999999999968</v>
      </c>
      <c r="V229" s="22">
        <f t="shared" si="1806"/>
        <v>-58.349999999999454</v>
      </c>
      <c r="W229" s="22">
        <f t="shared" si="1806"/>
        <v>-278.06000000000097</v>
      </c>
      <c r="X229" s="22">
        <f t="shared" ref="X229:Y229" si="1807">X227-X228</f>
        <v>112.44000000000096</v>
      </c>
      <c r="Y229" s="22">
        <f t="shared" si="1807"/>
        <v>-302.97000000000014</v>
      </c>
      <c r="Z229" s="22">
        <f t="shared" ref="Z229:AA229" si="1808">Z227-Z228</f>
        <v>-137.52000000000044</v>
      </c>
      <c r="AA229" s="22">
        <f t="shared" si="1808"/>
        <v>-378.10999999999967</v>
      </c>
      <c r="AB229" s="21">
        <f t="shared" ref="AA229:AD229" si="1809">AB227-AB228</f>
        <v>-826.48277100827909</v>
      </c>
      <c r="AC229" s="21">
        <f t="shared" si="1809"/>
        <v>-636.09482671895148</v>
      </c>
      <c r="AD229" s="21">
        <f t="shared" si="1809"/>
        <v>-733.31360448455598</v>
      </c>
      <c r="AE229" s="21">
        <f t="shared" ref="AE229" si="1810">AE227-AE228</f>
        <v>-855.01105929095138</v>
      </c>
      <c r="AI229" s="22">
        <f t="shared" ref="AI229" si="1811">AI227-AI228</f>
        <v>0</v>
      </c>
      <c r="AJ229" s="22">
        <f t="shared" ref="AJ229:AL229" si="1812">AJ227-AJ228</f>
        <v>291.99</v>
      </c>
      <c r="AK229" s="22">
        <f t="shared" si="1812"/>
        <v>-75.00881329783283</v>
      </c>
      <c r="AL229" s="22">
        <f t="shared" si="1812"/>
        <v>-277.20118670216732</v>
      </c>
      <c r="AM229" s="22">
        <f t="shared" ref="AM229" si="1813">AM227-AM228</f>
        <v>6.5110050724194934</v>
      </c>
      <c r="AN229" s="22">
        <f t="shared" ref="AN229:CD229" si="1814">AN227-AN228</f>
        <v>-185.72100507241925</v>
      </c>
      <c r="AO229" s="22">
        <f t="shared" si="1814"/>
        <v>-10.566643519890022</v>
      </c>
      <c r="AP229" s="22">
        <f t="shared" si="1814"/>
        <v>-67.253356480109858</v>
      </c>
      <c r="AQ229" s="22">
        <f t="shared" si="1814"/>
        <v>-196.86348620852988</v>
      </c>
      <c r="AR229" s="22">
        <f t="shared" si="1814"/>
        <v>209.6334862085298</v>
      </c>
      <c r="AS229" s="22">
        <f t="shared" si="1814"/>
        <v>50.682192909446712</v>
      </c>
      <c r="AT229" s="22">
        <f t="shared" si="1814"/>
        <v>161.05780709055347</v>
      </c>
      <c r="AU229" s="22">
        <f t="shared" si="1814"/>
        <v>-102.63809203225622</v>
      </c>
      <c r="AV229" s="22">
        <f t="shared" si="1814"/>
        <v>437.72809203225569</v>
      </c>
      <c r="AW229" s="22">
        <f t="shared" si="1814"/>
        <v>82.906222870074771</v>
      </c>
      <c r="AX229" s="22">
        <f t="shared" si="1814"/>
        <v>-433.85622287007448</v>
      </c>
      <c r="AY229" s="22">
        <f t="shared" si="1814"/>
        <v>-14.276583737555967</v>
      </c>
      <c r="AZ229" s="22">
        <f t="shared" si="1814"/>
        <v>-60.75341626244392</v>
      </c>
      <c r="BA229" s="22">
        <f t="shared" si="1814"/>
        <v>51.986274406549455</v>
      </c>
      <c r="BB229" s="22">
        <f t="shared" si="1814"/>
        <v>-72.956274406549483</v>
      </c>
      <c r="BC229" s="22">
        <f t="shared" si="1814"/>
        <v>59.659266047273604</v>
      </c>
      <c r="BD229" s="22">
        <f t="shared" si="1814"/>
        <v>-639.05926604727404</v>
      </c>
      <c r="BE229" s="22">
        <f t="shared" si="1814"/>
        <v>-70.586898626431548</v>
      </c>
      <c r="BF229" s="22">
        <f t="shared" si="1814"/>
        <v>430.9768986264321</v>
      </c>
      <c r="BG229" s="22">
        <f t="shared" si="1814"/>
        <v>-18.292013124352707</v>
      </c>
      <c r="BH229" s="22">
        <f t="shared" si="1814"/>
        <v>-495.02798687564768</v>
      </c>
      <c r="BI229" s="22">
        <f t="shared" si="1814"/>
        <v>-33.737495085330011</v>
      </c>
      <c r="BJ229" s="22">
        <f t="shared" si="1814"/>
        <v>215.14749508533049</v>
      </c>
      <c r="BK229" s="22">
        <f t="shared" si="1814"/>
        <v>78.105204313954346</v>
      </c>
      <c r="BL229" s="22">
        <f t="shared" si="1814"/>
        <v>227.29479568604512</v>
      </c>
      <c r="BM229" s="22">
        <f t="shared" si="1814"/>
        <v>-60.79475704914239</v>
      </c>
      <c r="BN229" s="22">
        <f t="shared" si="1814"/>
        <v>171.95475704914219</v>
      </c>
      <c r="BO229" s="22">
        <f t="shared" si="1814"/>
        <v>169.83840270638348</v>
      </c>
      <c r="BP229" s="22">
        <f t="shared" si="1814"/>
        <v>-633.09840270638347</v>
      </c>
      <c r="BQ229" s="22">
        <f t="shared" si="1814"/>
        <v>-25.216610006521478</v>
      </c>
      <c r="BR229" s="22">
        <f t="shared" si="1814"/>
        <v>-338.80338999347805</v>
      </c>
      <c r="BS229" s="22">
        <f t="shared" si="1814"/>
        <v>-40.645286944183681</v>
      </c>
      <c r="BT229" s="22">
        <f t="shared" si="1814"/>
        <v>-26.654713055816444</v>
      </c>
      <c r="BU229" s="22">
        <f t="shared" si="1814"/>
        <v>-253.87584335163774</v>
      </c>
      <c r="BV229" s="22">
        <f t="shared" si="1814"/>
        <v>4.5258433516368086</v>
      </c>
      <c r="BW229" s="22">
        <f t="shared" si="1814"/>
        <v>-165.61896453505051</v>
      </c>
      <c r="BX229" s="22">
        <f t="shared" si="1814"/>
        <v>126.26896453505026</v>
      </c>
      <c r="BY229" s="22">
        <f t="shared" si="1814"/>
        <v>146.2232343110386</v>
      </c>
      <c r="BZ229" s="22">
        <f t="shared" si="1814"/>
        <v>-26.293234311037963</v>
      </c>
      <c r="CA229" s="22">
        <f t="shared" si="1814"/>
        <v>224.31041123954265</v>
      </c>
      <c r="CB229" s="22">
        <f t="shared" si="1814"/>
        <v>-307.99041123954271</v>
      </c>
      <c r="CC229" s="22">
        <f t="shared" si="1814"/>
        <v>87.646075987611766</v>
      </c>
      <c r="CD229" s="22">
        <f t="shared" si="1814"/>
        <v>-296.36607598761123</v>
      </c>
      <c r="CE229" s="22">
        <f t="shared" ref="CE229:CF229" si="1815">CE227-CE228</f>
        <v>71.295997971841189</v>
      </c>
      <c r="CF229" s="22">
        <f t="shared" si="1815"/>
        <v>-749.68599797184118</v>
      </c>
      <c r="CG229" s="22">
        <f t="shared" ref="CG229:CH229" si="1816">CG227-CG228</f>
        <v>-22.591709604883363</v>
      </c>
      <c r="CH229" s="22">
        <f t="shared" si="1816"/>
        <v>840.10170960488324</v>
      </c>
      <c r="CI229" s="22">
        <f t="shared" ref="CI229:CJ229" si="1817">CI227-CI228</f>
        <v>295.35770609319025</v>
      </c>
      <c r="CJ229" s="22">
        <f t="shared" si="1817"/>
        <v>-843.76770609319055</v>
      </c>
      <c r="CK229" s="22">
        <f t="shared" ref="CK229:DB229" si="1818">CK227-CK228</f>
        <v>-27.459194602479329</v>
      </c>
      <c r="CL229" s="22">
        <f t="shared" si="1818"/>
        <v>-44.310805397520653</v>
      </c>
      <c r="CM229" s="21">
        <f t="shared" si="1818"/>
        <v>212.54443040290244</v>
      </c>
      <c r="CN229" s="21">
        <f t="shared" si="1818"/>
        <v>139.73694389101956</v>
      </c>
      <c r="CO229" s="21">
        <f t="shared" si="1818"/>
        <v>-133.68684986925064</v>
      </c>
      <c r="CP229" s="21">
        <f t="shared" si="1818"/>
        <v>-803.00729543294983</v>
      </c>
      <c r="CQ229" s="21">
        <f t="shared" si="1818"/>
        <v>336.05367759254204</v>
      </c>
      <c r="CR229" s="21">
        <f t="shared" si="1818"/>
        <v>142.02043692368716</v>
      </c>
      <c r="CS229" s="21">
        <f t="shared" si="1818"/>
        <v>-174.74730920327329</v>
      </c>
      <c r="CT229" s="21">
        <f t="shared" si="1818"/>
        <v>-939.42163203190739</v>
      </c>
      <c r="CU229" s="21">
        <f t="shared" si="1818"/>
        <v>410.22799156545079</v>
      </c>
      <c r="CV229" s="21">
        <f t="shared" si="1818"/>
        <v>158.49355250747885</v>
      </c>
      <c r="CW229" s="21">
        <f t="shared" si="1818"/>
        <v>-207.0655856520425</v>
      </c>
      <c r="CX229" s="21">
        <f t="shared" si="1818"/>
        <v>-1094.9695629054431</v>
      </c>
      <c r="CY229" s="21">
        <f t="shared" si="1818"/>
        <v>481.34640429692354</v>
      </c>
      <c r="CZ229" s="21">
        <f t="shared" si="1818"/>
        <v>183.08934477721141</v>
      </c>
      <c r="DA229" s="21">
        <f t="shared" si="1818"/>
        <v>-241.98201671564584</v>
      </c>
      <c r="DB229" s="21">
        <f t="shared" si="1818"/>
        <v>-1277.4647916494405</v>
      </c>
      <c r="DE229" s="123"/>
      <c r="DF229" s="22">
        <v>0</v>
      </c>
    </row>
    <row r="230" spans="1:110" s="22" customFormat="1" x14ac:dyDescent="0.2">
      <c r="A230" s="22" t="s">
        <v>91</v>
      </c>
      <c r="C230" s="22">
        <f t="shared" ref="C230:W230" si="1819">C226+C229</f>
        <v>203.82759999999999</v>
      </c>
      <c r="D230" s="22">
        <f>D226+D229</f>
        <v>111.4119</v>
      </c>
      <c r="E230" s="22">
        <f t="shared" si="1819"/>
        <v>146.27449999999993</v>
      </c>
      <c r="F230" s="22">
        <f t="shared" si="1819"/>
        <v>75.776399999999981</v>
      </c>
      <c r="G230" s="22">
        <f t="shared" si="1819"/>
        <v>161.30129999999997</v>
      </c>
      <c r="H230" s="22">
        <f t="shared" si="1819"/>
        <v>294.33839999999998</v>
      </c>
      <c r="I230" s="22">
        <f t="shared" si="1819"/>
        <v>234.37730000000016</v>
      </c>
      <c r="J230" s="22">
        <f>J226+J229</f>
        <v>246.2436000000001</v>
      </c>
      <c r="K230" s="22">
        <f t="shared" si="1819"/>
        <v>456.25399999999991</v>
      </c>
      <c r="L230" s="22">
        <f t="shared" si="1819"/>
        <v>470.50909999999959</v>
      </c>
      <c r="M230" s="22">
        <f t="shared" si="1819"/>
        <v>574.46120000000008</v>
      </c>
      <c r="N230" s="22">
        <f t="shared" si="1819"/>
        <v>340.21659999999997</v>
      </c>
      <c r="O230" s="22">
        <f t="shared" si="1819"/>
        <v>352.67199999999963</v>
      </c>
      <c r="P230" s="22">
        <f t="shared" si="1819"/>
        <v>504.6800000000012</v>
      </c>
      <c r="Q230" s="22">
        <f t="shared" si="1819"/>
        <v>713.95000000000016</v>
      </c>
      <c r="R230" s="22">
        <f t="shared" si="1819"/>
        <v>669.16000000000076</v>
      </c>
      <c r="S230" s="22">
        <f t="shared" si="1819"/>
        <v>593.48000000000093</v>
      </c>
      <c r="T230" s="22">
        <f t="shared" si="1819"/>
        <v>610.22999999999956</v>
      </c>
      <c r="U230" s="22">
        <f t="shared" si="1819"/>
        <v>1713.549999999999</v>
      </c>
      <c r="V230" s="22">
        <f t="shared" si="1819"/>
        <v>1592.670000000001</v>
      </c>
      <c r="W230" s="22">
        <f t="shared" si="1819"/>
        <v>2128.0899999999997</v>
      </c>
      <c r="X230" s="22">
        <f t="shared" ref="X230:Y230" si="1820">X226+X229</f>
        <v>2850.1</v>
      </c>
      <c r="Y230" s="22">
        <f t="shared" si="1820"/>
        <v>1705.3600000000001</v>
      </c>
      <c r="Z230" s="22">
        <f t="shared" ref="Z230:AA230" si="1821">Z226+Z229</f>
        <v>1884.7599999999979</v>
      </c>
      <c r="AA230" s="22">
        <f t="shared" si="1821"/>
        <v>2309.1400000000012</v>
      </c>
      <c r="AB230" s="21">
        <f t="shared" ref="AA230:AD230" si="1822">AB226+AB229</f>
        <v>2461.6112311068923</v>
      </c>
      <c r="AC230" s="21">
        <f t="shared" si="1822"/>
        <v>3368.8114952976848</v>
      </c>
      <c r="AD230" s="21">
        <f t="shared" si="1822"/>
        <v>3984.3449942234502</v>
      </c>
      <c r="AE230" s="21">
        <f t="shared" ref="AE230" si="1823">AE226+AE229</f>
        <v>4701.1118321690628</v>
      </c>
      <c r="AI230" s="22">
        <f t="shared" ref="AI230" si="1824">AI226+AI229</f>
        <v>64.220000000000013</v>
      </c>
      <c r="AJ230" s="22">
        <f t="shared" ref="AJ230:AL230" si="1825">AJ226+AJ229</f>
        <v>413.64000000000004</v>
      </c>
      <c r="AK230" s="22">
        <f t="shared" si="1825"/>
        <v>62.081186702167116</v>
      </c>
      <c r="AL230" s="22">
        <f t="shared" si="1825"/>
        <v>-157.37118670216739</v>
      </c>
      <c r="AM230" s="22">
        <f t="shared" ref="AM230" si="1826">AM226+AM229</f>
        <v>98.711005072419496</v>
      </c>
      <c r="AN230" s="22">
        <f t="shared" ref="AN230:CD230" si="1827">AN226+AN229</f>
        <v>-89.981005072419094</v>
      </c>
      <c r="AO230" s="22">
        <f t="shared" si="1827"/>
        <v>109.38335648011009</v>
      </c>
      <c r="AP230" s="22">
        <f t="shared" si="1827"/>
        <v>31.856643519890156</v>
      </c>
      <c r="AQ230" s="22">
        <f t="shared" si="1827"/>
        <v>-46.543486208529686</v>
      </c>
      <c r="AR230" s="22">
        <f t="shared" si="1827"/>
        <v>349.72348620852972</v>
      </c>
      <c r="AS230" s="22">
        <f t="shared" si="1827"/>
        <v>182.88219290944647</v>
      </c>
      <c r="AT230" s="22">
        <f t="shared" si="1827"/>
        <v>286.28780709055331</v>
      </c>
      <c r="AU230" s="22">
        <f t="shared" si="1827"/>
        <v>83.241907967743998</v>
      </c>
      <c r="AV230" s="22">
        <f t="shared" si="1827"/>
        <v>613.16809203225557</v>
      </c>
      <c r="AW230" s="22">
        <f t="shared" si="1827"/>
        <v>251.21622287007483</v>
      </c>
      <c r="AX230" s="22">
        <f t="shared" si="1827"/>
        <v>-252.7062228700743</v>
      </c>
      <c r="AY230" s="22">
        <f t="shared" si="1827"/>
        <v>209.87341626244407</v>
      </c>
      <c r="AZ230" s="22">
        <f t="shared" si="1827"/>
        <v>132.09658373755622</v>
      </c>
      <c r="BA230" s="22">
        <f t="shared" si="1827"/>
        <v>231.21627440654942</v>
      </c>
      <c r="BB230" s="22">
        <f t="shared" si="1827"/>
        <v>129.25372559345055</v>
      </c>
      <c r="BC230" s="22">
        <f t="shared" si="1827"/>
        <v>239.26926604727356</v>
      </c>
      <c r="BD230" s="22">
        <f t="shared" si="1827"/>
        <v>-459.45926604727401</v>
      </c>
      <c r="BE230" s="22">
        <f t="shared" si="1827"/>
        <v>137.65310137356829</v>
      </c>
      <c r="BF230" s="22">
        <f t="shared" si="1827"/>
        <v>641.02689862643206</v>
      </c>
      <c r="BG230" s="22">
        <f t="shared" si="1827"/>
        <v>203.42798687564732</v>
      </c>
      <c r="BH230" s="22">
        <f t="shared" si="1827"/>
        <v>-256.13798687564758</v>
      </c>
      <c r="BI230" s="22">
        <f t="shared" si="1827"/>
        <v>222.91250491466991</v>
      </c>
      <c r="BJ230" s="22">
        <f t="shared" si="1827"/>
        <v>500.96749508533037</v>
      </c>
      <c r="BK230" s="22">
        <f t="shared" si="1827"/>
        <v>359.78520431395441</v>
      </c>
      <c r="BL230" s="22">
        <f t="shared" si="1827"/>
        <v>621.34479568604525</v>
      </c>
      <c r="BM230" s="22">
        <f t="shared" si="1827"/>
        <v>384.05524295085763</v>
      </c>
      <c r="BN230" s="22">
        <f t="shared" si="1827"/>
        <v>459.07475704914214</v>
      </c>
      <c r="BO230" s="22">
        <f t="shared" si="1827"/>
        <v>450.94840270638355</v>
      </c>
      <c r="BP230" s="22">
        <f t="shared" si="1827"/>
        <v>-203.87840270638389</v>
      </c>
      <c r="BQ230" s="22">
        <f t="shared" si="1827"/>
        <v>416.07338999347854</v>
      </c>
      <c r="BR230" s="22">
        <f t="shared" si="1827"/>
        <v>160.59661000652204</v>
      </c>
      <c r="BS230" s="22">
        <f t="shared" si="1827"/>
        <v>477.58471305581668</v>
      </c>
      <c r="BT230" s="22">
        <f t="shared" si="1827"/>
        <v>486.08528694418391</v>
      </c>
      <c r="BU230" s="22">
        <f t="shared" si="1827"/>
        <v>384.05415664836221</v>
      </c>
      <c r="BV230" s="22">
        <f t="shared" si="1827"/>
        <v>741.77584335163715</v>
      </c>
      <c r="BW230" s="22">
        <f t="shared" si="1827"/>
        <v>573.11103546494928</v>
      </c>
      <c r="BX230" s="22">
        <f t="shared" si="1827"/>
        <v>746.55896453505068</v>
      </c>
      <c r="BY230" s="22">
        <f t="shared" si="1827"/>
        <v>807.77323431103855</v>
      </c>
      <c r="BZ230" s="22">
        <f t="shared" si="1827"/>
        <v>690.7967656889623</v>
      </c>
      <c r="CA230" s="22">
        <f t="shared" si="1827"/>
        <v>740.21041123954217</v>
      </c>
      <c r="CB230" s="22">
        <f t="shared" si="1827"/>
        <v>154.0195887604566</v>
      </c>
      <c r="CC230" s="22">
        <f t="shared" si="1827"/>
        <v>509.96607598761193</v>
      </c>
      <c r="CD230" s="22">
        <f t="shared" si="1827"/>
        <v>311.73392401238891</v>
      </c>
      <c r="CE230" s="22">
        <f t="shared" ref="CE230:CF230" si="1828">CE226+CE229</f>
        <v>511.6759979718413</v>
      </c>
      <c r="CF230" s="22">
        <f t="shared" si="1828"/>
        <v>-354.33599797184121</v>
      </c>
      <c r="CG230" s="22">
        <f t="shared" ref="CG230:CH230" si="1829">CG226+CG229</f>
        <v>442.74829039511701</v>
      </c>
      <c r="CH230" s="22">
        <f t="shared" si="1829"/>
        <v>1561.3117096048836</v>
      </c>
      <c r="CI230" s="22">
        <f t="shared" ref="CI230:CJ230" si="1830">CI226+CI229</f>
        <v>930.91770609319008</v>
      </c>
      <c r="CJ230" s="22">
        <f t="shared" si="1830"/>
        <v>-243.45770609319061</v>
      </c>
      <c r="CK230" s="22">
        <f t="shared" ref="CK230:DB230" si="1831">CK226+CK229</f>
        <v>622.09080539752097</v>
      </c>
      <c r="CL230" s="22">
        <f t="shared" si="1831"/>
        <v>757.51919460247927</v>
      </c>
      <c r="CM230" s="21">
        <f t="shared" si="1831"/>
        <v>977.98986449748168</v>
      </c>
      <c r="CN230" s="21">
        <f t="shared" si="1831"/>
        <v>883.57057508356661</v>
      </c>
      <c r="CO230" s="21">
        <f t="shared" si="1831"/>
        <v>666.75522662405172</v>
      </c>
      <c r="CP230" s="21">
        <f t="shared" si="1831"/>
        <v>175.36556490179271</v>
      </c>
      <c r="CQ230" s="21">
        <f t="shared" si="1831"/>
        <v>1270.9414359612524</v>
      </c>
      <c r="CR230" s="21">
        <f t="shared" si="1831"/>
        <v>1051.6987530012018</v>
      </c>
      <c r="CS230" s="21">
        <f t="shared" si="1831"/>
        <v>786.93977104845487</v>
      </c>
      <c r="CT230" s="21">
        <f t="shared" si="1831"/>
        <v>259.23153528677449</v>
      </c>
      <c r="CU230" s="21">
        <f t="shared" si="1831"/>
        <v>1510.6104396238709</v>
      </c>
      <c r="CV230" s="21">
        <f t="shared" si="1831"/>
        <v>1229.2961976143933</v>
      </c>
      <c r="CW230" s="21">
        <f t="shared" si="1831"/>
        <v>924.37270030701438</v>
      </c>
      <c r="CX230" s="21">
        <f t="shared" si="1831"/>
        <v>320.06565667817313</v>
      </c>
      <c r="CY230" s="21">
        <f t="shared" si="1831"/>
        <v>1776.4923821083003</v>
      </c>
      <c r="CZ230" s="21">
        <f t="shared" si="1831"/>
        <v>1444.6838821332535</v>
      </c>
      <c r="DA230" s="21">
        <f t="shared" si="1831"/>
        <v>1091.4923132140955</v>
      </c>
      <c r="DB230" s="21">
        <f t="shared" si="1831"/>
        <v>388.44325471341313</v>
      </c>
      <c r="DE230" s="123"/>
      <c r="DF230" s="22">
        <v>0</v>
      </c>
    </row>
    <row r="231" spans="1:110" s="23" customFormat="1" x14ac:dyDescent="0.2">
      <c r="AB231" s="24"/>
      <c r="AC231" s="24"/>
      <c r="AD231" s="24"/>
      <c r="AE231" s="24"/>
      <c r="CM231" s="24"/>
      <c r="CN231" s="24"/>
      <c r="CO231" s="24"/>
      <c r="CP231" s="24"/>
      <c r="CQ231" s="24"/>
      <c r="CR231" s="24"/>
      <c r="CS231" s="24"/>
      <c r="CT231" s="24"/>
      <c r="CU231" s="24"/>
      <c r="CV231" s="24"/>
      <c r="CW231" s="24"/>
      <c r="CX231" s="24"/>
      <c r="CY231" s="24"/>
      <c r="CZ231" s="24"/>
      <c r="DA231" s="24"/>
      <c r="DB231" s="24"/>
      <c r="DE231" s="121"/>
    </row>
    <row r="232" spans="1:110" s="22" customFormat="1" x14ac:dyDescent="0.2">
      <c r="A232" s="22" t="s">
        <v>92</v>
      </c>
      <c r="C232" s="22">
        <f t="shared" ref="C232:W232" si="1832">C233+C234</f>
        <v>-1.3628000000000782</v>
      </c>
      <c r="D232" s="22">
        <f>D233+D234</f>
        <v>-3.8816999999999355</v>
      </c>
      <c r="E232" s="22">
        <f t="shared" si="1832"/>
        <v>-94.379300000000214</v>
      </c>
      <c r="F232" s="22">
        <f t="shared" si="1832"/>
        <v>-306.98800000000006</v>
      </c>
      <c r="G232" s="22">
        <f t="shared" si="1832"/>
        <v>-329.13139999999999</v>
      </c>
      <c r="H232" s="22">
        <f t="shared" si="1832"/>
        <v>-143.60089999999971</v>
      </c>
      <c r="I232" s="22">
        <f t="shared" si="1832"/>
        <v>-171.46450000000016</v>
      </c>
      <c r="J232" s="22">
        <f t="shared" si="1832"/>
        <v>-715.46490000000028</v>
      </c>
      <c r="K232" s="22">
        <f t="shared" si="1832"/>
        <v>-362.60859999999934</v>
      </c>
      <c r="L232" s="22">
        <f t="shared" si="1832"/>
        <v>-241.7155000000005</v>
      </c>
      <c r="M232" s="22">
        <f t="shared" si="1832"/>
        <v>-530.79620000000023</v>
      </c>
      <c r="N232" s="22">
        <f t="shared" si="1832"/>
        <v>-622.09349999999961</v>
      </c>
      <c r="O232" s="22">
        <f t="shared" si="1832"/>
        <v>-982.7577</v>
      </c>
      <c r="P232" s="22">
        <f t="shared" si="1832"/>
        <v>-598.54220000000078</v>
      </c>
      <c r="Q232" s="22">
        <f t="shared" si="1832"/>
        <v>-482.74999999999977</v>
      </c>
      <c r="R232" s="22">
        <f t="shared" si="1832"/>
        <v>-737.76000000000067</v>
      </c>
      <c r="S232" s="22">
        <f t="shared" si="1832"/>
        <v>-1307.7099999999991</v>
      </c>
      <c r="T232" s="22">
        <f t="shared" si="1832"/>
        <v>-1040.7599999999995</v>
      </c>
      <c r="U232" s="22">
        <f t="shared" si="1832"/>
        <v>-1790.5400000000006</v>
      </c>
      <c r="V232" s="22">
        <f t="shared" si="1832"/>
        <v>-1291.420000000001</v>
      </c>
      <c r="W232" s="22">
        <f t="shared" si="1832"/>
        <v>-2014.9299999999967</v>
      </c>
      <c r="X232" s="22">
        <f t="shared" ref="X232:Y232" si="1833">X233+X234</f>
        <v>-2933.7400000000016</v>
      </c>
      <c r="Y232" s="22">
        <f t="shared" si="1833"/>
        <v>-2381.1900000000014</v>
      </c>
      <c r="Z232" s="22">
        <f t="shared" ref="Z232:AA232" si="1834">Z233+Z234</f>
        <v>-1257.0000000000007</v>
      </c>
      <c r="AA232" s="22">
        <f t="shared" si="1834"/>
        <v>-2137.629999999996</v>
      </c>
      <c r="AB232" s="21">
        <f t="shared" ref="AA232:AD232" si="1835">AB233+AB234</f>
        <v>242.06999999999971</v>
      </c>
      <c r="AC232" s="21">
        <f t="shared" si="1835"/>
        <v>0</v>
      </c>
      <c r="AD232" s="21">
        <f t="shared" si="1835"/>
        <v>0</v>
      </c>
      <c r="AE232" s="21">
        <f t="shared" ref="AE232" si="1836">AE233+AE234</f>
        <v>0</v>
      </c>
      <c r="AI232" s="22">
        <f t="shared" ref="AI232" si="1837">AI233+AI234</f>
        <v>-42.2</v>
      </c>
      <c r="AJ232" s="22">
        <f t="shared" ref="AJ232:AL232" si="1838">AJ233+AJ234</f>
        <v>-2528.4100000000003</v>
      </c>
      <c r="AK232" s="22">
        <f t="shared" si="1838"/>
        <v>-47.840000000000146</v>
      </c>
      <c r="AL232" s="22">
        <f t="shared" si="1838"/>
        <v>-480.80999999999972</v>
      </c>
      <c r="AM232" s="22">
        <f t="shared" ref="AM232" si="1839">AM233+AM234</f>
        <v>-48.389999999999873</v>
      </c>
      <c r="AN232" s="22">
        <f t="shared" ref="AN232:CD232" si="1840">AN233+AN234</f>
        <v>191.65000000000043</v>
      </c>
      <c r="AO232" s="22">
        <f t="shared" si="1840"/>
        <v>-47.889999999999873</v>
      </c>
      <c r="AP232" s="22">
        <f t="shared" si="1840"/>
        <v>-1043.8400000000001</v>
      </c>
      <c r="AQ232" s="22">
        <f t="shared" si="1840"/>
        <v>-57.820000000000164</v>
      </c>
      <c r="AR232" s="22">
        <f t="shared" si="1840"/>
        <v>607.4799999999999</v>
      </c>
      <c r="AS232" s="22">
        <f t="shared" si="1840"/>
        <v>-60.800000000000182</v>
      </c>
      <c r="AT232" s="22">
        <f t="shared" si="1840"/>
        <v>-1087.3999999999996</v>
      </c>
      <c r="AU232" s="22">
        <f t="shared" si="1840"/>
        <v>-72.460000000000036</v>
      </c>
      <c r="AV232" s="22">
        <f t="shared" si="1840"/>
        <v>-197.18000000000075</v>
      </c>
      <c r="AW232" s="22">
        <f t="shared" si="1840"/>
        <v>-71.429999999999836</v>
      </c>
      <c r="AX232" s="22">
        <f t="shared" si="1840"/>
        <v>-153.38999999999876</v>
      </c>
      <c r="AY232" s="22">
        <f t="shared" si="1840"/>
        <v>-69.590000000000146</v>
      </c>
      <c r="AZ232" s="22">
        <f t="shared" si="1840"/>
        <v>-298.08000000000106</v>
      </c>
      <c r="BA232" s="22">
        <f t="shared" si="1840"/>
        <v>-70.859999999999673</v>
      </c>
      <c r="BB232" s="22">
        <f t="shared" si="1840"/>
        <v>-299.23999999999955</v>
      </c>
      <c r="BC232" s="22">
        <f t="shared" si="1840"/>
        <v>-75.800000000000182</v>
      </c>
      <c r="BD232" s="22">
        <f t="shared" si="1840"/>
        <v>-524.68000000000029</v>
      </c>
      <c r="BE232" s="22">
        <f t="shared" si="1840"/>
        <v>-77.020000000000437</v>
      </c>
      <c r="BF232" s="22">
        <f t="shared" si="1840"/>
        <v>-630.21</v>
      </c>
      <c r="BG232" s="22">
        <f t="shared" si="1840"/>
        <v>-87.880000000000109</v>
      </c>
      <c r="BH232" s="22">
        <f t="shared" si="1840"/>
        <v>-430.15999999999985</v>
      </c>
      <c r="BI232" s="22">
        <f t="shared" si="1840"/>
        <v>-90.9399999999996</v>
      </c>
      <c r="BJ232" s="22">
        <f t="shared" si="1840"/>
        <v>-435.05000000000041</v>
      </c>
      <c r="BK232" s="22">
        <f t="shared" si="1840"/>
        <v>-92.460000000000036</v>
      </c>
      <c r="BL232" s="22">
        <f t="shared" si="1840"/>
        <v>-545.61999999999966</v>
      </c>
      <c r="BM232" s="22">
        <f t="shared" si="1840"/>
        <v>-101.85999999999967</v>
      </c>
      <c r="BN232" s="22">
        <f t="shared" si="1840"/>
        <v>-823.02000000000044</v>
      </c>
      <c r="BO232" s="22">
        <f t="shared" si="1840"/>
        <v>-104.02000000000044</v>
      </c>
      <c r="BP232" s="22">
        <f t="shared" si="1840"/>
        <v>-323.86000000000058</v>
      </c>
      <c r="BQ232" s="22">
        <f t="shared" si="1840"/>
        <v>-116.5600000000004</v>
      </c>
      <c r="BR232" s="22">
        <f t="shared" si="1840"/>
        <v>-757.80000000000018</v>
      </c>
      <c r="BS232" s="22">
        <f t="shared" si="1840"/>
        <v>-122.95000000000073</v>
      </c>
      <c r="BT232" s="22">
        <f t="shared" si="1840"/>
        <v>-552.77000000000044</v>
      </c>
      <c r="BU232" s="22">
        <f t="shared" si="1840"/>
        <v>-132.38999999999942</v>
      </c>
      <c r="BV232" s="22">
        <f t="shared" si="1840"/>
        <v>-1168.2299999999996</v>
      </c>
      <c r="BW232" s="22">
        <f t="shared" si="1840"/>
        <v>-130.72999999999956</v>
      </c>
      <c r="BX232" s="22">
        <f t="shared" si="1840"/>
        <v>-1022.9899999999998</v>
      </c>
      <c r="BY232" s="22">
        <f t="shared" si="1840"/>
        <v>-150.64999999999964</v>
      </c>
      <c r="BZ232" s="22">
        <f t="shared" si="1840"/>
        <v>-1597.5100000000002</v>
      </c>
      <c r="CA232" s="22">
        <f t="shared" si="1840"/>
        <v>-156.61000000000058</v>
      </c>
      <c r="CB232" s="22">
        <f t="shared" si="1840"/>
        <v>-1261.4799999999984</v>
      </c>
      <c r="CC232" s="22">
        <f t="shared" si="1840"/>
        <v>-168.88999999999942</v>
      </c>
      <c r="CD232" s="22">
        <f t="shared" si="1840"/>
        <v>-804.77999999999906</v>
      </c>
      <c r="CE232" s="22">
        <f t="shared" ref="CE232:CF232" si="1841">CE233+CE234</f>
        <v>-188.15999999999985</v>
      </c>
      <c r="CF232" s="22">
        <f t="shared" si="1841"/>
        <v>-464.55000000000086</v>
      </c>
      <c r="CG232" s="22">
        <f t="shared" ref="CG232:CH232" si="1842">CG233+CG234</f>
        <v>-194.26000000000022</v>
      </c>
      <c r="CH232" s="22">
        <f t="shared" si="1842"/>
        <v>-686.67000000000087</v>
      </c>
      <c r="CI232" s="22">
        <f t="shared" ref="CI232:CJ232" si="1843">CI233+CI234</f>
        <v>0</v>
      </c>
      <c r="CJ232" s="22">
        <f t="shared" si="1843"/>
        <v>-813.67999999999961</v>
      </c>
      <c r="CK232" s="22">
        <f t="shared" ref="CK232:DB232" si="1844">CK233+CK234</f>
        <v>0</v>
      </c>
      <c r="CL232" s="22">
        <f t="shared" si="1844"/>
        <v>-1081.8800000000003</v>
      </c>
      <c r="CM232" s="21">
        <f t="shared" si="1844"/>
        <v>0</v>
      </c>
      <c r="CN232" s="21">
        <f t="shared" si="1844"/>
        <v>0</v>
      </c>
      <c r="CO232" s="21">
        <f t="shared" si="1844"/>
        <v>0</v>
      </c>
      <c r="CP232" s="21">
        <f t="shared" si="1844"/>
        <v>0</v>
      </c>
      <c r="CQ232" s="21">
        <f t="shared" si="1844"/>
        <v>0</v>
      </c>
      <c r="CR232" s="21">
        <f t="shared" si="1844"/>
        <v>0</v>
      </c>
      <c r="CS232" s="21">
        <f t="shared" si="1844"/>
        <v>0</v>
      </c>
      <c r="CT232" s="21">
        <f t="shared" si="1844"/>
        <v>0</v>
      </c>
      <c r="CU232" s="21">
        <f t="shared" si="1844"/>
        <v>0</v>
      </c>
      <c r="CV232" s="21">
        <f t="shared" si="1844"/>
        <v>0</v>
      </c>
      <c r="CW232" s="21">
        <f t="shared" si="1844"/>
        <v>0</v>
      </c>
      <c r="CX232" s="21">
        <f t="shared" si="1844"/>
        <v>0</v>
      </c>
      <c r="CY232" s="21">
        <f t="shared" si="1844"/>
        <v>0</v>
      </c>
      <c r="CZ232" s="21">
        <f t="shared" si="1844"/>
        <v>0</v>
      </c>
      <c r="DA232" s="21">
        <f t="shared" si="1844"/>
        <v>0</v>
      </c>
      <c r="DB232" s="21">
        <f t="shared" si="1844"/>
        <v>0</v>
      </c>
      <c r="DE232" s="123"/>
      <c r="DF232" s="22">
        <v>0</v>
      </c>
    </row>
    <row r="233" spans="1:110" s="23" customFormat="1" x14ac:dyDescent="0.2">
      <c r="A233" s="23" t="s">
        <v>93</v>
      </c>
      <c r="C233" s="23">
        <f t="shared" ref="C233:AA233" si="1845">B171-C171</f>
        <v>159.4752</v>
      </c>
      <c r="D233" s="23">
        <f t="shared" si="1845"/>
        <v>7.6335000000000006</v>
      </c>
      <c r="E233" s="23">
        <f>D171-E171</f>
        <v>-11.5672</v>
      </c>
      <c r="F233" s="23">
        <f t="shared" si="1845"/>
        <v>5.4981000000000009</v>
      </c>
      <c r="G233" s="23">
        <f t="shared" si="1845"/>
        <v>3.3043999999999993</v>
      </c>
      <c r="H233" s="23">
        <f t="shared" si="1845"/>
        <v>-1.4793000000000003</v>
      </c>
      <c r="I233" s="23">
        <f t="shared" si="1845"/>
        <v>-1.4144000000000005</v>
      </c>
      <c r="J233" s="23">
        <f>I171-J171</f>
        <v>3.6596999999999911</v>
      </c>
      <c r="K233" s="23">
        <f>J171-K171</f>
        <v>-0.66579999999999018</v>
      </c>
      <c r="L233" s="23">
        <f t="shared" si="1845"/>
        <v>1.1655999999999995</v>
      </c>
      <c r="M233" s="23">
        <f t="shared" si="1845"/>
        <v>-0.5</v>
      </c>
      <c r="N233" s="23">
        <f t="shared" si="1845"/>
        <v>-3.4639999999999995</v>
      </c>
      <c r="O233" s="23">
        <f t="shared" si="1845"/>
        <v>-0.35009999999999941</v>
      </c>
      <c r="P233" s="23">
        <f t="shared" si="1845"/>
        <v>10.065399999999999</v>
      </c>
      <c r="Q233" s="23">
        <f t="shared" si="1845"/>
        <v>-4.28</v>
      </c>
      <c r="R233" s="23">
        <f t="shared" si="1845"/>
        <v>-20.79</v>
      </c>
      <c r="S233" s="23">
        <f t="shared" si="1845"/>
        <v>25</v>
      </c>
      <c r="T233" s="23">
        <f t="shared" si="1845"/>
        <v>9.999999999999995E-3</v>
      </c>
      <c r="U233" s="23">
        <f t="shared" si="1845"/>
        <v>-4.05</v>
      </c>
      <c r="V233" s="23">
        <f t="shared" si="1845"/>
        <v>0</v>
      </c>
      <c r="W233" s="23">
        <f t="shared" si="1845"/>
        <v>0</v>
      </c>
      <c r="X233" s="23">
        <f t="shared" si="1845"/>
        <v>0</v>
      </c>
      <c r="Y233" s="23">
        <f t="shared" si="1845"/>
        <v>-116.96000000000001</v>
      </c>
      <c r="Z233" s="23">
        <f t="shared" si="1845"/>
        <v>-1.6400000000000006</v>
      </c>
      <c r="AA233" s="23">
        <f t="shared" si="1845"/>
        <v>-1.3099999999999881</v>
      </c>
      <c r="AB233" s="24">
        <f t="shared" ref="AB233" si="1846">AA171-AB171</f>
        <v>0</v>
      </c>
      <c r="AC233" s="24">
        <f t="shared" ref="AC233" si="1847">AB171-AC171</f>
        <v>0</v>
      </c>
      <c r="AD233" s="24">
        <f t="shared" ref="AD233" si="1848">AC171-AD171</f>
        <v>0</v>
      </c>
      <c r="AE233" s="24">
        <f t="shared" ref="AE233" si="1849">AD171-AE171</f>
        <v>0</v>
      </c>
      <c r="AI233" s="23">
        <f t="shared" ref="AI233" si="1850">AH171-AI171</f>
        <v>0</v>
      </c>
      <c r="AJ233" s="23">
        <f t="shared" ref="AJ233" si="1851">AI171-AJ171</f>
        <v>-92.3</v>
      </c>
      <c r="AK233" s="23">
        <f t="shared" ref="AK233" si="1852">AJ171-AK171</f>
        <v>0</v>
      </c>
      <c r="AL233" s="23">
        <f t="shared" ref="AL233" si="1853">AK171-AL171</f>
        <v>82.53</v>
      </c>
      <c r="AM233" s="23">
        <f t="shared" ref="AM233" si="1854">AL171-AM171</f>
        <v>0</v>
      </c>
      <c r="AN233" s="23">
        <f t="shared" ref="AN233" si="1855">AM171-AN171</f>
        <v>-82.89</v>
      </c>
      <c r="AO233" s="23">
        <f t="shared" ref="AO233" si="1856">AN171-AO171</f>
        <v>0</v>
      </c>
      <c r="AP233" s="23">
        <f t="shared" ref="AP233" si="1857">AO171-AP171</f>
        <v>82.539999999999992</v>
      </c>
      <c r="AQ233" s="23">
        <f t="shared" ref="AQ233" si="1858">AP171-AQ171</f>
        <v>0</v>
      </c>
      <c r="AR233" s="23">
        <f t="shared" ref="AR233" si="1859">AQ171-AR171</f>
        <v>-77.179999999999993</v>
      </c>
      <c r="AS233" s="23">
        <f t="shared" ref="AS233" si="1860">AR171-AS171</f>
        <v>0</v>
      </c>
      <c r="AT233" s="23">
        <f t="shared" ref="AT233" si="1861">AS171-AT171</f>
        <v>87.25</v>
      </c>
      <c r="AU233" s="23">
        <f t="shared" ref="AU233" si="1862">AT171-AU171</f>
        <v>0</v>
      </c>
      <c r="AV233" s="23">
        <f t="shared" ref="AV233" si="1863">AU171-AV171</f>
        <v>0</v>
      </c>
      <c r="AW233" s="23">
        <f t="shared" ref="AW233" si="1864">AV171-AW171</f>
        <v>0</v>
      </c>
      <c r="AX233" s="23">
        <f t="shared" ref="AX233" si="1865">AW171-AX171</f>
        <v>-4.28</v>
      </c>
      <c r="AY233" s="23">
        <f t="shared" ref="AY233" si="1866">AX171-AY171</f>
        <v>0</v>
      </c>
      <c r="AZ233" s="23">
        <f t="shared" ref="AZ233" si="1867">AY171-AZ171</f>
        <v>4.22</v>
      </c>
      <c r="BA233" s="23">
        <f t="shared" ref="BA233" si="1868">AZ171-BA171</f>
        <v>0</v>
      </c>
      <c r="BB233" s="23">
        <f t="shared" ref="BB233" si="1869">BA171-BB171</f>
        <v>-25.01</v>
      </c>
      <c r="BC233" s="23">
        <f t="shared" ref="BC233" si="1870">BB171-BC171</f>
        <v>0</v>
      </c>
      <c r="BD233" s="23">
        <f t="shared" ref="BD233" si="1871">BC171-BD171</f>
        <v>25</v>
      </c>
      <c r="BE233" s="23">
        <f t="shared" ref="BE233" si="1872">BD171-BE171</f>
        <v>0</v>
      </c>
      <c r="BF233" s="23">
        <f t="shared" ref="BF233" si="1873">BE171-BF171</f>
        <v>0</v>
      </c>
      <c r="BG233" s="23">
        <f t="shared" ref="BG233" si="1874">BF171-BG171</f>
        <v>0</v>
      </c>
      <c r="BH233" s="23">
        <f t="shared" ref="BH233" si="1875">BG171-BH171</f>
        <v>0</v>
      </c>
      <c r="BI233" s="23">
        <f t="shared" ref="BI233" si="1876">BH171-BI171</f>
        <v>0</v>
      </c>
      <c r="BJ233" s="23">
        <f t="shared" ref="BJ233" si="1877">BI171-BJ171</f>
        <v>9.999999999999995E-3</v>
      </c>
      <c r="BK233" s="23">
        <f t="shared" ref="BK233" si="1878">BJ171-BK171</f>
        <v>0</v>
      </c>
      <c r="BL233" s="23">
        <f t="shared" ref="BL233" si="1879">BK171-BL171</f>
        <v>-4.05</v>
      </c>
      <c r="BM233" s="23">
        <f t="shared" ref="BM233" si="1880">BL171-BM171</f>
        <v>0</v>
      </c>
      <c r="BN233" s="23">
        <f t="shared" ref="BN233" si="1881">BM171-BN171</f>
        <v>0</v>
      </c>
      <c r="BO233" s="23">
        <f t="shared" ref="BO233" si="1882">BN171-BO171</f>
        <v>0</v>
      </c>
      <c r="BP233" s="23">
        <f t="shared" ref="BP233" si="1883">BO171-BP171</f>
        <v>0</v>
      </c>
      <c r="BQ233" s="23">
        <f t="shared" ref="BQ233" si="1884">BP171-BQ171</f>
        <v>0</v>
      </c>
      <c r="BR233" s="23">
        <f t="shared" ref="BR233" si="1885">BQ171-BR171</f>
        <v>0</v>
      </c>
      <c r="BS233" s="23">
        <f t="shared" ref="BS233" si="1886">BR171-BS171</f>
        <v>0</v>
      </c>
      <c r="BT233" s="23">
        <f t="shared" ref="BT233" si="1887">BS171-BT171</f>
        <v>0</v>
      </c>
      <c r="BU233" s="23">
        <f t="shared" ref="BU233" si="1888">BT171-BU171</f>
        <v>0</v>
      </c>
      <c r="BV233" s="23">
        <f t="shared" ref="BV233" si="1889">BU171-BV171</f>
        <v>0</v>
      </c>
      <c r="BW233" s="23">
        <f t="shared" ref="BW233" si="1890">BV171-BW171</f>
        <v>0</v>
      </c>
      <c r="BX233" s="23">
        <f t="shared" ref="BX233" si="1891">BW171-BX171</f>
        <v>0</v>
      </c>
      <c r="BY233" s="23">
        <f t="shared" ref="BY233" si="1892">BX171-BY171</f>
        <v>0</v>
      </c>
      <c r="BZ233" s="23">
        <f t="shared" ref="BZ233" si="1893">BY171-BZ171</f>
        <v>0</v>
      </c>
      <c r="CA233" s="23">
        <f t="shared" ref="CA233" si="1894">BZ171-CA171</f>
        <v>0</v>
      </c>
      <c r="CB233" s="23">
        <f t="shared" ref="CB233" si="1895">CA171-CB171</f>
        <v>-15.219999999999999</v>
      </c>
      <c r="CC233" s="23">
        <f t="shared" ref="CC233" si="1896">CB171-CC171</f>
        <v>0</v>
      </c>
      <c r="CD233" s="23">
        <f t="shared" ref="CD233" si="1897">CC171-CD171</f>
        <v>-101.74000000000001</v>
      </c>
      <c r="CE233" s="23">
        <f t="shared" ref="CE233" si="1898">CD171-CE171</f>
        <v>0</v>
      </c>
      <c r="CF233" s="23">
        <f t="shared" ref="CF233" si="1899">CE171-CF171</f>
        <v>-1.0099999999999909</v>
      </c>
      <c r="CG233" s="23">
        <f t="shared" ref="CG233" si="1900">CF171-CG171</f>
        <v>0</v>
      </c>
      <c r="CH233" s="23">
        <f t="shared" ref="CH233:CL233" si="1901">CG171-CH171</f>
        <v>-0.63000000000000966</v>
      </c>
      <c r="CI233" s="23">
        <f t="shared" si="1901"/>
        <v>0</v>
      </c>
      <c r="CJ233" s="23">
        <f t="shared" si="1901"/>
        <v>-1.7800000000000011</v>
      </c>
      <c r="CK233" s="23">
        <f t="shared" ref="CK233" si="1902">CJ171-CK171</f>
        <v>0</v>
      </c>
      <c r="CL233" s="23">
        <f t="shared" si="1901"/>
        <v>0.47000000000001307</v>
      </c>
      <c r="CM233" s="24">
        <f t="shared" ref="CM233" si="1903">CL171-CM171</f>
        <v>0</v>
      </c>
      <c r="CN233" s="24">
        <f t="shared" ref="CN233" si="1904">CM171-CN171</f>
        <v>0</v>
      </c>
      <c r="CO233" s="24">
        <f t="shared" ref="CO233" si="1905">CN171-CO171</f>
        <v>0</v>
      </c>
      <c r="CP233" s="24">
        <f t="shared" ref="CP233" si="1906">CO171-CP171</f>
        <v>0</v>
      </c>
      <c r="CQ233" s="24">
        <f t="shared" ref="CQ233" si="1907">CP171-CQ171</f>
        <v>0</v>
      </c>
      <c r="CR233" s="24">
        <f t="shared" ref="CR233" si="1908">CQ171-CR171</f>
        <v>0</v>
      </c>
      <c r="CS233" s="24">
        <f t="shared" ref="CS233" si="1909">CR171-CS171</f>
        <v>0</v>
      </c>
      <c r="CT233" s="24">
        <f t="shared" ref="CT233" si="1910">CS171-CT171</f>
        <v>0</v>
      </c>
      <c r="CU233" s="24">
        <f t="shared" ref="CU233" si="1911">CT171-CU171</f>
        <v>0</v>
      </c>
      <c r="CV233" s="24">
        <f t="shared" ref="CV233" si="1912">CU171-CV171</f>
        <v>0</v>
      </c>
      <c r="CW233" s="24">
        <f t="shared" ref="CW233" si="1913">CV171-CW171</f>
        <v>0</v>
      </c>
      <c r="CX233" s="24">
        <f t="shared" ref="CX233" si="1914">CW171-CX171</f>
        <v>0</v>
      </c>
      <c r="CY233" s="24">
        <f t="shared" ref="CY233" si="1915">CX171-CY171</f>
        <v>0</v>
      </c>
      <c r="CZ233" s="24">
        <f t="shared" ref="CZ233" si="1916">CY171-CZ171</f>
        <v>0</v>
      </c>
      <c r="DA233" s="24">
        <f t="shared" ref="DA233" si="1917">CZ171-DA171</f>
        <v>0</v>
      </c>
      <c r="DB233" s="24">
        <f t="shared" ref="DB233" si="1918">DA171-DB171</f>
        <v>0</v>
      </c>
      <c r="DE233" s="121"/>
      <c r="DF233" s="23">
        <v>0</v>
      </c>
    </row>
    <row r="234" spans="1:110" s="23" customFormat="1" x14ac:dyDescent="0.2">
      <c r="A234" s="23" t="s">
        <v>94</v>
      </c>
      <c r="C234" s="23">
        <f t="shared" ref="C234:AE234" si="1919">B169-C63-C169</f>
        <v>-160.83800000000008</v>
      </c>
      <c r="D234" s="23">
        <f t="shared" si="1919"/>
        <v>-11.515199999999936</v>
      </c>
      <c r="E234" s="23">
        <f t="shared" si="1919"/>
        <v>-82.812100000000214</v>
      </c>
      <c r="F234" s="23">
        <f t="shared" si="1919"/>
        <v>-312.48610000000008</v>
      </c>
      <c r="G234" s="23">
        <f t="shared" si="1919"/>
        <v>-332.43579999999997</v>
      </c>
      <c r="H234" s="23">
        <f t="shared" si="1919"/>
        <v>-142.12159999999972</v>
      </c>
      <c r="I234" s="23">
        <f t="shared" si="1919"/>
        <v>-170.05010000000016</v>
      </c>
      <c r="J234" s="23">
        <f t="shared" si="1919"/>
        <v>-719.12460000000033</v>
      </c>
      <c r="K234" s="23">
        <f t="shared" si="1919"/>
        <v>-361.94279999999935</v>
      </c>
      <c r="L234" s="23">
        <f t="shared" si="1919"/>
        <v>-242.88110000000052</v>
      </c>
      <c r="M234" s="23">
        <f t="shared" si="1919"/>
        <v>-530.29620000000023</v>
      </c>
      <c r="N234" s="23">
        <f t="shared" si="1919"/>
        <v>-618.62949999999955</v>
      </c>
      <c r="O234" s="23">
        <f t="shared" si="1919"/>
        <v>-982.4076</v>
      </c>
      <c r="P234" s="23">
        <f t="shared" si="1919"/>
        <v>-608.60760000000073</v>
      </c>
      <c r="Q234" s="23">
        <f t="shared" si="1919"/>
        <v>-478.4699999999998</v>
      </c>
      <c r="R234" s="23">
        <f t="shared" si="1919"/>
        <v>-716.97000000000071</v>
      </c>
      <c r="S234" s="23">
        <f t="shared" si="1919"/>
        <v>-1332.7099999999991</v>
      </c>
      <c r="T234" s="23">
        <f t="shared" si="1919"/>
        <v>-1040.7699999999995</v>
      </c>
      <c r="U234" s="23">
        <f t="shared" si="1919"/>
        <v>-1786.4900000000007</v>
      </c>
      <c r="V234" s="23">
        <f t="shared" si="1919"/>
        <v>-1291.420000000001</v>
      </c>
      <c r="W234" s="23">
        <f t="shared" si="1919"/>
        <v>-2014.9299999999967</v>
      </c>
      <c r="X234" s="23">
        <f t="shared" si="1919"/>
        <v>-2933.7400000000016</v>
      </c>
      <c r="Y234" s="23">
        <f t="shared" si="1919"/>
        <v>-2264.2300000000014</v>
      </c>
      <c r="Z234" s="23">
        <f t="shared" si="1919"/>
        <v>-1255.3600000000006</v>
      </c>
      <c r="AA234" s="23">
        <f t="shared" si="1919"/>
        <v>-2136.3199999999961</v>
      </c>
      <c r="AB234" s="24">
        <f t="shared" si="1919"/>
        <v>242.06999999999971</v>
      </c>
      <c r="AC234" s="24">
        <f t="shared" si="1919"/>
        <v>0</v>
      </c>
      <c r="AD234" s="24">
        <f t="shared" si="1919"/>
        <v>0</v>
      </c>
      <c r="AE234" s="24">
        <f t="shared" si="1919"/>
        <v>0</v>
      </c>
      <c r="AI234" s="23">
        <f t="shared" ref="AI234:BN234" si="1920">AH169-AI63-AI169</f>
        <v>-42.2</v>
      </c>
      <c r="AJ234" s="23">
        <f t="shared" si="1920"/>
        <v>-2436.11</v>
      </c>
      <c r="AK234" s="23">
        <f t="shared" si="1920"/>
        <v>-47.840000000000146</v>
      </c>
      <c r="AL234" s="23">
        <f t="shared" si="1920"/>
        <v>-563.33999999999969</v>
      </c>
      <c r="AM234" s="23">
        <f t="shared" si="1920"/>
        <v>-48.389999999999873</v>
      </c>
      <c r="AN234" s="23">
        <f t="shared" si="1920"/>
        <v>274.54000000000042</v>
      </c>
      <c r="AO234" s="23">
        <f t="shared" si="1920"/>
        <v>-47.889999999999873</v>
      </c>
      <c r="AP234" s="23">
        <f t="shared" si="1920"/>
        <v>-1126.3800000000001</v>
      </c>
      <c r="AQ234" s="23">
        <f t="shared" si="1920"/>
        <v>-57.820000000000164</v>
      </c>
      <c r="AR234" s="23">
        <f t="shared" si="1920"/>
        <v>684.65999999999985</v>
      </c>
      <c r="AS234" s="23">
        <f t="shared" si="1920"/>
        <v>-60.800000000000182</v>
      </c>
      <c r="AT234" s="23">
        <f t="shared" si="1920"/>
        <v>-1174.6499999999996</v>
      </c>
      <c r="AU234" s="23">
        <f t="shared" si="1920"/>
        <v>-72.460000000000036</v>
      </c>
      <c r="AV234" s="23">
        <f t="shared" si="1920"/>
        <v>-197.18000000000075</v>
      </c>
      <c r="AW234" s="23">
        <f t="shared" si="1920"/>
        <v>-71.429999999999836</v>
      </c>
      <c r="AX234" s="23">
        <f t="shared" si="1920"/>
        <v>-149.10999999999876</v>
      </c>
      <c r="AY234" s="23">
        <f t="shared" si="1920"/>
        <v>-69.590000000000146</v>
      </c>
      <c r="AZ234" s="23">
        <f t="shared" si="1920"/>
        <v>-302.30000000000109</v>
      </c>
      <c r="BA234" s="23">
        <f t="shared" si="1920"/>
        <v>-70.859999999999673</v>
      </c>
      <c r="BB234" s="23">
        <f t="shared" si="1920"/>
        <v>-274.22999999999956</v>
      </c>
      <c r="BC234" s="23">
        <f t="shared" si="1920"/>
        <v>-75.800000000000182</v>
      </c>
      <c r="BD234" s="23">
        <f t="shared" si="1920"/>
        <v>-549.68000000000029</v>
      </c>
      <c r="BE234" s="23">
        <f t="shared" si="1920"/>
        <v>-77.020000000000437</v>
      </c>
      <c r="BF234" s="23">
        <f t="shared" si="1920"/>
        <v>-630.21</v>
      </c>
      <c r="BG234" s="23">
        <f t="shared" si="1920"/>
        <v>-87.880000000000109</v>
      </c>
      <c r="BH234" s="23">
        <f t="shared" si="1920"/>
        <v>-430.15999999999985</v>
      </c>
      <c r="BI234" s="23">
        <f t="shared" si="1920"/>
        <v>-90.9399999999996</v>
      </c>
      <c r="BJ234" s="23">
        <f t="shared" si="1920"/>
        <v>-435.0600000000004</v>
      </c>
      <c r="BK234" s="23">
        <f t="shared" si="1920"/>
        <v>-92.460000000000036</v>
      </c>
      <c r="BL234" s="23">
        <f t="shared" si="1920"/>
        <v>-541.56999999999971</v>
      </c>
      <c r="BM234" s="23">
        <f t="shared" si="1920"/>
        <v>-101.85999999999967</v>
      </c>
      <c r="BN234" s="23">
        <f t="shared" si="1920"/>
        <v>-823.02000000000044</v>
      </c>
      <c r="BO234" s="23">
        <f t="shared" ref="BO234:CT234" si="1921">BN169-BO63-BO169</f>
        <v>-104.02000000000044</v>
      </c>
      <c r="BP234" s="23">
        <f t="shared" si="1921"/>
        <v>-323.86000000000058</v>
      </c>
      <c r="BQ234" s="23">
        <f t="shared" si="1921"/>
        <v>-116.5600000000004</v>
      </c>
      <c r="BR234" s="23">
        <f t="shared" si="1921"/>
        <v>-757.80000000000018</v>
      </c>
      <c r="BS234" s="23">
        <f t="shared" si="1921"/>
        <v>-122.95000000000073</v>
      </c>
      <c r="BT234" s="23">
        <f t="shared" si="1921"/>
        <v>-552.77000000000044</v>
      </c>
      <c r="BU234" s="23">
        <f t="shared" si="1921"/>
        <v>-132.38999999999942</v>
      </c>
      <c r="BV234" s="23">
        <f t="shared" si="1921"/>
        <v>-1168.2299999999996</v>
      </c>
      <c r="BW234" s="23">
        <f t="shared" si="1921"/>
        <v>-130.72999999999956</v>
      </c>
      <c r="BX234" s="23">
        <f t="shared" si="1921"/>
        <v>-1022.9899999999998</v>
      </c>
      <c r="BY234" s="23">
        <f t="shared" si="1921"/>
        <v>-150.64999999999964</v>
      </c>
      <c r="BZ234" s="23">
        <f t="shared" si="1921"/>
        <v>-1597.5100000000002</v>
      </c>
      <c r="CA234" s="23">
        <f t="shared" si="1921"/>
        <v>-156.61000000000058</v>
      </c>
      <c r="CB234" s="23">
        <f t="shared" si="1921"/>
        <v>-1246.2599999999984</v>
      </c>
      <c r="CC234" s="23">
        <f t="shared" si="1921"/>
        <v>-168.88999999999942</v>
      </c>
      <c r="CD234" s="23">
        <f t="shared" si="1921"/>
        <v>-703.03999999999905</v>
      </c>
      <c r="CE234" s="23">
        <f t="shared" si="1921"/>
        <v>-188.15999999999985</v>
      </c>
      <c r="CF234" s="23">
        <f t="shared" si="1921"/>
        <v>-463.54000000000087</v>
      </c>
      <c r="CG234" s="23">
        <f t="shared" si="1921"/>
        <v>-194.26000000000022</v>
      </c>
      <c r="CH234" s="23">
        <f t="shared" si="1921"/>
        <v>-686.04000000000087</v>
      </c>
      <c r="CI234" s="23">
        <f t="shared" si="1921"/>
        <v>0</v>
      </c>
      <c r="CJ234" s="23">
        <f t="shared" si="1921"/>
        <v>-811.89999999999964</v>
      </c>
      <c r="CK234" s="23">
        <f t="shared" si="1921"/>
        <v>0</v>
      </c>
      <c r="CL234" s="23">
        <f t="shared" si="1921"/>
        <v>-1082.3500000000004</v>
      </c>
      <c r="CM234" s="24">
        <f t="shared" si="1921"/>
        <v>0</v>
      </c>
      <c r="CN234" s="24">
        <f t="shared" si="1921"/>
        <v>0</v>
      </c>
      <c r="CO234" s="24">
        <f t="shared" si="1921"/>
        <v>0</v>
      </c>
      <c r="CP234" s="24">
        <f t="shared" si="1921"/>
        <v>0</v>
      </c>
      <c r="CQ234" s="24">
        <f t="shared" si="1921"/>
        <v>0</v>
      </c>
      <c r="CR234" s="24">
        <f t="shared" si="1921"/>
        <v>0</v>
      </c>
      <c r="CS234" s="24">
        <f t="shared" si="1921"/>
        <v>0</v>
      </c>
      <c r="CT234" s="24">
        <f t="shared" si="1921"/>
        <v>0</v>
      </c>
      <c r="CU234" s="24">
        <f t="shared" ref="CU234:DB234" si="1922">CT169-CU63-CU169</f>
        <v>0</v>
      </c>
      <c r="CV234" s="24">
        <f t="shared" si="1922"/>
        <v>0</v>
      </c>
      <c r="CW234" s="24">
        <f t="shared" si="1922"/>
        <v>0</v>
      </c>
      <c r="CX234" s="24">
        <f t="shared" si="1922"/>
        <v>0</v>
      </c>
      <c r="CY234" s="24">
        <f t="shared" si="1922"/>
        <v>0</v>
      </c>
      <c r="CZ234" s="24">
        <f t="shared" si="1922"/>
        <v>0</v>
      </c>
      <c r="DA234" s="24">
        <f t="shared" si="1922"/>
        <v>0</v>
      </c>
      <c r="DB234" s="24">
        <f t="shared" si="1922"/>
        <v>0</v>
      </c>
      <c r="DE234" s="121"/>
      <c r="DF234" s="23">
        <v>0</v>
      </c>
    </row>
    <row r="235" spans="1:110" s="23" customFormat="1" x14ac:dyDescent="0.2">
      <c r="AB235" s="24"/>
      <c r="AC235" s="24"/>
      <c r="AD235" s="24"/>
      <c r="AE235" s="24"/>
      <c r="CM235" s="24"/>
      <c r="CN235" s="24"/>
      <c r="CO235" s="24"/>
      <c r="CP235" s="24"/>
      <c r="CQ235" s="24"/>
      <c r="CR235" s="24"/>
      <c r="CS235" s="24"/>
      <c r="CT235" s="24"/>
      <c r="CU235" s="24"/>
      <c r="CV235" s="24"/>
      <c r="CW235" s="24"/>
      <c r="CX235" s="24"/>
      <c r="CY235" s="24"/>
      <c r="CZ235" s="24"/>
      <c r="DA235" s="24"/>
      <c r="DB235" s="24"/>
      <c r="DE235" s="121"/>
    </row>
    <row r="236" spans="1:110" s="22" customFormat="1" x14ac:dyDescent="0.2">
      <c r="A236" s="22" t="s">
        <v>95</v>
      </c>
      <c r="C236" s="22">
        <f t="shared" ref="C236:W236" si="1923">C237+C238</f>
        <v>-204.14709999999997</v>
      </c>
      <c r="D236" s="22">
        <f t="shared" si="1923"/>
        <v>-98.723000000000127</v>
      </c>
      <c r="E236" s="22">
        <f t="shared" si="1923"/>
        <v>-28.252299999999877</v>
      </c>
      <c r="F236" s="22">
        <f t="shared" si="1923"/>
        <v>186.24500000000006</v>
      </c>
      <c r="G236" s="22">
        <f t="shared" si="1923"/>
        <v>167.13000000000005</v>
      </c>
      <c r="H236" s="22">
        <f t="shared" si="1923"/>
        <v>-140.30549999999999</v>
      </c>
      <c r="I236" s="22">
        <f t="shared" si="1923"/>
        <v>-13.779000000000167</v>
      </c>
      <c r="J236" s="22">
        <f t="shared" si="1923"/>
        <v>444.6345</v>
      </c>
      <c r="K236" s="22">
        <f t="shared" si="1923"/>
        <v>-48.21569999999997</v>
      </c>
      <c r="L236" s="22">
        <f t="shared" si="1923"/>
        <v>-118.75409999999977</v>
      </c>
      <c r="M236" s="22">
        <f t="shared" si="1923"/>
        <v>30.027699999999925</v>
      </c>
      <c r="N236" s="22">
        <f t="shared" si="1923"/>
        <v>340.02410000000015</v>
      </c>
      <c r="O236" s="22">
        <f t="shared" si="1923"/>
        <v>406.58670000000006</v>
      </c>
      <c r="P236" s="22">
        <f t="shared" si="1923"/>
        <v>186.44329999999945</v>
      </c>
      <c r="Q236" s="22">
        <f t="shared" si="1923"/>
        <v>117.10999999999922</v>
      </c>
      <c r="R236" s="22">
        <f t="shared" si="1923"/>
        <v>-214.35000000000082</v>
      </c>
      <c r="S236" s="22">
        <f t="shared" si="1923"/>
        <v>665.79</v>
      </c>
      <c r="T236" s="22">
        <f t="shared" si="1923"/>
        <v>511.46000000000095</v>
      </c>
      <c r="U236" s="22">
        <f t="shared" si="1923"/>
        <v>101.5900000000006</v>
      </c>
      <c r="V236" s="22">
        <f t="shared" si="1923"/>
        <v>69.299999999998818</v>
      </c>
      <c r="W236" s="22">
        <f t="shared" si="1923"/>
        <v>-31.590000000000146</v>
      </c>
      <c r="X236" s="22">
        <f t="shared" ref="X236:Y236" si="1924">X237+X238</f>
        <v>414.0600000000004</v>
      </c>
      <c r="Y236" s="22">
        <f t="shared" si="1924"/>
        <v>382.43999999999869</v>
      </c>
      <c r="Z236" s="22">
        <f t="shared" ref="Z236:AA236" si="1925">Z237+Z238</f>
        <v>-382.59999999999854</v>
      </c>
      <c r="AA236" s="22">
        <f t="shared" si="1925"/>
        <v>-55.529999999998836</v>
      </c>
      <c r="AB236" s="21">
        <f t="shared" ref="AA236:AD236" si="1926">AB237+AB238</f>
        <v>-3.637978807091713E-12</v>
      </c>
      <c r="AC236" s="21">
        <f t="shared" si="1926"/>
        <v>0</v>
      </c>
      <c r="AD236" s="21">
        <f t="shared" si="1926"/>
        <v>0</v>
      </c>
      <c r="AE236" s="21">
        <f t="shared" ref="AE236" si="1927">AE237+AE238</f>
        <v>0</v>
      </c>
      <c r="AI236" s="22">
        <f t="shared" ref="AI236" si="1928">AI237+AI238</f>
        <v>-22.02000000000001</v>
      </c>
      <c r="AJ236" s="22">
        <f t="shared" ref="AJ236:AL236" si="1929">AJ237+AJ238</f>
        <v>2255.92</v>
      </c>
      <c r="AK236" s="22">
        <f t="shared" si="1929"/>
        <v>0</v>
      </c>
      <c r="AL236" s="22">
        <f t="shared" si="1929"/>
        <v>815.21</v>
      </c>
      <c r="AM236" s="22">
        <f t="shared" ref="AM236" si="1930">AM237+AM238</f>
        <v>0</v>
      </c>
      <c r="AN236" s="22">
        <f t="shared" ref="AN236:CD236" si="1931">AN237+AN238</f>
        <v>-234.06999999999994</v>
      </c>
      <c r="AO236" s="22">
        <f t="shared" si="1931"/>
        <v>0</v>
      </c>
      <c r="AP236" s="22">
        <f t="shared" si="1931"/>
        <v>809.08999999999969</v>
      </c>
      <c r="AQ236" s="22">
        <f t="shared" si="1931"/>
        <v>4.5474735088646412E-13</v>
      </c>
      <c r="AR236" s="22">
        <f t="shared" si="1931"/>
        <v>-634.25999999999976</v>
      </c>
      <c r="AS236" s="22">
        <f t="shared" si="1931"/>
        <v>0</v>
      </c>
      <c r="AT236" s="22">
        <f t="shared" si="1931"/>
        <v>553.0300000000002</v>
      </c>
      <c r="AU236" s="22">
        <f t="shared" si="1931"/>
        <v>0</v>
      </c>
      <c r="AV236" s="22">
        <f t="shared" si="1931"/>
        <v>-302.15999999999985</v>
      </c>
      <c r="AW236" s="22">
        <f t="shared" si="1931"/>
        <v>0</v>
      </c>
      <c r="AX236" s="22">
        <f t="shared" si="1931"/>
        <v>449.99999999999955</v>
      </c>
      <c r="AY236" s="22">
        <f t="shared" si="1931"/>
        <v>0</v>
      </c>
      <c r="AZ236" s="22">
        <f t="shared" si="1931"/>
        <v>-198.38000000000011</v>
      </c>
      <c r="BA236" s="22">
        <f t="shared" si="1931"/>
        <v>0</v>
      </c>
      <c r="BB236" s="22">
        <f t="shared" si="1931"/>
        <v>-49.230000000000473</v>
      </c>
      <c r="BC236" s="22">
        <f t="shared" si="1931"/>
        <v>0</v>
      </c>
      <c r="BD236" s="22">
        <f t="shared" si="1931"/>
        <v>768.19000000000051</v>
      </c>
      <c r="BE236" s="22">
        <f t="shared" si="1931"/>
        <v>0</v>
      </c>
      <c r="BF236" s="22">
        <f t="shared" si="1931"/>
        <v>-67.409999999999854</v>
      </c>
      <c r="BG236" s="22">
        <f t="shared" si="1931"/>
        <v>0</v>
      </c>
      <c r="BH236" s="22">
        <f t="shared" si="1931"/>
        <v>553.04999999999927</v>
      </c>
      <c r="BI236" s="22">
        <f t="shared" si="1931"/>
        <v>0</v>
      </c>
      <c r="BJ236" s="22">
        <f t="shared" si="1931"/>
        <v>-99.259999999998854</v>
      </c>
      <c r="BK236" s="22">
        <f t="shared" si="1931"/>
        <v>-9.0949470177292824E-13</v>
      </c>
      <c r="BL236" s="22">
        <f t="shared" si="1931"/>
        <v>-352.38000000000011</v>
      </c>
      <c r="BM236" s="22">
        <f t="shared" si="1931"/>
        <v>0</v>
      </c>
      <c r="BN236" s="22">
        <f t="shared" si="1931"/>
        <v>115.67999999999984</v>
      </c>
      <c r="BO236" s="22">
        <f t="shared" si="1931"/>
        <v>0</v>
      </c>
      <c r="BP236" s="22">
        <f t="shared" si="1931"/>
        <v>445.48</v>
      </c>
      <c r="BQ236" s="22">
        <f t="shared" si="1931"/>
        <v>9.0949470177292824E-13</v>
      </c>
      <c r="BR236" s="22">
        <f t="shared" si="1931"/>
        <v>403.56999999999971</v>
      </c>
      <c r="BS236" s="22">
        <f t="shared" si="1931"/>
        <v>0</v>
      </c>
      <c r="BT236" s="22">
        <f t="shared" si="1931"/>
        <v>-235.44000000000142</v>
      </c>
      <c r="BU236" s="22">
        <f t="shared" si="1931"/>
        <v>0</v>
      </c>
      <c r="BV236" s="22">
        <f t="shared" si="1931"/>
        <v>203.84999999999991</v>
      </c>
      <c r="BW236" s="22">
        <f t="shared" si="1931"/>
        <v>0</v>
      </c>
      <c r="BX236" s="22">
        <f t="shared" si="1931"/>
        <v>-253.60000000000036</v>
      </c>
      <c r="BY236" s="22">
        <f t="shared" si="1931"/>
        <v>0</v>
      </c>
      <c r="BZ236" s="22">
        <f t="shared" si="1931"/>
        <v>667.66000000000031</v>
      </c>
      <c r="CA236" s="22">
        <f t="shared" si="1931"/>
        <v>0</v>
      </c>
      <c r="CB236" s="22">
        <f t="shared" si="1931"/>
        <v>367.81000000000313</v>
      </c>
      <c r="CC236" s="22">
        <f t="shared" si="1931"/>
        <v>0</v>
      </c>
      <c r="CD236" s="22">
        <f t="shared" si="1931"/>
        <v>14.629999999997381</v>
      </c>
      <c r="CE236" s="22">
        <f t="shared" ref="CE236:CF236" si="1932">CE237+CE238</f>
        <v>0</v>
      </c>
      <c r="CF236" s="22">
        <f t="shared" si="1932"/>
        <v>293.57000000000153</v>
      </c>
      <c r="CG236" s="22">
        <f t="shared" ref="CG236:CH236" si="1933">CG237+CG238</f>
        <v>0</v>
      </c>
      <c r="CH236" s="22">
        <f t="shared" si="1933"/>
        <v>-676.17000000000189</v>
      </c>
      <c r="CI236" s="22">
        <f t="shared" ref="CI236:CJ236" si="1934">CI237+CI238</f>
        <v>0</v>
      </c>
      <c r="CJ236" s="22">
        <f t="shared" si="1934"/>
        <v>-297.3899999999976</v>
      </c>
      <c r="CK236" s="22">
        <f t="shared" ref="CK236:DB236" si="1935">CK237+CK238</f>
        <v>0</v>
      </c>
      <c r="CL236" s="22">
        <f t="shared" si="1935"/>
        <v>241.85999999999876</v>
      </c>
      <c r="CM236" s="21">
        <f t="shared" si="1935"/>
        <v>0</v>
      </c>
      <c r="CN236" s="21">
        <f t="shared" si="1935"/>
        <v>0</v>
      </c>
      <c r="CO236" s="21">
        <f t="shared" si="1935"/>
        <v>0</v>
      </c>
      <c r="CP236" s="21">
        <f t="shared" si="1935"/>
        <v>-3.637978807091713E-12</v>
      </c>
      <c r="CQ236" s="21">
        <f t="shared" si="1935"/>
        <v>0</v>
      </c>
      <c r="CR236" s="21">
        <f t="shared" si="1935"/>
        <v>0</v>
      </c>
      <c r="CS236" s="21">
        <f t="shared" si="1935"/>
        <v>0</v>
      </c>
      <c r="CT236" s="21">
        <f t="shared" si="1935"/>
        <v>0</v>
      </c>
      <c r="CU236" s="21">
        <f t="shared" si="1935"/>
        <v>0</v>
      </c>
      <c r="CV236" s="21">
        <f t="shared" si="1935"/>
        <v>0</v>
      </c>
      <c r="CW236" s="21">
        <f t="shared" si="1935"/>
        <v>0</v>
      </c>
      <c r="CX236" s="21">
        <f t="shared" si="1935"/>
        <v>0</v>
      </c>
      <c r="CY236" s="21">
        <f t="shared" si="1935"/>
        <v>0</v>
      </c>
      <c r="CZ236" s="21">
        <f t="shared" si="1935"/>
        <v>0</v>
      </c>
      <c r="DA236" s="21">
        <f t="shared" si="1935"/>
        <v>0</v>
      </c>
      <c r="DB236" s="21">
        <f t="shared" si="1935"/>
        <v>0</v>
      </c>
      <c r="DE236" s="123"/>
      <c r="DF236" s="22">
        <v>0</v>
      </c>
    </row>
    <row r="237" spans="1:110" s="23" customFormat="1" x14ac:dyDescent="0.2">
      <c r="A237" s="23" t="s">
        <v>49</v>
      </c>
      <c r="C237" s="23">
        <f t="shared" ref="C237:AA237" si="1936">C159-B159</f>
        <v>-18.233600000000024</v>
      </c>
      <c r="D237" s="23">
        <f t="shared" si="1936"/>
        <v>-87.990100000000041</v>
      </c>
      <c r="E237" s="23">
        <f>E159-D159</f>
        <v>-38.36609999999996</v>
      </c>
      <c r="F237" s="23">
        <f t="shared" si="1936"/>
        <v>198.41799999999995</v>
      </c>
      <c r="G237" s="23">
        <f t="shared" si="1936"/>
        <v>160.87590000000006</v>
      </c>
      <c r="H237" s="23">
        <f t="shared" si="1936"/>
        <v>-125.96210000000002</v>
      </c>
      <c r="I237" s="23">
        <f t="shared" si="1936"/>
        <v>28.009100000000046</v>
      </c>
      <c r="J237" s="23">
        <f>J159-I159</f>
        <v>536.86490000000003</v>
      </c>
      <c r="K237" s="23">
        <f>K159-J159</f>
        <v>-22.405500000000075</v>
      </c>
      <c r="L237" s="23">
        <f t="shared" si="1936"/>
        <v>-58.633500000000026</v>
      </c>
      <c r="M237" s="23">
        <f t="shared" si="1936"/>
        <v>255.28509999999994</v>
      </c>
      <c r="N237" s="23">
        <f t="shared" si="1936"/>
        <v>475.58539999999994</v>
      </c>
      <c r="O237" s="23">
        <f t="shared" si="1936"/>
        <v>471.31910000000016</v>
      </c>
      <c r="P237" s="23">
        <f t="shared" si="1936"/>
        <v>259.56669999999986</v>
      </c>
      <c r="Q237" s="23">
        <f t="shared" si="1936"/>
        <v>80.360000000000127</v>
      </c>
      <c r="R237" s="23">
        <f t="shared" si="1936"/>
        <v>-119.03999999999996</v>
      </c>
      <c r="S237" s="23">
        <f t="shared" si="1936"/>
        <v>745.63000000000011</v>
      </c>
      <c r="T237" s="23">
        <f t="shared" si="1936"/>
        <v>588.35000000000036</v>
      </c>
      <c r="U237" s="23">
        <f t="shared" si="1936"/>
        <v>316.62999999999965</v>
      </c>
      <c r="V237" s="23">
        <f t="shared" si="1936"/>
        <v>-655.86000000000013</v>
      </c>
      <c r="W237" s="23">
        <f t="shared" si="1936"/>
        <v>148.38999999999942</v>
      </c>
      <c r="X237" s="23">
        <f t="shared" si="1936"/>
        <v>814.71</v>
      </c>
      <c r="Y237" s="23">
        <f t="shared" si="1936"/>
        <v>566.18000000000029</v>
      </c>
      <c r="Z237" s="23">
        <f t="shared" si="1936"/>
        <v>-279</v>
      </c>
      <c r="AA237" s="23">
        <f t="shared" si="1936"/>
        <v>363.09000000000015</v>
      </c>
      <c r="AB237" s="24">
        <f t="shared" ref="AB237" si="1937">AB159-AA159</f>
        <v>0</v>
      </c>
      <c r="AC237" s="24">
        <f t="shared" ref="AC237" si="1938">AC159-AB159</f>
        <v>0</v>
      </c>
      <c r="AD237" s="24">
        <f t="shared" ref="AD237" si="1939">AD159-AC159</f>
        <v>0</v>
      </c>
      <c r="AE237" s="24">
        <f t="shared" ref="AE237" si="1940">AE159-AD159</f>
        <v>0</v>
      </c>
      <c r="AI237" s="23">
        <f t="shared" ref="AI237" si="1941">AI159-AH159</f>
        <v>0</v>
      </c>
      <c r="AJ237" s="23">
        <f t="shared" ref="AJ237" si="1942">AJ159-AI159</f>
        <v>386.16</v>
      </c>
      <c r="AK237" s="23">
        <f t="shared" ref="AK237" si="1943">AK159-AJ159</f>
        <v>0</v>
      </c>
      <c r="AL237" s="23">
        <f t="shared" ref="AL237" si="1944">AL159-AK159</f>
        <v>952.53</v>
      </c>
      <c r="AM237" s="23">
        <f t="shared" ref="AM237" si="1945">AM159-AL159</f>
        <v>0</v>
      </c>
      <c r="AN237" s="23">
        <f t="shared" ref="AN237" si="1946">AN159-AM159</f>
        <v>-278.63000000000011</v>
      </c>
      <c r="AO237" s="23">
        <f t="shared" ref="AO237" si="1947">AO159-AN159</f>
        <v>0</v>
      </c>
      <c r="AP237" s="23">
        <f t="shared" ref="AP237" si="1948">AP159-AO159</f>
        <v>972.46</v>
      </c>
      <c r="AQ237" s="23">
        <f t="shared" ref="AQ237" si="1949">AQ159-AP159</f>
        <v>0</v>
      </c>
      <c r="AR237" s="23">
        <f t="shared" ref="AR237" si="1950">AR159-AQ159</f>
        <v>-697.07999999999993</v>
      </c>
      <c r="AS237" s="23">
        <f t="shared" ref="AS237" si="1951">AS159-AR159</f>
        <v>0</v>
      </c>
      <c r="AT237" s="23">
        <f t="shared" ref="AT237" si="1952">AT159-AS159</f>
        <v>688.98</v>
      </c>
      <c r="AU237" s="23">
        <f t="shared" ref="AU237" si="1953">AU159-AT159</f>
        <v>0</v>
      </c>
      <c r="AV237" s="23">
        <f t="shared" ref="AV237" si="1954">AV159-AU159</f>
        <v>-260.73</v>
      </c>
      <c r="AW237" s="23">
        <f t="shared" ref="AW237" si="1955">AW159-AV159</f>
        <v>0</v>
      </c>
      <c r="AX237" s="23">
        <f t="shared" ref="AX237" si="1956">AX159-AW159</f>
        <v>366.03999999999996</v>
      </c>
      <c r="AY237" s="23">
        <f t="shared" ref="AY237" si="1957">AY159-AX159</f>
        <v>0</v>
      </c>
      <c r="AZ237" s="23">
        <f t="shared" ref="AZ237" si="1958">AZ159-AY159</f>
        <v>-33.550000000000182</v>
      </c>
      <c r="BA237" s="23">
        <f t="shared" ref="BA237" si="1959">BA159-AZ159</f>
        <v>0</v>
      </c>
      <c r="BB237" s="23">
        <f t="shared" ref="BB237" si="1960">BB159-BA159</f>
        <v>-118.75</v>
      </c>
      <c r="BC237" s="23">
        <f t="shared" ref="BC237" si="1961">BC159-BB159</f>
        <v>0</v>
      </c>
      <c r="BD237" s="23">
        <f t="shared" ref="BD237" si="1962">BD159-BC159</f>
        <v>811.62000000000035</v>
      </c>
      <c r="BE237" s="23">
        <f t="shared" ref="BE237" si="1963">BE159-BD159</f>
        <v>0</v>
      </c>
      <c r="BF237" s="23">
        <f t="shared" ref="BF237" si="1964">BF159-BE159</f>
        <v>-31.010000000000218</v>
      </c>
      <c r="BG237" s="23">
        <f t="shared" ref="BG237" si="1965">BG159-BF159</f>
        <v>0</v>
      </c>
      <c r="BH237" s="23">
        <f t="shared" ref="BH237" si="1966">BH159-BG159</f>
        <v>636.27999999999975</v>
      </c>
      <c r="BI237" s="23">
        <f t="shared" ref="BI237" si="1967">BI159-BH159</f>
        <v>0</v>
      </c>
      <c r="BJ237" s="23">
        <f t="shared" ref="BJ237" si="1968">BJ159-BI159</f>
        <v>-105.58999999999924</v>
      </c>
      <c r="BK237" s="23">
        <f t="shared" ref="BK237" si="1969">BK159-BJ159</f>
        <v>0</v>
      </c>
      <c r="BL237" s="23">
        <f t="shared" ref="BL237" si="1970">BL159-BK159</f>
        <v>-298.55000000000018</v>
      </c>
      <c r="BM237" s="23">
        <f t="shared" ref="BM237" si="1971">BM159-BL159</f>
        <v>0</v>
      </c>
      <c r="BN237" s="23">
        <f t="shared" ref="BN237" si="1972">BN159-BM159</f>
        <v>276.88999999999987</v>
      </c>
      <c r="BO237" s="23">
        <f t="shared" ref="BO237" si="1973">BO159-BN159</f>
        <v>0</v>
      </c>
      <c r="BP237" s="23">
        <f t="shared" ref="BP237" si="1974">BP159-BO159</f>
        <v>413.4699999999998</v>
      </c>
      <c r="BQ237" s="23">
        <f t="shared" ref="BQ237" si="1975">BQ159-BP159</f>
        <v>0</v>
      </c>
      <c r="BR237" s="23">
        <f t="shared" ref="BR237" si="1976">BR159-BQ159</f>
        <v>-289.57999999999993</v>
      </c>
      <c r="BS237" s="23">
        <f t="shared" ref="BS237" si="1977">BS159-BR159</f>
        <v>0</v>
      </c>
      <c r="BT237" s="23">
        <f t="shared" ref="BT237" si="1978">BT159-BS159</f>
        <v>-128.22000000000025</v>
      </c>
      <c r="BU237" s="23">
        <f t="shared" ref="BU237" si="1979">BU159-BT159</f>
        <v>0</v>
      </c>
      <c r="BV237" s="23">
        <f t="shared" ref="BV237" si="1980">BV159-BU159</f>
        <v>276.61000000000013</v>
      </c>
      <c r="BW237" s="23">
        <f t="shared" ref="BW237" si="1981">BW159-BV159</f>
        <v>0</v>
      </c>
      <c r="BX237" s="23">
        <f t="shared" ref="BX237" si="1982">BX159-BW159</f>
        <v>175.92000000000007</v>
      </c>
      <c r="BY237" s="23">
        <f t="shared" ref="BY237" si="1983">BY159-BX159</f>
        <v>0</v>
      </c>
      <c r="BZ237" s="23">
        <f t="shared" ref="BZ237" si="1984">BZ159-BY159</f>
        <v>638.78999999999951</v>
      </c>
      <c r="CA237" s="23">
        <f t="shared" ref="CA237" si="1985">CA159-BZ159</f>
        <v>0</v>
      </c>
      <c r="CB237" s="23">
        <f t="shared" ref="CB237" si="1986">CB159-CA159</f>
        <v>503.1200000000008</v>
      </c>
      <c r="CC237" s="23">
        <f t="shared" ref="CC237" si="1987">CC159-CB159</f>
        <v>0</v>
      </c>
      <c r="CD237" s="23">
        <f t="shared" ref="CD237" si="1988">CD159-CC159</f>
        <v>63.059999999999491</v>
      </c>
      <c r="CE237" s="23">
        <f t="shared" ref="CE237" si="1989">CE159-CD159</f>
        <v>0</v>
      </c>
      <c r="CF237" s="23">
        <f t="shared" ref="CF237" si="1990">CF159-CE159</f>
        <v>228.92000000000007</v>
      </c>
      <c r="CG237" s="23">
        <f t="shared" ref="CG237" si="1991">CG159-CF159</f>
        <v>0</v>
      </c>
      <c r="CH237" s="23">
        <f t="shared" ref="CH237:CL237" si="1992">CH159-CG159</f>
        <v>-507.92000000000007</v>
      </c>
      <c r="CI237" s="23">
        <f t="shared" si="1992"/>
        <v>0</v>
      </c>
      <c r="CJ237" s="23">
        <f t="shared" si="1992"/>
        <v>-114.30999999999949</v>
      </c>
      <c r="CK237" s="23">
        <f t="shared" ref="CK237" si="1993">CK159-CJ159</f>
        <v>0</v>
      </c>
      <c r="CL237" s="23">
        <f t="shared" si="1992"/>
        <v>477.39999999999964</v>
      </c>
      <c r="CM237" s="24">
        <f t="shared" ref="CM237" si="1994">CM159-CL159</f>
        <v>0</v>
      </c>
      <c r="CN237" s="24">
        <f t="shared" ref="CN237" si="1995">CN159-CM159</f>
        <v>0</v>
      </c>
      <c r="CO237" s="24">
        <f t="shared" ref="CO237" si="1996">CO159-CN159</f>
        <v>0</v>
      </c>
      <c r="CP237" s="24">
        <f t="shared" ref="CP237" si="1997">CP159-CO159</f>
        <v>0</v>
      </c>
      <c r="CQ237" s="24">
        <f t="shared" ref="CQ237" si="1998">CQ159-CP159</f>
        <v>0</v>
      </c>
      <c r="CR237" s="24">
        <f t="shared" ref="CR237" si="1999">CR159-CQ159</f>
        <v>0</v>
      </c>
      <c r="CS237" s="24">
        <f t="shared" ref="CS237" si="2000">CS159-CR159</f>
        <v>0</v>
      </c>
      <c r="CT237" s="24">
        <f t="shared" ref="CT237" si="2001">CT159-CS159</f>
        <v>0</v>
      </c>
      <c r="CU237" s="24">
        <f t="shared" ref="CU237" si="2002">CU159-CT159</f>
        <v>0</v>
      </c>
      <c r="CV237" s="24">
        <f t="shared" ref="CV237" si="2003">CV159-CU159</f>
        <v>0</v>
      </c>
      <c r="CW237" s="24">
        <f t="shared" ref="CW237" si="2004">CW159-CV159</f>
        <v>0</v>
      </c>
      <c r="CX237" s="24">
        <f t="shared" ref="CX237" si="2005">CX159-CW159</f>
        <v>0</v>
      </c>
      <c r="CY237" s="24">
        <f t="shared" ref="CY237" si="2006">CY159-CX159</f>
        <v>0</v>
      </c>
      <c r="CZ237" s="24">
        <f t="shared" ref="CZ237" si="2007">CZ159-CY159</f>
        <v>0</v>
      </c>
      <c r="DA237" s="24">
        <f t="shared" ref="DA237" si="2008">DA159-CZ159</f>
        <v>0</v>
      </c>
      <c r="DB237" s="24">
        <f t="shared" ref="DB237" si="2009">DB159-DA159</f>
        <v>0</v>
      </c>
      <c r="DE237" s="121"/>
      <c r="DF237" s="23">
        <v>0</v>
      </c>
    </row>
    <row r="238" spans="1:110" s="23" customFormat="1" x14ac:dyDescent="0.2">
      <c r="A238" s="23" t="s">
        <v>27</v>
      </c>
      <c r="C238" s="23">
        <f t="shared" ref="C238:AE238" si="2010">C151-C79-B151+C153-B153</f>
        <v>-185.91349999999994</v>
      </c>
      <c r="D238" s="23">
        <f t="shared" si="2010"/>
        <v>-10.732900000000086</v>
      </c>
      <c r="E238" s="23">
        <f t="shared" si="2010"/>
        <v>10.113800000000083</v>
      </c>
      <c r="F238" s="23">
        <f t="shared" si="2010"/>
        <v>-12.172999999999888</v>
      </c>
      <c r="G238" s="23">
        <f t="shared" si="2010"/>
        <v>6.254099999999994</v>
      </c>
      <c r="H238" s="23">
        <f t="shared" si="2010"/>
        <v>-14.343399999999974</v>
      </c>
      <c r="I238" s="23">
        <f t="shared" si="2010"/>
        <v>-41.788100000000213</v>
      </c>
      <c r="J238" s="23">
        <f t="shared" si="2010"/>
        <v>-92.230400000000031</v>
      </c>
      <c r="K238" s="23">
        <f t="shared" si="2010"/>
        <v>-25.810199999999895</v>
      </c>
      <c r="L238" s="23">
        <f t="shared" si="2010"/>
        <v>-60.12059999999974</v>
      </c>
      <c r="M238" s="23">
        <f t="shared" si="2010"/>
        <v>-225.25740000000002</v>
      </c>
      <c r="N238" s="23">
        <f t="shared" si="2010"/>
        <v>-135.56129999999979</v>
      </c>
      <c r="O238" s="23">
        <f t="shared" si="2010"/>
        <v>-64.732400000000098</v>
      </c>
      <c r="P238" s="23">
        <f t="shared" si="2010"/>
        <v>-73.123400000000402</v>
      </c>
      <c r="Q238" s="23">
        <f t="shared" si="2010"/>
        <v>36.749999999999091</v>
      </c>
      <c r="R238" s="23">
        <f t="shared" si="2010"/>
        <v>-95.310000000000855</v>
      </c>
      <c r="S238" s="23">
        <f t="shared" si="2010"/>
        <v>-79.840000000000146</v>
      </c>
      <c r="T238" s="23">
        <f t="shared" si="2010"/>
        <v>-76.889999999999418</v>
      </c>
      <c r="U238" s="23">
        <f t="shared" si="2010"/>
        <v>-215.03999999999905</v>
      </c>
      <c r="V238" s="23">
        <f t="shared" si="2010"/>
        <v>725.15999999999894</v>
      </c>
      <c r="W238" s="23">
        <f t="shared" si="2010"/>
        <v>-179.97999999999956</v>
      </c>
      <c r="X238" s="23">
        <f t="shared" si="2010"/>
        <v>-400.64999999999964</v>
      </c>
      <c r="Y238" s="23">
        <f t="shared" si="2010"/>
        <v>-183.7400000000016</v>
      </c>
      <c r="Z238" s="23">
        <f t="shared" si="2010"/>
        <v>-103.59999999999854</v>
      </c>
      <c r="AA238" s="23">
        <f t="shared" si="2010"/>
        <v>-418.61999999999898</v>
      </c>
      <c r="AB238" s="24">
        <f t="shared" si="2010"/>
        <v>-3.637978807091713E-12</v>
      </c>
      <c r="AC238" s="24">
        <f t="shared" si="2010"/>
        <v>0</v>
      </c>
      <c r="AD238" s="24">
        <f t="shared" si="2010"/>
        <v>0</v>
      </c>
      <c r="AE238" s="24">
        <f t="shared" si="2010"/>
        <v>0</v>
      </c>
      <c r="AI238" s="23">
        <f t="shared" ref="AI238:BN238" si="2011">AI151-AI79-AH151+AI153-AH153</f>
        <v>-22.02000000000001</v>
      </c>
      <c r="AJ238" s="23">
        <f t="shared" si="2011"/>
        <v>1869.76</v>
      </c>
      <c r="AK238" s="23">
        <f t="shared" si="2011"/>
        <v>0</v>
      </c>
      <c r="AL238" s="23">
        <f t="shared" si="2011"/>
        <v>-137.31999999999994</v>
      </c>
      <c r="AM238" s="23">
        <f t="shared" si="2011"/>
        <v>0</v>
      </c>
      <c r="AN238" s="23">
        <f t="shared" si="2011"/>
        <v>44.560000000000173</v>
      </c>
      <c r="AO238" s="23">
        <f t="shared" si="2011"/>
        <v>0</v>
      </c>
      <c r="AP238" s="23">
        <f t="shared" si="2011"/>
        <v>-163.37000000000035</v>
      </c>
      <c r="AQ238" s="23">
        <f t="shared" si="2011"/>
        <v>4.5474735088646412E-13</v>
      </c>
      <c r="AR238" s="23">
        <f t="shared" si="2011"/>
        <v>62.820000000000164</v>
      </c>
      <c r="AS238" s="23">
        <f t="shared" si="2011"/>
        <v>0</v>
      </c>
      <c r="AT238" s="23">
        <f t="shared" si="2011"/>
        <v>-135.94999999999982</v>
      </c>
      <c r="AU238" s="23">
        <f t="shared" si="2011"/>
        <v>0</v>
      </c>
      <c r="AV238" s="23">
        <f t="shared" si="2011"/>
        <v>-41.429999999999836</v>
      </c>
      <c r="AW238" s="23">
        <f t="shared" si="2011"/>
        <v>0</v>
      </c>
      <c r="AX238" s="23">
        <f t="shared" si="2011"/>
        <v>83.959999999999582</v>
      </c>
      <c r="AY238" s="23">
        <f t="shared" si="2011"/>
        <v>0</v>
      </c>
      <c r="AZ238" s="23">
        <f t="shared" si="2011"/>
        <v>-164.82999999999993</v>
      </c>
      <c r="BA238" s="23">
        <f t="shared" si="2011"/>
        <v>0</v>
      </c>
      <c r="BB238" s="23">
        <f t="shared" si="2011"/>
        <v>69.519999999999527</v>
      </c>
      <c r="BC238" s="23">
        <f t="shared" si="2011"/>
        <v>0</v>
      </c>
      <c r="BD238" s="23">
        <f t="shared" si="2011"/>
        <v>-43.429999999999836</v>
      </c>
      <c r="BE238" s="23">
        <f t="shared" si="2011"/>
        <v>0</v>
      </c>
      <c r="BF238" s="23">
        <f t="shared" si="2011"/>
        <v>-36.399999999999636</v>
      </c>
      <c r="BG238" s="23">
        <f t="shared" si="2011"/>
        <v>0</v>
      </c>
      <c r="BH238" s="23">
        <f t="shared" si="2011"/>
        <v>-83.230000000000473</v>
      </c>
      <c r="BI238" s="23">
        <f t="shared" si="2011"/>
        <v>0</v>
      </c>
      <c r="BJ238" s="23">
        <f t="shared" si="2011"/>
        <v>6.330000000000382</v>
      </c>
      <c r="BK238" s="23">
        <f t="shared" si="2011"/>
        <v>-9.0949470177292824E-13</v>
      </c>
      <c r="BL238" s="23">
        <f t="shared" si="2011"/>
        <v>-53.829999999999927</v>
      </c>
      <c r="BM238" s="23">
        <f t="shared" si="2011"/>
        <v>0</v>
      </c>
      <c r="BN238" s="23">
        <f t="shared" si="2011"/>
        <v>-161.21000000000004</v>
      </c>
      <c r="BO238" s="23">
        <f t="shared" ref="BO238:CT238" si="2012">BO151-BO79-BN151+BO153-BN153</f>
        <v>0</v>
      </c>
      <c r="BP238" s="23">
        <f t="shared" si="2012"/>
        <v>32.010000000000218</v>
      </c>
      <c r="BQ238" s="23">
        <f t="shared" si="2012"/>
        <v>9.0949470177292824E-13</v>
      </c>
      <c r="BR238" s="23">
        <f t="shared" si="2012"/>
        <v>693.14999999999964</v>
      </c>
      <c r="BS238" s="23">
        <f t="shared" si="2012"/>
        <v>0</v>
      </c>
      <c r="BT238" s="23">
        <f t="shared" si="2012"/>
        <v>-107.22000000000116</v>
      </c>
      <c r="BU238" s="23">
        <f t="shared" si="2012"/>
        <v>0</v>
      </c>
      <c r="BV238" s="23">
        <f t="shared" si="2012"/>
        <v>-72.760000000000218</v>
      </c>
      <c r="BW238" s="23">
        <f t="shared" si="2012"/>
        <v>0</v>
      </c>
      <c r="BX238" s="23">
        <f t="shared" si="2012"/>
        <v>-429.52000000000044</v>
      </c>
      <c r="BY238" s="23">
        <f t="shared" si="2012"/>
        <v>0</v>
      </c>
      <c r="BZ238" s="23">
        <f t="shared" si="2012"/>
        <v>28.8700000000008</v>
      </c>
      <c r="CA238" s="23">
        <f t="shared" si="2012"/>
        <v>0</v>
      </c>
      <c r="CB238" s="23">
        <f t="shared" si="2012"/>
        <v>-135.30999999999767</v>
      </c>
      <c r="CC238" s="23">
        <f t="shared" si="2012"/>
        <v>0</v>
      </c>
      <c r="CD238" s="23">
        <f t="shared" si="2012"/>
        <v>-48.43000000000211</v>
      </c>
      <c r="CE238" s="23">
        <f t="shared" si="2012"/>
        <v>0</v>
      </c>
      <c r="CF238" s="23">
        <f t="shared" si="2012"/>
        <v>64.650000000001455</v>
      </c>
      <c r="CG238" s="23">
        <f t="shared" si="2012"/>
        <v>0</v>
      </c>
      <c r="CH238" s="23">
        <f t="shared" si="2012"/>
        <v>-168.25000000000182</v>
      </c>
      <c r="CI238" s="23">
        <f t="shared" si="2012"/>
        <v>0</v>
      </c>
      <c r="CJ238" s="23">
        <f t="shared" si="2012"/>
        <v>-183.07999999999811</v>
      </c>
      <c r="CK238" s="23">
        <f t="shared" si="2012"/>
        <v>0</v>
      </c>
      <c r="CL238" s="23">
        <f t="shared" si="2012"/>
        <v>-235.54000000000087</v>
      </c>
      <c r="CM238" s="24">
        <f t="shared" si="2012"/>
        <v>0</v>
      </c>
      <c r="CN238" s="24">
        <f t="shared" si="2012"/>
        <v>0</v>
      </c>
      <c r="CO238" s="24">
        <f t="shared" si="2012"/>
        <v>0</v>
      </c>
      <c r="CP238" s="24">
        <f t="shared" si="2012"/>
        <v>-3.637978807091713E-12</v>
      </c>
      <c r="CQ238" s="24">
        <f t="shared" si="2012"/>
        <v>0</v>
      </c>
      <c r="CR238" s="24">
        <f t="shared" si="2012"/>
        <v>0</v>
      </c>
      <c r="CS238" s="24">
        <f t="shared" si="2012"/>
        <v>0</v>
      </c>
      <c r="CT238" s="24">
        <f t="shared" si="2012"/>
        <v>0</v>
      </c>
      <c r="CU238" s="24">
        <f t="shared" ref="CU238:DB238" si="2013">CU151-CU79-CT151+CU153-CT153</f>
        <v>0</v>
      </c>
      <c r="CV238" s="24">
        <f t="shared" si="2013"/>
        <v>0</v>
      </c>
      <c r="CW238" s="24">
        <f t="shared" si="2013"/>
        <v>0</v>
      </c>
      <c r="CX238" s="24">
        <f t="shared" si="2013"/>
        <v>0</v>
      </c>
      <c r="CY238" s="24">
        <f t="shared" si="2013"/>
        <v>0</v>
      </c>
      <c r="CZ238" s="24">
        <f t="shared" si="2013"/>
        <v>0</v>
      </c>
      <c r="DA238" s="24">
        <f t="shared" si="2013"/>
        <v>0</v>
      </c>
      <c r="DB238" s="24">
        <f t="shared" si="2013"/>
        <v>0</v>
      </c>
      <c r="DE238" s="121"/>
      <c r="DF238" s="23">
        <v>0</v>
      </c>
    </row>
    <row r="239" spans="1:110" s="23" customFormat="1" x14ac:dyDescent="0.2">
      <c r="AB239" s="24"/>
      <c r="AC239" s="24"/>
      <c r="AD239" s="24"/>
      <c r="AE239" s="24"/>
      <c r="CM239" s="24"/>
      <c r="CN239" s="24"/>
      <c r="CO239" s="24"/>
      <c r="CP239" s="24"/>
      <c r="CQ239" s="24"/>
      <c r="CR239" s="24"/>
      <c r="CS239" s="24"/>
      <c r="CT239" s="24"/>
      <c r="CU239" s="24"/>
      <c r="CV239" s="24"/>
      <c r="CW239" s="24"/>
      <c r="CX239" s="24"/>
      <c r="CY239" s="24"/>
      <c r="CZ239" s="24"/>
      <c r="DA239" s="24"/>
      <c r="DB239" s="24"/>
      <c r="DE239" s="121"/>
    </row>
    <row r="240" spans="1:110" s="23" customFormat="1" x14ac:dyDescent="0.2">
      <c r="A240" s="23" t="s">
        <v>442</v>
      </c>
      <c r="C240" s="23">
        <f t="shared" ref="C240" si="2014">B192</f>
        <v>25.048699999999997</v>
      </c>
      <c r="D240" s="23">
        <f t="shared" ref="D240" si="2015">C192</f>
        <v>23.366399999999999</v>
      </c>
      <c r="E240" s="23">
        <f>D192</f>
        <v>32.1736</v>
      </c>
      <c r="F240" s="23">
        <f t="shared" ref="F240" si="2016">E192</f>
        <v>55.816499999999998</v>
      </c>
      <c r="G240" s="23">
        <f t="shared" ref="G240" si="2017">F192</f>
        <v>10.8499</v>
      </c>
      <c r="H240" s="23">
        <f t="shared" ref="H240" si="2018">G192</f>
        <v>10.149800000000001</v>
      </c>
      <c r="I240" s="23">
        <f t="shared" ref="I240" si="2019">H192</f>
        <v>20.581799999999998</v>
      </c>
      <c r="J240" s="23">
        <f>I192</f>
        <v>69.715599999999995</v>
      </c>
      <c r="K240" s="23">
        <f>J192</f>
        <v>45.128799999999998</v>
      </c>
      <c r="L240" s="23">
        <f t="shared" ref="L240" si="2020">K192</f>
        <v>90.558500000000009</v>
      </c>
      <c r="M240" s="23">
        <f t="shared" ref="M240" si="2021">L192</f>
        <v>200.59800000000001</v>
      </c>
      <c r="N240" s="23">
        <f t="shared" ref="N240" si="2022">M192</f>
        <v>274.29070000000002</v>
      </c>
      <c r="O240" s="23">
        <f t="shared" ref="O240" si="2023">N192</f>
        <v>332.43790000000001</v>
      </c>
      <c r="P240" s="23">
        <f t="shared" ref="P240" si="2024">O192</f>
        <v>108.93889999999999</v>
      </c>
      <c r="Q240" s="23">
        <f t="shared" ref="Q240" si="2025">P192</f>
        <v>201.51999999999998</v>
      </c>
      <c r="R240" s="23">
        <f t="shared" ref="R240" si="2026">Q192</f>
        <v>549.83000000000004</v>
      </c>
      <c r="S240" s="23">
        <f t="shared" ref="S240" si="2027">R192</f>
        <v>266.88</v>
      </c>
      <c r="T240" s="23">
        <f t="shared" ref="T240" si="2028">S192</f>
        <v>218.44</v>
      </c>
      <c r="U240" s="23">
        <f t="shared" ref="U240" si="2029">T192</f>
        <v>299.37</v>
      </c>
      <c r="V240" s="23">
        <f t="shared" ref="V240" si="2030">U192</f>
        <v>323.97000000000003</v>
      </c>
      <c r="W240" s="23">
        <f t="shared" ref="W240:AA240" si="2031">V192</f>
        <v>694.52</v>
      </c>
      <c r="X240" s="23">
        <f t="shared" si="2031"/>
        <v>776.09</v>
      </c>
      <c r="Y240" s="23">
        <f t="shared" si="2031"/>
        <v>1106.51</v>
      </c>
      <c r="Z240" s="23">
        <f t="shared" si="2031"/>
        <v>813.12</v>
      </c>
      <c r="AA240" s="23">
        <f t="shared" si="2031"/>
        <v>1058.28</v>
      </c>
      <c r="AB240" s="24">
        <f t="shared" ref="AB240" si="2032">AA192</f>
        <v>1174.26</v>
      </c>
      <c r="AC240" s="24">
        <f t="shared" ref="AC240" si="2033">AB192</f>
        <v>3877.9412311068891</v>
      </c>
      <c r="AD240" s="24">
        <f t="shared" ref="AD240" si="2034">AC192</f>
        <v>7246.7527264045721</v>
      </c>
      <c r="AE240" s="24">
        <f t="shared" ref="AE240" si="2035">AD192</f>
        <v>11231.097720628024</v>
      </c>
      <c r="AI240" s="23">
        <f t="shared" ref="AI240" si="2036">AH192</f>
        <v>0</v>
      </c>
      <c r="AJ240" s="23">
        <f t="shared" ref="AJ240" si="2037">AI192</f>
        <v>0</v>
      </c>
      <c r="AK240" s="23">
        <f t="shared" ref="AK240" si="2038">AJ192</f>
        <v>141.15</v>
      </c>
      <c r="AL240" s="23">
        <f t="shared" ref="AL240" si="2039">AK192</f>
        <v>155.39118670216698</v>
      </c>
      <c r="AM240" s="23">
        <f t="shared" ref="AM240" si="2040">AL192</f>
        <v>332.42</v>
      </c>
      <c r="AN240" s="23">
        <f t="shared" ref="AN240" si="2041">AM192</f>
        <v>382.74100507241963</v>
      </c>
      <c r="AO240" s="23">
        <f t="shared" ref="AO240" si="2042">AN192</f>
        <v>250.33999999999997</v>
      </c>
      <c r="AP240" s="23">
        <f t="shared" ref="AP240" si="2043">AO192</f>
        <v>311.83335648011018</v>
      </c>
      <c r="AQ240" s="23">
        <f t="shared" ref="AQ240" si="2044">AP192</f>
        <v>108.94</v>
      </c>
      <c r="AR240" s="23">
        <f t="shared" ref="AR240" si="2045">AQ192</f>
        <v>4.5765137914706031</v>
      </c>
      <c r="AS240" s="23">
        <f t="shared" ref="AS240" si="2046">AR192</f>
        <v>327.52</v>
      </c>
      <c r="AT240" s="23">
        <f t="shared" ref="AT240" si="2047">AS192</f>
        <v>449.60219290944627</v>
      </c>
      <c r="AU240" s="23">
        <f t="shared" ref="AU240" si="2048">AT192</f>
        <v>201.51999999999998</v>
      </c>
      <c r="AV240" s="23">
        <f t="shared" ref="AV240" si="2049">AU192</f>
        <v>212.30190796774394</v>
      </c>
      <c r="AW240" s="23">
        <f t="shared" ref="AW240" si="2050">AV192</f>
        <v>326.13</v>
      </c>
      <c r="AX240" s="23">
        <f t="shared" ref="AX240" si="2051">AW192</f>
        <v>505.91622287007499</v>
      </c>
      <c r="AY240" s="23">
        <f t="shared" ref="AY240" si="2052">AX192</f>
        <v>549.83000000000004</v>
      </c>
      <c r="AZ240" s="23">
        <f t="shared" ref="AZ240" si="2053">AY192</f>
        <v>690.11341626244393</v>
      </c>
      <c r="BA240" s="23">
        <f t="shared" ref="BA240" si="2054">AZ192</f>
        <v>325.74</v>
      </c>
      <c r="BB240" s="23">
        <f t="shared" ref="BB240" si="2055">BA192</f>
        <v>486.09627440654975</v>
      </c>
      <c r="BC240" s="23">
        <f t="shared" ref="BC240" si="2056">BB192</f>
        <v>266.88</v>
      </c>
      <c r="BD240" s="23">
        <f t="shared" ref="BD240" si="2057">BC192</f>
        <v>430.34926604727337</v>
      </c>
      <c r="BE240" s="23">
        <f t="shared" ref="BE240" si="2058">BD192</f>
        <v>214.4</v>
      </c>
      <c r="BF240" s="23">
        <f t="shared" ref="BF240" si="2059">BE192</f>
        <v>275.03310137356789</v>
      </c>
      <c r="BG240" s="23">
        <f t="shared" ref="BG240" si="2060">BF192</f>
        <v>218.44</v>
      </c>
      <c r="BH240" s="23">
        <f t="shared" ref="BH240" si="2061">BG192</f>
        <v>333.98798687564721</v>
      </c>
      <c r="BI240" s="23">
        <f t="shared" ref="BI240" si="2062">BH192</f>
        <v>200.74</v>
      </c>
      <c r="BJ240" s="23">
        <f t="shared" ref="BJ240" si="2063">BI192</f>
        <v>332.71250491467032</v>
      </c>
      <c r="BK240" s="23">
        <f t="shared" ref="BK240" si="2064">BJ192</f>
        <v>299.37</v>
      </c>
      <c r="BL240" s="23">
        <f t="shared" ref="BL240" si="2065">BK192</f>
        <v>566.69520431395347</v>
      </c>
      <c r="BM240" s="23">
        <f t="shared" ref="BM240" si="2066">BL192</f>
        <v>290.04000000000002</v>
      </c>
      <c r="BN240" s="23">
        <f t="shared" ref="BN240" si="2067">BM192</f>
        <v>572.23524295085804</v>
      </c>
      <c r="BO240" s="23">
        <f t="shared" ref="BO240" si="2068">BN192</f>
        <v>323.97000000000003</v>
      </c>
      <c r="BP240" s="23">
        <f t="shared" ref="BP240" si="2069">BO192</f>
        <v>670.89840270638319</v>
      </c>
      <c r="BQ240" s="23">
        <f t="shared" ref="BQ240" si="2070">BP192</f>
        <v>588.64</v>
      </c>
      <c r="BR240" s="23">
        <f t="shared" ref="BR240" si="2071">BQ192</f>
        <v>888.1533899934791</v>
      </c>
      <c r="BS240" s="23">
        <f t="shared" ref="BS240" si="2072">BR192</f>
        <v>694.52</v>
      </c>
      <c r="BT240" s="23">
        <f t="shared" ref="BT240" si="2073">BS192</f>
        <v>1049.154713055816</v>
      </c>
      <c r="BU240" s="23">
        <f t="shared" ref="BU240" si="2074">BT192</f>
        <v>747.03</v>
      </c>
      <c r="BV240" s="23">
        <f t="shared" ref="BV240" si="2075">BU192</f>
        <v>998.69415664836276</v>
      </c>
      <c r="BW240" s="23">
        <f t="shared" ref="BW240" si="2076">BV192</f>
        <v>776.09</v>
      </c>
      <c r="BX240" s="23">
        <f t="shared" ref="BX240" si="2077">BW192</f>
        <v>1218.4710354649496</v>
      </c>
      <c r="BY240" s="23">
        <f t="shared" ref="BY240" si="2078">BX192</f>
        <v>688.44</v>
      </c>
      <c r="BZ240" s="23">
        <f t="shared" ref="BZ240" si="2079">BY192</f>
        <v>1345.563234311039</v>
      </c>
      <c r="CA240" s="23">
        <f t="shared" ref="CA240" si="2080">BZ192</f>
        <v>1106.51</v>
      </c>
      <c r="CB240" s="23">
        <f t="shared" ref="CB240" si="2081">CA192</f>
        <v>1690.1104112395415</v>
      </c>
      <c r="CC240" s="23">
        <f t="shared" ref="CC240" si="2082">CB192</f>
        <v>950.46</v>
      </c>
      <c r="CD240" s="23">
        <f t="shared" ref="CD240" si="2083">CC192</f>
        <v>1291.5360759876125</v>
      </c>
      <c r="CE240" s="23">
        <f t="shared" ref="CE240" si="2084">CD192</f>
        <v>813.12</v>
      </c>
      <c r="CF240" s="23">
        <f t="shared" ref="CF240" si="2085">CE192</f>
        <v>1136.6359979718413</v>
      </c>
      <c r="CG240" s="23">
        <f t="shared" ref="CG240" si="2086">CF192</f>
        <v>611.31999999999994</v>
      </c>
      <c r="CH240" s="23">
        <f t="shared" ref="CH240:CL240" si="2087">CG192</f>
        <v>859.80829039511673</v>
      </c>
      <c r="CI240" s="23">
        <f t="shared" si="2087"/>
        <v>1058.28</v>
      </c>
      <c r="CJ240" s="23">
        <f t="shared" si="2087"/>
        <v>1989.1977060931899</v>
      </c>
      <c r="CK240" s="23">
        <f t="shared" ref="CK240" si="2088">CJ192</f>
        <v>634.67000000000007</v>
      </c>
      <c r="CL240" s="23">
        <f t="shared" si="2087"/>
        <v>1256.7608053975209</v>
      </c>
      <c r="CM240" s="24">
        <f t="shared" ref="CM240" si="2089">CL192</f>
        <v>1174.26</v>
      </c>
      <c r="CN240" s="24">
        <f t="shared" ref="CN240" si="2090">CM192</f>
        <v>2152.2498644974817</v>
      </c>
      <c r="CO240" s="24">
        <f t="shared" ref="CO240" si="2091">CN192</f>
        <v>3035.820439581048</v>
      </c>
      <c r="CP240" s="24">
        <f t="shared" ref="CP240" si="2092">CO192</f>
        <v>3702.5756662050999</v>
      </c>
      <c r="CQ240" s="24">
        <f t="shared" ref="CQ240" si="2093">CP192</f>
        <v>3877.9412311068891</v>
      </c>
      <c r="CR240" s="24">
        <f t="shared" ref="CR240" si="2094">CQ192</f>
        <v>5148.882667068141</v>
      </c>
      <c r="CS240" s="24">
        <f t="shared" ref="CS240" si="2095">CR192</f>
        <v>6200.581420069343</v>
      </c>
      <c r="CT240" s="24">
        <f t="shared" ref="CT240" si="2096">CS192</f>
        <v>6987.5211911177976</v>
      </c>
      <c r="CU240" s="24">
        <f t="shared" ref="CU240" si="2097">CT192</f>
        <v>7246.7527264045721</v>
      </c>
      <c r="CV240" s="24">
        <f t="shared" ref="CV240" si="2098">CU192</f>
        <v>8757.3631660284427</v>
      </c>
      <c r="CW240" s="24">
        <f t="shared" ref="CW240" si="2099">CV192</f>
        <v>9986.659363642837</v>
      </c>
      <c r="CX240" s="24">
        <f t="shared" ref="CX240" si="2100">CW192</f>
        <v>10911.032063949851</v>
      </c>
      <c r="CY240" s="24">
        <f t="shared" ref="CY240" si="2101">CX192</f>
        <v>11231.097720628024</v>
      </c>
      <c r="CZ240" s="24">
        <f t="shared" ref="CZ240" si="2102">CY192</f>
        <v>13007.590102736325</v>
      </c>
      <c r="DA240" s="24">
        <f t="shared" ref="DA240" si="2103">CZ192</f>
        <v>14452.273984869578</v>
      </c>
      <c r="DB240" s="24">
        <f t="shared" ref="DB240" si="2104">DA192</f>
        <v>15543.766298083674</v>
      </c>
      <c r="DE240" s="121"/>
      <c r="DF240" s="23">
        <v>0</v>
      </c>
    </row>
    <row r="241" spans="1:110" s="23" customFormat="1" x14ac:dyDescent="0.2">
      <c r="A241" s="23" t="s">
        <v>443</v>
      </c>
      <c r="C241" s="23">
        <f t="shared" ref="C241:W241" si="2105">C240+C236+C232+C230</f>
        <v>23.366399999999942</v>
      </c>
      <c r="D241" s="23">
        <f t="shared" si="2105"/>
        <v>32.173599999999936</v>
      </c>
      <c r="E241" s="23">
        <f t="shared" si="2105"/>
        <v>55.816499999999849</v>
      </c>
      <c r="F241" s="23">
        <f t="shared" si="2105"/>
        <v>10.849899999999977</v>
      </c>
      <c r="G241" s="23">
        <f t="shared" si="2105"/>
        <v>10.149800000000027</v>
      </c>
      <c r="H241" s="23">
        <f t="shared" si="2105"/>
        <v>20.581800000000271</v>
      </c>
      <c r="I241" s="23">
        <f t="shared" si="2105"/>
        <v>69.715599999999824</v>
      </c>
      <c r="J241" s="23">
        <f>J240+J236+J232+J230</f>
        <v>45.128799999999814</v>
      </c>
      <c r="K241" s="23">
        <f>K240+K236+K232+K230</f>
        <v>90.558500000000606</v>
      </c>
      <c r="L241" s="23">
        <f>L240+L236+L232+L230</f>
        <v>200.59799999999933</v>
      </c>
      <c r="M241" s="23">
        <f>M240+M236+M232+M230</f>
        <v>274.29069999999979</v>
      </c>
      <c r="N241" s="23">
        <f t="shared" si="2105"/>
        <v>332.43790000000047</v>
      </c>
      <c r="O241" s="23">
        <f t="shared" si="2105"/>
        <v>108.93889999999971</v>
      </c>
      <c r="P241" s="23">
        <f t="shared" si="2105"/>
        <v>201.51999999999987</v>
      </c>
      <c r="Q241" s="23">
        <f t="shared" si="2105"/>
        <v>549.82999999999959</v>
      </c>
      <c r="R241" s="23">
        <f t="shared" si="2105"/>
        <v>266.87999999999931</v>
      </c>
      <c r="S241" s="23">
        <f t="shared" si="2105"/>
        <v>218.44000000000176</v>
      </c>
      <c r="T241" s="23">
        <f t="shared" si="2105"/>
        <v>299.37000000000103</v>
      </c>
      <c r="U241" s="23">
        <f t="shared" si="2105"/>
        <v>323.96999999999912</v>
      </c>
      <c r="V241" s="23">
        <f t="shared" si="2105"/>
        <v>694.51999999999884</v>
      </c>
      <c r="W241" s="23">
        <f t="shared" si="2105"/>
        <v>776.09000000000287</v>
      </c>
      <c r="X241" s="23">
        <f t="shared" ref="X241:Y241" si="2106">X240+X236+X232+X230</f>
        <v>1106.5099999999989</v>
      </c>
      <c r="Y241" s="23">
        <f t="shared" si="2106"/>
        <v>813.11999999999739</v>
      </c>
      <c r="Z241" s="23">
        <f t="shared" ref="Z241:AA241" si="2107">Z240+Z236+Z232+Z230</f>
        <v>1058.2799999999988</v>
      </c>
      <c r="AA241" s="23">
        <f t="shared" si="2107"/>
        <v>1174.2600000000064</v>
      </c>
      <c r="AB241" s="24">
        <f t="shared" ref="AA241:AD241" si="2108">AB240+AB236+AB232+AB230</f>
        <v>3877.9412311068882</v>
      </c>
      <c r="AC241" s="24">
        <f t="shared" si="2108"/>
        <v>7246.7527264045739</v>
      </c>
      <c r="AD241" s="24">
        <f t="shared" si="2108"/>
        <v>11231.097720628022</v>
      </c>
      <c r="AE241" s="24">
        <f t="shared" ref="AE241" si="2109">AE240+AE236+AE232+AE230</f>
        <v>15932.209552797087</v>
      </c>
      <c r="AI241" s="23">
        <f t="shared" ref="AI241" si="2110">AI240+AI236+AI232+AI230</f>
        <v>0</v>
      </c>
      <c r="AJ241" s="23">
        <f t="shared" ref="AJ241:AL241" si="2111">AJ240+AJ236+AJ232+AJ230</f>
        <v>141.14999999999981</v>
      </c>
      <c r="AK241" s="23">
        <f t="shared" si="2111"/>
        <v>155.39118670216698</v>
      </c>
      <c r="AL241" s="23">
        <f t="shared" si="2111"/>
        <v>332.41999999999996</v>
      </c>
      <c r="AM241" s="23">
        <f t="shared" ref="AM241" si="2112">AM240+AM236+AM232+AM230</f>
        <v>382.74100507241963</v>
      </c>
      <c r="AN241" s="23">
        <f t="shared" ref="AN241:CD241" si="2113">AN240+AN236+AN232+AN230</f>
        <v>250.34000000000103</v>
      </c>
      <c r="AO241" s="23">
        <f t="shared" si="2113"/>
        <v>311.83335648011018</v>
      </c>
      <c r="AP241" s="23">
        <f t="shared" si="2113"/>
        <v>108.93999999999977</v>
      </c>
      <c r="AQ241" s="23">
        <f t="shared" si="2113"/>
        <v>4.5765137914706031</v>
      </c>
      <c r="AR241" s="23">
        <f t="shared" si="2113"/>
        <v>327.52000000000044</v>
      </c>
      <c r="AS241" s="23">
        <f t="shared" si="2113"/>
        <v>449.60219290944627</v>
      </c>
      <c r="AT241" s="23">
        <f t="shared" si="2113"/>
        <v>201.52000000000021</v>
      </c>
      <c r="AU241" s="23">
        <f t="shared" si="2113"/>
        <v>212.30190796774394</v>
      </c>
      <c r="AV241" s="23">
        <f t="shared" si="2113"/>
        <v>326.12999999999892</v>
      </c>
      <c r="AW241" s="23">
        <f t="shared" si="2113"/>
        <v>505.91622287007499</v>
      </c>
      <c r="AX241" s="23">
        <f t="shared" si="2113"/>
        <v>549.82000000000153</v>
      </c>
      <c r="AY241" s="23">
        <f t="shared" si="2113"/>
        <v>690.11341626244393</v>
      </c>
      <c r="AZ241" s="23">
        <f t="shared" si="2113"/>
        <v>325.74999999999898</v>
      </c>
      <c r="BA241" s="23">
        <f t="shared" si="2113"/>
        <v>486.09627440654975</v>
      </c>
      <c r="BB241" s="23">
        <f t="shared" si="2113"/>
        <v>266.88000000000028</v>
      </c>
      <c r="BC241" s="23">
        <f t="shared" si="2113"/>
        <v>430.34926604727337</v>
      </c>
      <c r="BD241" s="23">
        <f t="shared" si="2113"/>
        <v>214.39999999999964</v>
      </c>
      <c r="BE241" s="23">
        <f t="shared" si="2113"/>
        <v>275.03310137356789</v>
      </c>
      <c r="BF241" s="23">
        <f t="shared" si="2113"/>
        <v>218.44000000000005</v>
      </c>
      <c r="BG241" s="23">
        <f t="shared" si="2113"/>
        <v>333.98798687564721</v>
      </c>
      <c r="BH241" s="23">
        <f t="shared" si="2113"/>
        <v>200.7399999999991</v>
      </c>
      <c r="BI241" s="23">
        <f t="shared" si="2113"/>
        <v>332.71250491467032</v>
      </c>
      <c r="BJ241" s="23">
        <f t="shared" si="2113"/>
        <v>299.37000000000143</v>
      </c>
      <c r="BK241" s="23">
        <f t="shared" si="2113"/>
        <v>566.69520431395347</v>
      </c>
      <c r="BL241" s="23">
        <f t="shared" si="2113"/>
        <v>290.03999999999894</v>
      </c>
      <c r="BM241" s="23">
        <f t="shared" si="2113"/>
        <v>572.23524295085804</v>
      </c>
      <c r="BN241" s="23">
        <f t="shared" si="2113"/>
        <v>323.96999999999957</v>
      </c>
      <c r="BO241" s="23">
        <f t="shared" si="2113"/>
        <v>670.89840270638319</v>
      </c>
      <c r="BP241" s="23">
        <f t="shared" si="2113"/>
        <v>588.63999999999874</v>
      </c>
      <c r="BQ241" s="23">
        <f t="shared" si="2113"/>
        <v>888.1533899934791</v>
      </c>
      <c r="BR241" s="23">
        <f t="shared" si="2113"/>
        <v>694.52000000000066</v>
      </c>
      <c r="BS241" s="23">
        <f t="shared" si="2113"/>
        <v>1049.154713055816</v>
      </c>
      <c r="BT241" s="23">
        <f t="shared" si="2113"/>
        <v>747.02999999999815</v>
      </c>
      <c r="BU241" s="23">
        <f t="shared" si="2113"/>
        <v>998.69415664836276</v>
      </c>
      <c r="BV241" s="23">
        <f t="shared" si="2113"/>
        <v>776.09000000000037</v>
      </c>
      <c r="BW241" s="23">
        <f t="shared" si="2113"/>
        <v>1218.4710354649496</v>
      </c>
      <c r="BX241" s="23">
        <f t="shared" si="2113"/>
        <v>688.44000000000017</v>
      </c>
      <c r="BY241" s="23">
        <f t="shared" si="2113"/>
        <v>1345.563234311039</v>
      </c>
      <c r="BZ241" s="23">
        <f t="shared" si="2113"/>
        <v>1106.5100000000014</v>
      </c>
      <c r="CA241" s="23">
        <f t="shared" si="2113"/>
        <v>1690.1104112395415</v>
      </c>
      <c r="CB241" s="23">
        <f t="shared" si="2113"/>
        <v>950.46000000000276</v>
      </c>
      <c r="CC241" s="23">
        <f t="shared" si="2113"/>
        <v>1291.5360759876125</v>
      </c>
      <c r="CD241" s="23">
        <f t="shared" si="2113"/>
        <v>813.11999999999978</v>
      </c>
      <c r="CE241" s="23">
        <f t="shared" ref="CE241:CF241" si="2114">CE240+CE236+CE232+CE230</f>
        <v>1136.6359979718413</v>
      </c>
      <c r="CF241" s="23">
        <f t="shared" si="2114"/>
        <v>611.32000000000085</v>
      </c>
      <c r="CG241" s="23">
        <f t="shared" ref="CG241:CH241" si="2115">CG240+CG236+CG232+CG230</f>
        <v>859.80829039511673</v>
      </c>
      <c r="CH241" s="23">
        <f t="shared" si="2115"/>
        <v>1058.2799999999975</v>
      </c>
      <c r="CI241" s="23">
        <f t="shared" ref="CI241:CJ241" si="2116">CI240+CI236+CI232+CI230</f>
        <v>1989.1977060931899</v>
      </c>
      <c r="CJ241" s="23">
        <f t="shared" si="2116"/>
        <v>634.67000000000212</v>
      </c>
      <c r="CK241" s="23">
        <f t="shared" ref="CK241:DB241" si="2117">CK240+CK236+CK232+CK230</f>
        <v>1256.7608053975209</v>
      </c>
      <c r="CL241" s="23">
        <f t="shared" si="2117"/>
        <v>1174.2599999999986</v>
      </c>
      <c r="CM241" s="24">
        <f t="shared" si="2117"/>
        <v>2152.2498644974817</v>
      </c>
      <c r="CN241" s="24">
        <f t="shared" si="2117"/>
        <v>3035.820439581048</v>
      </c>
      <c r="CO241" s="24">
        <f t="shared" si="2117"/>
        <v>3702.5756662050999</v>
      </c>
      <c r="CP241" s="24">
        <f t="shared" si="2117"/>
        <v>3877.9412311068891</v>
      </c>
      <c r="CQ241" s="24">
        <f t="shared" si="2117"/>
        <v>5148.882667068141</v>
      </c>
      <c r="CR241" s="24">
        <f t="shared" si="2117"/>
        <v>6200.581420069343</v>
      </c>
      <c r="CS241" s="24">
        <f t="shared" si="2117"/>
        <v>6987.5211911177976</v>
      </c>
      <c r="CT241" s="24">
        <f t="shared" si="2117"/>
        <v>7246.7527264045721</v>
      </c>
      <c r="CU241" s="24">
        <f t="shared" si="2117"/>
        <v>8757.3631660284427</v>
      </c>
      <c r="CV241" s="24">
        <f t="shared" si="2117"/>
        <v>9986.659363642837</v>
      </c>
      <c r="CW241" s="24">
        <f t="shared" si="2117"/>
        <v>10911.032063949851</v>
      </c>
      <c r="CX241" s="24">
        <f t="shared" si="2117"/>
        <v>11231.097720628024</v>
      </c>
      <c r="CY241" s="24">
        <f t="shared" si="2117"/>
        <v>13007.590102736325</v>
      </c>
      <c r="CZ241" s="24">
        <f t="shared" si="2117"/>
        <v>14452.273984869578</v>
      </c>
      <c r="DA241" s="24">
        <f t="shared" si="2117"/>
        <v>15543.766298083674</v>
      </c>
      <c r="DB241" s="24">
        <f t="shared" si="2117"/>
        <v>15932.209552797087</v>
      </c>
      <c r="DE241" s="121"/>
      <c r="DF241" s="23">
        <v>0</v>
      </c>
    </row>
    <row r="242" spans="1:110" s="28" customFormat="1" x14ac:dyDescent="0.2">
      <c r="A242" s="28" t="s">
        <v>444</v>
      </c>
      <c r="C242" s="28">
        <f t="shared" ref="C242:W242" si="2118">C241-C192</f>
        <v>-5.6843418860808015E-14</v>
      </c>
      <c r="D242" s="28">
        <f t="shared" si="2118"/>
        <v>-6.3948846218409017E-14</v>
      </c>
      <c r="E242" s="28">
        <f t="shared" si="2118"/>
        <v>-1.4921397450962104E-13</v>
      </c>
      <c r="F242" s="28">
        <f t="shared" si="2118"/>
        <v>-2.3092638912203256E-14</v>
      </c>
      <c r="G242" s="28">
        <f t="shared" si="2118"/>
        <v>2.6645352591003757E-14</v>
      </c>
      <c r="H242" s="28">
        <f t="shared" si="2118"/>
        <v>2.7355895326763857E-13</v>
      </c>
      <c r="I242" s="28">
        <f t="shared" si="2118"/>
        <v>-1.7053025658242404E-13</v>
      </c>
      <c r="J242" s="28">
        <f>J241-J192</f>
        <v>-1.8474111129762605E-13</v>
      </c>
      <c r="K242" s="28">
        <f t="shared" si="2118"/>
        <v>5.9685589803848416E-13</v>
      </c>
      <c r="L242" s="28">
        <f t="shared" si="2118"/>
        <v>-6.8212102632969618E-13</v>
      </c>
      <c r="M242" s="28">
        <f t="shared" si="2118"/>
        <v>0</v>
      </c>
      <c r="N242" s="28">
        <f t="shared" si="2118"/>
        <v>4.5474735088646412E-13</v>
      </c>
      <c r="O242" s="28">
        <f t="shared" si="2118"/>
        <v>-2.8421709430404007E-13</v>
      </c>
      <c r="P242" s="28">
        <f t="shared" si="2118"/>
        <v>0</v>
      </c>
      <c r="Q242" s="28">
        <f t="shared" si="2118"/>
        <v>0</v>
      </c>
      <c r="R242" s="28">
        <f t="shared" si="2118"/>
        <v>-6.8212102632969618E-13</v>
      </c>
      <c r="S242" s="28">
        <f t="shared" si="2118"/>
        <v>1.7621459846850485E-12</v>
      </c>
      <c r="T242" s="28">
        <f t="shared" si="2118"/>
        <v>1.0231815394945443E-12</v>
      </c>
      <c r="U242" s="28">
        <f t="shared" si="2118"/>
        <v>-9.0949470177292824E-13</v>
      </c>
      <c r="V242" s="28">
        <f t="shared" si="2118"/>
        <v>-1.1368683772161603E-12</v>
      </c>
      <c r="W242" s="28">
        <f t="shared" si="2118"/>
        <v>2.8421709430404007E-12</v>
      </c>
      <c r="X242" s="28">
        <f t="shared" ref="X242:Y242" si="2119">X241-X192</f>
        <v>0</v>
      </c>
      <c r="Y242" s="28">
        <f t="shared" si="2119"/>
        <v>-2.6147972675971687E-12</v>
      </c>
      <c r="Z242" s="28">
        <f t="shared" ref="Z242:AA242" si="2120">Z241-Z192</f>
        <v>0</v>
      </c>
      <c r="AA242" s="28">
        <f t="shared" si="2120"/>
        <v>6.3664629124104977E-12</v>
      </c>
      <c r="AB242" s="30">
        <f t="shared" ref="AA242:AD242" si="2121">AB241-AB192</f>
        <v>0</v>
      </c>
      <c r="AC242" s="30">
        <f t="shared" si="2121"/>
        <v>0</v>
      </c>
      <c r="AD242" s="30">
        <f t="shared" si="2121"/>
        <v>0</v>
      </c>
      <c r="AE242" s="30">
        <f t="shared" ref="AE242" si="2122">AE241-AE192</f>
        <v>0</v>
      </c>
      <c r="AI242" s="28">
        <f t="shared" ref="AI242" si="2123">AI241-AI192</f>
        <v>0</v>
      </c>
      <c r="AJ242" s="28">
        <f t="shared" ref="AJ242:AL242" si="2124">AJ241-AJ192</f>
        <v>0</v>
      </c>
      <c r="AK242" s="28">
        <f t="shared" si="2124"/>
        <v>0</v>
      </c>
      <c r="AL242" s="28">
        <f t="shared" si="2124"/>
        <v>0</v>
      </c>
      <c r="AM242" s="28">
        <f t="shared" ref="AM242" si="2125">AM241-AM192</f>
        <v>0</v>
      </c>
      <c r="AN242" s="28">
        <f t="shared" ref="AN242:CD242" si="2126">AN241-AN192</f>
        <v>1.0516032489249483E-12</v>
      </c>
      <c r="AO242" s="28">
        <f t="shared" si="2126"/>
        <v>0</v>
      </c>
      <c r="AP242" s="28">
        <f t="shared" si="2126"/>
        <v>-2.2737367544323206E-13</v>
      </c>
      <c r="AQ242" s="28">
        <f t="shared" si="2126"/>
        <v>0</v>
      </c>
      <c r="AR242" s="28">
        <f t="shared" si="2126"/>
        <v>4.5474735088646412E-13</v>
      </c>
      <c r="AS242" s="28">
        <f t="shared" si="2126"/>
        <v>0</v>
      </c>
      <c r="AT242" s="28">
        <f t="shared" si="2126"/>
        <v>2.2737367544323206E-13</v>
      </c>
      <c r="AU242" s="28">
        <f t="shared" si="2126"/>
        <v>0</v>
      </c>
      <c r="AV242" s="28">
        <f t="shared" si="2126"/>
        <v>-1.0800249583553523E-12</v>
      </c>
      <c r="AW242" s="28">
        <f t="shared" si="2126"/>
        <v>0</v>
      </c>
      <c r="AX242" s="28">
        <f t="shared" si="2126"/>
        <v>-9.9999999985129762E-3</v>
      </c>
      <c r="AY242" s="28">
        <f t="shared" si="2126"/>
        <v>0</v>
      </c>
      <c r="AZ242" s="28">
        <f t="shared" si="2126"/>
        <v>9.9999999989677235E-3</v>
      </c>
      <c r="BA242" s="28">
        <f t="shared" si="2126"/>
        <v>0</v>
      </c>
      <c r="BB242" s="28">
        <f t="shared" si="2126"/>
        <v>0</v>
      </c>
      <c r="BC242" s="28">
        <f t="shared" si="2126"/>
        <v>0</v>
      </c>
      <c r="BD242" s="28">
        <f t="shared" si="2126"/>
        <v>-3.694822225952521E-13</v>
      </c>
      <c r="BE242" s="28">
        <f t="shared" si="2126"/>
        <v>0</v>
      </c>
      <c r="BF242" s="28">
        <f t="shared" si="2126"/>
        <v>0</v>
      </c>
      <c r="BG242" s="28">
        <f t="shared" si="2126"/>
        <v>0</v>
      </c>
      <c r="BH242" s="28">
        <f t="shared" si="2126"/>
        <v>-9.0949470177292824E-13</v>
      </c>
      <c r="BI242" s="28">
        <f t="shared" si="2126"/>
        <v>0</v>
      </c>
      <c r="BJ242" s="28">
        <f t="shared" si="2126"/>
        <v>1.4210854715202004E-12</v>
      </c>
      <c r="BK242" s="28">
        <f t="shared" si="2126"/>
        <v>0</v>
      </c>
      <c r="BL242" s="28">
        <f t="shared" si="2126"/>
        <v>-1.0800249583553523E-12</v>
      </c>
      <c r="BM242" s="28">
        <f t="shared" si="2126"/>
        <v>0</v>
      </c>
      <c r="BN242" s="28">
        <f t="shared" si="2126"/>
        <v>-4.5474735088646412E-13</v>
      </c>
      <c r="BO242" s="28">
        <f t="shared" si="2126"/>
        <v>0</v>
      </c>
      <c r="BP242" s="28">
        <f t="shared" si="2126"/>
        <v>-1.2505552149377763E-12</v>
      </c>
      <c r="BQ242" s="28">
        <f t="shared" si="2126"/>
        <v>0</v>
      </c>
      <c r="BR242" s="28">
        <f t="shared" si="2126"/>
        <v>0</v>
      </c>
      <c r="BS242" s="28">
        <f t="shared" si="2126"/>
        <v>0</v>
      </c>
      <c r="BT242" s="28">
        <f t="shared" si="2126"/>
        <v>-1.8189894035458565E-12</v>
      </c>
      <c r="BU242" s="28">
        <f t="shared" si="2126"/>
        <v>0</v>
      </c>
      <c r="BV242" s="28">
        <f t="shared" si="2126"/>
        <v>0</v>
      </c>
      <c r="BW242" s="28">
        <f t="shared" si="2126"/>
        <v>0</v>
      </c>
      <c r="BX242" s="28">
        <f t="shared" si="2126"/>
        <v>0</v>
      </c>
      <c r="BY242" s="28">
        <f t="shared" si="2126"/>
        <v>0</v>
      </c>
      <c r="BZ242" s="28">
        <f t="shared" si="2126"/>
        <v>0</v>
      </c>
      <c r="CA242" s="28">
        <f t="shared" si="2126"/>
        <v>0</v>
      </c>
      <c r="CB242" s="28">
        <f t="shared" si="2126"/>
        <v>2.7284841053187847E-12</v>
      </c>
      <c r="CC242" s="28">
        <f t="shared" si="2126"/>
        <v>0</v>
      </c>
      <c r="CD242" s="28">
        <f t="shared" si="2126"/>
        <v>0</v>
      </c>
      <c r="CE242" s="28">
        <f t="shared" ref="CE242:CF242" si="2127">CE241-CE192</f>
        <v>0</v>
      </c>
      <c r="CF242" s="28">
        <f t="shared" si="2127"/>
        <v>9.0949470177292824E-13</v>
      </c>
      <c r="CG242" s="28">
        <f t="shared" ref="CG242:CH242" si="2128">CG241-CG192</f>
        <v>0</v>
      </c>
      <c r="CH242" s="28">
        <f t="shared" si="2128"/>
        <v>-2.5011104298755527E-12</v>
      </c>
      <c r="CI242" s="28">
        <f t="shared" ref="CI242:CJ242" si="2129">CI241-CI192</f>
        <v>0</v>
      </c>
      <c r="CJ242" s="28">
        <f t="shared" si="2129"/>
        <v>2.0463630789890885E-12</v>
      </c>
      <c r="CK242" s="28">
        <f t="shared" ref="CK242:DB242" si="2130">CK241-CK192</f>
        <v>0</v>
      </c>
      <c r="CL242" s="28">
        <f t="shared" si="2130"/>
        <v>0</v>
      </c>
      <c r="CM242" s="30">
        <f t="shared" si="2130"/>
        <v>0</v>
      </c>
      <c r="CN242" s="30">
        <f t="shared" si="2130"/>
        <v>0</v>
      </c>
      <c r="CO242" s="30">
        <f t="shared" si="2130"/>
        <v>0</v>
      </c>
      <c r="CP242" s="30">
        <f t="shared" si="2130"/>
        <v>0</v>
      </c>
      <c r="CQ242" s="30">
        <f t="shared" si="2130"/>
        <v>0</v>
      </c>
      <c r="CR242" s="30">
        <f t="shared" si="2130"/>
        <v>0</v>
      </c>
      <c r="CS242" s="30">
        <f t="shared" si="2130"/>
        <v>0</v>
      </c>
      <c r="CT242" s="30">
        <f t="shared" si="2130"/>
        <v>0</v>
      </c>
      <c r="CU242" s="30">
        <f t="shared" si="2130"/>
        <v>0</v>
      </c>
      <c r="CV242" s="30">
        <f t="shared" si="2130"/>
        <v>0</v>
      </c>
      <c r="CW242" s="30">
        <f t="shared" si="2130"/>
        <v>0</v>
      </c>
      <c r="CX242" s="30">
        <f t="shared" si="2130"/>
        <v>0</v>
      </c>
      <c r="CY242" s="30">
        <f t="shared" si="2130"/>
        <v>0</v>
      </c>
      <c r="CZ242" s="30">
        <f t="shared" si="2130"/>
        <v>0</v>
      </c>
      <c r="DA242" s="30">
        <f t="shared" si="2130"/>
        <v>0</v>
      </c>
      <c r="DB242" s="30">
        <f t="shared" si="2130"/>
        <v>0</v>
      </c>
      <c r="DE242" s="133"/>
      <c r="DF242" s="28">
        <v>0</v>
      </c>
    </row>
    <row r="243" spans="1:110" s="23" customFormat="1" x14ac:dyDescent="0.2">
      <c r="AB243" s="24"/>
      <c r="AC243" s="24"/>
      <c r="AD243" s="24"/>
      <c r="AE243" s="24"/>
      <c r="CM243" s="24"/>
      <c r="CN243" s="24"/>
      <c r="CO243" s="24"/>
      <c r="CP243" s="24"/>
      <c r="CQ243" s="24"/>
      <c r="CR243" s="24"/>
      <c r="CS243" s="24"/>
      <c r="CT243" s="24"/>
      <c r="CU243" s="24"/>
      <c r="CV243" s="24"/>
      <c r="CW243" s="24"/>
      <c r="CX243" s="24"/>
      <c r="CY243" s="24"/>
      <c r="CZ243" s="24"/>
      <c r="DA243" s="24"/>
      <c r="DB243" s="24"/>
      <c r="DE243" s="121"/>
    </row>
    <row r="244" spans="1:110" s="22" customFormat="1" x14ac:dyDescent="0.2">
      <c r="A244" s="22" t="s">
        <v>96</v>
      </c>
      <c r="C244" s="22">
        <f t="shared" ref="C244:W244" si="2131">C230+C232</f>
        <v>202.46479999999991</v>
      </c>
      <c r="D244" s="22">
        <f t="shared" si="2131"/>
        <v>107.53020000000006</v>
      </c>
      <c r="E244" s="22">
        <f t="shared" si="2131"/>
        <v>51.895199999999718</v>
      </c>
      <c r="F244" s="22">
        <f t="shared" si="2131"/>
        <v>-231.21160000000009</v>
      </c>
      <c r="G244" s="22">
        <f t="shared" si="2131"/>
        <v>-167.83010000000002</v>
      </c>
      <c r="H244" s="22">
        <f t="shared" si="2131"/>
        <v>150.73750000000027</v>
      </c>
      <c r="I244" s="22">
        <f t="shared" si="2131"/>
        <v>62.912800000000004</v>
      </c>
      <c r="J244" s="22">
        <f>J230+J232</f>
        <v>-469.22130000000016</v>
      </c>
      <c r="K244" s="22">
        <f t="shared" si="2131"/>
        <v>93.645400000000564</v>
      </c>
      <c r="L244" s="22">
        <f t="shared" si="2131"/>
        <v>228.79359999999909</v>
      </c>
      <c r="M244" s="22">
        <f t="shared" si="2131"/>
        <v>43.66499999999985</v>
      </c>
      <c r="N244" s="22">
        <f t="shared" si="2131"/>
        <v>-281.87689999999964</v>
      </c>
      <c r="O244" s="22">
        <f t="shared" si="2131"/>
        <v>-630.08570000000032</v>
      </c>
      <c r="P244" s="22">
        <f t="shared" si="2131"/>
        <v>-93.862199999999575</v>
      </c>
      <c r="Q244" s="22">
        <f t="shared" si="2131"/>
        <v>231.20000000000039</v>
      </c>
      <c r="R244" s="22">
        <f t="shared" si="2131"/>
        <v>-68.599999999999909</v>
      </c>
      <c r="S244" s="22">
        <f t="shared" si="2131"/>
        <v>-714.2299999999982</v>
      </c>
      <c r="T244" s="22">
        <f t="shared" si="2131"/>
        <v>-430.53</v>
      </c>
      <c r="U244" s="22">
        <f t="shared" si="2131"/>
        <v>-76.990000000001601</v>
      </c>
      <c r="V244" s="22">
        <f t="shared" si="2131"/>
        <v>301.25</v>
      </c>
      <c r="W244" s="22">
        <f t="shared" si="2131"/>
        <v>113.16000000000304</v>
      </c>
      <c r="X244" s="22">
        <f t="shared" ref="X244:Y244" si="2132">X230+X232</f>
        <v>-83.640000000001692</v>
      </c>
      <c r="Y244" s="22">
        <f t="shared" si="2132"/>
        <v>-675.83000000000129</v>
      </c>
      <c r="Z244" s="22">
        <f t="shared" ref="Z244:AA244" si="2133">Z230+Z232</f>
        <v>627.75999999999726</v>
      </c>
      <c r="AA244" s="22">
        <f t="shared" si="2133"/>
        <v>171.51000000000522</v>
      </c>
      <c r="AB244" s="21">
        <f t="shared" ref="AA244:AD244" si="2134">AB230+AB232</f>
        <v>2703.681231106892</v>
      </c>
      <c r="AC244" s="21">
        <f t="shared" si="2134"/>
        <v>3368.8114952976848</v>
      </c>
      <c r="AD244" s="21">
        <f t="shared" si="2134"/>
        <v>3984.3449942234502</v>
      </c>
      <c r="AE244" s="21">
        <f t="shared" ref="AE244" si="2135">AE230+AE232</f>
        <v>4701.1118321690628</v>
      </c>
      <c r="AI244" s="22">
        <f t="shared" ref="AI244" si="2136">AI230+AI232</f>
        <v>22.02000000000001</v>
      </c>
      <c r="AJ244" s="22">
        <f t="shared" ref="AJ244:AL244" si="2137">AJ230+AJ232</f>
        <v>-2114.7700000000004</v>
      </c>
      <c r="AK244" s="22">
        <f t="shared" si="2137"/>
        <v>14.241186702166971</v>
      </c>
      <c r="AL244" s="22">
        <f t="shared" si="2137"/>
        <v>-638.18118670216711</v>
      </c>
      <c r="AM244" s="22">
        <f t="shared" ref="AM244" si="2138">AM230+AM232</f>
        <v>50.321005072419624</v>
      </c>
      <c r="AN244" s="22">
        <f t="shared" ref="AN244:CD244" si="2139">AN230+AN232</f>
        <v>101.66899492758134</v>
      </c>
      <c r="AO244" s="22">
        <f t="shared" si="2139"/>
        <v>61.493356480110222</v>
      </c>
      <c r="AP244" s="22">
        <f t="shared" si="2139"/>
        <v>-1011.9833564801099</v>
      </c>
      <c r="AQ244" s="22">
        <f t="shared" si="2139"/>
        <v>-104.36348620852985</v>
      </c>
      <c r="AR244" s="22">
        <f t="shared" si="2139"/>
        <v>957.20348620852963</v>
      </c>
      <c r="AS244" s="22">
        <f t="shared" si="2139"/>
        <v>122.08219290944629</v>
      </c>
      <c r="AT244" s="22">
        <f t="shared" si="2139"/>
        <v>-801.11219290944632</v>
      </c>
      <c r="AU244" s="22">
        <f t="shared" si="2139"/>
        <v>10.781907967743962</v>
      </c>
      <c r="AV244" s="22">
        <f t="shared" si="2139"/>
        <v>415.98809203225483</v>
      </c>
      <c r="AW244" s="22">
        <f t="shared" si="2139"/>
        <v>179.78622287007499</v>
      </c>
      <c r="AX244" s="22">
        <f t="shared" si="2139"/>
        <v>-406.09622287007306</v>
      </c>
      <c r="AY244" s="22">
        <f t="shared" si="2139"/>
        <v>140.28341626244392</v>
      </c>
      <c r="AZ244" s="22">
        <f t="shared" si="2139"/>
        <v>-165.98341626244485</v>
      </c>
      <c r="BA244" s="22">
        <f t="shared" si="2139"/>
        <v>160.35627440654974</v>
      </c>
      <c r="BB244" s="22">
        <f t="shared" si="2139"/>
        <v>-169.986274406549</v>
      </c>
      <c r="BC244" s="22">
        <f t="shared" si="2139"/>
        <v>163.46926604727338</v>
      </c>
      <c r="BD244" s="22">
        <f t="shared" si="2139"/>
        <v>-984.1392660472743</v>
      </c>
      <c r="BE244" s="22">
        <f t="shared" si="2139"/>
        <v>60.633101373567854</v>
      </c>
      <c r="BF244" s="22">
        <f t="shared" si="2139"/>
        <v>10.816898626432021</v>
      </c>
      <c r="BG244" s="22">
        <f t="shared" si="2139"/>
        <v>115.54798687564721</v>
      </c>
      <c r="BH244" s="22">
        <f t="shared" si="2139"/>
        <v>-686.29798687564744</v>
      </c>
      <c r="BI244" s="22">
        <f t="shared" si="2139"/>
        <v>131.97250491467031</v>
      </c>
      <c r="BJ244" s="22">
        <f t="shared" si="2139"/>
        <v>65.917495085329961</v>
      </c>
      <c r="BK244" s="22">
        <f t="shared" si="2139"/>
        <v>267.32520431395437</v>
      </c>
      <c r="BL244" s="22">
        <f t="shared" si="2139"/>
        <v>75.724795686045582</v>
      </c>
      <c r="BM244" s="22">
        <f t="shared" si="2139"/>
        <v>282.19524295085796</v>
      </c>
      <c r="BN244" s="22">
        <f t="shared" si="2139"/>
        <v>-363.9452429508583</v>
      </c>
      <c r="BO244" s="22">
        <f t="shared" si="2139"/>
        <v>346.92840270638311</v>
      </c>
      <c r="BP244" s="22">
        <f t="shared" si="2139"/>
        <v>-527.73840270638448</v>
      </c>
      <c r="BQ244" s="22">
        <f t="shared" si="2139"/>
        <v>299.51338999347814</v>
      </c>
      <c r="BR244" s="22">
        <f t="shared" si="2139"/>
        <v>-597.20338999347814</v>
      </c>
      <c r="BS244" s="22">
        <f t="shared" si="2139"/>
        <v>354.63471305581595</v>
      </c>
      <c r="BT244" s="22">
        <f t="shared" si="2139"/>
        <v>-66.68471305581653</v>
      </c>
      <c r="BU244" s="22">
        <f t="shared" si="2139"/>
        <v>251.66415664836279</v>
      </c>
      <c r="BV244" s="22">
        <f t="shared" si="2139"/>
        <v>-426.45415664836241</v>
      </c>
      <c r="BW244" s="22">
        <f t="shared" si="2139"/>
        <v>442.38103546494972</v>
      </c>
      <c r="BX244" s="22">
        <f t="shared" si="2139"/>
        <v>-276.4310354649491</v>
      </c>
      <c r="BY244" s="22">
        <f t="shared" si="2139"/>
        <v>657.12323431103891</v>
      </c>
      <c r="BZ244" s="22">
        <f t="shared" si="2139"/>
        <v>-906.71323431103792</v>
      </c>
      <c r="CA244" s="22">
        <f t="shared" si="2139"/>
        <v>583.60041123954159</v>
      </c>
      <c r="CB244" s="22">
        <f t="shared" si="2139"/>
        <v>-1107.4604112395418</v>
      </c>
      <c r="CC244" s="22">
        <f t="shared" si="2139"/>
        <v>341.07607598761251</v>
      </c>
      <c r="CD244" s="22">
        <f t="shared" si="2139"/>
        <v>-493.04607598761015</v>
      </c>
      <c r="CE244" s="22">
        <f t="shared" ref="CE244:CF244" si="2140">CE230+CE232</f>
        <v>323.51599797184144</v>
      </c>
      <c r="CF244" s="22">
        <f t="shared" si="2140"/>
        <v>-818.88599797184202</v>
      </c>
      <c r="CG244" s="22">
        <f t="shared" ref="CG244:CH244" si="2141">CG230+CG232</f>
        <v>248.48829039511679</v>
      </c>
      <c r="CH244" s="22">
        <f t="shared" si="2141"/>
        <v>874.64170960488275</v>
      </c>
      <c r="CI244" s="22">
        <f t="shared" ref="CI244:CJ244" si="2142">CI230+CI232</f>
        <v>930.91770609319008</v>
      </c>
      <c r="CJ244" s="22">
        <f t="shared" si="2142"/>
        <v>-1057.1377060931902</v>
      </c>
      <c r="CK244" s="22">
        <f t="shared" ref="CK244:DB244" si="2143">CK230+CK232</f>
        <v>622.09080539752097</v>
      </c>
      <c r="CL244" s="22">
        <f t="shared" si="2143"/>
        <v>-324.36080539752106</v>
      </c>
      <c r="CM244" s="21">
        <f t="shared" si="2143"/>
        <v>977.98986449748168</v>
      </c>
      <c r="CN244" s="21">
        <f t="shared" si="2143"/>
        <v>883.57057508356661</v>
      </c>
      <c r="CO244" s="21">
        <f t="shared" si="2143"/>
        <v>666.75522662405172</v>
      </c>
      <c r="CP244" s="21">
        <f t="shared" si="2143"/>
        <v>175.36556490179271</v>
      </c>
      <c r="CQ244" s="21">
        <f t="shared" si="2143"/>
        <v>1270.9414359612524</v>
      </c>
      <c r="CR244" s="21">
        <f t="shared" si="2143"/>
        <v>1051.6987530012018</v>
      </c>
      <c r="CS244" s="21">
        <f t="shared" si="2143"/>
        <v>786.93977104845487</v>
      </c>
      <c r="CT244" s="21">
        <f t="shared" si="2143"/>
        <v>259.23153528677449</v>
      </c>
      <c r="CU244" s="21">
        <f t="shared" si="2143"/>
        <v>1510.6104396238709</v>
      </c>
      <c r="CV244" s="21">
        <f t="shared" si="2143"/>
        <v>1229.2961976143933</v>
      </c>
      <c r="CW244" s="21">
        <f t="shared" si="2143"/>
        <v>924.37270030701438</v>
      </c>
      <c r="CX244" s="21">
        <f t="shared" si="2143"/>
        <v>320.06565667817313</v>
      </c>
      <c r="CY244" s="21">
        <f t="shared" si="2143"/>
        <v>1776.4923821083003</v>
      </c>
      <c r="CZ244" s="21">
        <f t="shared" si="2143"/>
        <v>1444.6838821332535</v>
      </c>
      <c r="DA244" s="21">
        <f t="shared" si="2143"/>
        <v>1091.4923132140955</v>
      </c>
      <c r="DB244" s="21">
        <f t="shared" si="2143"/>
        <v>388.44325471341313</v>
      </c>
      <c r="DE244" s="123"/>
      <c r="DF244" s="22">
        <v>0</v>
      </c>
    </row>
    <row r="245" spans="1:110" x14ac:dyDescent="0.2">
      <c r="A245" s="146" t="s">
        <v>496</v>
      </c>
      <c r="AA245" s="2"/>
    </row>
    <row r="246" spans="1:110" x14ac:dyDescent="0.2">
      <c r="AA246" s="2"/>
    </row>
    <row r="247" spans="1:110" s="7" customFormat="1" hidden="1" outlineLevel="1" x14ac:dyDescent="0.2">
      <c r="A247" s="61" t="s">
        <v>97</v>
      </c>
      <c r="AB247" s="77"/>
      <c r="AC247" s="77"/>
      <c r="AD247" s="77"/>
      <c r="AE247" s="77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2"/>
    </row>
    <row r="248" spans="1:110" s="62" customFormat="1" hidden="1" outlineLevel="1" x14ac:dyDescent="0.2">
      <c r="A248" s="62" t="s">
        <v>98</v>
      </c>
      <c r="AB248" s="63"/>
      <c r="AC248" s="63"/>
      <c r="AD248" s="63"/>
      <c r="AE248" s="63"/>
      <c r="CM248" s="30"/>
      <c r="CN248" s="30"/>
      <c r="CO248" s="30"/>
      <c r="CP248" s="30"/>
      <c r="CQ248" s="30"/>
      <c r="CR248" s="30"/>
      <c r="CS248" s="30"/>
      <c r="CT248" s="30"/>
      <c r="CU248" s="30"/>
      <c r="CV248" s="30"/>
      <c r="CW248" s="30"/>
      <c r="CX248" s="30"/>
      <c r="CY248" s="30"/>
      <c r="CZ248" s="30"/>
      <c r="DA248" s="30"/>
      <c r="DB248" s="30"/>
      <c r="DE248" s="133"/>
    </row>
    <row r="249" spans="1:110" s="62" customFormat="1" hidden="1" outlineLevel="1" x14ac:dyDescent="0.2">
      <c r="A249" s="62" t="s">
        <v>99</v>
      </c>
      <c r="AB249" s="63"/>
      <c r="AC249" s="63"/>
      <c r="AD249" s="63"/>
      <c r="AE249" s="63"/>
      <c r="CM249" s="30"/>
      <c r="CN249" s="30"/>
      <c r="CO249" s="30"/>
      <c r="CP249" s="30"/>
      <c r="CQ249" s="30"/>
      <c r="CR249" s="30"/>
      <c r="CS249" s="30"/>
      <c r="CT249" s="30"/>
      <c r="CU249" s="30"/>
      <c r="CV249" s="30"/>
      <c r="CW249" s="30"/>
      <c r="CX249" s="30"/>
      <c r="CY249" s="30"/>
      <c r="CZ249" s="30"/>
      <c r="DA249" s="30"/>
      <c r="DB249" s="30"/>
      <c r="DE249" s="133"/>
    </row>
    <row r="250" spans="1:110" s="62" customFormat="1" hidden="1" outlineLevel="1" x14ac:dyDescent="0.2">
      <c r="A250" s="62" t="s">
        <v>100</v>
      </c>
      <c r="AB250" s="63"/>
      <c r="AC250" s="63"/>
      <c r="AD250" s="63"/>
      <c r="AE250" s="63"/>
      <c r="CM250" s="30"/>
      <c r="CN250" s="30"/>
      <c r="CO250" s="30"/>
      <c r="CP250" s="30"/>
      <c r="CQ250" s="30"/>
      <c r="CR250" s="30"/>
      <c r="CS250" s="30"/>
      <c r="CT250" s="30"/>
      <c r="CU250" s="30"/>
      <c r="CV250" s="30"/>
      <c r="CW250" s="30"/>
      <c r="CX250" s="30"/>
      <c r="CY250" s="30"/>
      <c r="CZ250" s="30"/>
      <c r="DA250" s="30"/>
      <c r="DB250" s="30"/>
      <c r="DE250" s="133"/>
    </row>
    <row r="251" spans="1:110" s="62" customFormat="1" hidden="1" outlineLevel="1" x14ac:dyDescent="0.2">
      <c r="AB251" s="63"/>
      <c r="AC251" s="63"/>
      <c r="AD251" s="63"/>
      <c r="AE251" s="63"/>
      <c r="CM251" s="30"/>
      <c r="CN251" s="30"/>
      <c r="CO251" s="30"/>
      <c r="CP251" s="30"/>
      <c r="CQ251" s="30"/>
      <c r="CR251" s="30"/>
      <c r="CS251" s="30"/>
      <c r="CT251" s="30"/>
      <c r="CU251" s="30"/>
      <c r="CV251" s="30"/>
      <c r="CW251" s="30"/>
      <c r="CX251" s="30"/>
      <c r="CY251" s="30"/>
      <c r="CZ251" s="30"/>
      <c r="DA251" s="30"/>
      <c r="DB251" s="30"/>
      <c r="DE251" s="133"/>
    </row>
    <row r="252" spans="1:110" s="62" customFormat="1" hidden="1" outlineLevel="1" x14ac:dyDescent="0.2">
      <c r="AB252" s="63"/>
      <c r="AC252" s="63"/>
      <c r="AD252" s="63"/>
      <c r="AE252" s="63"/>
      <c r="CM252" s="30"/>
      <c r="CN252" s="30"/>
      <c r="CO252" s="30"/>
      <c r="CP252" s="30"/>
      <c r="CQ252" s="30"/>
      <c r="CR252" s="30"/>
      <c r="CS252" s="30"/>
      <c r="CT252" s="30"/>
      <c r="CU252" s="30"/>
      <c r="CV252" s="30"/>
      <c r="CW252" s="30"/>
      <c r="CX252" s="30"/>
      <c r="CY252" s="30"/>
      <c r="CZ252" s="30"/>
      <c r="DA252" s="30"/>
      <c r="DB252" s="30"/>
      <c r="DE252" s="133"/>
    </row>
    <row r="253" spans="1:110" s="62" customFormat="1" hidden="1" outlineLevel="1" x14ac:dyDescent="0.2">
      <c r="AB253" s="63"/>
      <c r="AC253" s="63"/>
      <c r="AD253" s="63"/>
      <c r="AE253" s="63"/>
      <c r="CM253" s="30"/>
      <c r="CN253" s="30"/>
      <c r="CO253" s="30"/>
      <c r="CP253" s="30"/>
      <c r="CQ253" s="30"/>
      <c r="CR253" s="30"/>
      <c r="CS253" s="30"/>
      <c r="CT253" s="30"/>
      <c r="CU253" s="30"/>
      <c r="CV253" s="30"/>
      <c r="CW253" s="30"/>
      <c r="CX253" s="30"/>
      <c r="CY253" s="30"/>
      <c r="CZ253" s="30"/>
      <c r="DA253" s="30"/>
      <c r="DB253" s="30"/>
      <c r="DE253" s="133"/>
    </row>
    <row r="254" spans="1:110" s="11" customFormat="1" collapsed="1" x14ac:dyDescent="0.2">
      <c r="AB254" s="63"/>
      <c r="AC254" s="63"/>
      <c r="AD254" s="63"/>
      <c r="AE254" s="63"/>
      <c r="CM254" s="30"/>
      <c r="CN254" s="30"/>
      <c r="CO254" s="30"/>
      <c r="CP254" s="30"/>
      <c r="CQ254" s="30"/>
      <c r="CR254" s="30"/>
      <c r="CS254" s="30"/>
      <c r="CT254" s="30"/>
      <c r="CU254" s="30"/>
      <c r="CV254" s="30"/>
      <c r="CW254" s="30"/>
      <c r="CX254" s="30"/>
      <c r="CY254" s="30"/>
      <c r="CZ254" s="30"/>
      <c r="DA254" s="30"/>
      <c r="DB254" s="30"/>
      <c r="DE254" s="133"/>
    </row>
    <row r="255" spans="1:110" s="83" customFormat="1" x14ac:dyDescent="0.2">
      <c r="A255" s="82" t="s">
        <v>101</v>
      </c>
      <c r="AB255" s="72"/>
      <c r="AC255" s="72"/>
      <c r="AD255" s="72"/>
      <c r="AE255" s="72"/>
      <c r="CM255" s="30"/>
      <c r="CN255" s="30"/>
      <c r="CO255" s="30"/>
      <c r="CP255" s="30"/>
      <c r="CQ255" s="30"/>
      <c r="CR255" s="30"/>
      <c r="CS255" s="30"/>
      <c r="CT255" s="30"/>
      <c r="CU255" s="30"/>
      <c r="CV255" s="30"/>
      <c r="CW255" s="30"/>
      <c r="CX255" s="30"/>
      <c r="CY255" s="30"/>
      <c r="CZ255" s="30"/>
      <c r="DA255" s="30"/>
      <c r="DB255" s="30"/>
      <c r="DE255" s="133"/>
    </row>
    <row r="256" spans="1:110" s="66" customFormat="1" x14ac:dyDescent="0.2">
      <c r="A256" s="66" t="s">
        <v>471</v>
      </c>
      <c r="AB256" s="50"/>
      <c r="AC256" s="50"/>
      <c r="AD256" s="50"/>
      <c r="AE256" s="50"/>
      <c r="AL256" s="66">
        <f t="shared" ref="AL256:BQ256" si="2144">SUM(AI41:AL41)</f>
        <v>3256.52</v>
      </c>
      <c r="AM256" s="66">
        <f t="shared" si="2144"/>
        <v>3299</v>
      </c>
      <c r="AN256" s="66">
        <f t="shared" si="2144"/>
        <v>3332.6100000000006</v>
      </c>
      <c r="AO256" s="66">
        <f t="shared" si="2144"/>
        <v>3325.6</v>
      </c>
      <c r="AP256" s="66">
        <f t="shared" si="2144"/>
        <v>3394.2300000000005</v>
      </c>
      <c r="AQ256" s="66">
        <f t="shared" si="2144"/>
        <v>3741.35</v>
      </c>
      <c r="AR256" s="66">
        <f t="shared" si="2144"/>
        <v>4087.83</v>
      </c>
      <c r="AS256" s="66">
        <f t="shared" si="2144"/>
        <v>4332.67</v>
      </c>
      <c r="AT256" s="66">
        <f t="shared" si="2144"/>
        <v>4527.25</v>
      </c>
      <c r="AU256" s="66">
        <f t="shared" si="2144"/>
        <v>4592.9699999999993</v>
      </c>
      <c r="AV256" s="66">
        <f t="shared" si="2144"/>
        <v>4561.6699999999992</v>
      </c>
      <c r="AW256" s="66">
        <f t="shared" si="2144"/>
        <v>4544.3700000000008</v>
      </c>
      <c r="AX256" s="66">
        <f t="shared" si="2144"/>
        <v>4575.97</v>
      </c>
      <c r="AY256" s="66">
        <f t="shared" si="2144"/>
        <v>4573.8100000000004</v>
      </c>
      <c r="AZ256" s="66">
        <f t="shared" si="2144"/>
        <v>4565.08</v>
      </c>
      <c r="BA256" s="66">
        <f t="shared" si="2144"/>
        <v>4604.5</v>
      </c>
      <c r="BB256" s="66">
        <f t="shared" si="2144"/>
        <v>4817.3500000000004</v>
      </c>
      <c r="BC256" s="66">
        <f t="shared" si="2144"/>
        <v>4891.42</v>
      </c>
      <c r="BD256" s="66">
        <f t="shared" si="2144"/>
        <v>5034.05</v>
      </c>
      <c r="BE256" s="66">
        <f t="shared" si="2144"/>
        <v>5302.58</v>
      </c>
      <c r="BF256" s="66">
        <f t="shared" si="2144"/>
        <v>5589.04</v>
      </c>
      <c r="BG256" s="66">
        <f t="shared" si="2144"/>
        <v>5957.63</v>
      </c>
      <c r="BH256" s="66">
        <f t="shared" si="2144"/>
        <v>6408.92</v>
      </c>
      <c r="BI256" s="66">
        <f t="shared" si="2144"/>
        <v>6820.64</v>
      </c>
      <c r="BJ256" s="66">
        <f t="shared" si="2144"/>
        <v>7143.7</v>
      </c>
      <c r="BK256" s="66">
        <f t="shared" si="2144"/>
        <v>7245.12</v>
      </c>
      <c r="BL256" s="66">
        <f t="shared" si="2144"/>
        <v>7240.99</v>
      </c>
      <c r="BM256" s="66">
        <f t="shared" si="2144"/>
        <v>7282.7</v>
      </c>
      <c r="BN256" s="66">
        <f t="shared" si="2144"/>
        <v>7178.12</v>
      </c>
      <c r="BO256" s="66">
        <f t="shared" si="2144"/>
        <v>6950.8899999999994</v>
      </c>
      <c r="BP256" s="66">
        <f t="shared" si="2144"/>
        <v>7308.5399999999991</v>
      </c>
      <c r="BQ256" s="66">
        <f t="shared" si="2144"/>
        <v>7604.4599999999991</v>
      </c>
      <c r="BR256" s="66">
        <f t="shared" ref="BR256:CW256" si="2145">SUM(BO41:BR41)</f>
        <v>8381.3599999999988</v>
      </c>
      <c r="BS256" s="66">
        <f t="shared" si="2145"/>
        <v>9544.6999999999989</v>
      </c>
      <c r="BT256" s="66">
        <f t="shared" si="2145"/>
        <v>10292.43</v>
      </c>
      <c r="BU256" s="66">
        <f t="shared" si="2145"/>
        <v>11491.89</v>
      </c>
      <c r="BV256" s="66">
        <f t="shared" si="2145"/>
        <v>12433.660000000002</v>
      </c>
      <c r="BW256" s="66">
        <f t="shared" si="2145"/>
        <v>13604.11</v>
      </c>
      <c r="BX256" s="66">
        <f t="shared" si="2145"/>
        <v>14456.84</v>
      </c>
      <c r="BY256" s="66">
        <f t="shared" si="2145"/>
        <v>14565.59</v>
      </c>
      <c r="BZ256" s="66">
        <f t="shared" si="2145"/>
        <v>14766.25</v>
      </c>
      <c r="CA256" s="66">
        <f t="shared" si="2145"/>
        <v>14211.05</v>
      </c>
      <c r="CB256" s="66">
        <f t="shared" si="2145"/>
        <v>13677.599999999999</v>
      </c>
      <c r="CC256" s="66">
        <f t="shared" si="2145"/>
        <v>13257.94</v>
      </c>
      <c r="CD256" s="66">
        <f t="shared" si="2145"/>
        <v>13061.810000000001</v>
      </c>
      <c r="CE256" s="66">
        <f t="shared" si="2145"/>
        <v>13194.04</v>
      </c>
      <c r="CF256" s="66">
        <f t="shared" si="2145"/>
        <v>13437.5</v>
      </c>
      <c r="CG256" s="66">
        <f t="shared" si="2145"/>
        <v>13859.63</v>
      </c>
      <c r="CH256" s="66">
        <f t="shared" si="2145"/>
        <v>14573.900000000001</v>
      </c>
      <c r="CI256" s="66">
        <f t="shared" si="2145"/>
        <v>14945.64</v>
      </c>
      <c r="CJ256" s="66">
        <f t="shared" si="2145"/>
        <v>15153.49</v>
      </c>
      <c r="CK256" s="66">
        <f t="shared" si="2145"/>
        <v>15368.73</v>
      </c>
      <c r="CL256" s="66">
        <f t="shared" si="2145"/>
        <v>15589.48</v>
      </c>
      <c r="CM256" s="50">
        <f t="shared" si="2145"/>
        <v>16075.660605450194</v>
      </c>
      <c r="CN256" s="50">
        <f t="shared" si="2145"/>
        <v>16566.849424695105</v>
      </c>
      <c r="CO256" s="50">
        <f t="shared" si="2145"/>
        <v>17190.485340782012</v>
      </c>
      <c r="CP256" s="50">
        <f t="shared" si="2145"/>
        <v>18170.077911743207</v>
      </c>
      <c r="CQ256" s="50">
        <f t="shared" si="2145"/>
        <v>18843.115296737469</v>
      </c>
      <c r="CR256" s="50">
        <f t="shared" si="2145"/>
        <v>19512.818196096589</v>
      </c>
      <c r="CS256" s="50">
        <f t="shared" si="2145"/>
        <v>20242.479899736209</v>
      </c>
      <c r="CT256" s="50">
        <f t="shared" si="2145"/>
        <v>21171.341530552818</v>
      </c>
      <c r="CU256" s="50">
        <f t="shared" si="2145"/>
        <v>21991.889634285792</v>
      </c>
      <c r="CV256" s="50">
        <f t="shared" si="2145"/>
        <v>22788.382763252324</v>
      </c>
      <c r="CW256" s="50">
        <f t="shared" si="2145"/>
        <v>23632.068866766735</v>
      </c>
      <c r="CX256" s="50">
        <f t="shared" ref="CX256:DB256" si="2146">SUM(CU41:CX41)</f>
        <v>24702.894853632497</v>
      </c>
      <c r="CY256" s="50">
        <f t="shared" si="2146"/>
        <v>25669.869713188225</v>
      </c>
      <c r="CZ256" s="50">
        <f t="shared" si="2146"/>
        <v>26600.928406224051</v>
      </c>
      <c r="DA256" s="50">
        <f t="shared" si="2146"/>
        <v>27582.97404607616</v>
      </c>
      <c r="DB256" s="50">
        <f t="shared" si="2146"/>
        <v>28831.509537231992</v>
      </c>
      <c r="DE256" s="132"/>
    </row>
    <row r="257" spans="1:109" s="66" customFormat="1" x14ac:dyDescent="0.2">
      <c r="A257" s="66" t="s">
        <v>472</v>
      </c>
      <c r="AB257" s="50"/>
      <c r="AC257" s="50"/>
      <c r="AD257" s="50"/>
      <c r="AE257" s="50"/>
      <c r="AL257" s="66">
        <f t="shared" ref="AL257:BQ257" si="2147">SUM(AI59:AL59)</f>
        <v>528.04999999999995</v>
      </c>
      <c r="AM257" s="66">
        <f t="shared" si="2147"/>
        <v>550.91999999999996</v>
      </c>
      <c r="AN257" s="66">
        <f t="shared" si="2147"/>
        <v>566.58000000000015</v>
      </c>
      <c r="AO257" s="66">
        <f t="shared" si="2147"/>
        <v>516.6700000000003</v>
      </c>
      <c r="AP257" s="66">
        <f t="shared" si="2147"/>
        <v>489.53000000000026</v>
      </c>
      <c r="AQ257" s="66">
        <f t="shared" si="2147"/>
        <v>559.50000000000045</v>
      </c>
      <c r="AR257" s="66">
        <f t="shared" si="2147"/>
        <v>626.06000000000017</v>
      </c>
      <c r="AS257" s="66">
        <f t="shared" si="2147"/>
        <v>661.66999999999985</v>
      </c>
      <c r="AT257" s="66">
        <f t="shared" si="2147"/>
        <v>714.29999999999973</v>
      </c>
      <c r="AU257" s="66">
        <f t="shared" si="2147"/>
        <v>800.21999999999969</v>
      </c>
      <c r="AV257" s="66">
        <f t="shared" si="2147"/>
        <v>844.74999999999977</v>
      </c>
      <c r="AW257" s="66">
        <f t="shared" si="2147"/>
        <v>891.12</v>
      </c>
      <c r="AX257" s="66">
        <f t="shared" si="2147"/>
        <v>957.26000000000033</v>
      </c>
      <c r="AY257" s="66">
        <f t="shared" si="2147"/>
        <v>979.92000000000019</v>
      </c>
      <c r="AZ257" s="66">
        <f t="shared" si="2147"/>
        <v>974.40000000000032</v>
      </c>
      <c r="BA257" s="66">
        <f t="shared" si="2147"/>
        <v>974.00000000000023</v>
      </c>
      <c r="BB257" s="66">
        <f t="shared" si="2147"/>
        <v>964.94</v>
      </c>
      <c r="BC257" s="66">
        <f t="shared" si="2147"/>
        <v>873.5200000000001</v>
      </c>
      <c r="BD257" s="66">
        <f t="shared" si="2147"/>
        <v>844.55000000000007</v>
      </c>
      <c r="BE257" s="66">
        <f t="shared" si="2147"/>
        <v>849.36999999999978</v>
      </c>
      <c r="BF257" s="66">
        <f t="shared" si="2147"/>
        <v>906.23999999999967</v>
      </c>
      <c r="BG257" s="66">
        <f t="shared" si="2147"/>
        <v>1012.0499999999997</v>
      </c>
      <c r="BH257" s="66">
        <f t="shared" si="2147"/>
        <v>1108.6999999999998</v>
      </c>
      <c r="BI257" s="66">
        <f t="shared" si="2147"/>
        <v>1189.07</v>
      </c>
      <c r="BJ257" s="66">
        <f t="shared" si="2147"/>
        <v>1288.82</v>
      </c>
      <c r="BK257" s="66">
        <f t="shared" si="2147"/>
        <v>1329.25</v>
      </c>
      <c r="BL257" s="66">
        <f t="shared" si="2147"/>
        <v>1359.9899999999998</v>
      </c>
      <c r="BM257" s="66">
        <f t="shared" si="2147"/>
        <v>1438.18</v>
      </c>
      <c r="BN257" s="66">
        <f t="shared" si="2147"/>
        <v>1427.13</v>
      </c>
      <c r="BO257" s="66">
        <f t="shared" si="2147"/>
        <v>1445.7200000000003</v>
      </c>
      <c r="BP257" s="66">
        <f t="shared" si="2147"/>
        <v>1687.2099999999996</v>
      </c>
      <c r="BQ257" s="66">
        <f t="shared" si="2147"/>
        <v>1841.6899999999996</v>
      </c>
      <c r="BR257" s="66">
        <f t="shared" ref="BR257:CW257" si="2148">SUM(BO59:BR59)</f>
        <v>2114.6499999999996</v>
      </c>
      <c r="BS257" s="66">
        <f t="shared" si="2148"/>
        <v>2415.77</v>
      </c>
      <c r="BT257" s="66">
        <f t="shared" si="2148"/>
        <v>2497.630000000001</v>
      </c>
      <c r="BU257" s="66">
        <f t="shared" si="2148"/>
        <v>2800.8700000000008</v>
      </c>
      <c r="BV257" s="66">
        <f t="shared" si="2148"/>
        <v>3103.2000000000007</v>
      </c>
      <c r="BW257" s="66">
        <f t="shared" si="2148"/>
        <v>3433.8000000000006</v>
      </c>
      <c r="BX257" s="66">
        <f t="shared" si="2148"/>
        <v>3548.5600000000004</v>
      </c>
      <c r="BY257" s="66">
        <f t="shared" si="2148"/>
        <v>3534.2000000000003</v>
      </c>
      <c r="BZ257" s="66">
        <f t="shared" si="2148"/>
        <v>3529.2000000000007</v>
      </c>
      <c r="CA257" s="66">
        <f t="shared" si="2148"/>
        <v>3230.48</v>
      </c>
      <c r="CB257" s="66">
        <f t="shared" si="2148"/>
        <v>3087.579999999999</v>
      </c>
      <c r="CC257" s="66">
        <f t="shared" si="2148"/>
        <v>2819.8899999999994</v>
      </c>
      <c r="CD257" s="66">
        <f t="shared" si="2148"/>
        <v>2584.1099999999992</v>
      </c>
      <c r="CE257" s="66">
        <f t="shared" si="2148"/>
        <v>2491.2799999999997</v>
      </c>
      <c r="CF257" s="66">
        <f t="shared" si="2148"/>
        <v>2403.1100000000006</v>
      </c>
      <c r="CG257" s="66">
        <f t="shared" si="2148"/>
        <v>2456.8500000000004</v>
      </c>
      <c r="CH257" s="66">
        <f t="shared" si="2148"/>
        <v>2718.4400000000005</v>
      </c>
      <c r="CI257" s="66">
        <f t="shared" si="2148"/>
        <v>2936.17</v>
      </c>
      <c r="CJ257" s="66">
        <f t="shared" si="2148"/>
        <v>3172.2800000000007</v>
      </c>
      <c r="CK257" s="66">
        <f t="shared" si="2148"/>
        <v>3332.6800000000003</v>
      </c>
      <c r="CL257" s="66">
        <f t="shared" si="2148"/>
        <v>3400.95</v>
      </c>
      <c r="CM257" s="50">
        <f t="shared" si="2148"/>
        <v>3540.8553041936002</v>
      </c>
      <c r="CN257" s="50">
        <f t="shared" si="2148"/>
        <v>3690.4716168520126</v>
      </c>
      <c r="CO257" s="50">
        <f t="shared" si="2148"/>
        <v>3889.4039716926177</v>
      </c>
      <c r="CP257" s="50">
        <f t="shared" si="2148"/>
        <v>4130.4980116058778</v>
      </c>
      <c r="CQ257" s="50">
        <f t="shared" si="2148"/>
        <v>4326.5439052104939</v>
      </c>
      <c r="CR257" s="50">
        <f t="shared" si="2148"/>
        <v>4522.3945677017764</v>
      </c>
      <c r="CS257" s="50">
        <f t="shared" si="2148"/>
        <v>4734.5689819165036</v>
      </c>
      <c r="CT257" s="50">
        <f t="shared" si="2148"/>
        <v>4998.3161847400415</v>
      </c>
      <c r="CU257" s="50">
        <f t="shared" si="2148"/>
        <v>5208.7494166588704</v>
      </c>
      <c r="CV257" s="50">
        <f t="shared" si="2148"/>
        <v>5406.8095978274187</v>
      </c>
      <c r="CW257" s="50">
        <f t="shared" si="2148"/>
        <v>5607.911887658348</v>
      </c>
      <c r="CX257" s="50">
        <f t="shared" ref="CX257:DB257" si="2149">SUM(CU59:CX59)</f>
        <v>5849.1966388598221</v>
      </c>
      <c r="CY257" s="50">
        <f t="shared" si="2149"/>
        <v>6083.3367617938584</v>
      </c>
      <c r="CZ257" s="50">
        <f t="shared" si="2149"/>
        <v>6305.4985789205512</v>
      </c>
      <c r="DA257" s="50">
        <f t="shared" si="2149"/>
        <v>6537.3636892446948</v>
      </c>
      <c r="DB257" s="50">
        <f t="shared" si="2149"/>
        <v>6831.4408608384074</v>
      </c>
      <c r="DE257" s="132"/>
    </row>
    <row r="258" spans="1:109" s="66" customFormat="1" x14ac:dyDescent="0.2">
      <c r="A258" s="66" t="s">
        <v>473</v>
      </c>
      <c r="AB258" s="50"/>
      <c r="AC258" s="50"/>
      <c r="AD258" s="50"/>
      <c r="AE258" s="50"/>
      <c r="AL258" s="66">
        <f t="shared" ref="AL258:BQ258" si="2150">SUM(AI72:AL72)</f>
        <v>250.32999999999993</v>
      </c>
      <c r="AM258" s="66">
        <f t="shared" si="2150"/>
        <v>272.11999999999989</v>
      </c>
      <c r="AN258" s="66">
        <f t="shared" si="2150"/>
        <v>244.53000000000003</v>
      </c>
      <c r="AO258" s="66">
        <f t="shared" si="2150"/>
        <v>227.34000000000023</v>
      </c>
      <c r="AP258" s="66">
        <f t="shared" si="2150"/>
        <v>216.5400000000003</v>
      </c>
      <c r="AQ258" s="66">
        <f t="shared" si="2150"/>
        <v>265.23000000000047</v>
      </c>
      <c r="AR258" s="66">
        <f t="shared" si="2150"/>
        <v>295.95000000000027</v>
      </c>
      <c r="AS258" s="66">
        <f t="shared" si="2150"/>
        <v>295.28999999999996</v>
      </c>
      <c r="AT258" s="66">
        <f t="shared" si="2150"/>
        <v>302.80999999999977</v>
      </c>
      <c r="AU258" s="66">
        <f t="shared" si="2150"/>
        <v>323.72999999999979</v>
      </c>
      <c r="AV258" s="66">
        <f t="shared" si="2150"/>
        <v>347.35999999999979</v>
      </c>
      <c r="AW258" s="66">
        <f t="shared" si="2150"/>
        <v>372.84000000000009</v>
      </c>
      <c r="AX258" s="66">
        <f t="shared" si="2150"/>
        <v>424.11000000000035</v>
      </c>
      <c r="AY258" s="66">
        <f t="shared" si="2150"/>
        <v>465.25000000000023</v>
      </c>
      <c r="AZ258" s="66">
        <f t="shared" si="2150"/>
        <v>485.97000000000037</v>
      </c>
      <c r="BA258" s="66">
        <f t="shared" si="2150"/>
        <v>497.46000000000032</v>
      </c>
      <c r="BB258" s="66">
        <f t="shared" si="2150"/>
        <v>514.99000000000012</v>
      </c>
      <c r="BC258" s="66">
        <f t="shared" si="2150"/>
        <v>464.24000000000012</v>
      </c>
      <c r="BD258" s="66">
        <f t="shared" si="2150"/>
        <v>444.15999999999997</v>
      </c>
      <c r="BE258" s="66">
        <f t="shared" si="2150"/>
        <v>467.00999999999976</v>
      </c>
      <c r="BF258" s="66">
        <f t="shared" si="2150"/>
        <v>461.6999999999997</v>
      </c>
      <c r="BG258" s="66">
        <f t="shared" si="2150"/>
        <v>487.67999999999978</v>
      </c>
      <c r="BH258" s="66">
        <f t="shared" si="2150"/>
        <v>513.64999999999986</v>
      </c>
      <c r="BI258" s="66">
        <f t="shared" si="2150"/>
        <v>536</v>
      </c>
      <c r="BJ258" s="66">
        <f t="shared" si="2150"/>
        <v>591.38999999999987</v>
      </c>
      <c r="BK258" s="66">
        <f t="shared" si="2150"/>
        <v>636.94000000000005</v>
      </c>
      <c r="BL258" s="66">
        <f t="shared" si="2150"/>
        <v>709.14</v>
      </c>
      <c r="BM258" s="66">
        <f t="shared" si="2150"/>
        <v>901.04000000000008</v>
      </c>
      <c r="BN258" s="66">
        <f t="shared" si="2150"/>
        <v>915.9000000000002</v>
      </c>
      <c r="BO258" s="66">
        <f t="shared" si="2150"/>
        <v>917.43000000000006</v>
      </c>
      <c r="BP258" s="66">
        <f t="shared" si="2150"/>
        <v>1032.1799999999996</v>
      </c>
      <c r="BQ258" s="66">
        <f t="shared" si="2150"/>
        <v>1010.9599999999996</v>
      </c>
      <c r="BR258" s="66">
        <f t="shared" ref="BR258:CW258" si="2151">SUM(BO72:BR72)</f>
        <v>1198.2499999999998</v>
      </c>
      <c r="BS258" s="66">
        <f t="shared" si="2151"/>
        <v>1416.6599999999999</v>
      </c>
      <c r="BT258" s="66">
        <f t="shared" si="2151"/>
        <v>1483.4300000000007</v>
      </c>
      <c r="BU258" s="66">
        <f t="shared" si="2151"/>
        <v>1664.7200000000007</v>
      </c>
      <c r="BV258" s="66">
        <f t="shared" si="2151"/>
        <v>1888.920000000001</v>
      </c>
      <c r="BW258" s="66">
        <f t="shared" si="2151"/>
        <v>2101.6400000000003</v>
      </c>
      <c r="BX258" s="66">
        <f t="shared" si="2151"/>
        <v>2200.1800000000003</v>
      </c>
      <c r="BY258" s="66">
        <f t="shared" si="2151"/>
        <v>2205.5400000000004</v>
      </c>
      <c r="BZ258" s="66">
        <f t="shared" si="2151"/>
        <v>2162.3400000000006</v>
      </c>
      <c r="CA258" s="66">
        <f t="shared" si="2151"/>
        <v>1913.63</v>
      </c>
      <c r="CB258" s="66">
        <f t="shared" si="2151"/>
        <v>1733.4199999999992</v>
      </c>
      <c r="CC258" s="66">
        <f t="shared" si="2151"/>
        <v>1475.9499999999994</v>
      </c>
      <c r="CD258" s="66">
        <f t="shared" si="2151"/>
        <v>1335.7099999999991</v>
      </c>
      <c r="CE258" s="66">
        <f t="shared" si="2151"/>
        <v>1228.6399999999996</v>
      </c>
      <c r="CF258" s="66">
        <f t="shared" si="2151"/>
        <v>1129.2800000000002</v>
      </c>
      <c r="CG258" s="66">
        <f t="shared" si="2151"/>
        <v>1146.9300000000007</v>
      </c>
      <c r="CH258" s="66">
        <f t="shared" si="2151"/>
        <v>1250.7800000000009</v>
      </c>
      <c r="CI258" s="66">
        <f t="shared" si="2151"/>
        <v>1430.8800000000006</v>
      </c>
      <c r="CJ258" s="66">
        <f t="shared" si="2151"/>
        <v>1617.6400000000003</v>
      </c>
      <c r="CK258" s="66">
        <f t="shared" si="2151"/>
        <v>1852.4600000000005</v>
      </c>
      <c r="CL258" s="66">
        <f t="shared" si="2151"/>
        <v>1920.13</v>
      </c>
      <c r="CM258" s="50">
        <f t="shared" si="2151"/>
        <v>2030.0058757412801</v>
      </c>
      <c r="CN258" s="50">
        <f t="shared" si="2151"/>
        <v>2166.0522969502481</v>
      </c>
      <c r="CO258" s="50">
        <f t="shared" si="2151"/>
        <v>2244.5700863968077</v>
      </c>
      <c r="CP258" s="50">
        <f t="shared" si="2151"/>
        <v>2416.7131267231684</v>
      </c>
      <c r="CQ258" s="50">
        <f t="shared" si="2151"/>
        <v>2514.7244294846155</v>
      </c>
      <c r="CR258" s="50">
        <f t="shared" si="2151"/>
        <v>2612.2733978240954</v>
      </c>
      <c r="CS258" s="50">
        <f t="shared" si="2151"/>
        <v>2708.2615294103662</v>
      </c>
      <c r="CT258" s="50">
        <f t="shared" si="2151"/>
        <v>2866.2299638458244</v>
      </c>
      <c r="CU258" s="50">
        <f t="shared" si="2151"/>
        <v>3057.914209773463</v>
      </c>
      <c r="CV258" s="50">
        <f t="shared" si="2151"/>
        <v>3244.6257352473181</v>
      </c>
      <c r="CW258" s="50">
        <f t="shared" si="2151"/>
        <v>3439.375631880881</v>
      </c>
      <c r="CX258" s="50">
        <f t="shared" ref="CX258:DB258" si="2152">SUM(CU72:CX72)</f>
        <v>3680.181405180746</v>
      </c>
      <c r="CY258" s="50">
        <f t="shared" si="2152"/>
        <v>3898.8069103848293</v>
      </c>
      <c r="CZ258" s="50">
        <f t="shared" si="2152"/>
        <v>4112.9119526497079</v>
      </c>
      <c r="DA258" s="50">
        <f t="shared" si="2152"/>
        <v>4337.7249441857812</v>
      </c>
      <c r="DB258" s="50">
        <f t="shared" si="2152"/>
        <v>4610.8508487364033</v>
      </c>
      <c r="DE258" s="132"/>
    </row>
    <row r="259" spans="1:109" s="93" customFormat="1" x14ac:dyDescent="0.2">
      <c r="AB259" s="30"/>
      <c r="AC259" s="30"/>
      <c r="AD259" s="30"/>
      <c r="AE259" s="30"/>
      <c r="CM259" s="30"/>
      <c r="CN259" s="30"/>
      <c r="CO259" s="30"/>
      <c r="CP259" s="30"/>
      <c r="CQ259" s="30"/>
      <c r="CR259" s="30"/>
      <c r="CS259" s="30"/>
      <c r="CT259" s="30"/>
      <c r="CU259" s="30"/>
      <c r="CV259" s="30"/>
      <c r="CW259" s="30"/>
      <c r="CX259" s="30"/>
      <c r="CY259" s="30"/>
      <c r="CZ259" s="30"/>
      <c r="DA259" s="30"/>
      <c r="DB259" s="30"/>
      <c r="DE259" s="133"/>
    </row>
    <row r="260" spans="1:109" s="11" customFormat="1" x14ac:dyDescent="0.2">
      <c r="AB260" s="63"/>
      <c r="AC260" s="63"/>
      <c r="AD260" s="63"/>
      <c r="AE260" s="63"/>
      <c r="CM260" s="30"/>
      <c r="CN260" s="30"/>
      <c r="CO260" s="30"/>
      <c r="CP260" s="30"/>
      <c r="CQ260" s="30"/>
      <c r="CR260" s="30"/>
      <c r="CS260" s="30"/>
      <c r="CT260" s="30"/>
      <c r="CU260" s="30"/>
      <c r="CV260" s="30"/>
      <c r="CW260" s="30"/>
      <c r="CX260" s="30"/>
      <c r="CY260" s="30"/>
      <c r="CZ260" s="30"/>
      <c r="DA260" s="30"/>
      <c r="DB260" s="30"/>
      <c r="DE260" s="133"/>
    </row>
    <row r="261" spans="1:109" s="62" customFormat="1" hidden="1" outlineLevel="1" x14ac:dyDescent="0.2">
      <c r="A261" s="61" t="s">
        <v>339</v>
      </c>
      <c r="AB261" s="63"/>
      <c r="AC261" s="63"/>
      <c r="AD261" s="63"/>
      <c r="AE261" s="63"/>
      <c r="CM261" s="30"/>
      <c r="CN261" s="30"/>
      <c r="CO261" s="30"/>
      <c r="CP261" s="30"/>
      <c r="CQ261" s="30"/>
      <c r="CR261" s="30"/>
      <c r="CS261" s="30"/>
      <c r="CT261" s="30"/>
      <c r="CU261" s="30"/>
      <c r="CV261" s="30"/>
      <c r="CW261" s="30"/>
      <c r="CX261" s="30"/>
      <c r="CY261" s="30"/>
      <c r="CZ261" s="30"/>
      <c r="DA261" s="30"/>
      <c r="DB261" s="30"/>
      <c r="DE261" s="133"/>
    </row>
    <row r="262" spans="1:109" s="64" customFormat="1" hidden="1" outlineLevel="1" x14ac:dyDescent="0.2">
      <c r="A262" s="64" t="s">
        <v>474</v>
      </c>
      <c r="B262" s="64">
        <f t="shared" ref="B262:Z262" si="2153">B39-B268</f>
        <v>815.95240000000001</v>
      </c>
      <c r="C262" s="64">
        <f t="shared" si="2153"/>
        <v>971.02829999999994</v>
      </c>
      <c r="D262" s="64">
        <f t="shared" si="2153"/>
        <v>1121.5823</v>
      </c>
      <c r="E262" s="64">
        <f t="shared" si="2153"/>
        <v>1021.1653</v>
      </c>
      <c r="F262" s="64">
        <f t="shared" si="2153"/>
        <v>1249.6859999999999</v>
      </c>
      <c r="G262" s="64">
        <f t="shared" si="2153"/>
        <v>1513.7455</v>
      </c>
      <c r="H262" s="64">
        <f t="shared" si="2153"/>
        <v>2047.4395</v>
      </c>
      <c r="I262" s="64">
        <f t="shared" si="2153"/>
        <v>1853.2281</v>
      </c>
      <c r="J262" s="64">
        <f t="shared" si="2153"/>
        <v>2180.8802000000001</v>
      </c>
      <c r="K262" s="64">
        <f t="shared" si="2153"/>
        <v>2661.9231</v>
      </c>
      <c r="L262" s="64">
        <f t="shared" si="2153"/>
        <v>3754.8382999999999</v>
      </c>
      <c r="M262" s="64">
        <f t="shared" si="2153"/>
        <v>4261.4804999999997</v>
      </c>
      <c r="N262" s="64">
        <f t="shared" si="2153"/>
        <v>4065.7584000000002</v>
      </c>
      <c r="O262" s="64">
        <f t="shared" si="2153"/>
        <v>4319.8558999999996</v>
      </c>
      <c r="P262" s="64">
        <f t="shared" si="2153"/>
        <v>4866.58</v>
      </c>
      <c r="Q262" s="64">
        <f t="shared" si="2153"/>
        <v>4898.2700000000004</v>
      </c>
      <c r="R262" s="64">
        <f t="shared" si="2153"/>
        <v>5136.59</v>
      </c>
      <c r="S262" s="64">
        <f t="shared" si="2153"/>
        <v>5791.15</v>
      </c>
      <c r="T262" s="64">
        <f t="shared" si="2153"/>
        <v>6969.72</v>
      </c>
      <c r="U262" s="64">
        <f t="shared" si="2153"/>
        <v>7309.88</v>
      </c>
      <c r="V262" s="64">
        <f t="shared" si="2153"/>
        <v>8543.34</v>
      </c>
      <c r="W262" s="64">
        <f t="shared" si="2153"/>
        <v>12542.01</v>
      </c>
      <c r="X262" s="64">
        <f t="shared" si="2153"/>
        <v>15072.56</v>
      </c>
      <c r="Y262" s="64">
        <f t="shared" si="2153"/>
        <v>13431.32</v>
      </c>
      <c r="Z262" s="64">
        <f t="shared" si="2153"/>
        <v>14931.71</v>
      </c>
      <c r="AA262" s="64">
        <f t="shared" ref="AA262" si="2154">AA39-AA268</f>
        <v>16079.36</v>
      </c>
      <c r="AB262" s="30"/>
      <c r="AC262" s="30"/>
      <c r="AD262" s="30"/>
      <c r="AE262" s="30"/>
      <c r="AI262" s="64">
        <f t="shared" ref="AI262:BN262" si="2155">AI39-AI268</f>
        <v>811.77</v>
      </c>
      <c r="AJ262" s="64">
        <f t="shared" si="2155"/>
        <v>803.74</v>
      </c>
      <c r="AK262" s="64">
        <f t="shared" si="2155"/>
        <v>888.89</v>
      </c>
      <c r="AL262" s="64">
        <f t="shared" si="2155"/>
        <v>818.15</v>
      </c>
      <c r="AM262" s="64">
        <f t="shared" si="2155"/>
        <v>824.91</v>
      </c>
      <c r="AN262" s="64">
        <f t="shared" si="2155"/>
        <v>843.8900000000001</v>
      </c>
      <c r="AO262" s="64">
        <f t="shared" si="2155"/>
        <v>861.57</v>
      </c>
      <c r="AP262" s="64">
        <f t="shared" si="2155"/>
        <v>886.78</v>
      </c>
      <c r="AQ262" s="64">
        <f t="shared" si="2155"/>
        <v>1155.8700000000001</v>
      </c>
      <c r="AR262" s="64">
        <f t="shared" si="2155"/>
        <v>1189.47</v>
      </c>
      <c r="AS262" s="64">
        <f t="shared" si="2155"/>
        <v>1113.1499999999999</v>
      </c>
      <c r="AT262" s="64">
        <f t="shared" si="2155"/>
        <v>1081.3599999999999</v>
      </c>
      <c r="AU262" s="64">
        <f t="shared" si="2155"/>
        <v>1221.3700000000001</v>
      </c>
      <c r="AV262" s="64">
        <f t="shared" si="2155"/>
        <v>1241.71</v>
      </c>
      <c r="AW262" s="64">
        <f t="shared" si="2155"/>
        <v>1165.21</v>
      </c>
      <c r="AX262" s="64">
        <f t="shared" si="2155"/>
        <v>1183.3400000000001</v>
      </c>
      <c r="AY262" s="64">
        <f t="shared" si="2155"/>
        <v>1299.3500000000001</v>
      </c>
      <c r="AZ262" s="64">
        <f t="shared" si="2155"/>
        <v>1215.3500000000001</v>
      </c>
      <c r="BA262" s="64">
        <f t="shared" si="2155"/>
        <v>1205.45</v>
      </c>
      <c r="BB262" s="64">
        <f t="shared" si="2155"/>
        <v>1416.44</v>
      </c>
      <c r="BC262" s="64">
        <f t="shared" si="2155"/>
        <v>1389.11</v>
      </c>
      <c r="BD262" s="64">
        <f t="shared" si="2155"/>
        <v>1286.43</v>
      </c>
      <c r="BE262" s="64">
        <f t="shared" si="2155"/>
        <v>1397.06</v>
      </c>
      <c r="BF262" s="64">
        <f t="shared" si="2155"/>
        <v>1612.27</v>
      </c>
      <c r="BG262" s="64">
        <f t="shared" si="2155"/>
        <v>1676.23</v>
      </c>
      <c r="BH262" s="64">
        <f t="shared" si="2155"/>
        <v>1754.95</v>
      </c>
      <c r="BI262" s="64">
        <f t="shared" si="2155"/>
        <v>1808.78</v>
      </c>
      <c r="BJ262" s="64">
        <f t="shared" si="2155"/>
        <v>1936.97</v>
      </c>
      <c r="BK262" s="64">
        <f t="shared" si="2155"/>
        <v>1763.29</v>
      </c>
      <c r="BL262" s="64">
        <f t="shared" si="2155"/>
        <v>1737.8000000000002</v>
      </c>
      <c r="BM262" s="64">
        <f t="shared" si="2155"/>
        <v>1850.49</v>
      </c>
      <c r="BN262" s="64">
        <f t="shared" si="2155"/>
        <v>1857.83</v>
      </c>
      <c r="BO262" s="64">
        <f t="shared" ref="BO262:CT262" si="2156">BO39-BO268</f>
        <v>1545.1499999999999</v>
      </c>
      <c r="BP262" s="64">
        <f t="shared" si="2156"/>
        <v>2100.83</v>
      </c>
      <c r="BQ262" s="64">
        <f t="shared" si="2156"/>
        <v>2146.41</v>
      </c>
      <c r="BR262" s="64">
        <f t="shared" si="2156"/>
        <v>2607.65</v>
      </c>
      <c r="BS262" s="64">
        <f t="shared" si="2156"/>
        <v>2699.4</v>
      </c>
      <c r="BT262" s="64">
        <f t="shared" si="2156"/>
        <v>2838.9700000000003</v>
      </c>
      <c r="BU262" s="64">
        <f t="shared" si="2156"/>
        <v>3345.87</v>
      </c>
      <c r="BV262" s="64">
        <f t="shared" si="2156"/>
        <v>3549.42</v>
      </c>
      <c r="BW262" s="64">
        <f t="shared" si="2156"/>
        <v>3894.72</v>
      </c>
      <c r="BX262" s="64">
        <f t="shared" si="2156"/>
        <v>3727.78</v>
      </c>
      <c r="BY262" s="64">
        <f t="shared" si="2156"/>
        <v>3469.66</v>
      </c>
      <c r="BZ262" s="64">
        <f t="shared" si="2156"/>
        <v>3778.09</v>
      </c>
      <c r="CA262" s="64">
        <f t="shared" si="2156"/>
        <v>3338.3799999999997</v>
      </c>
      <c r="CB262" s="64">
        <f t="shared" si="2156"/>
        <v>3177.3599999999997</v>
      </c>
      <c r="CC262" s="64">
        <f t="shared" si="2156"/>
        <v>3053.0400000000004</v>
      </c>
      <c r="CD262" s="64">
        <f t="shared" si="2156"/>
        <v>3569.7400000000002</v>
      </c>
      <c r="CE262" s="64">
        <f t="shared" si="2156"/>
        <v>3464.12</v>
      </c>
      <c r="CF262" s="64">
        <f t="shared" si="2156"/>
        <v>3424.2999999999997</v>
      </c>
      <c r="CG262" s="64">
        <f t="shared" si="2156"/>
        <v>3491.31</v>
      </c>
      <c r="CH262" s="64">
        <f t="shared" si="2156"/>
        <v>4313.34</v>
      </c>
      <c r="CI262" s="64">
        <f t="shared" si="2156"/>
        <v>3818.62</v>
      </c>
      <c r="CJ262" s="64">
        <f t="shared" si="2156"/>
        <v>3640.19</v>
      </c>
      <c r="CK262" s="64">
        <f t="shared" si="2156"/>
        <v>3712.53</v>
      </c>
      <c r="CL262" s="64">
        <f t="shared" ref="CL262" si="2157">CL39-CL268</f>
        <v>4615.17</v>
      </c>
      <c r="CM262" s="30">
        <f t="shared" si="2156"/>
        <v>4304.800605450193</v>
      </c>
      <c r="CN262" s="30">
        <f t="shared" si="2156"/>
        <v>4100.7488192449109</v>
      </c>
      <c r="CO262" s="30">
        <f t="shared" si="2156"/>
        <v>4295.965916086906</v>
      </c>
      <c r="CP262" s="30">
        <f t="shared" si="2156"/>
        <v>5468.562570961195</v>
      </c>
      <c r="CQ262" s="30">
        <f t="shared" si="2156"/>
        <v>4977.8379904444555</v>
      </c>
      <c r="CR262" s="30">
        <f t="shared" si="2156"/>
        <v>4770.4517186040312</v>
      </c>
      <c r="CS262" s="30">
        <f t="shared" si="2156"/>
        <v>5025.627619726527</v>
      </c>
      <c r="CT262" s="30">
        <f t="shared" si="2156"/>
        <v>6397.4242017778024</v>
      </c>
      <c r="CU262" s="30">
        <f t="shared" ref="CU262:DB262" si="2158">CU39-CU268</f>
        <v>5798.3860941774319</v>
      </c>
      <c r="CV262" s="30">
        <f t="shared" si="2158"/>
        <v>5566.9448475705622</v>
      </c>
      <c r="CW262" s="30">
        <f t="shared" si="2158"/>
        <v>5869.313723240939</v>
      </c>
      <c r="CX262" s="30">
        <f t="shared" si="2158"/>
        <v>7468.2501886435657</v>
      </c>
      <c r="CY262" s="30">
        <f t="shared" si="2158"/>
        <v>6765.3609537331613</v>
      </c>
      <c r="CZ262" s="30">
        <f t="shared" si="2158"/>
        <v>6498.0035406063862</v>
      </c>
      <c r="DA262" s="30">
        <f t="shared" si="2158"/>
        <v>6851.3593630930473</v>
      </c>
      <c r="DB262" s="30">
        <f t="shared" si="2158"/>
        <v>8716.7856797993973</v>
      </c>
      <c r="DE262" s="133"/>
    </row>
    <row r="263" spans="1:109" s="64" customFormat="1" hidden="1" outlineLevel="1" x14ac:dyDescent="0.2">
      <c r="A263" s="64" t="s">
        <v>475</v>
      </c>
      <c r="B263" s="64">
        <f t="shared" ref="B263:Z263" si="2159">B59-B269</f>
        <v>139.69839999999994</v>
      </c>
      <c r="C263" s="64">
        <f t="shared" si="2159"/>
        <v>90.805999999999955</v>
      </c>
      <c r="D263" s="64">
        <f t="shared" si="2159"/>
        <v>139.16670000000008</v>
      </c>
      <c r="E263" s="64">
        <f t="shared" si="2159"/>
        <v>124.58389999999991</v>
      </c>
      <c r="F263" s="64">
        <f t="shared" si="2159"/>
        <v>146.41769999999991</v>
      </c>
      <c r="G263" s="64">
        <f t="shared" si="2159"/>
        <v>255.4855</v>
      </c>
      <c r="H263" s="64">
        <f t="shared" si="2159"/>
        <v>550.51979999999992</v>
      </c>
      <c r="I263" s="64">
        <f t="shared" si="2159"/>
        <v>319.9177000000002</v>
      </c>
      <c r="J263" s="64">
        <f t="shared" si="2159"/>
        <v>371.27340000000015</v>
      </c>
      <c r="K263" s="64">
        <f t="shared" si="2159"/>
        <v>618.65339999999992</v>
      </c>
      <c r="L263" s="64">
        <f t="shared" si="2159"/>
        <v>900.90449999999964</v>
      </c>
      <c r="M263" s="64">
        <f t="shared" si="2159"/>
        <v>831.42250000000001</v>
      </c>
      <c r="N263" s="64">
        <f t="shared" si="2159"/>
        <v>614.25689999999997</v>
      </c>
      <c r="O263" s="64">
        <f t="shared" si="2159"/>
        <v>505.29079999999976</v>
      </c>
      <c r="P263" s="64">
        <f t="shared" si="2159"/>
        <v>717.46000000000095</v>
      </c>
      <c r="Q263" s="64">
        <f t="shared" si="2159"/>
        <v>962.52000000000066</v>
      </c>
      <c r="R263" s="64">
        <f t="shared" si="2159"/>
        <v>968.99000000000069</v>
      </c>
      <c r="S263" s="64">
        <f t="shared" si="2159"/>
        <v>906.24000000000046</v>
      </c>
      <c r="T263" s="64">
        <f t="shared" si="2159"/>
        <v>1296.9999999999998</v>
      </c>
      <c r="U263" s="64">
        <f t="shared" si="2159"/>
        <v>1454.9399999999996</v>
      </c>
      <c r="V263" s="64">
        <f t="shared" si="2159"/>
        <v>2133.3300000000004</v>
      </c>
      <c r="W263" s="64">
        <f t="shared" si="2159"/>
        <v>3103.2000000000003</v>
      </c>
      <c r="X263" s="64">
        <f t="shared" si="2159"/>
        <v>3529.1999999999994</v>
      </c>
      <c r="Y263" s="64">
        <f t="shared" si="2159"/>
        <v>2584.11</v>
      </c>
      <c r="Z263" s="64">
        <f t="shared" si="2159"/>
        <v>2718.4399999999987</v>
      </c>
      <c r="AA263" s="64">
        <f t="shared" ref="AA263" si="2160">AA59-AA269</f>
        <v>3409.6400000000012</v>
      </c>
      <c r="AB263" s="30"/>
      <c r="AC263" s="30"/>
      <c r="AD263" s="30"/>
      <c r="AE263" s="30"/>
      <c r="AI263" s="64">
        <f t="shared" ref="AI263:BN263" si="2161">AI59-AI269</f>
        <v>88.420000000000016</v>
      </c>
      <c r="AJ263" s="64">
        <f t="shared" si="2161"/>
        <v>111.35000000000002</v>
      </c>
      <c r="AK263" s="64">
        <f t="shared" si="2161"/>
        <v>195.10999999999996</v>
      </c>
      <c r="AL263" s="64">
        <f t="shared" si="2161"/>
        <v>133.16999999999996</v>
      </c>
      <c r="AM263" s="64">
        <f t="shared" si="2161"/>
        <v>111.28999999999999</v>
      </c>
      <c r="AN263" s="64">
        <f t="shared" si="2161"/>
        <v>127.01000000000016</v>
      </c>
      <c r="AO263" s="64">
        <f t="shared" si="2161"/>
        <v>145.2000000000001</v>
      </c>
      <c r="AP263" s="64">
        <f t="shared" si="2161"/>
        <v>106.03000000000003</v>
      </c>
      <c r="AQ263" s="64">
        <f t="shared" si="2161"/>
        <v>181.26000000000016</v>
      </c>
      <c r="AR263" s="64">
        <f t="shared" si="2161"/>
        <v>193.56999999999994</v>
      </c>
      <c r="AS263" s="64">
        <f t="shared" si="2161"/>
        <v>180.80999999999977</v>
      </c>
      <c r="AT263" s="64">
        <f t="shared" si="2161"/>
        <v>158.65999999999985</v>
      </c>
      <c r="AU263" s="64">
        <f t="shared" si="2161"/>
        <v>267.18000000000018</v>
      </c>
      <c r="AV263" s="64">
        <f t="shared" si="2161"/>
        <v>238.09999999999991</v>
      </c>
      <c r="AW263" s="64">
        <f t="shared" si="2161"/>
        <v>227.18000000000006</v>
      </c>
      <c r="AX263" s="64">
        <f t="shared" si="2161"/>
        <v>224.80000000000018</v>
      </c>
      <c r="AY263" s="64">
        <f t="shared" si="2161"/>
        <v>289.84000000000003</v>
      </c>
      <c r="AZ263" s="64">
        <f t="shared" si="2161"/>
        <v>232.5800000000001</v>
      </c>
      <c r="BA263" s="64">
        <f t="shared" si="2161"/>
        <v>226.77999999999997</v>
      </c>
      <c r="BB263" s="64">
        <f t="shared" si="2161"/>
        <v>215.74000000000007</v>
      </c>
      <c r="BC263" s="64">
        <f t="shared" si="2161"/>
        <v>198.41999999999996</v>
      </c>
      <c r="BD263" s="64">
        <f t="shared" si="2161"/>
        <v>203.61</v>
      </c>
      <c r="BE263" s="64">
        <f t="shared" si="2161"/>
        <v>231.5999999999998</v>
      </c>
      <c r="BF263" s="64">
        <f t="shared" si="2161"/>
        <v>272.6099999999999</v>
      </c>
      <c r="BG263" s="64">
        <f t="shared" si="2161"/>
        <v>304.23</v>
      </c>
      <c r="BH263" s="64">
        <f t="shared" si="2161"/>
        <v>300.2600000000001</v>
      </c>
      <c r="BI263" s="64">
        <f t="shared" si="2161"/>
        <v>311.96999999999991</v>
      </c>
      <c r="BJ263" s="64">
        <f t="shared" si="2161"/>
        <v>372.3599999999999</v>
      </c>
      <c r="BK263" s="64">
        <f t="shared" si="2161"/>
        <v>344.66000000000008</v>
      </c>
      <c r="BL263" s="64">
        <f t="shared" si="2161"/>
        <v>331.00000000000011</v>
      </c>
      <c r="BM263" s="64">
        <f t="shared" si="2161"/>
        <v>390.16000000000008</v>
      </c>
      <c r="BN263" s="64">
        <f t="shared" si="2161"/>
        <v>361.30999999999995</v>
      </c>
      <c r="BO263" s="64">
        <f t="shared" ref="BO263:CT263" si="2162">BO59-BO269</f>
        <v>363.25</v>
      </c>
      <c r="BP263" s="64">
        <f t="shared" si="2162"/>
        <v>572.48999999999955</v>
      </c>
      <c r="BQ263" s="64">
        <f t="shared" si="2162"/>
        <v>544.64</v>
      </c>
      <c r="BR263" s="64">
        <f t="shared" si="2162"/>
        <v>634.2700000000001</v>
      </c>
      <c r="BS263" s="64">
        <f t="shared" si="2162"/>
        <v>664.37000000000035</v>
      </c>
      <c r="BT263" s="64">
        <f t="shared" si="2162"/>
        <v>654.35000000000036</v>
      </c>
      <c r="BU263" s="64">
        <f t="shared" si="2162"/>
        <v>847.87999999999988</v>
      </c>
      <c r="BV263" s="64">
        <f t="shared" si="2162"/>
        <v>936.60000000000036</v>
      </c>
      <c r="BW263" s="64">
        <f t="shared" si="2162"/>
        <v>994.9699999999998</v>
      </c>
      <c r="BX263" s="64">
        <f t="shared" si="2162"/>
        <v>769.11000000000035</v>
      </c>
      <c r="BY263" s="64">
        <f t="shared" si="2162"/>
        <v>833.52</v>
      </c>
      <c r="BZ263" s="64">
        <f t="shared" si="2162"/>
        <v>931.60000000000014</v>
      </c>
      <c r="CA263" s="64">
        <f t="shared" si="2162"/>
        <v>696.24999999999955</v>
      </c>
      <c r="CB263" s="64">
        <f t="shared" si="2162"/>
        <v>626.20999999999935</v>
      </c>
      <c r="CC263" s="64">
        <f t="shared" si="2162"/>
        <v>565.83000000000015</v>
      </c>
      <c r="CD263" s="64">
        <f t="shared" si="2162"/>
        <v>695.82000000000016</v>
      </c>
      <c r="CE263" s="64">
        <f t="shared" si="2162"/>
        <v>603.42000000000007</v>
      </c>
      <c r="CF263" s="64">
        <f t="shared" si="2162"/>
        <v>538.04</v>
      </c>
      <c r="CG263" s="64">
        <f t="shared" si="2162"/>
        <v>619.57000000000039</v>
      </c>
      <c r="CH263" s="64">
        <f t="shared" si="2162"/>
        <v>957.41000000000031</v>
      </c>
      <c r="CI263" s="64">
        <f t="shared" si="2162"/>
        <v>821.14999999999986</v>
      </c>
      <c r="CJ263" s="64">
        <f t="shared" si="2162"/>
        <v>774.14999999999986</v>
      </c>
      <c r="CK263" s="64">
        <f t="shared" si="2162"/>
        <v>779.97000000000025</v>
      </c>
      <c r="CL263" s="64">
        <f t="shared" ref="CL263" si="2163">CL59-CL269</f>
        <v>1025.68</v>
      </c>
      <c r="CM263" s="30">
        <f t="shared" si="2162"/>
        <v>961.05530419360025</v>
      </c>
      <c r="CN263" s="30">
        <f t="shared" si="2162"/>
        <v>923.76631265841206</v>
      </c>
      <c r="CO263" s="30">
        <f t="shared" si="2162"/>
        <v>978.90235484060531</v>
      </c>
      <c r="CP263" s="30">
        <f t="shared" si="2162"/>
        <v>1266.7740399132599</v>
      </c>
      <c r="CQ263" s="30">
        <f t="shared" si="2162"/>
        <v>1157.1011977982168</v>
      </c>
      <c r="CR263" s="30">
        <f t="shared" si="2162"/>
        <v>1119.6169751496946</v>
      </c>
      <c r="CS263" s="30">
        <f t="shared" si="2162"/>
        <v>1191.0767690553321</v>
      </c>
      <c r="CT263" s="30">
        <f t="shared" si="2162"/>
        <v>1530.5212427367978</v>
      </c>
      <c r="CU263" s="30">
        <f t="shared" ref="CU263:DB263" si="2164">CU59-CU269</f>
        <v>1367.5344297170461</v>
      </c>
      <c r="CV263" s="30">
        <f t="shared" si="2164"/>
        <v>1317.6771563182426</v>
      </c>
      <c r="CW263" s="30">
        <f t="shared" si="2164"/>
        <v>1392.1790588862616</v>
      </c>
      <c r="CX263" s="30">
        <f t="shared" si="2164"/>
        <v>1771.8059939382722</v>
      </c>
      <c r="CY263" s="30">
        <f t="shared" si="2164"/>
        <v>1601.6745526510817</v>
      </c>
      <c r="CZ263" s="30">
        <f t="shared" si="2164"/>
        <v>1539.8389734449352</v>
      </c>
      <c r="DA263" s="30">
        <f t="shared" si="2164"/>
        <v>1624.0441692104057</v>
      </c>
      <c r="DB263" s="30">
        <f t="shared" si="2164"/>
        <v>2065.8831655319841</v>
      </c>
      <c r="DE263" s="133"/>
    </row>
    <row r="264" spans="1:109" s="89" customFormat="1" hidden="1" outlineLevel="1" x14ac:dyDescent="0.2">
      <c r="A264" s="86" t="s">
        <v>476</v>
      </c>
      <c r="B264" s="86">
        <f>+B263/B262</f>
        <v>0.17120900679990639</v>
      </c>
      <c r="C264" s="86">
        <f t="shared" ref="C264" si="2165">+C263/C262</f>
        <v>9.3515297133976383E-2</v>
      </c>
      <c r="D264" s="86">
        <f t="shared" ref="D264" si="2166">+D263/D262</f>
        <v>0.12408068493948243</v>
      </c>
      <c r="E264" s="86">
        <f t="shared" ref="E264" si="2167">+E263/E262</f>
        <v>0.12200169747248552</v>
      </c>
      <c r="F264" s="86">
        <f t="shared" ref="F264" si="2168">+F263/F262</f>
        <v>0.11716359149418328</v>
      </c>
      <c r="G264" s="86">
        <f t="shared" ref="G264" si="2169">+G263/G262</f>
        <v>0.1687770500391248</v>
      </c>
      <c r="H264" s="86">
        <f t="shared" ref="H264" si="2170">+H263/H262</f>
        <v>0.26888208418368403</v>
      </c>
      <c r="I264" s="86">
        <f t="shared" ref="I264" si="2171">+I263/I262</f>
        <v>0.17262726590428895</v>
      </c>
      <c r="J264" s="86">
        <f t="shared" ref="J264" si="2172">+J263/J262</f>
        <v>0.1702401626645976</v>
      </c>
      <c r="K264" s="86">
        <f t="shared" ref="K264" si="2173">+K263/K262</f>
        <v>0.2324084418516823</v>
      </c>
      <c r="L264" s="86">
        <f t="shared" ref="L264" si="2174">+L263/L262</f>
        <v>0.23993163700285033</v>
      </c>
      <c r="M264" s="86">
        <f t="shared" ref="M264" si="2175">+M263/M262</f>
        <v>0.19510179619500784</v>
      </c>
      <c r="N264" s="86">
        <f t="shared" ref="N264" si="2176">+N263/N262</f>
        <v>0.15108052165618102</v>
      </c>
      <c r="O264" s="86">
        <f t="shared" ref="O264" si="2177">+O263/O262</f>
        <v>0.11696936464940876</v>
      </c>
      <c r="P264" s="86">
        <f t="shared" ref="P264" si="2178">+P263/P262</f>
        <v>0.14742591306420544</v>
      </c>
      <c r="Q264" s="86">
        <f t="shared" ref="Q264" si="2179">+Q263/Q262</f>
        <v>0.19650203030866012</v>
      </c>
      <c r="R264" s="86">
        <f t="shared" ref="R264" si="2180">+R263/R262</f>
        <v>0.18864460663592006</v>
      </c>
      <c r="S264" s="86">
        <f t="shared" ref="S264" si="2181">+S263/S262</f>
        <v>0.15648705352132142</v>
      </c>
      <c r="T264" s="86">
        <f t="shared" ref="T264" si="2182">+T263/T262</f>
        <v>0.18609068943946094</v>
      </c>
      <c r="U264" s="86">
        <f t="shared" ref="U264" si="2183">+U263/U262</f>
        <v>0.19903746709932305</v>
      </c>
      <c r="V264" s="86">
        <f t="shared" ref="V264" si="2184">+V263/V262</f>
        <v>0.24970678914803815</v>
      </c>
      <c r="W264" s="86">
        <f t="shared" ref="W264" si="2185">+W263/W262</f>
        <v>0.24742445588864945</v>
      </c>
      <c r="X264" s="86">
        <f t="shared" ref="X264:Y264" si="2186">+X263/X262</f>
        <v>0.23414735121306529</v>
      </c>
      <c r="Y264" s="86">
        <f t="shared" si="2186"/>
        <v>0.19239434396619245</v>
      </c>
      <c r="Z264" s="86">
        <f t="shared" ref="Z264:AA264" si="2187">+Z263/Z262</f>
        <v>0.18205818355700712</v>
      </c>
      <c r="AA264" s="86">
        <f t="shared" si="2187"/>
        <v>0.21205072838719957</v>
      </c>
      <c r="AB264" s="87"/>
      <c r="AC264" s="87"/>
      <c r="AD264" s="87"/>
      <c r="AE264" s="87"/>
      <c r="AF264" s="86"/>
      <c r="AG264" s="86"/>
      <c r="AH264" s="86"/>
      <c r="AI264" s="86">
        <f t="shared" ref="AI264" si="2188">+AI263/AI262</f>
        <v>0.10892247804180989</v>
      </c>
      <c r="AJ264" s="86">
        <f t="shared" ref="AJ264" si="2189">+AJ263/AJ262</f>
        <v>0.13853982631199147</v>
      </c>
      <c r="AK264" s="86">
        <f t="shared" ref="AK264" si="2190">+AK263/AK262</f>
        <v>0.21949847562690541</v>
      </c>
      <c r="AL264" s="86">
        <f t="shared" ref="AL264" si="2191">+AL263/AL262</f>
        <v>0.16276966326468248</v>
      </c>
      <c r="AM264" s="86">
        <f t="shared" ref="AM264" si="2192">+AM263/AM262</f>
        <v>0.13491168733558812</v>
      </c>
      <c r="AN264" s="86">
        <f t="shared" ref="AN264" si="2193">+AN263/AN262</f>
        <v>0.15050539762291312</v>
      </c>
      <c r="AO264" s="86">
        <f t="shared" ref="AO264" si="2194">+AO263/AO262</f>
        <v>0.16852954490058858</v>
      </c>
      <c r="AP264" s="86">
        <f t="shared" ref="AP264" si="2195">+AP263/AP262</f>
        <v>0.11956742371275855</v>
      </c>
      <c r="AQ264" s="86">
        <f t="shared" ref="AQ264" si="2196">+AQ263/AQ262</f>
        <v>0.15681694308183458</v>
      </c>
      <c r="AR264" s="86">
        <f t="shared" ref="AR264" si="2197">+AR263/AR262</f>
        <v>0.16273634475858989</v>
      </c>
      <c r="AS264" s="86">
        <f t="shared" ref="AS264" si="2198">+AS263/AS262</f>
        <v>0.16243093922651916</v>
      </c>
      <c r="AT264" s="86">
        <f t="shared" ref="AT264" si="2199">+AT263/AT262</f>
        <v>0.14672264555744605</v>
      </c>
      <c r="AU264" s="86">
        <f t="shared" ref="AU264" si="2200">+AU263/AU262</f>
        <v>0.21875434962378326</v>
      </c>
      <c r="AV264" s="86">
        <f t="shared" ref="AV264" si="2201">+AV263/AV262</f>
        <v>0.19175169725620306</v>
      </c>
      <c r="AW264" s="86">
        <f t="shared" ref="AW264" si="2202">+AW263/AW262</f>
        <v>0.19496914719235164</v>
      </c>
      <c r="AX264" s="86">
        <f t="shared" ref="AX264" si="2203">+AX263/AX262</f>
        <v>0.1899707607281087</v>
      </c>
      <c r="AY264" s="86">
        <f t="shared" ref="AY264" si="2204">+AY263/AY262</f>
        <v>0.2230653788432678</v>
      </c>
      <c r="AZ264" s="86">
        <f t="shared" ref="AZ264" si="2205">+AZ263/AZ262</f>
        <v>0.19136874151479003</v>
      </c>
      <c r="BA264" s="86">
        <f t="shared" ref="BA264" si="2206">+BA263/BA262</f>
        <v>0.18812891451325228</v>
      </c>
      <c r="BB264" s="86">
        <f t="shared" ref="BB264" si="2207">+BB263/BB262</f>
        <v>0.15231142865211378</v>
      </c>
      <c r="BC264" s="86">
        <f t="shared" ref="BC264" si="2208">+BC263/BC262</f>
        <v>0.14283965992613973</v>
      </c>
      <c r="BD264" s="86">
        <f t="shared" ref="BD264" si="2209">+BD263/BD262</f>
        <v>0.15827522679042</v>
      </c>
      <c r="BE264" s="86">
        <f t="shared" ref="BE264" si="2210">+BE263/BE262</f>
        <v>0.16577670250382934</v>
      </c>
      <c r="BF264" s="86">
        <f t="shared" ref="BF264" si="2211">+BF263/BF262</f>
        <v>0.1690845826071315</v>
      </c>
      <c r="BG264" s="86">
        <f t="shared" ref="BG264" si="2212">+BG263/BG262</f>
        <v>0.18149657266604227</v>
      </c>
      <c r="BH264" s="86">
        <f t="shared" ref="BH264" si="2213">+BH263/BH262</f>
        <v>0.17109319353827751</v>
      </c>
      <c r="BI264" s="86">
        <f t="shared" ref="BI264" si="2214">+BI263/BI262</f>
        <v>0.17247537013898867</v>
      </c>
      <c r="BJ264" s="86">
        <f t="shared" ref="BJ264" si="2215">+BJ263/BJ262</f>
        <v>0.19223839295394349</v>
      </c>
      <c r="BK264" s="86">
        <f t="shared" ref="BK264" si="2216">+BK263/BK262</f>
        <v>0.19546416074497111</v>
      </c>
      <c r="BL264" s="86">
        <f t="shared" ref="BL264" si="2217">+BL263/BL262</f>
        <v>0.19047071009322136</v>
      </c>
      <c r="BM264" s="86">
        <f t="shared" ref="BM264" si="2218">+BM263/BM262</f>
        <v>0.2108414528043924</v>
      </c>
      <c r="BN264" s="86">
        <f t="shared" ref="BN264" si="2219">+BN263/BN262</f>
        <v>0.19447958101656232</v>
      </c>
      <c r="BO264" s="86">
        <f t="shared" ref="BO264" si="2220">+BO263/BO262</f>
        <v>0.23509044429343431</v>
      </c>
      <c r="BP264" s="86">
        <f t="shared" ref="BP264" si="2221">+BP263/BP262</f>
        <v>0.27250658073237699</v>
      </c>
      <c r="BQ264" s="86">
        <f t="shared" ref="BQ264" si="2222">+BQ263/BQ262</f>
        <v>0.2537446247455053</v>
      </c>
      <c r="BR264" s="86">
        <f t="shared" ref="BR264" si="2223">+BR263/BR262</f>
        <v>0.24323432976051237</v>
      </c>
      <c r="BS264" s="86">
        <f t="shared" ref="BS264" si="2224">+BS263/BS262</f>
        <v>0.2461176557753576</v>
      </c>
      <c r="BT264" s="86">
        <f t="shared" ref="BT264" si="2225">+BT263/BT262</f>
        <v>0.23048852224574418</v>
      </c>
      <c r="BU264" s="86">
        <f t="shared" ref="BU264" si="2226">+BU263/BU262</f>
        <v>0.25341092152414768</v>
      </c>
      <c r="BV264" s="86">
        <f t="shared" ref="BV264" si="2227">+BV263/BV262</f>
        <v>0.26387409773991255</v>
      </c>
      <c r="BW264" s="86">
        <f t="shared" ref="BW264" si="2228">+BW263/BW262</f>
        <v>0.25546637498972963</v>
      </c>
      <c r="BX264" s="86">
        <f t="shared" ref="BX264" si="2229">+BX263/BX262</f>
        <v>0.20631850592041384</v>
      </c>
      <c r="BY264" s="86">
        <f t="shared" ref="BY264" si="2230">+BY263/BY262</f>
        <v>0.24023103128260406</v>
      </c>
      <c r="BZ264" s="86">
        <f t="shared" ref="BZ264" si="2231">+BZ263/BZ262</f>
        <v>0.2465796209195652</v>
      </c>
      <c r="CA264" s="86">
        <f t="shared" ref="CA264" si="2232">+CA263/CA262</f>
        <v>0.20855924130865858</v>
      </c>
      <c r="CB264" s="86">
        <f t="shared" ref="CB264:CC264" si="2233">+CB263/CB262</f>
        <v>0.19708500138479726</v>
      </c>
      <c r="CC264" s="86">
        <f t="shared" si="2233"/>
        <v>0.18533330712994264</v>
      </c>
      <c r="CD264" s="86">
        <f t="shared" ref="CD264" si="2234">+CD263/CD262</f>
        <v>0.19492175900765885</v>
      </c>
      <c r="CE264" s="86">
        <f t="shared" ref="CE264:CF264" si="2235">+CE263/CE262</f>
        <v>0.17419142523931044</v>
      </c>
      <c r="CF264" s="86">
        <f t="shared" si="2235"/>
        <v>0.15712408375434395</v>
      </c>
      <c r="CG264" s="86">
        <f t="shared" ref="CG264:CH264" si="2236">+CG263/CG262</f>
        <v>0.17746060934147939</v>
      </c>
      <c r="CH264" s="86">
        <f t="shared" si="2236"/>
        <v>0.22196488104346057</v>
      </c>
      <c r="CI264" s="86">
        <f t="shared" ref="CI264:CJ264" si="2237">+CI263/CI262</f>
        <v>0.21503841701976104</v>
      </c>
      <c r="CJ264" s="86">
        <f t="shared" si="2237"/>
        <v>0.21266747065400429</v>
      </c>
      <c r="CK264" s="86">
        <f t="shared" ref="CK264:DB264" si="2238">+CK263/CK262</f>
        <v>0.21009123158600745</v>
      </c>
      <c r="CL264" s="86">
        <f t="shared" si="2238"/>
        <v>0.22224100087320728</v>
      </c>
      <c r="CM264" s="47">
        <f t="shared" si="2238"/>
        <v>0.22325199057462355</v>
      </c>
      <c r="CN264" s="47">
        <f t="shared" si="2238"/>
        <v>0.22526771411190927</v>
      </c>
      <c r="CO264" s="47">
        <f t="shared" si="2238"/>
        <v>0.2278654844944078</v>
      </c>
      <c r="CP264" s="47">
        <f t="shared" si="2238"/>
        <v>0.23164662074820191</v>
      </c>
      <c r="CQ264" s="47">
        <f t="shared" si="2238"/>
        <v>0.23245055383871641</v>
      </c>
      <c r="CR264" s="47">
        <f t="shared" si="2238"/>
        <v>0.23469831395281915</v>
      </c>
      <c r="CS264" s="47">
        <f t="shared" si="2238"/>
        <v>0.23700060155275599</v>
      </c>
      <c r="CT264" s="47">
        <f t="shared" si="2238"/>
        <v>0.23924023082781912</v>
      </c>
      <c r="CU264" s="47">
        <f t="shared" si="2238"/>
        <v>0.23584742504302772</v>
      </c>
      <c r="CV264" s="47">
        <f t="shared" si="2238"/>
        <v>0.23669664284410549</v>
      </c>
      <c r="CW264" s="47">
        <f t="shared" si="2238"/>
        <v>0.23719622506692709</v>
      </c>
      <c r="CX264" s="47">
        <f t="shared" si="2238"/>
        <v>0.23724513094546978</v>
      </c>
      <c r="CY264" s="47">
        <f t="shared" si="2238"/>
        <v>0.23674635597488253</v>
      </c>
      <c r="CZ264" s="47">
        <f t="shared" si="2238"/>
        <v>0.23697108870784628</v>
      </c>
      <c r="DA264" s="47">
        <f t="shared" si="2238"/>
        <v>0.23703970017378137</v>
      </c>
      <c r="DB264" s="47">
        <f t="shared" si="2238"/>
        <v>0.23700056895049496</v>
      </c>
      <c r="DE264" s="125"/>
    </row>
    <row r="265" spans="1:109" s="64" customFormat="1" hidden="1" outlineLevel="1" x14ac:dyDescent="0.2">
      <c r="A265" s="64" t="s">
        <v>477</v>
      </c>
      <c r="B265" s="64">
        <f t="shared" ref="B265:Z265" si="2239">B72-B271</f>
        <v>40.186699999999931</v>
      </c>
      <c r="C265" s="64">
        <f t="shared" si="2239"/>
        <v>26.85699999999995</v>
      </c>
      <c r="D265" s="64">
        <f t="shared" si="2239"/>
        <v>28.420800000000074</v>
      </c>
      <c r="E265" s="64">
        <f t="shared" si="2239"/>
        <v>38.609099999999913</v>
      </c>
      <c r="F265" s="64">
        <f t="shared" si="2239"/>
        <v>59.359299999999912</v>
      </c>
      <c r="G265" s="64">
        <f t="shared" si="2239"/>
        <v>102.66569999999999</v>
      </c>
      <c r="H265" s="64">
        <f t="shared" si="2239"/>
        <v>288.34179999999992</v>
      </c>
      <c r="I265" s="64">
        <f t="shared" si="2239"/>
        <v>134.65730000000022</v>
      </c>
      <c r="J265" s="64">
        <f t="shared" si="2239"/>
        <v>139.80740000000017</v>
      </c>
      <c r="K265" s="64">
        <f t="shared" si="2239"/>
        <v>324.41519999999991</v>
      </c>
      <c r="L265" s="64">
        <f t="shared" si="2239"/>
        <v>484.23769999999962</v>
      </c>
      <c r="M265" s="64">
        <f t="shared" si="2239"/>
        <v>378.81790000000001</v>
      </c>
      <c r="N265" s="64">
        <f t="shared" si="2239"/>
        <v>252.95159999999993</v>
      </c>
      <c r="O265" s="64">
        <f t="shared" si="2239"/>
        <v>162.45859999999976</v>
      </c>
      <c r="P265" s="64">
        <f t="shared" si="2239"/>
        <v>302.81000000000097</v>
      </c>
      <c r="Q265" s="64">
        <f t="shared" si="2239"/>
        <v>429.89000000000061</v>
      </c>
      <c r="R265" s="64">
        <f t="shared" si="2239"/>
        <v>514.99000000000069</v>
      </c>
      <c r="S265" s="64">
        <f t="shared" si="2239"/>
        <v>461.71000000000055</v>
      </c>
      <c r="T265" s="64">
        <f t="shared" si="2239"/>
        <v>591.5799999999997</v>
      </c>
      <c r="U265" s="64">
        <f t="shared" si="2239"/>
        <v>915.89999999999941</v>
      </c>
      <c r="V265" s="64">
        <f t="shared" si="2239"/>
        <v>1198.2500000000005</v>
      </c>
      <c r="W265" s="64">
        <f t="shared" si="2239"/>
        <v>1888.9200000000005</v>
      </c>
      <c r="X265" s="64">
        <f t="shared" si="2239"/>
        <v>2162.3399999999988</v>
      </c>
      <c r="Y265" s="64">
        <f t="shared" si="2239"/>
        <v>1335.7100000000003</v>
      </c>
      <c r="Z265" s="64">
        <f t="shared" si="2239"/>
        <v>1250.7799999999984</v>
      </c>
      <c r="AA265" s="64">
        <f t="shared" ref="AA265" si="2240">AA72-AA271</f>
        <v>1920.130000000001</v>
      </c>
      <c r="AB265" s="30"/>
      <c r="AC265" s="30"/>
      <c r="AD265" s="30"/>
      <c r="AE265" s="30"/>
      <c r="AI265" s="64">
        <f t="shared" ref="AI265:BN265" si="2241">AI72-AI271</f>
        <v>22.02000000000001</v>
      </c>
      <c r="AJ265" s="64">
        <f t="shared" si="2241"/>
        <v>75.360000000000028</v>
      </c>
      <c r="AK265" s="64">
        <f t="shared" si="2241"/>
        <v>89.249999999999943</v>
      </c>
      <c r="AL265" s="64">
        <f t="shared" si="2241"/>
        <v>63.699999999999946</v>
      </c>
      <c r="AM265" s="64">
        <f t="shared" si="2241"/>
        <v>43.81</v>
      </c>
      <c r="AN265" s="64">
        <f t="shared" si="2241"/>
        <v>47.770000000000159</v>
      </c>
      <c r="AO265" s="64">
        <f t="shared" si="2241"/>
        <v>72.060000000000116</v>
      </c>
      <c r="AP265" s="64">
        <f t="shared" si="2241"/>
        <v>52.90000000000002</v>
      </c>
      <c r="AQ265" s="64">
        <f t="shared" si="2241"/>
        <v>92.500000000000185</v>
      </c>
      <c r="AR265" s="64">
        <f t="shared" si="2241"/>
        <v>78.489999999999952</v>
      </c>
      <c r="AS265" s="64">
        <f t="shared" si="2241"/>
        <v>71.399999999999778</v>
      </c>
      <c r="AT265" s="64">
        <f t="shared" si="2241"/>
        <v>60.41999999999986</v>
      </c>
      <c r="AU265" s="64">
        <f t="shared" si="2241"/>
        <v>113.42000000000021</v>
      </c>
      <c r="AV265" s="64">
        <f t="shared" si="2241"/>
        <v>102.11999999999992</v>
      </c>
      <c r="AW265" s="64">
        <f t="shared" si="2241"/>
        <v>96.880000000000052</v>
      </c>
      <c r="AX265" s="64">
        <f t="shared" si="2241"/>
        <v>111.69000000000018</v>
      </c>
      <c r="AY265" s="64">
        <f t="shared" si="2241"/>
        <v>154.56000000000003</v>
      </c>
      <c r="AZ265" s="64">
        <f t="shared" si="2241"/>
        <v>122.84000000000012</v>
      </c>
      <c r="BA265" s="64">
        <f t="shared" si="2241"/>
        <v>108.36999999999996</v>
      </c>
      <c r="BB265" s="64">
        <f t="shared" si="2241"/>
        <v>129.22000000000003</v>
      </c>
      <c r="BC265" s="64">
        <f t="shared" si="2241"/>
        <v>103.80999999999997</v>
      </c>
      <c r="BD265" s="64">
        <f t="shared" si="2241"/>
        <v>102.75999999999999</v>
      </c>
      <c r="BE265" s="64">
        <f t="shared" si="2241"/>
        <v>131.21999999999983</v>
      </c>
      <c r="BF265" s="64">
        <f t="shared" si="2241"/>
        <v>123.90999999999991</v>
      </c>
      <c r="BG265" s="64">
        <f t="shared" si="2241"/>
        <v>129.79000000000002</v>
      </c>
      <c r="BH265" s="64">
        <f t="shared" si="2241"/>
        <v>128.73000000000013</v>
      </c>
      <c r="BI265" s="64">
        <f t="shared" si="2241"/>
        <v>153.56999999999991</v>
      </c>
      <c r="BJ265" s="64">
        <f t="shared" si="2241"/>
        <v>179.29999999999987</v>
      </c>
      <c r="BK265" s="64">
        <f t="shared" si="2241"/>
        <v>175.34000000000009</v>
      </c>
      <c r="BL265" s="64">
        <f t="shared" si="2241"/>
        <v>200.93000000000009</v>
      </c>
      <c r="BM265" s="64">
        <f t="shared" si="2241"/>
        <v>345.47</v>
      </c>
      <c r="BN265" s="64">
        <f t="shared" si="2241"/>
        <v>194.15999999999994</v>
      </c>
      <c r="BO265" s="64">
        <f t="shared" ref="BO265:CT265" si="2242">BO72-BO271</f>
        <v>176.87000000000006</v>
      </c>
      <c r="BP265" s="64">
        <f t="shared" si="2242"/>
        <v>315.67999999999961</v>
      </c>
      <c r="BQ265" s="64">
        <f t="shared" si="2242"/>
        <v>324.25</v>
      </c>
      <c r="BR265" s="64">
        <f t="shared" si="2242"/>
        <v>381.45000000000005</v>
      </c>
      <c r="BS265" s="64">
        <f t="shared" si="2242"/>
        <v>395.28000000000031</v>
      </c>
      <c r="BT265" s="64">
        <f t="shared" si="2242"/>
        <v>382.45000000000039</v>
      </c>
      <c r="BU265" s="64">
        <f t="shared" si="2242"/>
        <v>505.53999999999996</v>
      </c>
      <c r="BV265" s="64">
        <f t="shared" si="2242"/>
        <v>605.65000000000032</v>
      </c>
      <c r="BW265" s="64">
        <f t="shared" si="2242"/>
        <v>607.99999999999977</v>
      </c>
      <c r="BX265" s="64">
        <f t="shared" si="2242"/>
        <v>480.99000000000035</v>
      </c>
      <c r="BY265" s="64">
        <f t="shared" si="2242"/>
        <v>510.9</v>
      </c>
      <c r="BZ265" s="64">
        <f t="shared" si="2242"/>
        <v>562.45000000000027</v>
      </c>
      <c r="CA265" s="64">
        <f t="shared" si="2242"/>
        <v>359.28999999999951</v>
      </c>
      <c r="CB265" s="64">
        <f t="shared" si="2242"/>
        <v>300.77999999999929</v>
      </c>
      <c r="CC265" s="64">
        <f t="shared" si="2242"/>
        <v>253.43000000000018</v>
      </c>
      <c r="CD265" s="64">
        <f t="shared" si="2242"/>
        <v>422.21000000000015</v>
      </c>
      <c r="CE265" s="64">
        <f t="shared" si="2242"/>
        <v>252.22000000000008</v>
      </c>
      <c r="CF265" s="64">
        <f t="shared" si="2242"/>
        <v>201.41999999999996</v>
      </c>
      <c r="CG265" s="64">
        <f t="shared" si="2242"/>
        <v>271.08000000000038</v>
      </c>
      <c r="CH265" s="64">
        <f t="shared" si="2242"/>
        <v>526.0600000000004</v>
      </c>
      <c r="CI265" s="64">
        <f t="shared" si="2242"/>
        <v>432.31999999999982</v>
      </c>
      <c r="CJ265" s="64">
        <f t="shared" si="2242"/>
        <v>388.17999999999995</v>
      </c>
      <c r="CK265" s="64">
        <f t="shared" si="2242"/>
        <v>505.90000000000032</v>
      </c>
      <c r="CL265" s="64">
        <f t="shared" ref="CL265" si="2243">CL72-CL271</f>
        <v>593.73</v>
      </c>
      <c r="CM265" s="30">
        <f t="shared" si="2242"/>
        <v>542.19587574127968</v>
      </c>
      <c r="CN265" s="30">
        <f t="shared" si="2242"/>
        <v>524.2264212089683</v>
      </c>
      <c r="CO265" s="30">
        <f t="shared" si="2242"/>
        <v>584.41778944655982</v>
      </c>
      <c r="CP265" s="30">
        <f t="shared" si="2242"/>
        <v>765.87304032636075</v>
      </c>
      <c r="CQ265" s="30">
        <f t="shared" si="2242"/>
        <v>640.20717850272649</v>
      </c>
      <c r="CR265" s="30">
        <f t="shared" si="2242"/>
        <v>621.7753895484484</v>
      </c>
      <c r="CS265" s="30">
        <f t="shared" si="2242"/>
        <v>680.40592103283041</v>
      </c>
      <c r="CT265" s="30">
        <f t="shared" si="2242"/>
        <v>923.84147476181874</v>
      </c>
      <c r="CU265" s="30">
        <f t="shared" ref="CU265:DB265" si="2244">CU72-CU271</f>
        <v>831.89142443036485</v>
      </c>
      <c r="CV265" s="30">
        <f t="shared" si="2244"/>
        <v>808.4869150223044</v>
      </c>
      <c r="CW265" s="30">
        <f t="shared" si="2244"/>
        <v>875.15581766639309</v>
      </c>
      <c r="CX265" s="30">
        <f t="shared" si="2244"/>
        <v>1164.6472480616835</v>
      </c>
      <c r="CY265" s="30">
        <f t="shared" si="2244"/>
        <v>1050.5169296344484</v>
      </c>
      <c r="CZ265" s="30">
        <f t="shared" si="2244"/>
        <v>1022.5919572871833</v>
      </c>
      <c r="DA265" s="30">
        <f t="shared" si="2244"/>
        <v>1099.9688092024662</v>
      </c>
      <c r="DB265" s="30">
        <f t="shared" si="2244"/>
        <v>1437.7731526123057</v>
      </c>
      <c r="DE265" s="133"/>
    </row>
    <row r="266" spans="1:109" s="64" customFormat="1" hidden="1" outlineLevel="1" x14ac:dyDescent="0.2">
      <c r="AB266" s="30"/>
      <c r="AC266" s="30"/>
      <c r="AD266" s="30"/>
      <c r="AE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E266" s="133"/>
    </row>
    <row r="267" spans="1:109" s="64" customFormat="1" hidden="1" outlineLevel="1" x14ac:dyDescent="0.2">
      <c r="A267" s="65" t="s">
        <v>352</v>
      </c>
      <c r="AB267" s="30"/>
      <c r="AC267" s="30"/>
      <c r="AD267" s="30"/>
      <c r="AE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E267" s="133"/>
    </row>
    <row r="268" spans="1:109" s="64" customFormat="1" hidden="1" outlineLevel="1" x14ac:dyDescent="0.2">
      <c r="A268" s="64" t="s">
        <v>478</v>
      </c>
      <c r="AB268" s="30"/>
      <c r="AC268" s="30"/>
      <c r="AD268" s="30"/>
      <c r="AE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E268" s="133"/>
    </row>
    <row r="269" spans="1:109" s="64" customFormat="1" hidden="1" outlineLevel="1" x14ac:dyDescent="0.2">
      <c r="A269" s="64" t="s">
        <v>479</v>
      </c>
      <c r="AB269" s="30"/>
      <c r="AC269" s="30"/>
      <c r="AD269" s="30"/>
      <c r="AE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E269" s="133"/>
    </row>
    <row r="270" spans="1:109" s="89" customFormat="1" hidden="1" outlineLevel="1" x14ac:dyDescent="0.2">
      <c r="A270" s="86" t="s">
        <v>480</v>
      </c>
      <c r="B270" s="86" t="e">
        <f>+B269/B268</f>
        <v>#DIV/0!</v>
      </c>
      <c r="C270" s="86" t="e">
        <f t="shared" ref="C270:X270" si="2245">+C269/C268</f>
        <v>#DIV/0!</v>
      </c>
      <c r="D270" s="86" t="e">
        <f t="shared" si="2245"/>
        <v>#DIV/0!</v>
      </c>
      <c r="E270" s="86" t="e">
        <f t="shared" si="2245"/>
        <v>#DIV/0!</v>
      </c>
      <c r="F270" s="86" t="e">
        <f t="shared" si="2245"/>
        <v>#DIV/0!</v>
      </c>
      <c r="G270" s="86" t="e">
        <f t="shared" si="2245"/>
        <v>#DIV/0!</v>
      </c>
      <c r="H270" s="86" t="e">
        <f t="shared" si="2245"/>
        <v>#DIV/0!</v>
      </c>
      <c r="I270" s="86" t="e">
        <f t="shared" si="2245"/>
        <v>#DIV/0!</v>
      </c>
      <c r="J270" s="86" t="e">
        <f t="shared" si="2245"/>
        <v>#DIV/0!</v>
      </c>
      <c r="K270" s="86" t="e">
        <f t="shared" si="2245"/>
        <v>#DIV/0!</v>
      </c>
      <c r="L270" s="86" t="e">
        <f t="shared" si="2245"/>
        <v>#DIV/0!</v>
      </c>
      <c r="M270" s="86" t="e">
        <f t="shared" si="2245"/>
        <v>#DIV/0!</v>
      </c>
      <c r="N270" s="86" t="e">
        <f t="shared" si="2245"/>
        <v>#DIV/0!</v>
      </c>
      <c r="O270" s="86" t="e">
        <f t="shared" si="2245"/>
        <v>#DIV/0!</v>
      </c>
      <c r="P270" s="86" t="e">
        <f t="shared" si="2245"/>
        <v>#DIV/0!</v>
      </c>
      <c r="Q270" s="86" t="e">
        <f t="shared" si="2245"/>
        <v>#DIV/0!</v>
      </c>
      <c r="R270" s="86" t="e">
        <f t="shared" si="2245"/>
        <v>#DIV/0!</v>
      </c>
      <c r="S270" s="86" t="e">
        <f t="shared" si="2245"/>
        <v>#DIV/0!</v>
      </c>
      <c r="T270" s="86" t="e">
        <f t="shared" si="2245"/>
        <v>#DIV/0!</v>
      </c>
      <c r="U270" s="86" t="e">
        <f t="shared" si="2245"/>
        <v>#DIV/0!</v>
      </c>
      <c r="V270" s="86" t="e">
        <f t="shared" si="2245"/>
        <v>#DIV/0!</v>
      </c>
      <c r="W270" s="86" t="e">
        <f t="shared" si="2245"/>
        <v>#DIV/0!</v>
      </c>
      <c r="X270" s="86" t="e">
        <f t="shared" si="2245"/>
        <v>#DIV/0!</v>
      </c>
      <c r="Y270" s="86" t="e">
        <f t="shared" ref="Y270:Z270" si="2246">+Y269/Y268</f>
        <v>#DIV/0!</v>
      </c>
      <c r="Z270" s="86" t="e">
        <f t="shared" si="2246"/>
        <v>#DIV/0!</v>
      </c>
      <c r="AA270" s="86" t="e">
        <f t="shared" ref="AA270" si="2247">+AA269/AA268</f>
        <v>#DIV/0!</v>
      </c>
      <c r="AB270" s="87"/>
      <c r="AC270" s="87"/>
      <c r="AD270" s="87"/>
      <c r="AE270" s="87"/>
      <c r="AF270" s="86"/>
      <c r="AG270" s="86"/>
      <c r="AH270" s="86"/>
      <c r="AI270" s="86" t="e">
        <f t="shared" ref="AI270" si="2248">+AI269/AI268</f>
        <v>#DIV/0!</v>
      </c>
      <c r="AJ270" s="86" t="e">
        <f t="shared" ref="AJ270" si="2249">+AJ269/AJ268</f>
        <v>#DIV/0!</v>
      </c>
      <c r="AK270" s="86" t="e">
        <f t="shared" ref="AK270" si="2250">+AK269/AK268</f>
        <v>#DIV/0!</v>
      </c>
      <c r="AL270" s="86" t="e">
        <f t="shared" ref="AL270" si="2251">+AL269/AL268</f>
        <v>#DIV/0!</v>
      </c>
      <c r="AM270" s="86" t="e">
        <f t="shared" ref="AM270" si="2252">+AM269/AM268</f>
        <v>#DIV/0!</v>
      </c>
      <c r="AN270" s="86" t="e">
        <f t="shared" ref="AN270" si="2253">+AN269/AN268</f>
        <v>#DIV/0!</v>
      </c>
      <c r="AO270" s="86" t="e">
        <f t="shared" ref="AO270" si="2254">+AO269/AO268</f>
        <v>#DIV/0!</v>
      </c>
      <c r="AP270" s="86" t="e">
        <f t="shared" ref="AP270" si="2255">+AP269/AP268</f>
        <v>#DIV/0!</v>
      </c>
      <c r="AQ270" s="86" t="e">
        <f t="shared" ref="AQ270" si="2256">+AQ269/AQ268</f>
        <v>#DIV/0!</v>
      </c>
      <c r="AR270" s="86" t="e">
        <f t="shared" ref="AR270" si="2257">+AR269/AR268</f>
        <v>#DIV/0!</v>
      </c>
      <c r="AS270" s="86" t="e">
        <f t="shared" ref="AS270" si="2258">+AS269/AS268</f>
        <v>#DIV/0!</v>
      </c>
      <c r="AT270" s="86" t="e">
        <f t="shared" ref="AT270" si="2259">+AT269/AT268</f>
        <v>#DIV/0!</v>
      </c>
      <c r="AU270" s="86" t="e">
        <f t="shared" ref="AU270" si="2260">+AU269/AU268</f>
        <v>#DIV/0!</v>
      </c>
      <c r="AV270" s="86" t="e">
        <f t="shared" ref="AV270" si="2261">+AV269/AV268</f>
        <v>#DIV/0!</v>
      </c>
      <c r="AW270" s="86" t="e">
        <f t="shared" ref="AW270" si="2262">+AW269/AW268</f>
        <v>#DIV/0!</v>
      </c>
      <c r="AX270" s="86" t="e">
        <f t="shared" ref="AX270" si="2263">+AX269/AX268</f>
        <v>#DIV/0!</v>
      </c>
      <c r="AY270" s="86" t="e">
        <f t="shared" ref="AY270" si="2264">+AY269/AY268</f>
        <v>#DIV/0!</v>
      </c>
      <c r="AZ270" s="86" t="e">
        <f t="shared" ref="AZ270" si="2265">+AZ269/AZ268</f>
        <v>#DIV/0!</v>
      </c>
      <c r="BA270" s="86" t="e">
        <f t="shared" ref="BA270" si="2266">+BA269/BA268</f>
        <v>#DIV/0!</v>
      </c>
      <c r="BB270" s="86" t="e">
        <f t="shared" ref="BB270" si="2267">+BB269/BB268</f>
        <v>#DIV/0!</v>
      </c>
      <c r="BC270" s="86" t="e">
        <f t="shared" ref="BC270" si="2268">+BC269/BC268</f>
        <v>#DIV/0!</v>
      </c>
      <c r="BD270" s="86" t="e">
        <f t="shared" ref="BD270" si="2269">+BD269/BD268</f>
        <v>#DIV/0!</v>
      </c>
      <c r="BE270" s="86" t="e">
        <f t="shared" ref="BE270" si="2270">+BE269/BE268</f>
        <v>#DIV/0!</v>
      </c>
      <c r="BF270" s="86" t="e">
        <f t="shared" ref="BF270" si="2271">+BF269/BF268</f>
        <v>#DIV/0!</v>
      </c>
      <c r="BG270" s="86" t="e">
        <f t="shared" ref="BG270" si="2272">+BG269/BG268</f>
        <v>#DIV/0!</v>
      </c>
      <c r="BH270" s="86" t="e">
        <f t="shared" ref="BH270" si="2273">+BH269/BH268</f>
        <v>#DIV/0!</v>
      </c>
      <c r="BI270" s="86" t="e">
        <f t="shared" ref="BI270" si="2274">+BI269/BI268</f>
        <v>#DIV/0!</v>
      </c>
      <c r="BJ270" s="86" t="e">
        <f t="shared" ref="BJ270" si="2275">+BJ269/BJ268</f>
        <v>#DIV/0!</v>
      </c>
      <c r="BK270" s="86" t="e">
        <f t="shared" ref="BK270" si="2276">+BK269/BK268</f>
        <v>#DIV/0!</v>
      </c>
      <c r="BL270" s="86" t="e">
        <f t="shared" ref="BL270" si="2277">+BL269/BL268</f>
        <v>#DIV/0!</v>
      </c>
      <c r="BM270" s="86" t="e">
        <f t="shared" ref="BM270" si="2278">+BM269/BM268</f>
        <v>#DIV/0!</v>
      </c>
      <c r="BN270" s="86" t="e">
        <f t="shared" ref="BN270" si="2279">+BN269/BN268</f>
        <v>#DIV/0!</v>
      </c>
      <c r="BO270" s="86" t="e">
        <f t="shared" ref="BO270" si="2280">+BO269/BO268</f>
        <v>#DIV/0!</v>
      </c>
      <c r="BP270" s="86" t="e">
        <f t="shared" ref="BP270" si="2281">+BP269/BP268</f>
        <v>#DIV/0!</v>
      </c>
      <c r="BQ270" s="86" t="e">
        <f t="shared" ref="BQ270" si="2282">+BQ269/BQ268</f>
        <v>#DIV/0!</v>
      </c>
      <c r="BR270" s="86" t="e">
        <f t="shared" ref="BR270" si="2283">+BR269/BR268</f>
        <v>#DIV/0!</v>
      </c>
      <c r="BS270" s="86" t="e">
        <f t="shared" ref="BS270" si="2284">+BS269/BS268</f>
        <v>#DIV/0!</v>
      </c>
      <c r="BT270" s="86" t="e">
        <f t="shared" ref="BT270" si="2285">+BT269/BT268</f>
        <v>#DIV/0!</v>
      </c>
      <c r="BU270" s="86" t="e">
        <f t="shared" ref="BU270" si="2286">+BU269/BU268</f>
        <v>#DIV/0!</v>
      </c>
      <c r="BV270" s="86" t="e">
        <f t="shared" ref="BV270" si="2287">+BV269/BV268</f>
        <v>#DIV/0!</v>
      </c>
      <c r="BW270" s="86" t="e">
        <f t="shared" ref="BW270" si="2288">+BW269/BW268</f>
        <v>#DIV/0!</v>
      </c>
      <c r="BX270" s="86" t="e">
        <f t="shared" ref="BX270" si="2289">+BX269/BX268</f>
        <v>#DIV/0!</v>
      </c>
      <c r="BY270" s="86" t="e">
        <f t="shared" ref="BY270" si="2290">+BY269/BY268</f>
        <v>#DIV/0!</v>
      </c>
      <c r="BZ270" s="86" t="e">
        <f t="shared" ref="BZ270" si="2291">+BZ269/BZ268</f>
        <v>#DIV/0!</v>
      </c>
      <c r="CA270" s="86" t="e">
        <f t="shared" ref="CA270" si="2292">+CA269/CA268</f>
        <v>#DIV/0!</v>
      </c>
      <c r="CB270" s="86" t="e">
        <f t="shared" ref="CB270:CC270" si="2293">+CB269/CB268</f>
        <v>#DIV/0!</v>
      </c>
      <c r="CC270" s="86" t="e">
        <f t="shared" si="2293"/>
        <v>#DIV/0!</v>
      </c>
      <c r="CD270" s="86" t="e">
        <f t="shared" ref="CD270" si="2294">+CD269/CD268</f>
        <v>#DIV/0!</v>
      </c>
      <c r="CE270" s="86" t="e">
        <f t="shared" ref="CE270:CF270" si="2295">+CE269/CE268</f>
        <v>#DIV/0!</v>
      </c>
      <c r="CF270" s="86" t="e">
        <f t="shared" si="2295"/>
        <v>#DIV/0!</v>
      </c>
      <c r="CG270" s="86" t="e">
        <f t="shared" ref="CG270:CH270" si="2296">+CG269/CG268</f>
        <v>#DIV/0!</v>
      </c>
      <c r="CH270" s="86" t="e">
        <f t="shared" si="2296"/>
        <v>#DIV/0!</v>
      </c>
      <c r="CI270" s="86" t="e">
        <f t="shared" ref="CI270:CJ270" si="2297">+CI269/CI268</f>
        <v>#DIV/0!</v>
      </c>
      <c r="CJ270" s="86" t="e">
        <f t="shared" si="2297"/>
        <v>#DIV/0!</v>
      </c>
      <c r="CK270" s="86" t="e">
        <f t="shared" ref="CK270:DB270" si="2298">+CK269/CK268</f>
        <v>#DIV/0!</v>
      </c>
      <c r="CL270" s="86" t="e">
        <f t="shared" si="2298"/>
        <v>#DIV/0!</v>
      </c>
      <c r="CM270" s="47" t="e">
        <f t="shared" si="2298"/>
        <v>#DIV/0!</v>
      </c>
      <c r="CN270" s="47" t="e">
        <f t="shared" si="2298"/>
        <v>#DIV/0!</v>
      </c>
      <c r="CO270" s="47" t="e">
        <f t="shared" si="2298"/>
        <v>#DIV/0!</v>
      </c>
      <c r="CP270" s="47" t="e">
        <f t="shared" si="2298"/>
        <v>#DIV/0!</v>
      </c>
      <c r="CQ270" s="47" t="e">
        <f t="shared" si="2298"/>
        <v>#DIV/0!</v>
      </c>
      <c r="CR270" s="47" t="e">
        <f t="shared" si="2298"/>
        <v>#DIV/0!</v>
      </c>
      <c r="CS270" s="47" t="e">
        <f t="shared" si="2298"/>
        <v>#DIV/0!</v>
      </c>
      <c r="CT270" s="47" t="e">
        <f t="shared" si="2298"/>
        <v>#DIV/0!</v>
      </c>
      <c r="CU270" s="47" t="e">
        <f t="shared" si="2298"/>
        <v>#DIV/0!</v>
      </c>
      <c r="CV270" s="47" t="e">
        <f t="shared" si="2298"/>
        <v>#DIV/0!</v>
      </c>
      <c r="CW270" s="47" t="e">
        <f t="shared" si="2298"/>
        <v>#DIV/0!</v>
      </c>
      <c r="CX270" s="47" t="e">
        <f t="shared" si="2298"/>
        <v>#DIV/0!</v>
      </c>
      <c r="CY270" s="47" t="e">
        <f t="shared" si="2298"/>
        <v>#DIV/0!</v>
      </c>
      <c r="CZ270" s="47" t="e">
        <f t="shared" si="2298"/>
        <v>#DIV/0!</v>
      </c>
      <c r="DA270" s="47" t="e">
        <f t="shared" si="2298"/>
        <v>#DIV/0!</v>
      </c>
      <c r="DB270" s="47" t="e">
        <f t="shared" si="2298"/>
        <v>#DIV/0!</v>
      </c>
      <c r="DE270" s="125"/>
    </row>
    <row r="271" spans="1:109" s="64" customFormat="1" hidden="1" outlineLevel="1" x14ac:dyDescent="0.2">
      <c r="A271" s="64" t="s">
        <v>481</v>
      </c>
      <c r="AB271" s="30"/>
      <c r="AC271" s="30"/>
      <c r="AD271" s="30"/>
      <c r="AE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E271" s="133"/>
    </row>
    <row r="272" spans="1:109" s="62" customFormat="1" hidden="1" outlineLevel="1" x14ac:dyDescent="0.2">
      <c r="AB272" s="63"/>
      <c r="AC272" s="63"/>
      <c r="AD272" s="63"/>
      <c r="AE272" s="63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E272" s="133"/>
    </row>
    <row r="273" spans="1:109" s="11" customFormat="1" collapsed="1" x14ac:dyDescent="0.2">
      <c r="AB273" s="63"/>
      <c r="AC273" s="63"/>
      <c r="AD273" s="63"/>
      <c r="AE273" s="63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E273" s="133"/>
    </row>
    <row r="274" spans="1:109" s="62" customFormat="1" x14ac:dyDescent="0.2">
      <c r="A274" s="148" t="s">
        <v>497</v>
      </c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63"/>
      <c r="AC274" s="63"/>
      <c r="AD274" s="63"/>
      <c r="AE274" s="63"/>
      <c r="AL274" s="173"/>
      <c r="CF274" s="173"/>
      <c r="CG274" s="173"/>
      <c r="CH274" s="173"/>
      <c r="CI274" s="173"/>
      <c r="CJ274" s="173"/>
      <c r="CK274" s="173"/>
      <c r="CL274" s="173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E274" s="133"/>
    </row>
    <row r="275" spans="1:109" s="84" customFormat="1" x14ac:dyDescent="0.2">
      <c r="A275" s="84" t="s">
        <v>512</v>
      </c>
      <c r="B275" s="84">
        <f>B39/B196</f>
        <v>0.90872808512249614</v>
      </c>
      <c r="C275" s="84">
        <f>C39/C196</f>
        <v>1.3474977446376077</v>
      </c>
      <c r="D275" s="84">
        <f>D39/D196</f>
        <v>1.7246788742110153</v>
      </c>
      <c r="E275" s="84">
        <f t="shared" ref="E275:Y275" si="2299">E41/(E192+E179+E169)</f>
        <v>0.96670973031006557</v>
      </c>
      <c r="F275" s="84">
        <f t="shared" si="2299"/>
        <v>0.9044063513461913</v>
      </c>
      <c r="G275" s="84">
        <f t="shared" si="2299"/>
        <v>0.88881399579661968</v>
      </c>
      <c r="H275" s="84">
        <f t="shared" si="2299"/>
        <v>1.0905459970945979</v>
      </c>
      <c r="I275" s="84">
        <f t="shared" si="2299"/>
        <v>0.87508439474446531</v>
      </c>
      <c r="J275" s="84">
        <f t="shared" si="2299"/>
        <v>0.79710390818648347</v>
      </c>
      <c r="K275" s="84">
        <f t="shared" si="2299"/>
        <v>0.82829114001888249</v>
      </c>
      <c r="L275" s="84">
        <f t="shared" si="2299"/>
        <v>0.98049229180329334</v>
      </c>
      <c r="M275" s="84">
        <f t="shared" si="2299"/>
        <v>1.009909752867399</v>
      </c>
      <c r="N275" s="84">
        <f t="shared" si="2299"/>
        <v>0.8287265138717862</v>
      </c>
      <c r="O275" s="84">
        <f t="shared" si="2299"/>
        <v>0.73609313677095878</v>
      </c>
      <c r="P275" s="84">
        <f t="shared" si="2299"/>
        <v>0.77167912046071108</v>
      </c>
      <c r="Q275" s="84">
        <f t="shared" si="2299"/>
        <v>0.71542040715869026</v>
      </c>
      <c r="R275" s="84">
        <f t="shared" si="2299"/>
        <v>0.69446264768025157</v>
      </c>
      <c r="S275" s="84">
        <f t="shared" si="2299"/>
        <v>0.66831442240660832</v>
      </c>
      <c r="T275" s="84">
        <f t="shared" si="2299"/>
        <v>0.7180158559192702</v>
      </c>
      <c r="U275" s="84">
        <f t="shared" si="2299"/>
        <v>0.66395139588555896</v>
      </c>
      <c r="V275" s="84">
        <f t="shared" si="2299"/>
        <v>0.65080719076539983</v>
      </c>
      <c r="W275" s="84">
        <f t="shared" si="2299"/>
        <v>0.78889526897343742</v>
      </c>
      <c r="X275" s="84">
        <f t="shared" si="2299"/>
        <v>0.79385437848439899</v>
      </c>
      <c r="Y275" s="84">
        <f t="shared" si="2299"/>
        <v>0.64615905172117005</v>
      </c>
      <c r="Z275" s="84">
        <f>Z41/(Z192+Z179+Z169)</f>
        <v>0.68663601361395565</v>
      </c>
      <c r="AA275" s="84">
        <f>AA41/(AA192+AA179+AA169)</f>
        <v>0.65852498672438831</v>
      </c>
      <c r="AB275" s="50">
        <f t="shared" ref="AA275:AE275" si="2300">AB41/(AB192+AB179+AB169)</f>
        <v>0.66947320174871627</v>
      </c>
      <c r="AC275" s="50">
        <f t="shared" si="2300"/>
        <v>0.68681985940989798</v>
      </c>
      <c r="AD275" s="50">
        <f t="shared" si="2300"/>
        <v>0.69686766491436403</v>
      </c>
      <c r="AE275" s="50">
        <f t="shared" si="2300"/>
        <v>0.70049172533848469</v>
      </c>
      <c r="AL275" s="84">
        <f>SUM(AI41:AL41)/(AL192+AL179+AL169)</f>
        <v>0.71340442871038123</v>
      </c>
      <c r="AM275" s="84">
        <f t="shared" ref="AM275:CL275" si="2301">SUM(AJ41:AM41)/(AM192+AM179+AM169)</f>
        <v>0.71678791998025737</v>
      </c>
      <c r="AN275" s="84">
        <f t="shared" si="2301"/>
        <v>0.79482978205807031</v>
      </c>
      <c r="AO275" s="84">
        <f t="shared" si="2301"/>
        <v>0.7773495184181356</v>
      </c>
      <c r="AP275" s="84">
        <f t="shared" si="2301"/>
        <v>0.62181100717763838</v>
      </c>
      <c r="AQ275" s="84">
        <f t="shared" si="2301"/>
        <v>0.64614966272328134</v>
      </c>
      <c r="AR275" s="84">
        <f t="shared" si="2301"/>
        <v>0.8605957894736842</v>
      </c>
      <c r="AS275" s="84">
        <f t="shared" si="2301"/>
        <v>0.90617348938733588</v>
      </c>
      <c r="AT275" s="84">
        <f t="shared" si="2301"/>
        <v>0.7695373851791919</v>
      </c>
      <c r="AU275" s="84">
        <f t="shared" si="2301"/>
        <v>0.75644508821376244</v>
      </c>
      <c r="AV275" s="84">
        <f t="shared" si="2301"/>
        <v>0.73044571300469952</v>
      </c>
      <c r="AW275" s="84">
        <f t="shared" si="2301"/>
        <v>0.72736941982894532</v>
      </c>
      <c r="AX275" s="84">
        <f t="shared" si="2301"/>
        <v>0.71281121438841322</v>
      </c>
      <c r="AY275" s="84">
        <f t="shared" si="2301"/>
        <v>0.69343966388428513</v>
      </c>
      <c r="AZ275" s="84">
        <f t="shared" si="2301"/>
        <v>0.68273904421199982</v>
      </c>
      <c r="BA275" s="84">
        <f t="shared" si="2301"/>
        <v>0.68296488129969768</v>
      </c>
      <c r="BB275" s="84">
        <f t="shared" si="2301"/>
        <v>0.69382173375139178</v>
      </c>
      <c r="BC275" s="84">
        <f t="shared" si="2301"/>
        <v>0.7011093971192236</v>
      </c>
      <c r="BD275" s="84">
        <f t="shared" si="2301"/>
        <v>0.64298313622958125</v>
      </c>
      <c r="BE275" s="84">
        <f t="shared" si="2301"/>
        <v>0.65951371204099629</v>
      </c>
      <c r="BF275" s="84">
        <f t="shared" si="2301"/>
        <v>0.66831442240660832</v>
      </c>
      <c r="BG275" s="84">
        <f t="shared" si="2301"/>
        <v>0.69852634891416843</v>
      </c>
      <c r="BH275" s="84">
        <f t="shared" si="2301"/>
        <v>0.66844671029164215</v>
      </c>
      <c r="BI275" s="84">
        <f t="shared" si="2301"/>
        <v>0.69632099590951524</v>
      </c>
      <c r="BJ275" s="84">
        <f t="shared" si="2301"/>
        <v>0.72247691344577514</v>
      </c>
      <c r="BK275" s="84">
        <f t="shared" si="2301"/>
        <v>0.72792932393654786</v>
      </c>
      <c r="BL275" s="84">
        <f t="shared" si="2301"/>
        <v>0.6981023659927944</v>
      </c>
      <c r="BM275" s="84">
        <f t="shared" si="2301"/>
        <v>0.67470062647292017</v>
      </c>
      <c r="BN275" s="84">
        <f t="shared" si="2301"/>
        <v>0.66106973994183271</v>
      </c>
      <c r="BO275" s="84">
        <f t="shared" si="2301"/>
        <v>0.64105516671992846</v>
      </c>
      <c r="BP275" s="84">
        <f t="shared" si="2301"/>
        <v>0.63608774020155212</v>
      </c>
      <c r="BQ275" s="84">
        <f t="shared" si="2301"/>
        <v>0.64234895889329713</v>
      </c>
      <c r="BR275" s="84">
        <f t="shared" si="2301"/>
        <v>0.64935992642814688</v>
      </c>
      <c r="BS275" s="84">
        <f t="shared" si="2301"/>
        <v>0.71452180265608256</v>
      </c>
      <c r="BT275" s="84">
        <f t="shared" si="2301"/>
        <v>0.73535163157364536</v>
      </c>
      <c r="BU275" s="84">
        <f t="shared" si="2301"/>
        <v>0.77444612547292857</v>
      </c>
      <c r="BV275" s="84">
        <f t="shared" si="2301"/>
        <v>0.78889526897343742</v>
      </c>
      <c r="BW275" s="84">
        <f t="shared" si="2301"/>
        <v>0.82159841296041725</v>
      </c>
      <c r="BX275" s="84">
        <f t="shared" si="2301"/>
        <v>0.84874231282931911</v>
      </c>
      <c r="BY275" s="84">
        <f t="shared" si="2301"/>
        <v>0.83807760123415975</v>
      </c>
      <c r="BZ275" s="84">
        <f t="shared" si="2301"/>
        <v>0.78830229594628565</v>
      </c>
      <c r="CA275" s="84">
        <f t="shared" si="2301"/>
        <v>0.75521192240822754</v>
      </c>
      <c r="CB275" s="84">
        <f t="shared" si="2301"/>
        <v>0.69732548126705063</v>
      </c>
      <c r="CC275" s="84">
        <f t="shared" si="2301"/>
        <v>0.67045904659583155</v>
      </c>
      <c r="CD275" s="84">
        <f t="shared" si="2301"/>
        <v>0.64238641516412043</v>
      </c>
      <c r="CE275" s="84">
        <f t="shared" si="2301"/>
        <v>0.6433029365001699</v>
      </c>
      <c r="CF275" s="84">
        <f t="shared" si="2301"/>
        <v>0.64234111886620993</v>
      </c>
      <c r="CG275" s="84">
        <f t="shared" si="2301"/>
        <v>0.65335640029026654</v>
      </c>
      <c r="CH275" s="84">
        <f t="shared" si="2301"/>
        <v>0.68106696550199708</v>
      </c>
      <c r="CI275" s="84">
        <f t="shared" si="2301"/>
        <v>0.69644238370998535</v>
      </c>
      <c r="CJ275" s="84">
        <f t="shared" si="2301"/>
        <v>0.68573196001315939</v>
      </c>
      <c r="CK275" s="84">
        <f t="shared" ref="CK275" si="2302">SUM(CH41:CK41)/(CK192+CK179+CK169)</f>
        <v>0.68120237706833509</v>
      </c>
      <c r="CL275" s="84">
        <f t="shared" si="2301"/>
        <v>0.65030599607133666</v>
      </c>
      <c r="CM275" s="50">
        <f t="shared" ref="CM275:DB275" si="2303">SUM(CJ41:CM41)/(CM192+CM179+CM169)</f>
        <v>0.6631497987711652</v>
      </c>
      <c r="CN275" s="50">
        <f t="shared" si="2303"/>
        <v>0.67383589270323596</v>
      </c>
      <c r="CO275" s="50">
        <f t="shared" si="2303"/>
        <v>0.67833344619109737</v>
      </c>
      <c r="CP275" s="50">
        <f t="shared" si="2303"/>
        <v>0.66947320174871627</v>
      </c>
      <c r="CQ275" s="50">
        <f t="shared" si="2303"/>
        <v>0.68899073204177852</v>
      </c>
      <c r="CR275" s="50">
        <f t="shared" si="2303"/>
        <v>0.70220333865279838</v>
      </c>
      <c r="CS275" s="50">
        <f t="shared" si="2303"/>
        <v>0.70548157403803935</v>
      </c>
      <c r="CT275" s="50">
        <f t="shared" si="2303"/>
        <v>0.68681985940989798</v>
      </c>
      <c r="CU275" s="50">
        <f t="shared" si="2303"/>
        <v>0.7064652988380461</v>
      </c>
      <c r="CV275" s="50">
        <f t="shared" si="2303"/>
        <v>0.71810358045879641</v>
      </c>
      <c r="CW275" s="50">
        <f t="shared" si="2303"/>
        <v>0.71883350871265006</v>
      </c>
      <c r="CX275" s="50">
        <f t="shared" si="2303"/>
        <v>0.69686766491436403</v>
      </c>
      <c r="CY275" s="50">
        <f t="shared" si="2303"/>
        <v>0.71543815409300826</v>
      </c>
      <c r="CZ275" s="50">
        <f t="shared" si="2303"/>
        <v>0.72547231623152364</v>
      </c>
      <c r="DA275" s="50">
        <f t="shared" si="2303"/>
        <v>0.72437645141970208</v>
      </c>
      <c r="DB275" s="50">
        <f t="shared" si="2303"/>
        <v>0.70049172533848469</v>
      </c>
      <c r="DE275" s="132"/>
    </row>
    <row r="276" spans="1:109" s="84" customFormat="1" x14ac:dyDescent="0.2">
      <c r="A276" s="84" t="s">
        <v>513</v>
      </c>
      <c r="E276" s="174">
        <f>+E73</f>
        <v>4.2610569058045993E-2</v>
      </c>
      <c r="F276" s="174">
        <f t="shared" ref="F276:AE276" si="2304">+F73</f>
        <v>5.1779306595728568E-2</v>
      </c>
      <c r="G276" s="174">
        <f t="shared" si="2304"/>
        <v>7.479077448081721E-2</v>
      </c>
      <c r="H276" s="174">
        <f t="shared" si="2304"/>
        <v>0.15284364585955007</v>
      </c>
      <c r="I276" s="174">
        <f t="shared" si="2304"/>
        <v>7.998520012471444E-2</v>
      </c>
      <c r="J276" s="174">
        <f t="shared" si="2304"/>
        <v>6.9108762636026666E-2</v>
      </c>
      <c r="K276" s="174">
        <f t="shared" si="2304"/>
        <v>0.12983472102030899</v>
      </c>
      <c r="L276" s="174">
        <f t="shared" si="2304"/>
        <v>0.13940747339192874</v>
      </c>
      <c r="M276" s="174">
        <f t="shared" si="2304"/>
        <v>9.468072197387481E-2</v>
      </c>
      <c r="N276" s="174">
        <f t="shared" si="2304"/>
        <v>6.6866315347796065E-2</v>
      </c>
      <c r="O276" s="174">
        <f t="shared" si="2304"/>
        <v>4.0432096053909343E-2</v>
      </c>
      <c r="P276" s="174">
        <f t="shared" si="2304"/>
        <v>6.6700441644547942E-2</v>
      </c>
      <c r="Q276" s="174">
        <f t="shared" si="2304"/>
        <v>9.3602483931091066E-2</v>
      </c>
      <c r="R276" s="174">
        <f t="shared" si="2304"/>
        <v>0.10680451283752969</v>
      </c>
      <c r="S276" s="174">
        <f t="shared" si="2304"/>
        <v>8.2609893648998858E-2</v>
      </c>
      <c r="T276" s="174">
        <f t="shared" si="2304"/>
        <v>8.3325938540112832E-2</v>
      </c>
      <c r="U276" s="174">
        <f t="shared" si="2304"/>
        <v>0.12704229611022252</v>
      </c>
      <c r="V276" s="174">
        <f t="shared" si="2304"/>
        <v>0.14264813024699885</v>
      </c>
      <c r="W276" s="174">
        <f t="shared" si="2304"/>
        <v>0.15191986912944383</v>
      </c>
      <c r="X276" s="174">
        <f t="shared" si="2304"/>
        <v>0.14541382962626712</v>
      </c>
      <c r="Y276" s="174">
        <f t="shared" si="2304"/>
        <v>0.10166365770269407</v>
      </c>
      <c r="Z276" s="174">
        <f t="shared" si="2304"/>
        <v>8.5127206227153238E-2</v>
      </c>
      <c r="AA276" s="174">
        <f t="shared" ref="AA276" si="2305">+AA73</f>
        <v>0.12163106348394934</v>
      </c>
      <c r="AB276" s="175">
        <f t="shared" si="2304"/>
        <v>0.13300510534196788</v>
      </c>
      <c r="AC276" s="175">
        <f t="shared" si="2304"/>
        <v>0.13538253868842026</v>
      </c>
      <c r="AD276" s="175">
        <f t="shared" si="2304"/>
        <v>0.14897773831715855</v>
      </c>
      <c r="AE276" s="175">
        <f t="shared" si="2304"/>
        <v>0.15992401794925495</v>
      </c>
      <c r="AL276" s="174">
        <f t="shared" ref="AL276:CW276" si="2306">+AL73</f>
        <v>7.7858583389353961E-2</v>
      </c>
      <c r="AM276" s="174">
        <f t="shared" si="2306"/>
        <v>5.4184755049286985E-2</v>
      </c>
      <c r="AN276" s="174">
        <f t="shared" si="2306"/>
        <v>5.704902370573852E-2</v>
      </c>
      <c r="AO276" s="174">
        <f t="shared" si="2306"/>
        <v>8.3638009680002914E-2</v>
      </c>
      <c r="AP276" s="174">
        <f t="shared" si="2306"/>
        <v>5.9654029184239635E-2</v>
      </c>
      <c r="AQ276" s="174">
        <f t="shared" si="2306"/>
        <v>8.0041535066845651E-2</v>
      </c>
      <c r="AR276" s="174">
        <f t="shared" si="2306"/>
        <v>6.6301749406587063E-2</v>
      </c>
      <c r="AS276" s="174">
        <f t="shared" si="2306"/>
        <v>6.4533039289232555E-2</v>
      </c>
      <c r="AT276" s="174">
        <f t="shared" si="2306"/>
        <v>5.5874084486202437E-2</v>
      </c>
      <c r="AU276" s="174">
        <f t="shared" si="2306"/>
        <v>9.2862932608464427E-2</v>
      </c>
      <c r="AV276" s="174">
        <f t="shared" si="2306"/>
        <v>8.8605068848533156E-2</v>
      </c>
      <c r="AW276" s="174">
        <f t="shared" si="2306"/>
        <v>8.8953365592088995E-2</v>
      </c>
      <c r="AX276" s="174">
        <f t="shared" si="2306"/>
        <v>0.1003540109258196</v>
      </c>
      <c r="AY276" s="174">
        <f t="shared" si="2306"/>
        <v>0.12677061375808926</v>
      </c>
      <c r="AZ276" s="174">
        <f t="shared" si="2306"/>
        <v>0.10739639797167345</v>
      </c>
      <c r="BA276" s="174">
        <f t="shared" si="2306"/>
        <v>9.6027575695816644E-2</v>
      </c>
      <c r="BB276" s="174">
        <f t="shared" si="2306"/>
        <v>9.7464945957565594E-2</v>
      </c>
      <c r="BC276" s="174">
        <f t="shared" si="2306"/>
        <v>8.0268773970060603E-2</v>
      </c>
      <c r="BD276" s="174">
        <f t="shared" si="2306"/>
        <v>7.9879977923400403E-2</v>
      </c>
      <c r="BE276" s="174">
        <f t="shared" si="2306"/>
        <v>9.3925815641418289E-2</v>
      </c>
      <c r="BF276" s="174">
        <f t="shared" si="2306"/>
        <v>7.6854373026850289E-2</v>
      </c>
      <c r="BG276" s="174">
        <f t="shared" si="2306"/>
        <v>7.8098768255038004E-2</v>
      </c>
      <c r="BH276" s="174">
        <f t="shared" si="2306"/>
        <v>7.4079828741109119E-2</v>
      </c>
      <c r="BI276" s="174">
        <f t="shared" si="2306"/>
        <v>8.4902530987737548E-2</v>
      </c>
      <c r="BJ276" s="174">
        <f t="shared" si="2306"/>
        <v>9.2645698666377244E-2</v>
      </c>
      <c r="BK276" s="174">
        <f t="shared" si="2306"/>
        <v>9.9439116651259915E-2</v>
      </c>
      <c r="BL276" s="174">
        <f t="shared" si="2306"/>
        <v>0.11590399113977358</v>
      </c>
      <c r="BM276" s="174">
        <f t="shared" si="2306"/>
        <v>0.18669109262951977</v>
      </c>
      <c r="BN276" s="174">
        <f t="shared" si="2306"/>
        <v>0.10605489553461693</v>
      </c>
      <c r="BO276" s="174">
        <f t="shared" si="2306"/>
        <v>0.1151452417223286</v>
      </c>
      <c r="BP276" s="174">
        <f t="shared" si="2306"/>
        <v>0.15095350127197243</v>
      </c>
      <c r="BQ276" s="174">
        <f t="shared" si="2306"/>
        <v>0.15106619890887577</v>
      </c>
      <c r="BR276" s="174">
        <f t="shared" si="2306"/>
        <v>0.14628113435468718</v>
      </c>
      <c r="BS276" s="174">
        <f t="shared" si="2306"/>
        <v>0.14643254056457003</v>
      </c>
      <c r="BT276" s="174">
        <f t="shared" si="2306"/>
        <v>0.13471435062716419</v>
      </c>
      <c r="BU276" s="174">
        <f t="shared" si="2306"/>
        <v>0.15109373645718452</v>
      </c>
      <c r="BV276" s="174">
        <f t="shared" si="2306"/>
        <v>0.17063351195406581</v>
      </c>
      <c r="BW276" s="174">
        <f t="shared" si="2306"/>
        <v>0.15711203276612784</v>
      </c>
      <c r="BX276" s="174">
        <f t="shared" si="2306"/>
        <v>0.13028956849148096</v>
      </c>
      <c r="BY276" s="174">
        <f t="shared" si="2306"/>
        <v>0.14788891397606682</v>
      </c>
      <c r="BZ276" s="174">
        <f t="shared" si="2306"/>
        <v>0.14998346701937032</v>
      </c>
      <c r="CA276" s="174">
        <f t="shared" si="2306"/>
        <v>0.10839455146093842</v>
      </c>
      <c r="CB276" s="174">
        <f t="shared" si="2306"/>
        <v>9.5236285917834035E-2</v>
      </c>
      <c r="CC276" s="174">
        <f t="shared" si="2306"/>
        <v>8.3503571710994595E-2</v>
      </c>
      <c r="CD276" s="174">
        <f t="shared" si="2306"/>
        <v>0.11880020821902394</v>
      </c>
      <c r="CE276" s="174">
        <f t="shared" si="2306"/>
        <v>7.3173420600659164E-2</v>
      </c>
      <c r="CF276" s="174">
        <f t="shared" si="2306"/>
        <v>5.9211396621111141E-2</v>
      </c>
      <c r="CG276" s="174">
        <f t="shared" si="2306"/>
        <v>7.8412769120850295E-2</v>
      </c>
      <c r="CH276" s="174">
        <f t="shared" si="2306"/>
        <v>0.12325044163609195</v>
      </c>
      <c r="CI276" s="174">
        <f t="shared" si="2306"/>
        <v>0.11321367404978758</v>
      </c>
      <c r="CJ276" s="174">
        <f t="shared" si="2306"/>
        <v>0.10754219350835004</v>
      </c>
      <c r="CK276" s="174">
        <f t="shared" si="2306"/>
        <v>0.13775995076695186</v>
      </c>
      <c r="CL276" s="174">
        <f t="shared" ref="CL276" si="2307">+CL73</f>
        <v>0.13226419423609426</v>
      </c>
      <c r="CM276" s="175">
        <f t="shared" si="2306"/>
        <v>0.12595144942481656</v>
      </c>
      <c r="CN276" s="175">
        <f t="shared" si="2306"/>
        <v>0.12783675477726442</v>
      </c>
      <c r="CO276" s="175">
        <f t="shared" si="2306"/>
        <v>0.13603873979961467</v>
      </c>
      <c r="CP276" s="175">
        <f t="shared" si="2306"/>
        <v>0.14005015584776334</v>
      </c>
      <c r="CQ276" s="175">
        <f t="shared" si="2306"/>
        <v>0.12861149353025939</v>
      </c>
      <c r="CR276" s="175">
        <f t="shared" si="2306"/>
        <v>0.13033889162395662</v>
      </c>
      <c r="CS276" s="175">
        <f t="shared" si="2306"/>
        <v>0.13538725359636877</v>
      </c>
      <c r="CT276" s="175">
        <f t="shared" si="2306"/>
        <v>0.1444083502396307</v>
      </c>
      <c r="CU276" s="175">
        <f t="shared" si="2306"/>
        <v>0.14346947769927318</v>
      </c>
      <c r="CV276" s="175">
        <f t="shared" si="2306"/>
        <v>0.14522991284440898</v>
      </c>
      <c r="CW276" s="175">
        <f t="shared" si="2306"/>
        <v>0.14910700959824419</v>
      </c>
      <c r="CX276" s="175">
        <f t="shared" ref="CX276:DB276" si="2308">+CX73</f>
        <v>0.15594646920542102</v>
      </c>
      <c r="CY276" s="175">
        <f t="shared" si="2308"/>
        <v>0.15527877031524351</v>
      </c>
      <c r="CZ276" s="175">
        <f t="shared" si="2308"/>
        <v>0.1573701754541913</v>
      </c>
      <c r="DA276" s="175">
        <f t="shared" si="2308"/>
        <v>0.16054752800265978</v>
      </c>
      <c r="DB276" s="175">
        <f t="shared" si="2308"/>
        <v>0.16494304270257035</v>
      </c>
      <c r="DE276" s="132"/>
    </row>
    <row r="277" spans="1:109" s="84" customFormat="1" x14ac:dyDescent="0.2">
      <c r="A277" s="84" t="s">
        <v>514</v>
      </c>
      <c r="E277" s="84">
        <f>(E192+E179+E169+E171)/E151</f>
        <v>2.3552162619754311</v>
      </c>
      <c r="F277" s="84">
        <f t="shared" ref="F277:AE277" si="2309">(F192+F179+F169+F171)/F151</f>
        <v>2.827973583830929</v>
      </c>
      <c r="G277" s="84">
        <f t="shared" si="2309"/>
        <v>2.766519195370551</v>
      </c>
      <c r="H277" s="84">
        <f t="shared" si="2309"/>
        <v>2.0824275662873899</v>
      </c>
      <c r="I277" s="84">
        <f t="shared" si="2309"/>
        <v>2.0845685239899696</v>
      </c>
      <c r="J277" s="84">
        <f t="shared" si="2309"/>
        <v>2.6088021349918686</v>
      </c>
      <c r="K277" s="84">
        <f t="shared" si="2309"/>
        <v>2.3736009149519099</v>
      </c>
      <c r="L277" s="84">
        <f t="shared" si="2309"/>
        <v>2.0898124379113869</v>
      </c>
      <c r="M277" s="84">
        <f t="shared" si="2309"/>
        <v>2.143115793698922</v>
      </c>
      <c r="N277" s="84">
        <f t="shared" si="2309"/>
        <v>2.3233638602788362</v>
      </c>
      <c r="O277" s="84">
        <f t="shared" si="2309"/>
        <v>2.6461842609892883</v>
      </c>
      <c r="P277" s="84">
        <f t="shared" si="2309"/>
        <v>2.5619594659327452</v>
      </c>
      <c r="Q277" s="84">
        <f t="shared" si="2309"/>
        <v>2.3250041621727267</v>
      </c>
      <c r="R277" s="84">
        <f t="shared" si="2309"/>
        <v>2.1894673009369523</v>
      </c>
      <c r="S277" s="84">
        <f t="shared" si="2309"/>
        <v>2.3461746709944928</v>
      </c>
      <c r="T277" s="84">
        <f t="shared" si="2309"/>
        <v>2.3945879053682608</v>
      </c>
      <c r="U277" s="84">
        <f t="shared" si="2309"/>
        <v>2.2018640590920513</v>
      </c>
      <c r="V277" s="84">
        <f t="shared" si="2309"/>
        <v>1.8830920509537048</v>
      </c>
      <c r="W277" s="84">
        <f t="shared" si="2309"/>
        <v>1.8405542790962666</v>
      </c>
      <c r="X277" s="84">
        <f t="shared" si="2309"/>
        <v>1.8142518918761892</v>
      </c>
      <c r="Y277" s="84">
        <f t="shared" si="2309"/>
        <v>1.7818925308954949</v>
      </c>
      <c r="Z277" s="84">
        <f t="shared" si="2309"/>
        <v>1.7045025423326101</v>
      </c>
      <c r="AA277" s="84">
        <f t="shared" ref="AA277" si="2310">(AA192+AA179+AA169+AA171)/AA151</f>
        <v>1.7159447288139937</v>
      </c>
      <c r="AB277" s="50">
        <f t="shared" si="2309"/>
        <v>1.656488576360605</v>
      </c>
      <c r="AC277" s="50">
        <f t="shared" si="2309"/>
        <v>1.6014549973994106</v>
      </c>
      <c r="AD277" s="50">
        <f t="shared" si="2309"/>
        <v>1.5462367188871502</v>
      </c>
      <c r="AE277" s="50">
        <f t="shared" si="2309"/>
        <v>1.4948554756580708</v>
      </c>
      <c r="AL277" s="84">
        <f t="shared" ref="AL277:CW277" si="2311">(AL192+AL179+AL169+AL171)/AL151</f>
        <v>2.3233583723138969</v>
      </c>
      <c r="AM277" s="84">
        <f t="shared" si="2311"/>
        <v>2.2915265348558145</v>
      </c>
      <c r="AN277" s="84">
        <f t="shared" si="2311"/>
        <v>2.0358087854560654</v>
      </c>
      <c r="AO277" s="84">
        <f t="shared" si="2311"/>
        <v>2.0075912083173684</v>
      </c>
      <c r="AP277" s="84">
        <f t="shared" si="2311"/>
        <v>2.646173052171136</v>
      </c>
      <c r="AQ277" s="84">
        <f t="shared" si="2311"/>
        <v>2.686388230503034</v>
      </c>
      <c r="AR277" s="84">
        <f t="shared" si="2311"/>
        <v>2.1027442218329297</v>
      </c>
      <c r="AS277" s="84">
        <f t="shared" si="2311"/>
        <v>2.0526339569316936</v>
      </c>
      <c r="AT277" s="84">
        <f t="shared" si="2311"/>
        <v>2.5619594659327452</v>
      </c>
      <c r="AU277" s="84">
        <f t="shared" si="2311"/>
        <v>2.5196834686656153</v>
      </c>
      <c r="AV277" s="84">
        <f t="shared" si="2311"/>
        <v>2.5279200145722442</v>
      </c>
      <c r="AW277" s="84">
        <f t="shared" si="2311"/>
        <v>2.4335508512913915</v>
      </c>
      <c r="AX277" s="84">
        <f t="shared" si="2311"/>
        <v>2.3250041621727262</v>
      </c>
      <c r="AY277" s="84">
        <f t="shared" si="2311"/>
        <v>2.2622345539903512</v>
      </c>
      <c r="AZ277" s="84">
        <f t="shared" si="2311"/>
        <v>2.3253047243136091</v>
      </c>
      <c r="BA277" s="84">
        <f t="shared" si="2311"/>
        <v>2.2594566602445423</v>
      </c>
      <c r="BB277" s="84">
        <f t="shared" si="2311"/>
        <v>2.1894673009369519</v>
      </c>
      <c r="BC277" s="84">
        <f t="shared" si="2311"/>
        <v>2.1304943710044064</v>
      </c>
      <c r="BD277" s="84">
        <f t="shared" si="2311"/>
        <v>2.3400472233845417</v>
      </c>
      <c r="BE277" s="84">
        <f t="shared" si="2311"/>
        <v>2.3123985749250839</v>
      </c>
      <c r="BF277" s="84">
        <f t="shared" si="2311"/>
        <v>2.3461746709944928</v>
      </c>
      <c r="BG277" s="84">
        <f t="shared" si="2311"/>
        <v>2.3061443502912677</v>
      </c>
      <c r="BH277" s="84">
        <f t="shared" si="2311"/>
        <v>2.5456809528613986</v>
      </c>
      <c r="BI277" s="84">
        <f t="shared" si="2311"/>
        <v>2.49116174374389</v>
      </c>
      <c r="BJ277" s="84">
        <f t="shared" si="2311"/>
        <v>2.3945879053682608</v>
      </c>
      <c r="BK277" s="84">
        <f t="shared" si="2311"/>
        <v>2.3047787952542422</v>
      </c>
      <c r="BL277" s="84">
        <f t="shared" si="2311"/>
        <v>2.2726735132364824</v>
      </c>
      <c r="BM277" s="84">
        <f t="shared" si="2311"/>
        <v>2.199758899017386</v>
      </c>
      <c r="BN277" s="84">
        <f t="shared" si="2311"/>
        <v>2.2018640590920517</v>
      </c>
      <c r="BO277" s="84">
        <f t="shared" si="2311"/>
        <v>2.1225398697233415</v>
      </c>
      <c r="BP277" s="84">
        <f t="shared" si="2311"/>
        <v>2.1060443929771586</v>
      </c>
      <c r="BQ277" s="84">
        <f t="shared" si="2311"/>
        <v>2.0480736116176232</v>
      </c>
      <c r="BR277" s="84">
        <f t="shared" si="2311"/>
        <v>1.8830920509537048</v>
      </c>
      <c r="BS277" s="84">
        <f t="shared" si="2311"/>
        <v>1.8426472150936404</v>
      </c>
      <c r="BT277" s="84">
        <f t="shared" si="2311"/>
        <v>1.8600903688489199</v>
      </c>
      <c r="BU277" s="84">
        <f t="shared" si="2311"/>
        <v>1.8478762003918912</v>
      </c>
      <c r="BV277" s="84">
        <f t="shared" si="2311"/>
        <v>1.8405542790962668</v>
      </c>
      <c r="BW277" s="84">
        <f t="shared" si="2311"/>
        <v>1.8054738508712578</v>
      </c>
      <c r="BX277" s="84">
        <f t="shared" si="2311"/>
        <v>1.846907747893457</v>
      </c>
      <c r="BY277" s="84">
        <f t="shared" si="2311"/>
        <v>1.7855798074215248</v>
      </c>
      <c r="BZ277" s="84">
        <f t="shared" si="2311"/>
        <v>1.8142518918761892</v>
      </c>
      <c r="CA277" s="84">
        <f t="shared" si="2311"/>
        <v>1.7612635305369597</v>
      </c>
      <c r="CB277" s="84">
        <f t="shared" si="2311"/>
        <v>1.8092603906629399</v>
      </c>
      <c r="CC277" s="84">
        <f t="shared" si="2311"/>
        <v>1.7823839754361055</v>
      </c>
      <c r="CD277" s="84">
        <f t="shared" si="2311"/>
        <v>1.7818925308954943</v>
      </c>
      <c r="CE277" s="84">
        <f t="shared" si="2311"/>
        <v>1.7586341712368116</v>
      </c>
      <c r="CF277" s="84">
        <f t="shared" si="2311"/>
        <v>1.7538681587789262</v>
      </c>
      <c r="CG277" s="84">
        <f t="shared" si="2311"/>
        <v>1.739030176787578</v>
      </c>
      <c r="CH277" s="84">
        <f t="shared" si="2311"/>
        <v>1.7045025423326101</v>
      </c>
      <c r="CI277" s="84">
        <f t="shared" si="2311"/>
        <v>1.6527707992662575</v>
      </c>
      <c r="CJ277" s="84">
        <f t="shared" si="2311"/>
        <v>1.67547094986135</v>
      </c>
      <c r="CK277" s="84">
        <f t="shared" si="2311"/>
        <v>1.6563417814217376</v>
      </c>
      <c r="CL277" s="84">
        <f t="shared" ref="CL277" si="2312">(CL192+CL179+CL169+CL171)/CL151</f>
        <v>1.7159447288139937</v>
      </c>
      <c r="CM277" s="50">
        <f t="shared" si="2311"/>
        <v>1.6705872590431363</v>
      </c>
      <c r="CN277" s="50">
        <f t="shared" si="2311"/>
        <v>1.6354261295198158</v>
      </c>
      <c r="CO277" s="50">
        <f t="shared" si="2311"/>
        <v>1.6227191004680606</v>
      </c>
      <c r="CP277" s="50">
        <f t="shared" si="2311"/>
        <v>1.656488576360605</v>
      </c>
      <c r="CQ277" s="50">
        <f t="shared" si="2311"/>
        <v>1.6066344891555771</v>
      </c>
      <c r="CR277" s="50">
        <f t="shared" si="2311"/>
        <v>1.5750432037860032</v>
      </c>
      <c r="CS277" s="50">
        <f t="shared" si="2311"/>
        <v>1.5659941495191354</v>
      </c>
      <c r="CT277" s="50">
        <f t="shared" si="2311"/>
        <v>1.6014549973994106</v>
      </c>
      <c r="CU277" s="50">
        <f t="shared" si="2311"/>
        <v>1.5504597533853974</v>
      </c>
      <c r="CV277" s="50">
        <f t="shared" si="2311"/>
        <v>1.5195107736460558</v>
      </c>
      <c r="CW277" s="50">
        <f t="shared" si="2311"/>
        <v>1.5108874147048263</v>
      </c>
      <c r="CX277" s="50">
        <f t="shared" ref="CX277:DB277" si="2313">(CX192+CX179+CX169+CX171)/CX151</f>
        <v>1.5462367188871502</v>
      </c>
      <c r="CY277" s="50">
        <f t="shared" si="2313"/>
        <v>1.4966493832972538</v>
      </c>
      <c r="CZ277" s="50">
        <f t="shared" si="2313"/>
        <v>1.4670093677636531</v>
      </c>
      <c r="DA277" s="50">
        <f t="shared" si="2313"/>
        <v>1.4592748556372013</v>
      </c>
      <c r="DB277" s="50">
        <f t="shared" si="2313"/>
        <v>1.4948554756580708</v>
      </c>
      <c r="DE277" s="132"/>
    </row>
    <row r="278" spans="1:109" s="84" customFormat="1" x14ac:dyDescent="0.2">
      <c r="A278" s="148" t="s">
        <v>498</v>
      </c>
      <c r="AB278" s="50"/>
      <c r="AC278" s="50"/>
      <c r="AD278" s="50"/>
      <c r="AE278" s="50"/>
      <c r="CM278" s="50"/>
      <c r="CN278" s="50"/>
      <c r="CO278" s="50"/>
      <c r="CP278" s="50"/>
      <c r="CQ278" s="50"/>
      <c r="CR278" s="50"/>
      <c r="CS278" s="50"/>
      <c r="CT278" s="50"/>
      <c r="CU278" s="50"/>
      <c r="CV278" s="50"/>
      <c r="CW278" s="50"/>
      <c r="CX278" s="50"/>
      <c r="CY278" s="50"/>
      <c r="CZ278" s="50"/>
      <c r="DA278" s="50"/>
      <c r="DB278" s="50"/>
      <c r="DE278" s="132"/>
    </row>
    <row r="279" spans="1:109" s="88" customFormat="1" x14ac:dyDescent="0.2">
      <c r="A279" s="88" t="s">
        <v>102</v>
      </c>
      <c r="B279" s="88">
        <f t="shared" ref="B279:AE279" si="2314">B192/B151</f>
        <v>5.0364401839914114E-2</v>
      </c>
      <c r="C279" s="88">
        <f t="shared" si="2314"/>
        <v>6.9071526204518688E-2</v>
      </c>
      <c r="D279" s="88">
        <f t="shared" si="2314"/>
        <v>9.0380180723280787E-2</v>
      </c>
      <c r="F279" s="88">
        <f t="shared" si="2314"/>
        <v>2.4010052006030673E-2</v>
      </c>
      <c r="G279" s="88">
        <f t="shared" si="2314"/>
        <v>1.8098474402279418E-2</v>
      </c>
      <c r="H279" s="88">
        <f t="shared" si="2314"/>
        <v>2.4654528388021148E-2</v>
      </c>
      <c r="I279" s="88">
        <f t="shared" si="2314"/>
        <v>7.5150701650239793E-2</v>
      </c>
      <c r="J279" s="88">
        <f t="shared" si="2314"/>
        <v>4.6273879540956644E-2</v>
      </c>
      <c r="K279" s="88">
        <f t="shared" si="2314"/>
        <v>7.1089876252424425E-2</v>
      </c>
      <c r="L279" s="88">
        <f t="shared" si="2314"/>
        <v>0.11813945117258404</v>
      </c>
      <c r="M279" s="88">
        <f t="shared" si="2314"/>
        <v>0.14814266119688638</v>
      </c>
      <c r="N279" s="88">
        <f t="shared" si="2314"/>
        <v>0.16884214916630741</v>
      </c>
      <c r="O279" s="88">
        <f t="shared" si="2314"/>
        <v>5.2712709349327765E-2</v>
      </c>
      <c r="P279" s="88">
        <f t="shared" si="2314"/>
        <v>8.7757039462797309E-2</v>
      </c>
      <c r="Q279" s="88">
        <f t="shared" si="2314"/>
        <v>0.19899890697724923</v>
      </c>
      <c r="R279" s="88">
        <f t="shared" si="2314"/>
        <v>8.3854385953887625E-2</v>
      </c>
      <c r="S279" s="88">
        <f t="shared" si="2314"/>
        <v>6.128157148347748E-2</v>
      </c>
      <c r="T279" s="88">
        <f t="shared" si="2314"/>
        <v>7.2499497489871084E-2</v>
      </c>
      <c r="U279" s="88">
        <f t="shared" si="2314"/>
        <v>6.566977208046508E-2</v>
      </c>
      <c r="V279" s="88">
        <f t="shared" si="2314"/>
        <v>0.10129484483155932</v>
      </c>
      <c r="W279" s="88">
        <f t="shared" si="2314"/>
        <v>9.0607983785853718E-2</v>
      </c>
      <c r="X279" s="88">
        <f t="shared" si="2314"/>
        <v>0.10714676504907017</v>
      </c>
      <c r="Y279" s="88">
        <f t="shared" si="2314"/>
        <v>7.0835315209834993E-2</v>
      </c>
      <c r="Z279" s="88">
        <f t="shared" si="2314"/>
        <v>8.3816191728310979E-2</v>
      </c>
      <c r="AA279" s="88">
        <f t="shared" ref="AA279" si="2315">AA192/AA151</f>
        <v>8.3620313955376294E-2</v>
      </c>
      <c r="AB279" s="42">
        <f t="shared" si="2314"/>
        <v>0.23560542924127786</v>
      </c>
      <c r="AC279" s="42">
        <f t="shared" si="2314"/>
        <v>0.37498003008961739</v>
      </c>
      <c r="AD279" s="42">
        <f t="shared" si="2314"/>
        <v>0.48818369590193039</v>
      </c>
      <c r="AE279" s="42">
        <f t="shared" si="2314"/>
        <v>0.57690416169983882</v>
      </c>
      <c r="AL279" s="88">
        <f t="shared" ref="AL279:CW279" si="2316">AL192/AL151</f>
        <v>0.16883281782490997</v>
      </c>
      <c r="AM279" s="88">
        <f t="shared" si="2316"/>
        <v>0.19015918850543023</v>
      </c>
      <c r="AN279" s="88">
        <f t="shared" si="2316"/>
        <v>0.11892241113122126</v>
      </c>
      <c r="AO279" s="88">
        <f t="shared" si="2316"/>
        <v>0.14323139016967759</v>
      </c>
      <c r="AP279" s="88">
        <f t="shared" si="2316"/>
        <v>5.2713073267978285E-2</v>
      </c>
      <c r="AQ279" s="88">
        <f t="shared" si="2316"/>
        <v>2.1195806663103253E-3</v>
      </c>
      <c r="AR279" s="88">
        <f t="shared" si="2316"/>
        <v>0.14237090681469436</v>
      </c>
      <c r="AS279" s="88">
        <f t="shared" si="2316"/>
        <v>0.18955600134469691</v>
      </c>
      <c r="AT279" s="88">
        <f t="shared" si="2316"/>
        <v>8.7757039462797309E-2</v>
      </c>
      <c r="AU279" s="88">
        <f t="shared" si="2316"/>
        <v>8.8100851523696941E-2</v>
      </c>
      <c r="AV279" s="88">
        <f t="shared" si="2316"/>
        <v>0.13201238640733468</v>
      </c>
      <c r="AW279" s="88">
        <f t="shared" si="2316"/>
        <v>0.19705928839302891</v>
      </c>
      <c r="AX279" s="88">
        <f t="shared" si="2316"/>
        <v>0.19899890697724923</v>
      </c>
      <c r="AY279" s="88">
        <f t="shared" si="2316"/>
        <v>0.23653948746630515</v>
      </c>
      <c r="AZ279" s="88">
        <f t="shared" si="2316"/>
        <v>0.11327919876197597</v>
      </c>
      <c r="BA279" s="88">
        <f t="shared" si="2316"/>
        <v>0.16290526368218644</v>
      </c>
      <c r="BB279" s="88">
        <f t="shared" si="2316"/>
        <v>8.3854385953887625E-2</v>
      </c>
      <c r="BC279" s="88">
        <f t="shared" si="2316"/>
        <v>0.1309457460580116</v>
      </c>
      <c r="BD279" s="88">
        <f t="shared" si="2316"/>
        <v>6.408033953015721E-2</v>
      </c>
      <c r="BE279" s="88">
        <f t="shared" si="2316"/>
        <v>7.9100235653970327E-2</v>
      </c>
      <c r="BF279" s="88">
        <f t="shared" si="2316"/>
        <v>6.128157148347748E-2</v>
      </c>
      <c r="BG279" s="88">
        <f t="shared" si="2316"/>
        <v>9.0306807289602498E-2</v>
      </c>
      <c r="BH279" s="88">
        <f t="shared" si="2316"/>
        <v>5.3298427651247628E-2</v>
      </c>
      <c r="BI279" s="88">
        <f t="shared" si="2316"/>
        <v>8.461553258851498E-2</v>
      </c>
      <c r="BJ279" s="88">
        <f t="shared" si="2316"/>
        <v>7.2499497489871084E-2</v>
      </c>
      <c r="BK279" s="88">
        <f t="shared" si="2316"/>
        <v>0.13122531355032743</v>
      </c>
      <c r="BL279" s="88">
        <f t="shared" si="2316"/>
        <v>6.3524603628287768E-2</v>
      </c>
      <c r="BM279" s="88">
        <f t="shared" si="2316"/>
        <v>0.11657382138756638</v>
      </c>
      <c r="BN279" s="88">
        <f t="shared" si="2316"/>
        <v>6.5669772080465094E-2</v>
      </c>
      <c r="BO279" s="88">
        <f t="shared" si="2316"/>
        <v>0.13128073925700348</v>
      </c>
      <c r="BP279" s="88">
        <f t="shared" si="2316"/>
        <v>0.10785653819796907</v>
      </c>
      <c r="BQ279" s="88">
        <f t="shared" si="2316"/>
        <v>0.15359730732201943</v>
      </c>
      <c r="BR279" s="88">
        <f t="shared" si="2316"/>
        <v>0.10129484483155932</v>
      </c>
      <c r="BS279" s="88">
        <f t="shared" si="2316"/>
        <v>0.14467707062562102</v>
      </c>
      <c r="BT279" s="88">
        <f t="shared" si="2316"/>
        <v>9.9247634825885181E-2</v>
      </c>
      <c r="BU279" s="88">
        <f t="shared" si="2316"/>
        <v>0.12433213652193693</v>
      </c>
      <c r="BV279" s="88">
        <f t="shared" si="2316"/>
        <v>9.0607983785853718E-2</v>
      </c>
      <c r="BW279" s="88">
        <f t="shared" si="2316"/>
        <v>0.13282712500817034</v>
      </c>
      <c r="BX279" s="88">
        <f t="shared" si="2316"/>
        <v>7.4629017553711027E-2</v>
      </c>
      <c r="BY279" s="88">
        <f t="shared" si="2316"/>
        <v>0.13820876650349168</v>
      </c>
      <c r="BZ279" s="88">
        <f t="shared" si="2316"/>
        <v>0.10714676504907014</v>
      </c>
      <c r="CA279" s="88">
        <f t="shared" si="2316"/>
        <v>0.15815615180122861</v>
      </c>
      <c r="CB279" s="88">
        <f t="shared" si="2316"/>
        <v>8.7585388981192988E-2</v>
      </c>
      <c r="CC279" s="88">
        <f t="shared" si="2316"/>
        <v>0.11629969960015384</v>
      </c>
      <c r="CD279" s="88">
        <f t="shared" si="2316"/>
        <v>7.0835315209834979E-2</v>
      </c>
      <c r="CE279" s="88">
        <f t="shared" si="2316"/>
        <v>9.6889672189115678E-2</v>
      </c>
      <c r="CF279" s="88">
        <f t="shared" si="2316"/>
        <v>5.0954755691067402E-2</v>
      </c>
      <c r="CG279" s="88">
        <f t="shared" si="2316"/>
        <v>7.0083221220968411E-2</v>
      </c>
      <c r="CH279" s="88">
        <f t="shared" si="2316"/>
        <v>8.3816191728310979E-2</v>
      </c>
      <c r="CI279" s="88">
        <f t="shared" si="2316"/>
        <v>0.15232949109801036</v>
      </c>
      <c r="CJ279" s="88">
        <f t="shared" si="2316"/>
        <v>4.7850436004650318E-2</v>
      </c>
      <c r="CK279" s="88">
        <f t="shared" si="2316"/>
        <v>9.1759281016270178E-2</v>
      </c>
      <c r="CL279" s="88">
        <f t="shared" ref="CL279" si="2317">CL192/CL151</f>
        <v>8.3620313955376294E-2</v>
      </c>
      <c r="CM279" s="42">
        <f t="shared" si="2316"/>
        <v>0.14756642960279739</v>
      </c>
      <c r="CN279" s="42">
        <f t="shared" si="2316"/>
        <v>0.20092552859024151</v>
      </c>
      <c r="CO279" s="42">
        <f t="shared" si="2316"/>
        <v>0.23592901856945417</v>
      </c>
      <c r="CP279" s="42">
        <f t="shared" si="2316"/>
        <v>0.23560542924127786</v>
      </c>
      <c r="CQ279" s="42">
        <f t="shared" si="2316"/>
        <v>0.30110987896625024</v>
      </c>
      <c r="CR279" s="42">
        <f t="shared" si="2316"/>
        <v>0.34989120120068667</v>
      </c>
      <c r="CS279" s="42">
        <f t="shared" si="2316"/>
        <v>0.3797181685746146</v>
      </c>
      <c r="CT279" s="42">
        <f t="shared" si="2316"/>
        <v>0.37498003008961739</v>
      </c>
      <c r="CU279" s="42">
        <f t="shared" si="2316"/>
        <v>0.43444485201406602</v>
      </c>
      <c r="CV279" s="42">
        <f t="shared" si="2316"/>
        <v>0.47632455292016485</v>
      </c>
      <c r="CW279" s="42">
        <f t="shared" si="2316"/>
        <v>0.49956107981496378</v>
      </c>
      <c r="CX279" s="42">
        <f t="shared" ref="CX279:DB279" si="2318">CX192/CX151</f>
        <v>0.48818369590193039</v>
      </c>
      <c r="CY279" s="42">
        <f t="shared" si="2318"/>
        <v>0.54071221512835188</v>
      </c>
      <c r="CZ279" s="42">
        <f t="shared" si="2318"/>
        <v>0.5762700984185255</v>
      </c>
      <c r="DA279" s="42">
        <f t="shared" si="2318"/>
        <v>0.59375028636194704</v>
      </c>
      <c r="DB279" s="42">
        <f t="shared" si="2318"/>
        <v>0.57690416169983882</v>
      </c>
      <c r="DE279" s="122"/>
    </row>
    <row r="280" spans="1:109" s="89" customFormat="1" x14ac:dyDescent="0.2">
      <c r="A280" s="89" t="s">
        <v>103</v>
      </c>
      <c r="C280" s="89">
        <f t="shared" ref="C280:AE280" si="2319">C159/B159-1</f>
        <v>-4.5520646640038742E-2</v>
      </c>
      <c r="D280" s="89">
        <f t="shared" si="2319"/>
        <v>-0.23014591584970945</v>
      </c>
      <c r="F280" s="89">
        <f t="shared" si="2319"/>
        <v>0.77517053962836568</v>
      </c>
      <c r="G280" s="89">
        <f t="shared" si="2319"/>
        <v>0.35405203826095466</v>
      </c>
      <c r="H280" s="89">
        <f t="shared" si="2319"/>
        <v>-0.20472960409634422</v>
      </c>
      <c r="I280" s="89">
        <f t="shared" si="2319"/>
        <v>5.7243356665366285E-2</v>
      </c>
      <c r="J280" s="89">
        <f t="shared" si="2319"/>
        <v>1.0378055385981035</v>
      </c>
      <c r="K280" s="89">
        <f>K159/J159-1</f>
        <v>-2.125410760494939E-2</v>
      </c>
      <c r="L280" s="89">
        <f t="shared" si="2319"/>
        <v>-5.6828226367343304E-2</v>
      </c>
      <c r="M280" s="89">
        <f t="shared" si="2319"/>
        <v>0.26233301754938698</v>
      </c>
      <c r="N280" s="89">
        <f t="shared" si="2319"/>
        <v>0.38715249229334492</v>
      </c>
      <c r="O280" s="89">
        <f t="shared" si="2319"/>
        <v>0.27659503421411769</v>
      </c>
      <c r="P280" s="89">
        <f t="shared" si="2319"/>
        <v>0.11932327484378979</v>
      </c>
      <c r="Q280" s="89">
        <f t="shared" si="2319"/>
        <v>3.3003544307956378E-2</v>
      </c>
      <c r="R280" s="89">
        <f t="shared" si="2319"/>
        <v>-4.73273034489613E-2</v>
      </c>
      <c r="S280" s="89">
        <f t="shared" si="2319"/>
        <v>0.31117055683767281</v>
      </c>
      <c r="T280" s="89">
        <f t="shared" si="2319"/>
        <v>0.18726287780408946</v>
      </c>
      <c r="U280" s="89">
        <f t="shared" si="2319"/>
        <v>8.4883075661025265E-2</v>
      </c>
      <c r="V280" s="89">
        <f t="shared" si="2319"/>
        <v>-0.1620679941287233</v>
      </c>
      <c r="W280" s="89">
        <f t="shared" si="2319"/>
        <v>4.3760469011725034E-2</v>
      </c>
      <c r="X280" s="89">
        <f t="shared" si="2319"/>
        <v>0.2301863336488339</v>
      </c>
      <c r="Y280" s="89">
        <f t="shared" si="2319"/>
        <v>0.13003495588025893</v>
      </c>
      <c r="Z280" s="89">
        <f t="shared" si="2319"/>
        <v>-5.6704550997512371E-2</v>
      </c>
      <c r="AA280" s="89">
        <f t="shared" si="2319"/>
        <v>7.8231248545647336E-2</v>
      </c>
      <c r="AB280" s="47">
        <f t="shared" si="2319"/>
        <v>0</v>
      </c>
      <c r="AC280" s="47">
        <f t="shared" si="2319"/>
        <v>0</v>
      </c>
      <c r="AD280" s="47">
        <f t="shared" si="2319"/>
        <v>0</v>
      </c>
      <c r="AE280" s="47">
        <f t="shared" si="2319"/>
        <v>0</v>
      </c>
      <c r="AL280" s="89">
        <f t="shared" ref="AL280:CW280" si="2320">AL159/AK159-1</f>
        <v>2.4666718458669981</v>
      </c>
      <c r="AM280" s="89">
        <f t="shared" si="2320"/>
        <v>0</v>
      </c>
      <c r="AN280" s="89">
        <f t="shared" si="2320"/>
        <v>-0.20813631236507335</v>
      </c>
      <c r="AO280" s="89">
        <f t="shared" si="2320"/>
        <v>0</v>
      </c>
      <c r="AP280" s="89">
        <f t="shared" si="2320"/>
        <v>0.91736316812255914</v>
      </c>
      <c r="AQ280" s="89">
        <f t="shared" si="2320"/>
        <v>0</v>
      </c>
      <c r="AR280" s="89">
        <f t="shared" si="2320"/>
        <v>-0.34296341487414639</v>
      </c>
      <c r="AS280" s="89">
        <f t="shared" si="2320"/>
        <v>0</v>
      </c>
      <c r="AT280" s="89">
        <f t="shared" si="2320"/>
        <v>0.51591984664230517</v>
      </c>
      <c r="AU280" s="89">
        <f t="shared" si="2320"/>
        <v>0</v>
      </c>
      <c r="AV280" s="89">
        <f t="shared" si="2320"/>
        <v>-0.12879244425563863</v>
      </c>
      <c r="AW280" s="89">
        <f t="shared" si="2320"/>
        <v>0</v>
      </c>
      <c r="AX280" s="89">
        <f t="shared" si="2320"/>
        <v>0.20754214175960617</v>
      </c>
      <c r="AY280" s="89">
        <f t="shared" si="2320"/>
        <v>0</v>
      </c>
      <c r="AZ280" s="89">
        <f t="shared" si="2320"/>
        <v>-1.5753170589699272E-2</v>
      </c>
      <c r="BA280" s="89">
        <f t="shared" si="2320"/>
        <v>0</v>
      </c>
      <c r="BB280" s="89">
        <f t="shared" si="2320"/>
        <v>-5.6650669312749868E-2</v>
      </c>
      <c r="BC280" s="89">
        <f t="shared" si="2320"/>
        <v>0</v>
      </c>
      <c r="BD280" s="89">
        <f t="shared" si="2320"/>
        <v>0.41044183612062146</v>
      </c>
      <c r="BE280" s="89">
        <f t="shared" si="2320"/>
        <v>0</v>
      </c>
      <c r="BF280" s="89">
        <f t="shared" si="2320"/>
        <v>-1.1118481203277186E-2</v>
      </c>
      <c r="BG280" s="89">
        <f t="shared" si="2320"/>
        <v>0</v>
      </c>
      <c r="BH280" s="89">
        <f t="shared" si="2320"/>
        <v>0.23070006236312746</v>
      </c>
      <c r="BI280" s="89">
        <f t="shared" si="2320"/>
        <v>0</v>
      </c>
      <c r="BJ280" s="89">
        <f t="shared" si="2320"/>
        <v>-3.110785076245004E-2</v>
      </c>
      <c r="BK280" s="89">
        <f t="shared" si="2320"/>
        <v>0</v>
      </c>
      <c r="BL280" s="89">
        <f t="shared" si="2320"/>
        <v>-9.0779723479884389E-2</v>
      </c>
      <c r="BM280" s="89">
        <f t="shared" si="2320"/>
        <v>0</v>
      </c>
      <c r="BN280" s="89">
        <f t="shared" si="2320"/>
        <v>9.259977660207741E-2</v>
      </c>
      <c r="BO280" s="89">
        <f t="shared" si="2320"/>
        <v>0</v>
      </c>
      <c r="BP280" s="89">
        <f t="shared" si="2320"/>
        <v>0.12655682308612914</v>
      </c>
      <c r="BQ280" s="89">
        <f t="shared" si="2320"/>
        <v>0</v>
      </c>
      <c r="BR280" s="89">
        <f t="shared" si="2320"/>
        <v>-7.8678672151369033E-2</v>
      </c>
      <c r="BS280" s="89">
        <f t="shared" si="2320"/>
        <v>0</v>
      </c>
      <c r="BT280" s="89">
        <f t="shared" si="2320"/>
        <v>-3.7812300941326371E-2</v>
      </c>
      <c r="BU280" s="89">
        <f t="shared" si="2320"/>
        <v>0</v>
      </c>
      <c r="BV280" s="89">
        <f t="shared" si="2320"/>
        <v>8.4778437754770675E-2</v>
      </c>
      <c r="BW280" s="89">
        <f t="shared" si="2320"/>
        <v>0</v>
      </c>
      <c r="BX280" s="89">
        <f t="shared" si="2320"/>
        <v>4.9704041702572477E-2</v>
      </c>
      <c r="BY280" s="89">
        <f t="shared" si="2320"/>
        <v>0</v>
      </c>
      <c r="BZ280" s="89">
        <f t="shared" si="2320"/>
        <v>0.17193635994153844</v>
      </c>
      <c r="CA280" s="89">
        <f t="shared" si="2320"/>
        <v>0</v>
      </c>
      <c r="CB280" s="89">
        <f t="shared" si="2320"/>
        <v>0.1155519216547316</v>
      </c>
      <c r="CC280" s="89">
        <f t="shared" si="2320"/>
        <v>0</v>
      </c>
      <c r="CD280" s="89">
        <f t="shared" si="2320"/>
        <v>1.298284189591481E-2</v>
      </c>
      <c r="CE280" s="89">
        <f t="shared" si="2320"/>
        <v>0</v>
      </c>
      <c r="CF280" s="89">
        <f t="shared" si="2320"/>
        <v>4.6526185714518054E-2</v>
      </c>
      <c r="CG280" s="89">
        <f t="shared" si="2320"/>
        <v>0</v>
      </c>
      <c r="CH280" s="89">
        <f t="shared" si="2320"/>
        <v>-9.8641331790039533E-2</v>
      </c>
      <c r="CI280" s="89">
        <f t="shared" si="2320"/>
        <v>0</v>
      </c>
      <c r="CJ280" s="89">
        <f t="shared" si="2320"/>
        <v>-2.4629193922313775E-2</v>
      </c>
      <c r="CK280" s="89">
        <f t="shared" si="2320"/>
        <v>0</v>
      </c>
      <c r="CL280" s="89">
        <f t="shared" si="2320"/>
        <v>0.10545778264740102</v>
      </c>
      <c r="CM280" s="47">
        <f t="shared" si="2320"/>
        <v>0</v>
      </c>
      <c r="CN280" s="47">
        <f t="shared" si="2320"/>
        <v>0</v>
      </c>
      <c r="CO280" s="47">
        <f t="shared" si="2320"/>
        <v>0</v>
      </c>
      <c r="CP280" s="47">
        <f t="shared" si="2320"/>
        <v>0</v>
      </c>
      <c r="CQ280" s="47">
        <f t="shared" si="2320"/>
        <v>0</v>
      </c>
      <c r="CR280" s="47">
        <f t="shared" si="2320"/>
        <v>0</v>
      </c>
      <c r="CS280" s="47">
        <f t="shared" si="2320"/>
        <v>0</v>
      </c>
      <c r="CT280" s="47">
        <f t="shared" si="2320"/>
        <v>0</v>
      </c>
      <c r="CU280" s="47">
        <f t="shared" si="2320"/>
        <v>0</v>
      </c>
      <c r="CV280" s="47">
        <f t="shared" si="2320"/>
        <v>0</v>
      </c>
      <c r="CW280" s="47">
        <f t="shared" si="2320"/>
        <v>0</v>
      </c>
      <c r="CX280" s="47">
        <f t="shared" ref="CX280:DB280" si="2321">CX159/CW159-1</f>
        <v>0</v>
      </c>
      <c r="CY280" s="47">
        <f t="shared" si="2321"/>
        <v>0</v>
      </c>
      <c r="CZ280" s="47">
        <f t="shared" si="2321"/>
        <v>0</v>
      </c>
      <c r="DA280" s="47">
        <f t="shared" si="2321"/>
        <v>0</v>
      </c>
      <c r="DB280" s="47">
        <f t="shared" si="2321"/>
        <v>0</v>
      </c>
      <c r="DE280" s="125"/>
    </row>
    <row r="281" spans="1:109" s="89" customFormat="1" x14ac:dyDescent="0.2">
      <c r="A281" s="89" t="s">
        <v>104</v>
      </c>
      <c r="C281" s="89">
        <f>C59/B59-1</f>
        <v>-0.34998539711263699</v>
      </c>
      <c r="D281" s="89">
        <f>D59/C59-1</f>
        <v>0.53257163623549264</v>
      </c>
      <c r="F281" s="89">
        <f t="shared" ref="F281:AE281" si="2322">F59/E59-1</f>
        <v>0.17525378479883846</v>
      </c>
      <c r="G281" s="89">
        <f t="shared" si="2322"/>
        <v>0.74490857321211945</v>
      </c>
      <c r="H281" s="89">
        <f t="shared" si="2322"/>
        <v>1.1547986089230111</v>
      </c>
      <c r="I281" s="89">
        <f t="shared" si="2322"/>
        <v>-0.4188806651459217</v>
      </c>
      <c r="J281" s="89">
        <f t="shared" si="2322"/>
        <v>0.1605278482559731</v>
      </c>
      <c r="K281" s="89">
        <f t="shared" si="2322"/>
        <v>0.66630143716193957</v>
      </c>
      <c r="L281" s="89">
        <f t="shared" si="2322"/>
        <v>0.45623462184156716</v>
      </c>
      <c r="M281" s="89">
        <f t="shared" si="2322"/>
        <v>-7.712471188677561E-2</v>
      </c>
      <c r="N281" s="89">
        <f t="shared" si="2322"/>
        <v>-0.26119764620274288</v>
      </c>
      <c r="O281" s="89">
        <f t="shared" si="2322"/>
        <v>-0.17739499548153259</v>
      </c>
      <c r="P281" s="89">
        <f t="shared" si="2322"/>
        <v>0.41989523656476879</v>
      </c>
      <c r="Q281" s="89">
        <f t="shared" si="2322"/>
        <v>0.34156608033897284</v>
      </c>
      <c r="R281" s="89">
        <f t="shared" si="2322"/>
        <v>6.7219382454390963E-3</v>
      </c>
      <c r="S281" s="89">
        <f t="shared" si="2322"/>
        <v>-6.475815023890874E-2</v>
      </c>
      <c r="T281" s="89">
        <f t="shared" si="2322"/>
        <v>0.43118820621468834</v>
      </c>
      <c r="U281" s="89">
        <f t="shared" si="2322"/>
        <v>0.12177332305319966</v>
      </c>
      <c r="V281" s="89">
        <f t="shared" si="2322"/>
        <v>0.46626665017114166</v>
      </c>
      <c r="W281" s="89">
        <f t="shared" si="2322"/>
        <v>0.45462727285511373</v>
      </c>
      <c r="X281" s="89">
        <f t="shared" si="2322"/>
        <v>0.13727764887857674</v>
      </c>
      <c r="Y281" s="89">
        <f t="shared" si="2322"/>
        <v>-0.26779156749404942</v>
      </c>
      <c r="Z281" s="89">
        <f t="shared" si="2322"/>
        <v>5.1983081215582372E-2</v>
      </c>
      <c r="AA281" s="89">
        <f t="shared" si="2322"/>
        <v>0.25426347463986798</v>
      </c>
      <c r="AB281" s="47">
        <f t="shared" si="2322"/>
        <v>0.2114176310712792</v>
      </c>
      <c r="AC281" s="47">
        <f t="shared" si="2322"/>
        <v>0.2101001309517081</v>
      </c>
      <c r="AD281" s="47">
        <f t="shared" si="2322"/>
        <v>0.17023341914973966</v>
      </c>
      <c r="AE281" s="47">
        <f t="shared" si="2322"/>
        <v>0.16792805621423823</v>
      </c>
      <c r="AL281" s="89">
        <f t="shared" ref="AL281:CW281" si="2323">AL59/AK59-1</f>
        <v>-0.31746194454410337</v>
      </c>
      <c r="AM281" s="89">
        <f t="shared" si="2323"/>
        <v>-0.16430126905459164</v>
      </c>
      <c r="AN281" s="89">
        <f t="shared" si="2323"/>
        <v>0.14125258334082291</v>
      </c>
      <c r="AO281" s="89">
        <f t="shared" si="2323"/>
        <v>0.14321706952208424</v>
      </c>
      <c r="AP281" s="89">
        <f t="shared" si="2323"/>
        <v>-0.26976584022038597</v>
      </c>
      <c r="AQ281" s="89">
        <f t="shared" si="2323"/>
        <v>0.70951617466754802</v>
      </c>
      <c r="AR281" s="89">
        <f t="shared" si="2323"/>
        <v>6.7913494427892296E-2</v>
      </c>
      <c r="AS281" s="89">
        <f t="shared" si="2323"/>
        <v>-6.5919305677533568E-2</v>
      </c>
      <c r="AT281" s="89">
        <f t="shared" si="2323"/>
        <v>-0.12250428626735221</v>
      </c>
      <c r="AU281" s="89">
        <f t="shared" si="2323"/>
        <v>0.68397831841674295</v>
      </c>
      <c r="AV281" s="89">
        <f t="shared" si="2323"/>
        <v>-0.10884048207201236</v>
      </c>
      <c r="AW281" s="89">
        <f t="shared" si="2323"/>
        <v>-4.5863082738344607E-2</v>
      </c>
      <c r="AX281" s="89">
        <f t="shared" si="2323"/>
        <v>-1.0476274319922041E-2</v>
      </c>
      <c r="AY281" s="89">
        <f t="shared" si="2323"/>
        <v>0.28932384341636919</v>
      </c>
      <c r="AZ281" s="89">
        <f t="shared" si="2323"/>
        <v>-0.19755727297819459</v>
      </c>
      <c r="BA281" s="89">
        <f t="shared" si="2323"/>
        <v>-2.4937655860349683E-2</v>
      </c>
      <c r="BB281" s="89">
        <f t="shared" si="2323"/>
        <v>-4.8681541582149657E-2</v>
      </c>
      <c r="BC281" s="89">
        <f t="shared" si="2323"/>
        <v>-8.0281820710114471E-2</v>
      </c>
      <c r="BD281" s="89">
        <f t="shared" si="2323"/>
        <v>2.6156637435742702E-2</v>
      </c>
      <c r="BE281" s="89">
        <f t="shared" si="2323"/>
        <v>0.13746869014291918</v>
      </c>
      <c r="BF281" s="89">
        <f t="shared" si="2323"/>
        <v>0.17707253886010421</v>
      </c>
      <c r="BG281" s="89">
        <f t="shared" si="2323"/>
        <v>0.11598987564652852</v>
      </c>
      <c r="BH281" s="89">
        <f t="shared" si="2323"/>
        <v>-1.3049337672155659E-2</v>
      </c>
      <c r="BI281" s="89">
        <f t="shared" si="2323"/>
        <v>3.8999533737426928E-2</v>
      </c>
      <c r="BJ281" s="89">
        <f t="shared" si="2323"/>
        <v>0.19357630541398207</v>
      </c>
      <c r="BK281" s="89">
        <f t="shared" si="2323"/>
        <v>-7.4390374906004419E-2</v>
      </c>
      <c r="BL281" s="89">
        <f t="shared" si="2323"/>
        <v>-3.9633261765217753E-2</v>
      </c>
      <c r="BM281" s="89">
        <f t="shared" si="2323"/>
        <v>0.17873111782477324</v>
      </c>
      <c r="BN281" s="89">
        <f t="shared" si="2323"/>
        <v>-7.394402296493785E-2</v>
      </c>
      <c r="BO281" s="89">
        <f t="shared" si="2323"/>
        <v>5.3693504193077501E-3</v>
      </c>
      <c r="BP281" s="89">
        <f t="shared" si="2323"/>
        <v>0.57602202339986119</v>
      </c>
      <c r="BQ281" s="89">
        <f t="shared" si="2323"/>
        <v>-4.86471379412734E-2</v>
      </c>
      <c r="BR281" s="89">
        <f t="shared" si="2323"/>
        <v>0.16456742068155128</v>
      </c>
      <c r="BS281" s="89">
        <f t="shared" si="2323"/>
        <v>4.7456130669904395E-2</v>
      </c>
      <c r="BT281" s="89">
        <f t="shared" si="2323"/>
        <v>-1.5081957343046737E-2</v>
      </c>
      <c r="BU281" s="89">
        <f t="shared" si="2323"/>
        <v>0.29575915030182531</v>
      </c>
      <c r="BV281" s="89">
        <f t="shared" si="2323"/>
        <v>0.10463744869557079</v>
      </c>
      <c r="BW281" s="89">
        <f t="shared" si="2323"/>
        <v>6.2321161648515311E-2</v>
      </c>
      <c r="BX281" s="89">
        <f t="shared" si="2323"/>
        <v>-0.22700181915032558</v>
      </c>
      <c r="BY281" s="89">
        <f t="shared" si="2323"/>
        <v>8.3746148145258381E-2</v>
      </c>
      <c r="BZ281" s="89">
        <f t="shared" si="2323"/>
        <v>0.11766964200019214</v>
      </c>
      <c r="CA281" s="89">
        <f t="shared" si="2323"/>
        <v>-0.25262988407041709</v>
      </c>
      <c r="CB281" s="89">
        <f t="shared" si="2323"/>
        <v>-0.10059605026930019</v>
      </c>
      <c r="CC281" s="89">
        <f t="shared" si="2323"/>
        <v>-9.6421328308393783E-2</v>
      </c>
      <c r="CD281" s="89">
        <f t="shared" si="2323"/>
        <v>0.22973331212555004</v>
      </c>
      <c r="CE281" s="89">
        <f t="shared" si="2323"/>
        <v>-0.13279296369750804</v>
      </c>
      <c r="CF281" s="89">
        <f t="shared" si="2323"/>
        <v>-0.10834907692817619</v>
      </c>
      <c r="CG281" s="89">
        <f t="shared" si="2323"/>
        <v>0.15153148464798227</v>
      </c>
      <c r="CH281" s="89">
        <f t="shared" si="2323"/>
        <v>0.54528140484529541</v>
      </c>
      <c r="CI281" s="89">
        <f t="shared" si="2323"/>
        <v>-0.14232147146990359</v>
      </c>
      <c r="CJ281" s="89">
        <f t="shared" si="2323"/>
        <v>-5.7236802045911195E-2</v>
      </c>
      <c r="CK281" s="89">
        <f t="shared" si="2323"/>
        <v>7.5179228831627753E-3</v>
      </c>
      <c r="CL281" s="89">
        <f t="shared" si="2323"/>
        <v>0.31502493685654542</v>
      </c>
      <c r="CM281" s="47">
        <f t="shared" si="2323"/>
        <v>-6.3006684157241866E-2</v>
      </c>
      <c r="CN281" s="47">
        <f t="shared" si="2323"/>
        <v>-3.8800047585686559E-2</v>
      </c>
      <c r="CO281" s="47">
        <f t="shared" si="2323"/>
        <v>5.968613644669829E-2</v>
      </c>
      <c r="CP281" s="47">
        <f t="shared" si="2323"/>
        <v>0.29407599608801505</v>
      </c>
      <c r="CQ281" s="47">
        <f t="shared" si="2323"/>
        <v>-8.6576483776501068E-2</v>
      </c>
      <c r="CR281" s="47">
        <f t="shared" si="2323"/>
        <v>-3.2394938938658857E-2</v>
      </c>
      <c r="CS281" s="47">
        <f t="shared" si="2323"/>
        <v>6.3825214775868444E-2</v>
      </c>
      <c r="CT281" s="47">
        <f t="shared" si="2323"/>
        <v>0.28498958463499058</v>
      </c>
      <c r="CU281" s="47">
        <f t="shared" si="2323"/>
        <v>-0.10649104923777941</v>
      </c>
      <c r="CV281" s="47">
        <f t="shared" si="2323"/>
        <v>-3.6457782937954542E-2</v>
      </c>
      <c r="CW281" s="47">
        <f t="shared" si="2323"/>
        <v>5.6540330998972932E-2</v>
      </c>
      <c r="CX281" s="47">
        <f t="shared" ref="CX281:DB281" si="2324">CX59/CW59-1</f>
        <v>0.27268542263213669</v>
      </c>
      <c r="CY281" s="47">
        <f t="shared" si="2324"/>
        <v>-9.6021484219630415E-2</v>
      </c>
      <c r="CZ281" s="47">
        <f t="shared" si="2324"/>
        <v>-3.8606831271556841E-2</v>
      </c>
      <c r="DA281" s="47">
        <f t="shared" si="2324"/>
        <v>5.4684416499139799E-2</v>
      </c>
      <c r="DB281" s="47">
        <f t="shared" si="2324"/>
        <v>0.27206094803221781</v>
      </c>
      <c r="DE281" s="125"/>
    </row>
    <row r="282" spans="1:109" s="103" customFormat="1" x14ac:dyDescent="0.2">
      <c r="A282" s="141" t="s">
        <v>105</v>
      </c>
      <c r="C282" s="103" t="str">
        <f>IF(C280&gt;C281,"RF",0)</f>
        <v>RF</v>
      </c>
      <c r="D282" s="103">
        <f t="shared" ref="D282:U282" si="2325">IF(D280&gt;D281,"RF",0)</f>
        <v>0</v>
      </c>
      <c r="F282" s="103" t="str">
        <f t="shared" si="2325"/>
        <v>RF</v>
      </c>
      <c r="G282" s="103">
        <f t="shared" si="2325"/>
        <v>0</v>
      </c>
      <c r="H282" s="103">
        <f t="shared" si="2325"/>
        <v>0</v>
      </c>
      <c r="I282" s="103" t="str">
        <f t="shared" si="2325"/>
        <v>RF</v>
      </c>
      <c r="J282" s="103" t="str">
        <f t="shared" si="2325"/>
        <v>RF</v>
      </c>
      <c r="K282" s="103">
        <f t="shared" si="2325"/>
        <v>0</v>
      </c>
      <c r="L282" s="103">
        <f t="shared" si="2325"/>
        <v>0</v>
      </c>
      <c r="M282" s="103" t="str">
        <f t="shared" si="2325"/>
        <v>RF</v>
      </c>
      <c r="N282" s="103" t="str">
        <f t="shared" si="2325"/>
        <v>RF</v>
      </c>
      <c r="O282" s="103" t="str">
        <f t="shared" si="2325"/>
        <v>RF</v>
      </c>
      <c r="P282" s="103">
        <f t="shared" si="2325"/>
        <v>0</v>
      </c>
      <c r="Q282" s="103">
        <f t="shared" si="2325"/>
        <v>0</v>
      </c>
      <c r="R282" s="103">
        <f t="shared" si="2325"/>
        <v>0</v>
      </c>
      <c r="S282" s="103" t="str">
        <f t="shared" si="2325"/>
        <v>RF</v>
      </c>
      <c r="T282" s="103">
        <f t="shared" si="2325"/>
        <v>0</v>
      </c>
      <c r="U282" s="103">
        <f t="shared" si="2325"/>
        <v>0</v>
      </c>
      <c r="V282" s="103">
        <f>IF(V280&gt;V281,"RF",0)</f>
        <v>0</v>
      </c>
      <c r="W282" s="103">
        <f t="shared" ref="W282:AE282" si="2326">IF(W280&gt;W281,"RF",0)</f>
        <v>0</v>
      </c>
      <c r="X282" s="103" t="str">
        <f t="shared" si="2326"/>
        <v>RF</v>
      </c>
      <c r="Y282" s="103" t="str">
        <f t="shared" si="2326"/>
        <v>RF</v>
      </c>
      <c r="Z282" s="103">
        <f t="shared" si="2326"/>
        <v>0</v>
      </c>
      <c r="AA282" s="103">
        <f t="shared" ref="AA282" si="2327">IF(AA280&gt;AA281,"RF",0)</f>
        <v>0</v>
      </c>
      <c r="AB282" s="73">
        <f t="shared" si="2326"/>
        <v>0</v>
      </c>
      <c r="AC282" s="73">
        <f t="shared" si="2326"/>
        <v>0</v>
      </c>
      <c r="AD282" s="73">
        <f t="shared" si="2326"/>
        <v>0</v>
      </c>
      <c r="AE282" s="73">
        <f t="shared" si="2326"/>
        <v>0</v>
      </c>
      <c r="AL282" s="103" t="str">
        <f t="shared" ref="AL282:CW282" si="2328">IF(AL280&gt;AL281,"RF",0)</f>
        <v>RF</v>
      </c>
      <c r="AM282" s="103" t="str">
        <f t="shared" si="2328"/>
        <v>RF</v>
      </c>
      <c r="AN282" s="103">
        <f t="shared" si="2328"/>
        <v>0</v>
      </c>
      <c r="AO282" s="103">
        <f t="shared" si="2328"/>
        <v>0</v>
      </c>
      <c r="AP282" s="103" t="str">
        <f t="shared" si="2328"/>
        <v>RF</v>
      </c>
      <c r="AQ282" s="103">
        <f t="shared" si="2328"/>
        <v>0</v>
      </c>
      <c r="AR282" s="103">
        <f t="shared" si="2328"/>
        <v>0</v>
      </c>
      <c r="AS282" s="103" t="str">
        <f t="shared" si="2328"/>
        <v>RF</v>
      </c>
      <c r="AT282" s="103" t="str">
        <f t="shared" si="2328"/>
        <v>RF</v>
      </c>
      <c r="AU282" s="103">
        <f t="shared" si="2328"/>
        <v>0</v>
      </c>
      <c r="AV282" s="103">
        <f t="shared" si="2328"/>
        <v>0</v>
      </c>
      <c r="AW282" s="103" t="str">
        <f t="shared" si="2328"/>
        <v>RF</v>
      </c>
      <c r="AX282" s="103" t="str">
        <f t="shared" si="2328"/>
        <v>RF</v>
      </c>
      <c r="AY282" s="103">
        <f t="shared" si="2328"/>
        <v>0</v>
      </c>
      <c r="AZ282" s="103" t="str">
        <f t="shared" si="2328"/>
        <v>RF</v>
      </c>
      <c r="BA282" s="103" t="str">
        <f t="shared" si="2328"/>
        <v>RF</v>
      </c>
      <c r="BB282" s="103">
        <f t="shared" si="2328"/>
        <v>0</v>
      </c>
      <c r="BC282" s="103" t="str">
        <f t="shared" si="2328"/>
        <v>RF</v>
      </c>
      <c r="BD282" s="103" t="str">
        <f t="shared" si="2328"/>
        <v>RF</v>
      </c>
      <c r="BE282" s="103">
        <f t="shared" si="2328"/>
        <v>0</v>
      </c>
      <c r="BF282" s="103">
        <f t="shared" si="2328"/>
        <v>0</v>
      </c>
      <c r="BG282" s="103">
        <f t="shared" si="2328"/>
        <v>0</v>
      </c>
      <c r="BH282" s="103" t="str">
        <f t="shared" si="2328"/>
        <v>RF</v>
      </c>
      <c r="BI282" s="103">
        <f t="shared" si="2328"/>
        <v>0</v>
      </c>
      <c r="BJ282" s="103">
        <f t="shared" si="2328"/>
        <v>0</v>
      </c>
      <c r="BK282" s="103" t="str">
        <f t="shared" si="2328"/>
        <v>RF</v>
      </c>
      <c r="BL282" s="103">
        <f t="shared" si="2328"/>
        <v>0</v>
      </c>
      <c r="BM282" s="103">
        <f t="shared" si="2328"/>
        <v>0</v>
      </c>
      <c r="BN282" s="103" t="str">
        <f t="shared" si="2328"/>
        <v>RF</v>
      </c>
      <c r="BO282" s="103">
        <f t="shared" si="2328"/>
        <v>0</v>
      </c>
      <c r="BP282" s="103">
        <f t="shared" si="2328"/>
        <v>0</v>
      </c>
      <c r="BQ282" s="103" t="str">
        <f t="shared" si="2328"/>
        <v>RF</v>
      </c>
      <c r="BR282" s="103">
        <f t="shared" si="2328"/>
        <v>0</v>
      </c>
      <c r="BS282" s="103">
        <f t="shared" si="2328"/>
        <v>0</v>
      </c>
      <c r="BT282" s="103">
        <f t="shared" si="2328"/>
        <v>0</v>
      </c>
      <c r="BU282" s="103">
        <f t="shared" si="2328"/>
        <v>0</v>
      </c>
      <c r="BV282" s="103">
        <f t="shared" si="2328"/>
        <v>0</v>
      </c>
      <c r="BW282" s="103">
        <f t="shared" si="2328"/>
        <v>0</v>
      </c>
      <c r="BX282" s="103" t="str">
        <f t="shared" si="2328"/>
        <v>RF</v>
      </c>
      <c r="BY282" s="103">
        <f t="shared" si="2328"/>
        <v>0</v>
      </c>
      <c r="BZ282" s="103" t="str">
        <f t="shared" si="2328"/>
        <v>RF</v>
      </c>
      <c r="CA282" s="103" t="str">
        <f t="shared" si="2328"/>
        <v>RF</v>
      </c>
      <c r="CB282" s="103" t="str">
        <f t="shared" si="2328"/>
        <v>RF</v>
      </c>
      <c r="CC282" s="103" t="str">
        <f t="shared" si="2328"/>
        <v>RF</v>
      </c>
      <c r="CD282" s="103">
        <f t="shared" si="2328"/>
        <v>0</v>
      </c>
      <c r="CE282" s="103" t="str">
        <f t="shared" si="2328"/>
        <v>RF</v>
      </c>
      <c r="CF282" s="103" t="str">
        <f t="shared" si="2328"/>
        <v>RF</v>
      </c>
      <c r="CG282" s="103">
        <f t="shared" si="2328"/>
        <v>0</v>
      </c>
      <c r="CH282" s="103">
        <f t="shared" si="2328"/>
        <v>0</v>
      </c>
      <c r="CI282" s="103" t="str">
        <f t="shared" si="2328"/>
        <v>RF</v>
      </c>
      <c r="CJ282" s="103" t="str">
        <f t="shared" si="2328"/>
        <v>RF</v>
      </c>
      <c r="CK282" s="103">
        <f t="shared" si="2328"/>
        <v>0</v>
      </c>
      <c r="CL282" s="103">
        <f t="shared" ref="CL282" si="2329">IF(CL280&gt;CL281,"RF",0)</f>
        <v>0</v>
      </c>
      <c r="CM282" s="73" t="str">
        <f t="shared" si="2328"/>
        <v>RF</v>
      </c>
      <c r="CN282" s="73" t="str">
        <f t="shared" si="2328"/>
        <v>RF</v>
      </c>
      <c r="CO282" s="73">
        <f t="shared" si="2328"/>
        <v>0</v>
      </c>
      <c r="CP282" s="73">
        <f t="shared" si="2328"/>
        <v>0</v>
      </c>
      <c r="CQ282" s="73" t="str">
        <f t="shared" si="2328"/>
        <v>RF</v>
      </c>
      <c r="CR282" s="73" t="str">
        <f t="shared" si="2328"/>
        <v>RF</v>
      </c>
      <c r="CS282" s="73">
        <f t="shared" si="2328"/>
        <v>0</v>
      </c>
      <c r="CT282" s="73">
        <f t="shared" si="2328"/>
        <v>0</v>
      </c>
      <c r="CU282" s="73" t="str">
        <f t="shared" si="2328"/>
        <v>RF</v>
      </c>
      <c r="CV282" s="73" t="str">
        <f t="shared" si="2328"/>
        <v>RF</v>
      </c>
      <c r="CW282" s="73">
        <f t="shared" si="2328"/>
        <v>0</v>
      </c>
      <c r="CX282" s="73">
        <f t="shared" ref="CX282:DB282" si="2330">IF(CX280&gt;CX281,"RF",0)</f>
        <v>0</v>
      </c>
      <c r="CY282" s="73" t="str">
        <f t="shared" si="2330"/>
        <v>RF</v>
      </c>
      <c r="CZ282" s="73" t="str">
        <f t="shared" si="2330"/>
        <v>RF</v>
      </c>
      <c r="DA282" s="73">
        <f t="shared" si="2330"/>
        <v>0</v>
      </c>
      <c r="DB282" s="73">
        <f t="shared" si="2330"/>
        <v>0</v>
      </c>
      <c r="DE282" s="136"/>
    </row>
    <row r="283" spans="1:109" s="86" customFormat="1" x14ac:dyDescent="0.2">
      <c r="A283" s="86" t="s">
        <v>432</v>
      </c>
      <c r="B283" s="86">
        <f>B67/B39</f>
        <v>9.1966639230425695E-2</v>
      </c>
      <c r="C283" s="86">
        <f>C67/C39</f>
        <v>6.0857752549539498E-2</v>
      </c>
      <c r="D283" s="86">
        <f>D67/D39</f>
        <v>3.9796366258633004E-2</v>
      </c>
      <c r="F283" s="86">
        <f t="shared" ref="F283:AE283" si="2331">F67/F39</f>
        <v>2.1583581795747094E-2</v>
      </c>
      <c r="G283" s="86">
        <f t="shared" si="2331"/>
        <v>2.7043515571144552E-2</v>
      </c>
      <c r="H283" s="86">
        <f t="shared" si="2331"/>
        <v>1.8817747728321153E-2</v>
      </c>
      <c r="I283" s="86">
        <f t="shared" si="2331"/>
        <v>2.0494347134062989E-2</v>
      </c>
      <c r="J283" s="86">
        <f t="shared" si="2331"/>
        <v>2.7424385805327592E-2</v>
      </c>
      <c r="K283" s="86">
        <f t="shared" si="2331"/>
        <v>2.9198664679682143E-2</v>
      </c>
      <c r="L283" s="86">
        <f t="shared" si="2331"/>
        <v>2.3894930442144472E-2</v>
      </c>
      <c r="M283" s="86">
        <f t="shared" si="2331"/>
        <v>2.7493989471499402E-2</v>
      </c>
      <c r="N283" s="86">
        <f t="shared" si="2331"/>
        <v>2.4547203788596979E-2</v>
      </c>
      <c r="O283" s="86">
        <f t="shared" si="2331"/>
        <v>2.2250325525904696E-2</v>
      </c>
      <c r="P283" s="86">
        <f t="shared" si="2331"/>
        <v>2.8270366458580772E-2</v>
      </c>
      <c r="Q283" s="86">
        <f t="shared" si="2331"/>
        <v>2.6633893190861263E-2</v>
      </c>
      <c r="R283" s="86">
        <f t="shared" si="2331"/>
        <v>1.9812755154684333E-2</v>
      </c>
      <c r="S283" s="86">
        <f t="shared" si="2331"/>
        <v>2.139298757587008E-2</v>
      </c>
      <c r="T283" s="86">
        <f t="shared" si="2331"/>
        <v>2.8461688561376926E-2</v>
      </c>
      <c r="U283" s="86">
        <f t="shared" si="2331"/>
        <v>2.7453255046594474E-2</v>
      </c>
      <c r="V283" s="86">
        <f t="shared" si="2331"/>
        <v>1.5678879688739999E-2</v>
      </c>
      <c r="W283" s="86">
        <f t="shared" si="2331"/>
        <v>9.2433349997328978E-3</v>
      </c>
      <c r="X283" s="86">
        <f t="shared" si="2331"/>
        <v>1.3588932470661919E-2</v>
      </c>
      <c r="Y283" s="86">
        <f t="shared" si="2331"/>
        <v>2.2506350827766745E-2</v>
      </c>
      <c r="Z283" s="86">
        <f t="shared" si="2331"/>
        <v>2.5178629909099495E-2</v>
      </c>
      <c r="AA283" s="86">
        <f t="shared" ref="AA283" si="2332">AA67/AA39</f>
        <v>1.729173300429868E-2</v>
      </c>
      <c r="AB283" s="87">
        <f t="shared" si="2331"/>
        <v>6.207358625063236E-3</v>
      </c>
      <c r="AC283" s="87">
        <f t="shared" si="2331"/>
        <v>-1.1763505138823913E-3</v>
      </c>
      <c r="AD283" s="87">
        <f t="shared" si="2331"/>
        <v>-7.7459594710273909E-3</v>
      </c>
      <c r="AE283" s="87">
        <f t="shared" si="2331"/>
        <v>-1.3449771931211852E-2</v>
      </c>
      <c r="AL283" s="86">
        <f t="shared" ref="AL283:CW283" si="2333">AL67/AL39</f>
        <v>1.8578500275010696E-2</v>
      </c>
      <c r="AM283" s="86">
        <f t="shared" si="2333"/>
        <v>2.4572377592707084E-2</v>
      </c>
      <c r="AN283" s="86">
        <f t="shared" si="2333"/>
        <v>2.6780741565843889E-2</v>
      </c>
      <c r="AO283" s="86">
        <f t="shared" si="2333"/>
        <v>1.8524321877502699E-2</v>
      </c>
      <c r="AP283" s="86">
        <f t="shared" si="2333"/>
        <v>1.2618687836893029E-2</v>
      </c>
      <c r="AQ283" s="86">
        <f t="shared" si="2333"/>
        <v>2.8342287627501357E-2</v>
      </c>
      <c r="AR283" s="86">
        <f t="shared" si="2333"/>
        <v>3.1509832110099452E-2</v>
      </c>
      <c r="AS283" s="86">
        <f t="shared" si="2333"/>
        <v>3.3149171270718238E-2</v>
      </c>
      <c r="AT283" s="86">
        <f t="shared" si="2333"/>
        <v>2.8149737367759123E-2</v>
      </c>
      <c r="AU283" s="86">
        <f t="shared" si="2333"/>
        <v>2.815690576975036E-2</v>
      </c>
      <c r="AV283" s="86">
        <f t="shared" si="2333"/>
        <v>2.685812307221493E-2</v>
      </c>
      <c r="AW283" s="86">
        <f t="shared" si="2333"/>
        <v>2.6776289252581079E-2</v>
      </c>
      <c r="AX283" s="86">
        <f t="shared" si="2333"/>
        <v>2.7033650514644982E-2</v>
      </c>
      <c r="AY283" s="86">
        <f t="shared" si="2333"/>
        <v>2.1595413091160962E-2</v>
      </c>
      <c r="AZ283" s="86">
        <f t="shared" si="2333"/>
        <v>1.9780310198708188E-2</v>
      </c>
      <c r="BA283" s="86">
        <f t="shared" si="2333"/>
        <v>2.2290430959392756E-2</v>
      </c>
      <c r="BB283" s="86">
        <f t="shared" si="2333"/>
        <v>1.6096693117957698E-2</v>
      </c>
      <c r="BC283" s="86">
        <f t="shared" si="2333"/>
        <v>1.948009876827609E-2</v>
      </c>
      <c r="BD283" s="86">
        <f t="shared" si="2333"/>
        <v>2.3677930396523713E-2</v>
      </c>
      <c r="BE283" s="86">
        <f t="shared" si="2333"/>
        <v>1.7085880348732339E-2</v>
      </c>
      <c r="BF283" s="86">
        <f t="shared" si="2333"/>
        <v>2.6360349073046078E-2</v>
      </c>
      <c r="BG283" s="86">
        <f t="shared" si="2333"/>
        <v>2.6356764883100767E-2</v>
      </c>
      <c r="BH283" s="86">
        <f t="shared" si="2333"/>
        <v>2.7978005071369556E-2</v>
      </c>
      <c r="BI283" s="86">
        <f t="shared" si="2333"/>
        <v>2.9511604506905209E-2</v>
      </c>
      <c r="BJ283" s="86">
        <f t="shared" si="2333"/>
        <v>2.7031910664594701E-2</v>
      </c>
      <c r="BK283" s="86">
        <f t="shared" si="2333"/>
        <v>2.9212438112845872E-2</v>
      </c>
      <c r="BL283" s="86">
        <f t="shared" si="2333"/>
        <v>3.1660720451145125E-2</v>
      </c>
      <c r="BM283" s="86">
        <f t="shared" si="2333"/>
        <v>2.5685088814314048E-2</v>
      </c>
      <c r="BN283" s="86">
        <f t="shared" si="2333"/>
        <v>2.509379221995554E-2</v>
      </c>
      <c r="BO283" s="86">
        <f t="shared" si="2333"/>
        <v>2.7932563181568133E-2</v>
      </c>
      <c r="BP283" s="86">
        <f t="shared" si="2333"/>
        <v>1.7207484660824533E-2</v>
      </c>
      <c r="BQ283" s="86">
        <f t="shared" si="2333"/>
        <v>1.3273326158562438E-2</v>
      </c>
      <c r="BR283" s="86">
        <f t="shared" si="2333"/>
        <v>1.0028186298007783E-2</v>
      </c>
      <c r="BS283" s="86">
        <f t="shared" si="2333"/>
        <v>1.0176335481958954E-2</v>
      </c>
      <c r="BT283" s="86">
        <f t="shared" si="2333"/>
        <v>8.2283363332476198E-3</v>
      </c>
      <c r="BU283" s="86">
        <f t="shared" si="2333"/>
        <v>8.7899410317794774E-3</v>
      </c>
      <c r="BV283" s="86">
        <f t="shared" si="2333"/>
        <v>1.0055163942277892E-2</v>
      </c>
      <c r="BW283" s="86">
        <f t="shared" si="2333"/>
        <v>8.3446306794840198E-3</v>
      </c>
      <c r="BX283" s="86">
        <f t="shared" si="2333"/>
        <v>1.1929352054037523E-2</v>
      </c>
      <c r="BY283" s="86">
        <f t="shared" si="2333"/>
        <v>1.7854775395860115E-2</v>
      </c>
      <c r="BZ283" s="86">
        <f t="shared" si="2333"/>
        <v>1.7442676061184357E-2</v>
      </c>
      <c r="CA283" s="86">
        <f t="shared" si="2333"/>
        <v>1.9659235916821931E-2</v>
      </c>
      <c r="CB283" s="86">
        <f t="shared" si="2333"/>
        <v>2.4954679356446866E-2</v>
      </c>
      <c r="CC283" s="86">
        <f t="shared" si="2333"/>
        <v>2.2066530409034928E-2</v>
      </c>
      <c r="CD283" s="86">
        <f t="shared" si="2333"/>
        <v>2.5211920195868605E-2</v>
      </c>
      <c r="CE283" s="86">
        <f t="shared" si="2333"/>
        <v>2.7868549588351447E-2</v>
      </c>
      <c r="CF283" s="86">
        <f t="shared" si="2333"/>
        <v>2.7386619163040624E-2</v>
      </c>
      <c r="CG283" s="86">
        <f t="shared" si="2333"/>
        <v>2.7568448519323694E-2</v>
      </c>
      <c r="CH283" s="86">
        <f t="shared" si="2333"/>
        <v>2.0724079251809503E-2</v>
      </c>
      <c r="CI283" s="86">
        <f t="shared" si="2333"/>
        <v>2.0923789222284491E-2</v>
      </c>
      <c r="CJ283" s="86">
        <f t="shared" si="2333"/>
        <v>1.9416568915358815E-2</v>
      </c>
      <c r="CK283" s="86">
        <f t="shared" si="2333"/>
        <v>1.7642955073763712E-2</v>
      </c>
      <c r="CL283" s="86">
        <f t="shared" ref="CL283" si="2334">CL67/CL39</f>
        <v>1.3425290942695503E-2</v>
      </c>
      <c r="CM283" s="87">
        <f t="shared" si="2333"/>
        <v>1.0082979010809163E-2</v>
      </c>
      <c r="CN283" s="87">
        <f t="shared" si="2333"/>
        <v>7.8819512998789254E-3</v>
      </c>
      <c r="CO283" s="87">
        <f t="shared" si="2333"/>
        <v>5.1929231220720186E-3</v>
      </c>
      <c r="CP283" s="87">
        <f t="shared" si="2333"/>
        <v>2.6976837657101062E-3</v>
      </c>
      <c r="CQ283" s="87">
        <f t="shared" si="2333"/>
        <v>2.5643821517219176E-3</v>
      </c>
      <c r="CR283" s="87">
        <f t="shared" si="2333"/>
        <v>-3.4340119027722661E-4</v>
      </c>
      <c r="CS283" s="87">
        <f t="shared" si="2333"/>
        <v>-2.6975366402807663E-3</v>
      </c>
      <c r="CT283" s="87">
        <f t="shared" si="2333"/>
        <v>-3.5131332914754717E-3</v>
      </c>
      <c r="CU283" s="87">
        <f t="shared" si="2333"/>
        <v>-4.3827383902611105E-3</v>
      </c>
      <c r="CV283" s="87">
        <f t="shared" si="2333"/>
        <v>-7.6401287185388642E-3</v>
      </c>
      <c r="CW283" s="87">
        <f t="shared" si="2333"/>
        <v>-9.6201158455313292E-3</v>
      </c>
      <c r="CX283" s="87">
        <f t="shared" ref="CX283:DB283" si="2335">CX67/CX39</f>
        <v>-8.9631651551765057E-3</v>
      </c>
      <c r="CY283" s="87">
        <f t="shared" si="2335"/>
        <v>-1.0430542204830511E-2</v>
      </c>
      <c r="CZ283" s="87">
        <f t="shared" si="2335"/>
        <v>-1.3957967402677953E-2</v>
      </c>
      <c r="DA283" s="87">
        <f t="shared" si="2335"/>
        <v>-1.5627724777212949E-2</v>
      </c>
      <c r="DB283" s="87">
        <f t="shared" si="2335"/>
        <v>-1.3702386299095422E-2</v>
      </c>
      <c r="DE283" s="135"/>
    </row>
    <row r="284" spans="1:109" s="86" customFormat="1" x14ac:dyDescent="0.2">
      <c r="A284" s="86" t="s">
        <v>433</v>
      </c>
      <c r="B284" s="86">
        <f>B63/B39</f>
        <v>4.8526237559936097E-2</v>
      </c>
      <c r="C284" s="86">
        <f>C63/C39</f>
        <v>5.8717856111917648E-2</v>
      </c>
      <c r="D284" s="86">
        <f>D63/D39</f>
        <v>5.1957756466021264E-2</v>
      </c>
      <c r="F284" s="86">
        <f t="shared" ref="F284:AE284" si="2336">F63/F39</f>
        <v>4.7672935441382881E-2</v>
      </c>
      <c r="G284" s="86">
        <f t="shared" si="2336"/>
        <v>4.6635646480864844E-2</v>
      </c>
      <c r="H284" s="86">
        <f t="shared" si="2336"/>
        <v>4.1319267309241611E-2</v>
      </c>
      <c r="I284" s="86">
        <f t="shared" si="2336"/>
        <v>5.6414426265174802E-2</v>
      </c>
      <c r="J284" s="86">
        <f t="shared" si="2336"/>
        <v>5.2894698204880762E-2</v>
      </c>
      <c r="K284" s="86">
        <f t="shared" si="2336"/>
        <v>5.4383013543854816E-2</v>
      </c>
      <c r="L284" s="86">
        <f t="shared" si="2336"/>
        <v>4.5301151849867945E-2</v>
      </c>
      <c r="M284" s="86">
        <f t="shared" si="2336"/>
        <v>4.3103142206094812E-2</v>
      </c>
      <c r="N284" s="86">
        <f t="shared" si="2336"/>
        <v>5.1374252833124565E-2</v>
      </c>
      <c r="O284" s="86">
        <f t="shared" si="2336"/>
        <v>5.2026318748271211E-2</v>
      </c>
      <c r="P284" s="86">
        <f t="shared" si="2336"/>
        <v>5.0349526772394577E-2</v>
      </c>
      <c r="Q284" s="86">
        <f t="shared" si="2336"/>
        <v>5.6134104489952569E-2</v>
      </c>
      <c r="R284" s="86">
        <f t="shared" si="2336"/>
        <v>5.5180576997580104E-2</v>
      </c>
      <c r="S284" s="86">
        <f t="shared" si="2336"/>
        <v>5.4531483384129234E-2</v>
      </c>
      <c r="T284" s="86">
        <f t="shared" si="2336"/>
        <v>5.1389438887071502E-2</v>
      </c>
      <c r="U284" s="86">
        <f t="shared" si="2336"/>
        <v>5.3162295413878201E-2</v>
      </c>
      <c r="V284" s="86">
        <f t="shared" si="2336"/>
        <v>5.3033122877001265E-2</v>
      </c>
      <c r="W284" s="86">
        <f t="shared" si="2336"/>
        <v>4.1239801275872047E-2</v>
      </c>
      <c r="X284" s="86">
        <f t="shared" si="2336"/>
        <v>3.8170025529837004E-2</v>
      </c>
      <c r="Y284" s="86">
        <f t="shared" si="2336"/>
        <v>5.0078473299720358E-2</v>
      </c>
      <c r="Z284" s="86">
        <f t="shared" si="2336"/>
        <v>5.1668563078173906E-2</v>
      </c>
      <c r="AA284" s="86">
        <f t="shared" ref="AA284" si="2337">AA63/AA39</f>
        <v>5.2991536976596088E-2</v>
      </c>
      <c r="AB284" s="87">
        <f t="shared" si="2336"/>
        <v>4.795691463870029E-2</v>
      </c>
      <c r="AC284" s="87">
        <f t="shared" si="2336"/>
        <v>5.3783854770259251E-2</v>
      </c>
      <c r="AD284" s="87">
        <f t="shared" si="2336"/>
        <v>4.1998203031443637E-2</v>
      </c>
      <c r="AE284" s="87">
        <f t="shared" si="2336"/>
        <v>3.2786075300806537E-2</v>
      </c>
      <c r="AL284" s="86">
        <f t="shared" ref="AL284:CW284" si="2338">AL63/AL39</f>
        <v>5.8607834749129138E-2</v>
      </c>
      <c r="AM284" s="86">
        <f t="shared" si="2338"/>
        <v>5.8660944830345133E-2</v>
      </c>
      <c r="AN284" s="86">
        <f t="shared" si="2338"/>
        <v>5.6843901456350938E-2</v>
      </c>
      <c r="AO284" s="86">
        <f t="shared" si="2338"/>
        <v>5.5584572350476452E-2</v>
      </c>
      <c r="AP284" s="86">
        <f t="shared" si="2338"/>
        <v>5.2109880691941633E-2</v>
      </c>
      <c r="AQ284" s="86">
        <f t="shared" si="2338"/>
        <v>5.0022926453666933E-2</v>
      </c>
      <c r="AR284" s="86">
        <f t="shared" si="2338"/>
        <v>5.1787771024069541E-2</v>
      </c>
      <c r="AS284" s="86">
        <f t="shared" si="2338"/>
        <v>5.461977271706419E-2</v>
      </c>
      <c r="AT284" s="86">
        <f t="shared" si="2338"/>
        <v>5.9933787082932614E-2</v>
      </c>
      <c r="AU284" s="86">
        <f t="shared" si="2338"/>
        <v>5.9326821520096273E-2</v>
      </c>
      <c r="AV284" s="86">
        <f t="shared" si="2338"/>
        <v>5.904760370779006E-2</v>
      </c>
      <c r="AW284" s="86">
        <f t="shared" si="2338"/>
        <v>6.1302254529226496E-2</v>
      </c>
      <c r="AX284" s="86">
        <f t="shared" si="2338"/>
        <v>5.8698260854868407E-2</v>
      </c>
      <c r="AY284" s="86">
        <f t="shared" si="2338"/>
        <v>5.355754800477161E-2</v>
      </c>
      <c r="AZ284" s="86">
        <f t="shared" si="2338"/>
        <v>5.7604805200148101E-2</v>
      </c>
      <c r="BA284" s="86">
        <f t="shared" si="2338"/>
        <v>5.8783027085320835E-2</v>
      </c>
      <c r="BB284" s="86">
        <f t="shared" si="2338"/>
        <v>5.1530597836830359E-2</v>
      </c>
      <c r="BC284" s="86">
        <f t="shared" si="2338"/>
        <v>5.4567312883788903E-2</v>
      </c>
      <c r="BD284" s="86">
        <f t="shared" si="2338"/>
        <v>5.9731194079740056E-2</v>
      </c>
      <c r="BE284" s="86">
        <f t="shared" si="2338"/>
        <v>5.5130058837845192E-2</v>
      </c>
      <c r="BF284" s="86">
        <f t="shared" si="2338"/>
        <v>5.3427775744757391E-2</v>
      </c>
      <c r="BG284" s="86">
        <f t="shared" si="2338"/>
        <v>5.2427172882003062E-2</v>
      </c>
      <c r="BH284" s="86">
        <f t="shared" si="2338"/>
        <v>4.996723553377589E-2</v>
      </c>
      <c r="BI284" s="86">
        <f t="shared" si="2338"/>
        <v>5.0276982275345813E-2</v>
      </c>
      <c r="BJ284" s="86">
        <f t="shared" si="2338"/>
        <v>4.9009535511649639E-2</v>
      </c>
      <c r="BK284" s="86">
        <f t="shared" si="2338"/>
        <v>5.2436071207799057E-2</v>
      </c>
      <c r="BL284" s="86">
        <f t="shared" si="2338"/>
        <v>5.3469904476924845E-2</v>
      </c>
      <c r="BM284" s="86">
        <f t="shared" si="2338"/>
        <v>5.5044880004755499E-2</v>
      </c>
      <c r="BN284" s="86">
        <f t="shared" si="2338"/>
        <v>5.4563657600533957E-2</v>
      </c>
      <c r="BO284" s="86">
        <f t="shared" si="2338"/>
        <v>6.732032488755138E-2</v>
      </c>
      <c r="BP284" s="86">
        <f t="shared" si="2338"/>
        <v>5.4273787027032172E-2</v>
      </c>
      <c r="BQ284" s="86">
        <f t="shared" si="2338"/>
        <v>5.4304629590805113E-2</v>
      </c>
      <c r="BR284" s="86">
        <f t="shared" si="2338"/>
        <v>4.5435545414453625E-2</v>
      </c>
      <c r="BS284" s="86">
        <f t="shared" si="2338"/>
        <v>4.5547158627843226E-2</v>
      </c>
      <c r="BT284" s="86">
        <f t="shared" si="2338"/>
        <v>4.5893405002518511E-2</v>
      </c>
      <c r="BU284" s="86">
        <f t="shared" si="2338"/>
        <v>3.9568184059751273E-2</v>
      </c>
      <c r="BV284" s="86">
        <f t="shared" si="2338"/>
        <v>3.7076480100974238E-2</v>
      </c>
      <c r="BW284" s="86">
        <f t="shared" si="2338"/>
        <v>3.3565955960890639E-2</v>
      </c>
      <c r="BX284" s="86">
        <f t="shared" si="2338"/>
        <v>3.7368085026476885E-2</v>
      </c>
      <c r="BY284" s="86">
        <f t="shared" si="2338"/>
        <v>4.3419239925525849E-2</v>
      </c>
      <c r="BZ284" s="86">
        <f t="shared" si="2338"/>
        <v>4.0930734842208626E-2</v>
      </c>
      <c r="CA284" s="86">
        <f t="shared" si="2338"/>
        <v>4.6911975269442074E-2</v>
      </c>
      <c r="CB284" s="86">
        <f t="shared" si="2338"/>
        <v>5.0743384444948011E-2</v>
      </c>
      <c r="CC284" s="86">
        <f t="shared" si="2338"/>
        <v>5.5318633231140099E-2</v>
      </c>
      <c r="CD284" s="86">
        <f t="shared" si="2338"/>
        <v>5.2073820502333494E-2</v>
      </c>
      <c r="CE284" s="86">
        <f t="shared" si="2338"/>
        <v>5.4316825052249926E-2</v>
      </c>
      <c r="CF284" s="86">
        <f t="shared" si="2338"/>
        <v>5.663347253453261E-2</v>
      </c>
      <c r="CG284" s="86">
        <f t="shared" si="2338"/>
        <v>5.5641005811572157E-2</v>
      </c>
      <c r="CH284" s="86">
        <f t="shared" si="2338"/>
        <v>4.5243361293104647E-2</v>
      </c>
      <c r="CI284" s="86">
        <f t="shared" si="2338"/>
        <v>5.3223415788949936E-2</v>
      </c>
      <c r="CJ284" s="86">
        <f t="shared" si="2338"/>
        <v>5.827443073026408E-2</v>
      </c>
      <c r="CK284" s="86">
        <f t="shared" si="2338"/>
        <v>5.8421076732039869E-2</v>
      </c>
      <c r="CL284" s="86">
        <f t="shared" ref="CL284" si="2339">CL63/CL39</f>
        <v>4.7627714688733024E-2</v>
      </c>
      <c r="CM284" s="87">
        <f t="shared" si="2338"/>
        <v>5.1860603734038058E-2</v>
      </c>
      <c r="CN284" s="87">
        <f t="shared" si="2338"/>
        <v>5.3552953293056378E-2</v>
      </c>
      <c r="CO284" s="87">
        <f t="shared" si="2338"/>
        <v>5.0285381976101412E-2</v>
      </c>
      <c r="CP284" s="87">
        <f t="shared" si="2338"/>
        <v>3.8858441729602677E-2</v>
      </c>
      <c r="CQ284" s="87">
        <f t="shared" si="2338"/>
        <v>5.9198507551201526E-2</v>
      </c>
      <c r="CR284" s="87">
        <f t="shared" si="2338"/>
        <v>6.0351292395705206E-2</v>
      </c>
      <c r="CS284" s="87">
        <f t="shared" si="2338"/>
        <v>5.5969359551196488E-2</v>
      </c>
      <c r="CT284" s="87">
        <f t="shared" si="2338"/>
        <v>4.2956615645480367E-2</v>
      </c>
      <c r="CU284" s="87">
        <f t="shared" si="2338"/>
        <v>4.6304440454157755E-2</v>
      </c>
      <c r="CV284" s="87">
        <f t="shared" si="2338"/>
        <v>4.7120231521439564E-2</v>
      </c>
      <c r="CW284" s="87">
        <f t="shared" si="2338"/>
        <v>4.3664809955183126E-2</v>
      </c>
      <c r="CX284" s="87">
        <f t="shared" ref="CX284:DB284" si="2340">CX63/CX39</f>
        <v>3.352699296318163E-2</v>
      </c>
      <c r="CY284" s="87">
        <f t="shared" si="2340"/>
        <v>3.615905342669716E-2</v>
      </c>
      <c r="CZ284" s="87">
        <f t="shared" si="2340"/>
        <v>3.6780924875666567E-2</v>
      </c>
      <c r="DA284" s="87">
        <f t="shared" si="2340"/>
        <v>3.4081633782797084E-2</v>
      </c>
      <c r="DB284" s="87">
        <f t="shared" si="2340"/>
        <v>2.6171905806888898E-2</v>
      </c>
      <c r="DE284" s="135"/>
    </row>
    <row r="285" spans="1:109" s="85" customFormat="1" x14ac:dyDescent="0.2">
      <c r="AB285" s="58"/>
      <c r="AC285" s="58"/>
      <c r="AD285" s="58"/>
      <c r="AE285" s="58"/>
      <c r="CM285" s="72"/>
      <c r="CN285" s="72"/>
      <c r="CO285" s="72"/>
      <c r="CP285" s="72"/>
      <c r="CQ285" s="72"/>
      <c r="CR285" s="72"/>
      <c r="CS285" s="72"/>
      <c r="CT285" s="72"/>
      <c r="CU285" s="72"/>
      <c r="CV285" s="72"/>
      <c r="CW285" s="72"/>
      <c r="CX285" s="72"/>
      <c r="CY285" s="72"/>
      <c r="CZ285" s="72"/>
      <c r="DA285" s="72"/>
      <c r="DB285" s="72"/>
      <c r="DE285" s="137"/>
    </row>
  </sheetData>
  <sortState xmlns:xlrd2="http://schemas.microsoft.com/office/spreadsheetml/2017/richdata2" ref="A51:DE56">
    <sortCondition ref="A51:A5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4" activePane="bottomRight" state="frozen"/>
      <selection activeCell="A2" sqref="A2"/>
      <selection pane="topRight" activeCell="A2" sqref="A2"/>
      <selection pane="bottomLeft" activeCell="A2" sqref="A2"/>
      <selection pane="bottomRight" activeCell="BF14" sqref="BF14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103806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77"/>
      <c r="BG2" s="177"/>
      <c r="BH2" s="177"/>
      <c r="BI2" s="177"/>
      <c r="BJ2" s="177"/>
      <c r="BK2" s="177"/>
      <c r="BL2" s="177"/>
      <c r="BM2" s="177"/>
      <c r="BN2" s="177"/>
      <c r="BO2" s="177"/>
      <c r="BP2" s="177"/>
      <c r="BQ2" s="177"/>
      <c r="BR2" s="177"/>
      <c r="BS2" s="177"/>
      <c r="BT2" s="177"/>
      <c r="BU2" s="177"/>
      <c r="BV2" s="177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SRF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809.52</v>
      </c>
      <c r="D6">
        <f>_xll.EQNXTDZ($A$1,$B6,D$1,$B$1)</f>
        <v>801.19</v>
      </c>
      <c r="E6">
        <f>_xll.EQNXTDZ($A$1,$B6,E$1,$B$1)</f>
        <v>885.59</v>
      </c>
      <c r="F6">
        <f>_xll.EQNXTDZ($A$1,$B6,F$1,$B$1)</f>
        <v>816.47</v>
      </c>
      <c r="G6">
        <f>_xll.EQNXTDZ($A$1,$B6,G$1,$B$1)</f>
        <v>819.05</v>
      </c>
      <c r="H6">
        <f>_xll.EQNXTDZ($A$1,$B6,H$1,$B$1)</f>
        <v>839.94</v>
      </c>
      <c r="I6">
        <f>_xll.EQNXTDZ($A$1,$B6,I$1,$B$1)</f>
        <v>859.44</v>
      </c>
      <c r="J6">
        <f>_xll.EQNXTDZ($A$1,$B6,J$1,$B$1)</f>
        <v>883.67</v>
      </c>
      <c r="K6">
        <f>_xll.EQNXTDZ($A$1,$B6,K$1,$B$1)</f>
        <v>1147.19</v>
      </c>
      <c r="L6">
        <f>_xll.EQNXTDZ($A$1,$B6,L$1,$B$1)</f>
        <v>1178.81</v>
      </c>
      <c r="M6">
        <f>_xll.EQNXTDZ($A$1,$B6,M$1,$B$1)</f>
        <v>1101.03</v>
      </c>
      <c r="N6">
        <f>_xll.EQNXTDZ($A$1,$B6,N$1,$B$1)</f>
        <v>1065.33</v>
      </c>
      <c r="O6">
        <f>_xll.EQNXTDZ($A$1,$B6,O$1,$B$1)</f>
        <v>1205.45</v>
      </c>
      <c r="P6">
        <f>_xll.EQNXTDZ($A$1,$B6,P$1,$B$1)</f>
        <v>1227.56</v>
      </c>
      <c r="Q6">
        <f>_xll.EQNXTDZ($A$1,$B6,Q$1,$B$1)</f>
        <v>1147.9100000000001</v>
      </c>
      <c r="R6">
        <f>_xll.EQNXTDZ($A$1,$B6,R$1,$B$1)</f>
        <v>1161.4000000000001</v>
      </c>
      <c r="S6">
        <f>_xll.EQNXTDZ($A$1,$B6,S$1,$B$1)</f>
        <v>1275.22</v>
      </c>
      <c r="T6">
        <f>_xll.EQNXTDZ($A$1,$B6,T$1,$B$1)</f>
        <v>1194.2</v>
      </c>
      <c r="U6">
        <f>_xll.EQNXTDZ($A$1,$B6,U$1,$B$1)</f>
        <v>1188.05</v>
      </c>
      <c r="V6">
        <f>_xll.EQNXTDZ($A$1,$B6,V$1,$B$1)</f>
        <v>1396.71</v>
      </c>
      <c r="W6">
        <f>_xll.EQNXTDZ($A$1,$B6,W$1,$B$1)</f>
        <v>1368.49</v>
      </c>
      <c r="X6">
        <f>_xll.EQNXTDZ($A$1,$B6,X$1,$B$1)</f>
        <v>1269.98</v>
      </c>
      <c r="Y6">
        <f>_xll.EQNXTDZ($A$1,$B6,Y$1,$B$1)</f>
        <v>1378.2</v>
      </c>
      <c r="Z6">
        <f>_xll.EQNXTDZ($A$1,$B6,Z$1,$B$1)</f>
        <v>1589.98</v>
      </c>
      <c r="AA6">
        <f>_xll.EQNXTDZ($A$1,$B6,AA$1,$B$1)</f>
        <v>1652.97</v>
      </c>
      <c r="AB6">
        <f>_xll.EQNXTDZ($A$1,$B6,AB$1,$B$1)</f>
        <v>1721.51</v>
      </c>
      <c r="AC6">
        <f>_xll.EQNXTDZ($A$1,$B6,AC$1,$B$1)</f>
        <v>1753.52</v>
      </c>
      <c r="AD6">
        <f>_xll.EQNXTDZ($A$1,$B6,AD$1,$B$1)</f>
        <v>1900.23</v>
      </c>
      <c r="AE6">
        <f>_xll.EQNXTDZ($A$1,$B6,AE$1,$B$1)</f>
        <v>1732.22</v>
      </c>
      <c r="AF6">
        <f>_xll.EQNXTDZ($A$1,$B6,AF$1,$B$1)</f>
        <v>1702.17</v>
      </c>
      <c r="AG6">
        <f>_xll.EQNXTDZ($A$1,$B6,AG$1,$B$1)</f>
        <v>1807.45</v>
      </c>
      <c r="AH6">
        <f>_xll.EQNXTDZ($A$1,$B6,AH$1,$B$1)</f>
        <v>1820.28</v>
      </c>
      <c r="AI6">
        <f>_xll.EQNXTDZ($A$1,$B6,AI$1,$B$1)</f>
        <v>1513.12</v>
      </c>
      <c r="AJ6">
        <f>_xll.EQNXTDZ($A$1,$B6,AJ$1,$B$1)</f>
        <v>2062.98</v>
      </c>
      <c r="AK6">
        <f>_xll.EQNXTDZ($A$1,$B6,AK$1,$B$1)</f>
        <v>2129.4299999999998</v>
      </c>
      <c r="AL6">
        <f>_xll.EQNXTDZ($A$1,$B6,AL$1,$B$1)</f>
        <v>2589.87</v>
      </c>
      <c r="AM6">
        <f>_xll.EQNXTDZ($A$1,$B6,AM$1,$B$1)</f>
        <v>2678.8</v>
      </c>
      <c r="AN6">
        <f>_xll.EQNXTDZ($A$1,$B6,AN$1,$B$1)</f>
        <v>2814.53</v>
      </c>
      <c r="AO6">
        <f>_xll.EQNXTDZ($A$1,$B6,AO$1,$B$1)</f>
        <v>3314.14</v>
      </c>
      <c r="AP6">
        <f>_xll.EQNXTDZ($A$1,$B6,AP$1,$B$1)</f>
        <v>3505.28</v>
      </c>
      <c r="AQ6">
        <f>_xll.EQNXTDZ($A$1,$B6,AQ$1,$B$1)</f>
        <v>3852.22</v>
      </c>
      <c r="AR6">
        <f>_xll.EQNXTDZ($A$1,$B6,AR$1,$B$1)</f>
        <v>3651.03</v>
      </c>
      <c r="AS6">
        <f>_xll.EQNXTDZ($A$1,$B6,AS$1,$B$1)</f>
        <v>3369.27</v>
      </c>
      <c r="AT6">
        <f>_xll.EQNXTDZ($A$1,$B6,AT$1,$B$1)</f>
        <v>3719.3</v>
      </c>
      <c r="AU6">
        <f>_xll.EQNXTDZ($A$1,$B6,AU$1,$B$1)</f>
        <v>3288.97</v>
      </c>
      <c r="AV6">
        <f>_xll.EQNXTDZ($A$1,$B6,AV$1,$B$1)</f>
        <v>3121.43</v>
      </c>
      <c r="AW6">
        <f>_xll.EQNXTDZ($A$1,$B6,AW$1,$B$1)</f>
        <v>2994.03</v>
      </c>
      <c r="AX6">
        <f>_xll.EQNXTDZ($A$1,$B6,AX$1,$B$1)</f>
        <v>3505.92</v>
      </c>
      <c r="AY6">
        <f>_xll.EQNXTDZ($A$1,$B6,AY$1,$B$1)</f>
        <v>3402.23</v>
      </c>
      <c r="AZ6">
        <f>_xll.EQNXTDZ($A$1,$B6,AZ$1,$B$1)</f>
        <v>3334.06</v>
      </c>
      <c r="BA6">
        <f>_xll.EQNXTDZ($A$1,$B6,BA$1,$B$1)</f>
        <v>3406.69</v>
      </c>
      <c r="BB6">
        <f>_xll.EQNXTDZ($A$1,$B6,BB$1,$B$1)</f>
        <v>4215.17</v>
      </c>
      <c r="BC6">
        <f>_xll.EQNXTDZ($A$1,$B6,BC$1,$B$1)</f>
        <v>3738.58</v>
      </c>
      <c r="BD6">
        <f>_xll.EQNXTDZ($A$1,$B6,BD$1,$B$1)</f>
        <v>3534.46</v>
      </c>
      <c r="BE6">
        <f>_xll.EQNXTDZ($A$1,$B6,BE$1,$B$1)</f>
        <v>3611.5</v>
      </c>
      <c r="BF6">
        <f>_xll.EQNXTDZ($A$1,$B6,BF$1,$B$1)</f>
        <v>4531.83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78.89</v>
      </c>
      <c r="Q7">
        <f>_xll.EQNXTDZ($A$1,$B7,Q$1,$B$1)</f>
        <v>69.62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2.25</v>
      </c>
      <c r="D8">
        <f>_xll.EQNXTDZ($A$1,$B8,D$1,$B$1)</f>
        <v>2.5499999999999998</v>
      </c>
      <c r="E8">
        <f>_xll.EQNXTDZ($A$1,$B8,E$1,$B$1)</f>
        <v>3.3</v>
      </c>
      <c r="F8">
        <f>_xll.EQNXTDZ($A$1,$B8,F$1,$B$1)</f>
        <v>1.68</v>
      </c>
      <c r="G8">
        <f>_xll.EQNXTDZ($A$1,$B8,G$1,$B$1)</f>
        <v>5.86</v>
      </c>
      <c r="H8">
        <f>_xll.EQNXTDZ($A$1,$B8,H$1,$B$1)</f>
        <v>3.95</v>
      </c>
      <c r="I8">
        <f>_xll.EQNXTDZ($A$1,$B8,I$1,$B$1)</f>
        <v>2.13</v>
      </c>
      <c r="J8">
        <f>_xll.EQNXTDZ($A$1,$B8,J$1,$B$1)</f>
        <v>3.11</v>
      </c>
      <c r="K8">
        <f>_xll.EQNXTDZ($A$1,$B8,K$1,$B$1)</f>
        <v>8.68</v>
      </c>
      <c r="L8">
        <f>_xll.EQNXTDZ($A$1,$B8,L$1,$B$1)</f>
        <v>10.66</v>
      </c>
      <c r="M8">
        <f>_xll.EQNXTDZ($A$1,$B8,M$1,$B$1)</f>
        <v>12.12</v>
      </c>
      <c r="N8">
        <f>_xll.EQNXTDZ($A$1,$B8,N$1,$B$1)</f>
        <v>16.03</v>
      </c>
      <c r="O8">
        <f>_xll.EQNXTDZ($A$1,$B8,O$1,$B$1)</f>
        <v>15.92</v>
      </c>
      <c r="P8">
        <f>_xll.EQNXTDZ($A$1,$B8,P$1,$B$1)</f>
        <v>14.15</v>
      </c>
      <c r="Q8">
        <f>_xll.EQNXTDZ($A$1,$B8,Q$1,$B$1)</f>
        <v>17.3</v>
      </c>
      <c r="R8">
        <f>_xll.EQNXTDZ($A$1,$B8,R$1,$B$1)</f>
        <v>21.94</v>
      </c>
      <c r="S8">
        <f>_xll.EQNXTDZ($A$1,$B8,S$1,$B$1)</f>
        <v>24.13</v>
      </c>
      <c r="T8">
        <f>_xll.EQNXTDZ($A$1,$B8,T$1,$B$1)</f>
        <v>21.15</v>
      </c>
      <c r="U8">
        <f>_xll.EQNXTDZ($A$1,$B8,U$1,$B$1)</f>
        <v>17.399999999999999</v>
      </c>
      <c r="V8">
        <f>_xll.EQNXTDZ($A$1,$B8,V$1,$B$1)</f>
        <v>19.73</v>
      </c>
      <c r="W8">
        <f>_xll.EQNXTDZ($A$1,$B8,W$1,$B$1)</f>
        <v>20.62</v>
      </c>
      <c r="X8">
        <f>_xll.EQNXTDZ($A$1,$B8,X$1,$B$1)</f>
        <v>16.45</v>
      </c>
      <c r="Y8">
        <f>_xll.EQNXTDZ($A$1,$B8,Y$1,$B$1)</f>
        <v>18.86</v>
      </c>
      <c r="Z8">
        <f>_xll.EQNXTDZ($A$1,$B8,Z$1,$B$1)</f>
        <v>22.29</v>
      </c>
      <c r="AA8">
        <f>_xll.EQNXTDZ($A$1,$B8,AA$1,$B$1)</f>
        <v>23.26</v>
      </c>
      <c r="AB8">
        <f>_xll.EQNXTDZ($A$1,$B8,AB$1,$B$1)</f>
        <v>33.44</v>
      </c>
      <c r="AC8">
        <f>_xll.EQNXTDZ($A$1,$B8,AC$1,$B$1)</f>
        <v>55.26</v>
      </c>
      <c r="AD8">
        <f>_xll.EQNXTDZ($A$1,$B8,AD$1,$B$1)</f>
        <v>36.74</v>
      </c>
      <c r="AE8">
        <f>_xll.EQNXTDZ($A$1,$B8,AE$1,$B$1)</f>
        <v>31.07</v>
      </c>
      <c r="AF8">
        <f>_xll.EQNXTDZ($A$1,$B8,AF$1,$B$1)</f>
        <v>35.630000000000003</v>
      </c>
      <c r="AG8">
        <f>_xll.EQNXTDZ($A$1,$B8,AG$1,$B$1)</f>
        <v>43.04</v>
      </c>
      <c r="AH8">
        <f>_xll.EQNXTDZ($A$1,$B8,AH$1,$B$1)</f>
        <v>37.549999999999997</v>
      </c>
      <c r="AI8">
        <f>_xll.EQNXTDZ($A$1,$B8,AI$1,$B$1)</f>
        <v>32.03</v>
      </c>
      <c r="AJ8">
        <f>_xll.EQNXTDZ($A$1,$B8,AJ$1,$B$1)</f>
        <v>37.85</v>
      </c>
      <c r="AK8">
        <f>_xll.EQNXTDZ($A$1,$B8,AK$1,$B$1)</f>
        <v>16.98</v>
      </c>
      <c r="AL8">
        <f>_xll.EQNXTDZ($A$1,$B8,AL$1,$B$1)</f>
        <v>17.78</v>
      </c>
      <c r="AM8">
        <f>_xll.EQNXTDZ($A$1,$B8,AM$1,$B$1)</f>
        <v>20.6</v>
      </c>
      <c r="AN8">
        <f>_xll.EQNXTDZ($A$1,$B8,AN$1,$B$1)</f>
        <v>24.44</v>
      </c>
      <c r="AO8">
        <f>_xll.EQNXTDZ($A$1,$B8,AO$1,$B$1)</f>
        <v>31.73</v>
      </c>
      <c r="AP8">
        <f>_xll.EQNXTDZ($A$1,$B8,AP$1,$B$1)</f>
        <v>44.14</v>
      </c>
      <c r="AQ8">
        <f>_xll.EQNXTDZ($A$1,$B8,AQ$1,$B$1)</f>
        <v>42.5</v>
      </c>
      <c r="AR8">
        <f>_xll.EQNXTDZ($A$1,$B8,AR$1,$B$1)</f>
        <v>76.75</v>
      </c>
      <c r="AS8">
        <f>_xll.EQNXTDZ($A$1,$B8,AS$1,$B$1)</f>
        <v>100.39</v>
      </c>
      <c r="AT8">
        <f>_xll.EQNXTDZ($A$1,$B8,AT$1,$B$1)</f>
        <v>58.79</v>
      </c>
      <c r="AU8">
        <f>_xll.EQNXTDZ($A$1,$B8,AU$1,$B$1)</f>
        <v>49.41</v>
      </c>
      <c r="AV8">
        <f>_xll.EQNXTDZ($A$1,$B8,AV$1,$B$1)</f>
        <v>55.93</v>
      </c>
      <c r="AW8">
        <f>_xll.EQNXTDZ($A$1,$B8,AW$1,$B$1)</f>
        <v>59.01</v>
      </c>
      <c r="AX8">
        <f>_xll.EQNXTDZ($A$1,$B8,AX$1,$B$1)</f>
        <v>63.82</v>
      </c>
      <c r="AY8">
        <f>_xll.EQNXTDZ($A$1,$B8,AY$1,$B$1)</f>
        <v>61.89</v>
      </c>
      <c r="AZ8">
        <f>_xll.EQNXTDZ($A$1,$B8,AZ$1,$B$1)</f>
        <v>90.24</v>
      </c>
      <c r="BA8">
        <f>_xll.EQNXTDZ($A$1,$B8,BA$1,$B$1)</f>
        <v>84.62</v>
      </c>
      <c r="BB8">
        <f>_xll.EQNXTDZ($A$1,$B8,BB$1,$B$1)</f>
        <v>98.17</v>
      </c>
      <c r="BC8">
        <f>_xll.EQNXTDZ($A$1,$B8,BC$1,$B$1)</f>
        <v>80.040000000000006</v>
      </c>
      <c r="BD8">
        <f>_xll.EQNXTDZ($A$1,$B8,BD$1,$B$1)</f>
        <v>105.73</v>
      </c>
      <c r="BE8">
        <f>_xll.EQNXTDZ($A$1,$B8,BE$1,$B$1)</f>
        <v>101.03</v>
      </c>
      <c r="BF8">
        <f>_xll.EQNXTDZ($A$1,$B8,BF$1,$B$1)</f>
        <v>83.34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811.77</v>
      </c>
      <c r="D9">
        <f>_xll.EQNXTDZ($A$1,$B9,D$1,$B$1)</f>
        <v>803.74</v>
      </c>
      <c r="E9">
        <f>_xll.EQNXTDZ($A$1,$B9,E$1,$B$1)</f>
        <v>888.89</v>
      </c>
      <c r="F9">
        <f>_xll.EQNXTDZ($A$1,$B9,F$1,$B$1)</f>
        <v>818.15</v>
      </c>
      <c r="G9">
        <f>_xll.EQNXTDZ($A$1,$B9,G$1,$B$1)</f>
        <v>824.91</v>
      </c>
      <c r="H9">
        <f>_xll.EQNXTDZ($A$1,$B9,H$1,$B$1)</f>
        <v>843.89</v>
      </c>
      <c r="I9">
        <f>_xll.EQNXTDZ($A$1,$B9,I$1,$B$1)</f>
        <v>861.57</v>
      </c>
      <c r="J9">
        <f>_xll.EQNXTDZ($A$1,$B9,J$1,$B$1)</f>
        <v>886.78</v>
      </c>
      <c r="K9">
        <f>_xll.EQNXTDZ($A$1,$B9,K$1,$B$1)</f>
        <v>1155.8699999999999</v>
      </c>
      <c r="L9">
        <f>_xll.EQNXTDZ($A$1,$B9,L$1,$B$1)</f>
        <v>1189.47</v>
      </c>
      <c r="M9">
        <f>_xll.EQNXTDZ($A$1,$B9,M$1,$B$1)</f>
        <v>1113.1500000000001</v>
      </c>
      <c r="N9">
        <f>_xll.EQNXTDZ($A$1,$B9,N$1,$B$1)</f>
        <v>1081.3599999999999</v>
      </c>
      <c r="O9">
        <f>_xll.EQNXTDZ($A$1,$B9,O$1,$B$1)</f>
        <v>1221.3699999999999</v>
      </c>
      <c r="P9">
        <f>_xll.EQNXTDZ($A$1,$B9,P$1,$B$1)</f>
        <v>1162.82</v>
      </c>
      <c r="Q9">
        <f>_xll.EQNXTDZ($A$1,$B9,Q$1,$B$1)</f>
        <v>1095.5899999999999</v>
      </c>
      <c r="R9">
        <f>_xll.EQNXTDZ($A$1,$B9,R$1,$B$1)</f>
        <v>1183.3399999999999</v>
      </c>
      <c r="S9">
        <f>_xll.EQNXTDZ($A$1,$B9,S$1,$B$1)</f>
        <v>1299.3499999999999</v>
      </c>
      <c r="T9">
        <f>_xll.EQNXTDZ($A$1,$B9,T$1,$B$1)</f>
        <v>1215.3499999999999</v>
      </c>
      <c r="U9">
        <f>_xll.EQNXTDZ($A$1,$B9,U$1,$B$1)</f>
        <v>1205.45</v>
      </c>
      <c r="V9">
        <f>_xll.EQNXTDZ($A$1,$B9,V$1,$B$1)</f>
        <v>1416.44</v>
      </c>
      <c r="W9">
        <f>_xll.EQNXTDZ($A$1,$B9,W$1,$B$1)</f>
        <v>1389.11</v>
      </c>
      <c r="X9">
        <f>_xll.EQNXTDZ($A$1,$B9,X$1,$B$1)</f>
        <v>1286.43</v>
      </c>
      <c r="Y9">
        <f>_xll.EQNXTDZ($A$1,$B9,Y$1,$B$1)</f>
        <v>1397.06</v>
      </c>
      <c r="Z9">
        <f>_xll.EQNXTDZ($A$1,$B9,Z$1,$B$1)</f>
        <v>1612.27</v>
      </c>
      <c r="AA9">
        <f>_xll.EQNXTDZ($A$1,$B9,AA$1,$B$1)</f>
        <v>1676.23</v>
      </c>
      <c r="AB9">
        <f>_xll.EQNXTDZ($A$1,$B9,AB$1,$B$1)</f>
        <v>1754.95</v>
      </c>
      <c r="AC9">
        <f>_xll.EQNXTDZ($A$1,$B9,AC$1,$B$1)</f>
        <v>1808.78</v>
      </c>
      <c r="AD9">
        <f>_xll.EQNXTDZ($A$1,$B9,AD$1,$B$1)</f>
        <v>1936.97</v>
      </c>
      <c r="AE9">
        <f>_xll.EQNXTDZ($A$1,$B9,AE$1,$B$1)</f>
        <v>1763.29</v>
      </c>
      <c r="AF9">
        <f>_xll.EQNXTDZ($A$1,$B9,AF$1,$B$1)</f>
        <v>1737.8</v>
      </c>
      <c r="AG9">
        <f>_xll.EQNXTDZ($A$1,$B9,AG$1,$B$1)</f>
        <v>1850.49</v>
      </c>
      <c r="AH9">
        <f>_xll.EQNXTDZ($A$1,$B9,AH$1,$B$1)</f>
        <v>1857.83</v>
      </c>
      <c r="AI9">
        <f>_xll.EQNXTDZ($A$1,$B9,AI$1,$B$1)</f>
        <v>1545.15</v>
      </c>
      <c r="AJ9">
        <f>_xll.EQNXTDZ($A$1,$B9,AJ$1,$B$1)</f>
        <v>2100.83</v>
      </c>
      <c r="AK9">
        <f>_xll.EQNXTDZ($A$1,$B9,AK$1,$B$1)</f>
        <v>2146.41</v>
      </c>
      <c r="AL9">
        <f>_xll.EQNXTDZ($A$1,$B9,AL$1,$B$1)</f>
        <v>2607.65</v>
      </c>
      <c r="AM9">
        <f>_xll.EQNXTDZ($A$1,$B9,AM$1,$B$1)</f>
        <v>2699.4</v>
      </c>
      <c r="AN9">
        <f>_xll.EQNXTDZ($A$1,$B9,AN$1,$B$1)</f>
        <v>2838.97</v>
      </c>
      <c r="AO9">
        <f>_xll.EQNXTDZ($A$1,$B9,AO$1,$B$1)</f>
        <v>3345.87</v>
      </c>
      <c r="AP9">
        <f>_xll.EQNXTDZ($A$1,$B9,AP$1,$B$1)</f>
        <v>3549.42</v>
      </c>
      <c r="AQ9">
        <f>_xll.EQNXTDZ($A$1,$B9,AQ$1,$B$1)</f>
        <v>3894.72</v>
      </c>
      <c r="AR9">
        <f>_xll.EQNXTDZ($A$1,$B9,AR$1,$B$1)</f>
        <v>3727.78</v>
      </c>
      <c r="AS9">
        <f>_xll.EQNXTDZ($A$1,$B9,AS$1,$B$1)</f>
        <v>3469.66</v>
      </c>
      <c r="AT9">
        <f>_xll.EQNXTDZ($A$1,$B9,AT$1,$B$1)</f>
        <v>3778.09</v>
      </c>
      <c r="AU9">
        <f>_xll.EQNXTDZ($A$1,$B9,AU$1,$B$1)</f>
        <v>3338.38</v>
      </c>
      <c r="AV9">
        <f>_xll.EQNXTDZ($A$1,$B9,AV$1,$B$1)</f>
        <v>3177.36</v>
      </c>
      <c r="AW9">
        <f>_xll.EQNXTDZ($A$1,$B9,AW$1,$B$1)</f>
        <v>3053.04</v>
      </c>
      <c r="AX9">
        <f>_xll.EQNXTDZ($A$1,$B9,AX$1,$B$1)</f>
        <v>3569.74</v>
      </c>
      <c r="AY9">
        <f>_xll.EQNXTDZ($A$1,$B9,AY$1,$B$1)</f>
        <v>3464.12</v>
      </c>
      <c r="AZ9">
        <f>_xll.EQNXTDZ($A$1,$B9,AZ$1,$B$1)</f>
        <v>3424.3</v>
      </c>
      <c r="BA9">
        <f>_xll.EQNXTDZ($A$1,$B9,BA$1,$B$1)</f>
        <v>3491.31</v>
      </c>
      <c r="BB9">
        <f>_xll.EQNXTDZ($A$1,$B9,BB$1,$B$1)</f>
        <v>4313.34</v>
      </c>
      <c r="BC9">
        <f>_xll.EQNXTDZ($A$1,$B9,BC$1,$B$1)</f>
        <v>3818.62</v>
      </c>
      <c r="BD9">
        <f>_xll.EQNXTDZ($A$1,$B9,BD$1,$B$1)</f>
        <v>3640.19</v>
      </c>
      <c r="BE9">
        <f>_xll.EQNXTDZ($A$1,$B9,BE$1,$B$1)</f>
        <v>3712.53</v>
      </c>
      <c r="BF9">
        <f>_xll.EQNXTDZ($A$1,$B9,BF$1,$B$1)</f>
        <v>4615.17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-9.6199999999999992</v>
      </c>
      <c r="D10">
        <f>_xll.EQNXTDZ($A$1,$B10,D$1,$B$1)</f>
        <v>-2.71</v>
      </c>
      <c r="E10">
        <f>_xll.EQNXTDZ($A$1,$B10,E$1,$B$1)</f>
        <v>-20.81</v>
      </c>
      <c r="F10">
        <f>_xll.EQNXTDZ($A$1,$B10,F$1,$B$1)</f>
        <v>10.64</v>
      </c>
      <c r="G10">
        <f>_xll.EQNXTDZ($A$1,$B10,G$1,$B$1)</f>
        <v>14.78</v>
      </c>
      <c r="H10">
        <f>_xll.EQNXTDZ($A$1,$B10,H$1,$B$1)</f>
        <v>-26.98</v>
      </c>
      <c r="I10">
        <f>_xll.EQNXTDZ($A$1,$B10,I$1,$B$1)</f>
        <v>-3.34</v>
      </c>
      <c r="J10">
        <f>_xll.EQNXTDZ($A$1,$B10,J$1,$B$1)</f>
        <v>10.78</v>
      </c>
      <c r="K10">
        <f>_xll.EQNXTDZ($A$1,$B10,K$1,$B$1)</f>
        <v>6.81</v>
      </c>
      <c r="L10">
        <f>_xll.EQNXTDZ($A$1,$B10,L$1,$B$1)</f>
        <v>-47.02</v>
      </c>
      <c r="M10">
        <f>_xll.EQNXTDZ($A$1,$B10,M$1,$B$1)</f>
        <v>-9.26</v>
      </c>
      <c r="N10">
        <f>_xll.EQNXTDZ($A$1,$B10,N$1,$B$1)</f>
        <v>16.72</v>
      </c>
      <c r="O10">
        <f>_xll.EQNXTDZ($A$1,$B10,O$1,$B$1)</f>
        <v>20.07</v>
      </c>
      <c r="P10">
        <f>_xll.EQNXTDZ($A$1,$B10,P$1,$B$1)</f>
        <v>-28.34</v>
      </c>
      <c r="Q10">
        <f>_xll.EQNXTDZ($A$1,$B10,Q$1,$B$1)</f>
        <v>17.239999999999998</v>
      </c>
      <c r="R10">
        <f>_xll.EQNXTDZ($A$1,$B10,R$1,$B$1)</f>
        <v>8.08</v>
      </c>
      <c r="S10">
        <f>_xll.EQNXTDZ($A$1,$B10,S$1,$B$1)</f>
        <v>14.42</v>
      </c>
      <c r="T10">
        <f>_xll.EQNXTDZ($A$1,$B10,T$1,$B$1)</f>
        <v>-22.03</v>
      </c>
      <c r="U10">
        <f>_xll.EQNXTDZ($A$1,$B10,U$1,$B$1)</f>
        <v>-34.4</v>
      </c>
      <c r="V10">
        <f>_xll.EQNXTDZ($A$1,$B10,V$1,$B$1)</f>
        <v>15.54</v>
      </c>
      <c r="W10">
        <f>_xll.EQNXTDZ($A$1,$B10,W$1,$B$1)</f>
        <v>-21.19</v>
      </c>
      <c r="X10">
        <f>_xll.EQNXTDZ($A$1,$B10,X$1,$B$1)</f>
        <v>-4.3499999999999996</v>
      </c>
      <c r="Y10">
        <f>_xll.EQNXTDZ($A$1,$B10,Y$1,$B$1)</f>
        <v>-26.25</v>
      </c>
      <c r="Z10">
        <f>_xll.EQNXTDZ($A$1,$B10,Z$1,$B$1)</f>
        <v>20.69</v>
      </c>
      <c r="AA10">
        <f>_xll.EQNXTDZ($A$1,$B10,AA$1,$B$1)</f>
        <v>-38.549999999999997</v>
      </c>
      <c r="AB10">
        <f>_xll.EQNXTDZ($A$1,$B10,AB$1,$B$1)</f>
        <v>10.54</v>
      </c>
      <c r="AC10">
        <f>_xll.EQNXTDZ($A$1,$B10,AC$1,$B$1)</f>
        <v>-72.349999999999994</v>
      </c>
      <c r="AD10">
        <f>_xll.EQNXTDZ($A$1,$B10,AD$1,$B$1)</f>
        <v>29.73</v>
      </c>
      <c r="AE10">
        <f>_xll.EQNXTDZ($A$1,$B10,AE$1,$B$1)</f>
        <v>-11.64</v>
      </c>
      <c r="AF10">
        <f>_xll.EQNXTDZ($A$1,$B10,AF$1,$B$1)</f>
        <v>-39.61</v>
      </c>
      <c r="AG10">
        <f>_xll.EQNXTDZ($A$1,$B10,AG$1,$B$1)</f>
        <v>-26.79</v>
      </c>
      <c r="AH10">
        <f>_xll.EQNXTDZ($A$1,$B10,AH$1,$B$1)</f>
        <v>-13.78</v>
      </c>
      <c r="AI10">
        <f>_xll.EQNXTDZ($A$1,$B10,AI$1,$B$1)</f>
        <v>47.35</v>
      </c>
      <c r="AJ10">
        <f>_xll.EQNXTDZ($A$1,$B10,AJ$1,$B$1)</f>
        <v>-12.24</v>
      </c>
      <c r="AK10">
        <f>_xll.EQNXTDZ($A$1,$B10,AK$1,$B$1)</f>
        <v>-112.29</v>
      </c>
      <c r="AL10">
        <f>_xll.EQNXTDZ($A$1,$B10,AL$1,$B$1)</f>
        <v>5.52</v>
      </c>
      <c r="AM10">
        <f>_xll.EQNXTDZ($A$1,$B10,AM$1,$B$1)</f>
        <v>8.9700000000000006</v>
      </c>
      <c r="AN10">
        <f>_xll.EQNXTDZ($A$1,$B10,AN$1,$B$1)</f>
        <v>-86.55</v>
      </c>
      <c r="AO10">
        <f>_xll.EQNXTDZ($A$1,$B10,AO$1,$B$1)</f>
        <v>-143.27000000000001</v>
      </c>
      <c r="AP10">
        <f>_xll.EQNXTDZ($A$1,$B10,AP$1,$B$1)</f>
        <v>-58.9</v>
      </c>
      <c r="AQ10">
        <f>_xll.EQNXTDZ($A$1,$B10,AQ$1,$B$1)</f>
        <v>-124.32</v>
      </c>
      <c r="AR10">
        <f>_xll.EQNXTDZ($A$1,$B10,AR$1,$B$1)</f>
        <v>104.68</v>
      </c>
      <c r="AS10">
        <f>_xll.EQNXTDZ($A$1,$B10,AS$1,$B$1)</f>
        <v>-91.19</v>
      </c>
      <c r="AT10">
        <f>_xll.EQNXTDZ($A$1,$B10,AT$1,$B$1)</f>
        <v>101.91</v>
      </c>
      <c r="AU10">
        <f>_xll.EQNXTDZ($A$1,$B10,AU$1,$B$1)</f>
        <v>-57.79</v>
      </c>
      <c r="AV10">
        <f>_xll.EQNXTDZ($A$1,$B10,AV$1,$B$1)</f>
        <v>50.09</v>
      </c>
      <c r="AW10">
        <f>_xll.EQNXTDZ($A$1,$B10,AW$1,$B$1)</f>
        <v>-115.74</v>
      </c>
      <c r="AX10">
        <f>_xll.EQNXTDZ($A$1,$B10,AX$1,$B$1)</f>
        <v>18.059999999999999</v>
      </c>
      <c r="AY10">
        <f>_xll.EQNXTDZ($A$1,$B10,AY$1,$B$1)</f>
        <v>-37.57</v>
      </c>
      <c r="AZ10">
        <f>_xll.EQNXTDZ($A$1,$B10,AZ$1,$B$1)</f>
        <v>-85.76</v>
      </c>
      <c r="BA10">
        <f>_xll.EQNXTDZ($A$1,$B10,BA$1,$B$1)</f>
        <v>-82.92</v>
      </c>
      <c r="BB10">
        <f>_xll.EQNXTDZ($A$1,$B10,BB$1,$B$1)</f>
        <v>206.35</v>
      </c>
      <c r="BC10">
        <f>_xll.EQNXTDZ($A$1,$B10,BC$1,$B$1)</f>
        <v>-61.52</v>
      </c>
      <c r="BD10">
        <f>_xll.EQNXTDZ($A$1,$B10,BD$1,$B$1)</f>
        <v>-252.12</v>
      </c>
      <c r="BE10">
        <f>_xll.EQNXTDZ($A$1,$B10,BE$1,$B$1)</f>
        <v>-134.37</v>
      </c>
      <c r="BF10">
        <f>_xll.EQNXTDZ($A$1,$B10,BF$1,$B$1)</f>
        <v>121.89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499.78</v>
      </c>
      <c r="D11">
        <f>_xll.EQNXTDZ($A$1,$B11,D$1,$B$1)</f>
        <v>493.67</v>
      </c>
      <c r="E11">
        <f>_xll.EQNXTDZ($A$1,$B11,E$1,$B$1)</f>
        <v>469.24</v>
      </c>
      <c r="F11">
        <f>_xll.EQNXTDZ($A$1,$B11,F$1,$B$1)</f>
        <v>451.05</v>
      </c>
      <c r="G11">
        <f>_xll.EQNXTDZ($A$1,$B11,G$1,$B$1)</f>
        <v>474.31</v>
      </c>
      <c r="H11">
        <f>_xll.EQNXTDZ($A$1,$B11,H$1,$B$1)</f>
        <v>516.75</v>
      </c>
      <c r="I11">
        <f>_xll.EQNXTDZ($A$1,$B11,I$1,$B$1)</f>
        <v>498</v>
      </c>
      <c r="J11">
        <f>_xll.EQNXTDZ($A$1,$B11,J$1,$B$1)</f>
        <v>527.78</v>
      </c>
      <c r="K11">
        <f>_xll.EQNXTDZ($A$1,$B11,K$1,$B$1)</f>
        <v>653.97</v>
      </c>
      <c r="L11">
        <f>_xll.EQNXTDZ($A$1,$B11,L$1,$B$1)</f>
        <v>687.21</v>
      </c>
      <c r="M11">
        <f>_xll.EQNXTDZ($A$1,$B11,M$1,$B$1)</f>
        <v>624.70000000000005</v>
      </c>
      <c r="N11">
        <f>_xll.EQNXTDZ($A$1,$B11,N$1,$B$1)</f>
        <v>572.71</v>
      </c>
      <c r="O11">
        <f>_xll.EQNXTDZ($A$1,$B11,O$1,$B$1)</f>
        <v>612.08000000000004</v>
      </c>
      <c r="P11">
        <f>_xll.EQNXTDZ($A$1,$B11,P$1,$B$1)</f>
        <v>607.02</v>
      </c>
      <c r="Q11">
        <f>_xll.EQNXTDZ($A$1,$B11,Q$1,$B$1)</f>
        <v>536.59</v>
      </c>
      <c r="R11">
        <f>_xll.EQNXTDZ($A$1,$B11,R$1,$B$1)</f>
        <v>522.79</v>
      </c>
      <c r="S11">
        <f>_xll.EQNXTDZ($A$1,$B11,S$1,$B$1)</f>
        <v>570.55999999999995</v>
      </c>
      <c r="T11">
        <f>_xll.EQNXTDZ($A$1,$B11,T$1,$B$1)</f>
        <v>574.48</v>
      </c>
      <c r="U11">
        <f>_xll.EQNXTDZ($A$1,$B11,U$1,$B$1)</f>
        <v>578.70000000000005</v>
      </c>
      <c r="V11">
        <f>_xll.EQNXTDZ($A$1,$B11,V$1,$B$1)</f>
        <v>665.43</v>
      </c>
      <c r="W11">
        <f>_xll.EQNXTDZ($A$1,$B11,W$1,$B$1)</f>
        <v>711.86</v>
      </c>
      <c r="X11">
        <f>_xll.EQNXTDZ($A$1,$B11,X$1,$B$1)</f>
        <v>692.74</v>
      </c>
      <c r="Y11">
        <f>_xll.EQNXTDZ($A$1,$B11,Y$1,$B$1)</f>
        <v>751.82</v>
      </c>
      <c r="Z11">
        <f>_xll.EQNXTDZ($A$1,$B11,Z$1,$B$1)</f>
        <v>859.28</v>
      </c>
      <c r="AA11">
        <f>_xll.EQNXTDZ($A$1,$B11,AA$1,$B$1)</f>
        <v>948.44</v>
      </c>
      <c r="AB11">
        <f>_xll.EQNXTDZ($A$1,$B11,AB$1,$B$1)</f>
        <v>977.22</v>
      </c>
      <c r="AC11">
        <f>_xll.EQNXTDZ($A$1,$B11,AC$1,$B$1)</f>
        <v>1085.5999999999999</v>
      </c>
      <c r="AD11">
        <f>_xll.EQNXTDZ($A$1,$B11,AD$1,$B$1)</f>
        <v>1026.49</v>
      </c>
      <c r="AE11">
        <f>_xll.EQNXTDZ($A$1,$B11,AE$1,$B$1)</f>
        <v>948.08</v>
      </c>
      <c r="AF11">
        <f>_xll.EQNXTDZ($A$1,$B11,AF$1,$B$1)</f>
        <v>898.55</v>
      </c>
      <c r="AG11">
        <f>_xll.EQNXTDZ($A$1,$B11,AG$1,$B$1)</f>
        <v>928.39</v>
      </c>
      <c r="AH11">
        <f>_xll.EQNXTDZ($A$1,$B11,AH$1,$B$1)</f>
        <v>912.37</v>
      </c>
      <c r="AI11">
        <f>_xll.EQNXTDZ($A$1,$B11,AI$1,$B$1)</f>
        <v>682.07</v>
      </c>
      <c r="AJ11">
        <f>_xll.EQNXTDZ($A$1,$B11,AJ$1,$B$1)</f>
        <v>946.62</v>
      </c>
      <c r="AK11">
        <f>_xll.EQNXTDZ($A$1,$B11,AK$1,$B$1)</f>
        <v>1119.6099999999999</v>
      </c>
      <c r="AL11">
        <f>_xll.EQNXTDZ($A$1,$B11,AL$1,$B$1)</f>
        <v>1279.3800000000001</v>
      </c>
      <c r="AM11">
        <f>_xll.EQNXTDZ($A$1,$B11,AM$1,$B$1)</f>
        <v>1293.3599999999999</v>
      </c>
      <c r="AN11">
        <f>_xll.EQNXTDZ($A$1,$B11,AN$1,$B$1)</f>
        <v>1502.22</v>
      </c>
      <c r="AO11">
        <f>_xll.EQNXTDZ($A$1,$B11,AO$1,$B$1)</f>
        <v>1739.73</v>
      </c>
      <c r="AP11">
        <f>_xll.EQNXTDZ($A$1,$B11,AP$1,$B$1)</f>
        <v>1635.79</v>
      </c>
      <c r="AQ11">
        <f>_xll.EQNXTDZ($A$1,$B11,AQ$1,$B$1)</f>
        <v>1906.96</v>
      </c>
      <c r="AR11">
        <f>_xll.EQNXTDZ($A$1,$B11,AR$1,$B$1)</f>
        <v>1785.67</v>
      </c>
      <c r="AS11">
        <f>_xll.EQNXTDZ($A$1,$B11,AS$1,$B$1)</f>
        <v>1652.76</v>
      </c>
      <c r="AT11">
        <f>_xll.EQNXTDZ($A$1,$B11,AT$1,$B$1)</f>
        <v>1779.82</v>
      </c>
      <c r="AU11">
        <f>_xll.EQNXTDZ($A$1,$B11,AU$1,$B$1)</f>
        <v>1732.75</v>
      </c>
      <c r="AV11">
        <f>_xll.EQNXTDZ($A$1,$B11,AV$1,$B$1)</f>
        <v>1540.66</v>
      </c>
      <c r="AW11">
        <f>_xll.EQNXTDZ($A$1,$B11,AW$1,$B$1)</f>
        <v>1631.18</v>
      </c>
      <c r="AX11">
        <f>_xll.EQNXTDZ($A$1,$B11,AX$1,$B$1)</f>
        <v>1791.01</v>
      </c>
      <c r="AY11">
        <f>_xll.EQNXTDZ($A$1,$B11,AY$1,$B$1)</f>
        <v>1824.5</v>
      </c>
      <c r="AZ11">
        <f>_xll.EQNXTDZ($A$1,$B11,AZ$1,$B$1)</f>
        <v>1885.87</v>
      </c>
      <c r="BA11">
        <f>_xll.EQNXTDZ($A$1,$B11,BA$1,$B$1)</f>
        <v>1868.97</v>
      </c>
      <c r="BB11">
        <f>_xll.EQNXTDZ($A$1,$B11,BB$1,$B$1)</f>
        <v>1994.86</v>
      </c>
      <c r="BC11">
        <f>_xll.EQNXTDZ($A$1,$B11,BC$1,$B$1)</f>
        <v>1931.22</v>
      </c>
      <c r="BD11">
        <f>_xll.EQNXTDZ($A$1,$B11,BD$1,$B$1)</f>
        <v>1925.09</v>
      </c>
      <c r="BE11">
        <f>_xll.EQNXTDZ($A$1,$B11,BE$1,$B$1)</f>
        <v>1889.91</v>
      </c>
      <c r="BF11">
        <f>_xll.EQNXTDZ($A$1,$B11,BF$1,$B$1)</f>
        <v>2133.1799999999998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1.71</v>
      </c>
      <c r="D12">
        <f>_xll.EQNXTDZ($A$1,$B12,D$1,$B$1)</f>
        <v>0.1</v>
      </c>
      <c r="E12">
        <f>_xll.EQNXTDZ($A$1,$B12,E$1,$B$1)</f>
        <v>4.32</v>
      </c>
      <c r="F12">
        <f>_xll.EQNXTDZ($A$1,$B12,F$1,$B$1)</f>
        <v>2.89</v>
      </c>
      <c r="G12">
        <f>_xll.EQNXTDZ($A$1,$B12,G$1,$B$1)</f>
        <v>4.1900000000000004</v>
      </c>
      <c r="H12">
        <f>_xll.EQNXTDZ($A$1,$B12,H$1,$B$1)</f>
        <v>5.9</v>
      </c>
      <c r="I12">
        <f>_xll.EQNXTDZ($A$1,$B12,I$1,$B$1)</f>
        <v>0.88</v>
      </c>
      <c r="J12">
        <f>_xll.EQNXTDZ($A$1,$B12,J$1,$B$1)</f>
        <v>5.05</v>
      </c>
      <c r="K12">
        <f>_xll.EQNXTDZ($A$1,$B12,K$1,$B$1)</f>
        <v>6.96</v>
      </c>
      <c r="L12">
        <f>_xll.EQNXTDZ($A$1,$B12,L$1,$B$1)</f>
        <v>9.8000000000000007</v>
      </c>
      <c r="M12">
        <f>_xll.EQNXTDZ($A$1,$B12,M$1,$B$1)</f>
        <v>10.74</v>
      </c>
      <c r="N12">
        <f>_xll.EQNXTDZ($A$1,$B12,N$1,$B$1)</f>
        <v>8.6199999999999992</v>
      </c>
      <c r="O12">
        <f>_xll.EQNXTDZ($A$1,$B12,O$1,$B$1)</f>
        <v>6.27</v>
      </c>
      <c r="P12">
        <f>_xll.EQNXTDZ($A$1,$B12,P$1,$B$1)</f>
        <v>12.66</v>
      </c>
      <c r="Q12">
        <f>_xll.EQNXTDZ($A$1,$B12,Q$1,$B$1)</f>
        <v>6.99</v>
      </c>
      <c r="R12">
        <f>_xll.EQNXTDZ($A$1,$B12,R$1,$B$1)</f>
        <v>9.1199999999999992</v>
      </c>
      <c r="S12">
        <f>_xll.EQNXTDZ($A$1,$B12,S$1,$B$1)</f>
        <v>8.15</v>
      </c>
      <c r="T12">
        <f>_xll.EQNXTDZ($A$1,$B12,T$1,$B$1)</f>
        <v>17.46</v>
      </c>
      <c r="U12">
        <f>_xll.EQNXTDZ($A$1,$B12,U$1,$B$1)</f>
        <v>13.07</v>
      </c>
      <c r="V12">
        <f>_xll.EQNXTDZ($A$1,$B12,V$1,$B$1)</f>
        <v>12.39</v>
      </c>
      <c r="W12">
        <f>_xll.EQNXTDZ($A$1,$B12,W$1,$B$1)</f>
        <v>12.7</v>
      </c>
      <c r="X12">
        <f>_xll.EQNXTDZ($A$1,$B12,X$1,$B$1)</f>
        <v>17.559999999999999</v>
      </c>
      <c r="Y12">
        <f>_xll.EQNXTDZ($A$1,$B12,Y$1,$B$1)</f>
        <v>9.57</v>
      </c>
      <c r="Z12">
        <f>_xll.EQNXTDZ($A$1,$B12,Z$1,$B$1)</f>
        <v>7.57</v>
      </c>
      <c r="AA12">
        <f>_xll.EQNXTDZ($A$1,$B12,AA$1,$B$1)</f>
        <v>11.43</v>
      </c>
      <c r="AB12">
        <f>_xll.EQNXTDZ($A$1,$B12,AB$1,$B$1)</f>
        <v>12.39</v>
      </c>
      <c r="AC12">
        <f>_xll.EQNXTDZ($A$1,$B12,AC$1,$B$1)</f>
        <v>11.96</v>
      </c>
      <c r="AD12">
        <f>_xll.EQNXTDZ($A$1,$B12,AD$1,$B$1)</f>
        <v>12.77</v>
      </c>
      <c r="AE12">
        <f>_xll.EQNXTDZ($A$1,$B12,AE$1,$B$1)</f>
        <v>16.88</v>
      </c>
      <c r="AF12">
        <f>_xll.EQNXTDZ($A$1,$B12,AF$1,$B$1)</f>
        <v>24.5</v>
      </c>
      <c r="AG12">
        <f>_xll.EQNXTDZ($A$1,$B12,AG$1,$B$1)</f>
        <v>31.16</v>
      </c>
      <c r="AH12">
        <f>_xll.EQNXTDZ($A$1,$B12,AH$1,$B$1)</f>
        <v>18.88</v>
      </c>
      <c r="AI12">
        <f>_xll.EQNXTDZ($A$1,$B12,AI$1,$B$1)</f>
        <v>12.1</v>
      </c>
      <c r="AJ12">
        <f>_xll.EQNXTDZ($A$1,$B12,AJ$1,$B$1)</f>
        <v>20.65</v>
      </c>
      <c r="AK12">
        <f>_xll.EQNXTDZ($A$1,$B12,AK$1,$B$1)</f>
        <v>11.3</v>
      </c>
      <c r="AL12">
        <f>_xll.EQNXTDZ($A$1,$B12,AL$1,$B$1)</f>
        <v>18.87</v>
      </c>
      <c r="AM12">
        <f>_xll.EQNXTDZ($A$1,$B12,AM$1,$B$1)</f>
        <v>29.41</v>
      </c>
      <c r="AN12">
        <f>_xll.EQNXTDZ($A$1,$B12,AN$1,$B$1)</f>
        <v>14.41</v>
      </c>
      <c r="AO12">
        <f>_xll.EQNXTDZ($A$1,$B12,AO$1,$B$1)</f>
        <v>44.95</v>
      </c>
      <c r="AP12">
        <f>_xll.EQNXTDZ($A$1,$B12,AP$1,$B$1)</f>
        <v>86.82</v>
      </c>
      <c r="AQ12">
        <f>_xll.EQNXTDZ($A$1,$B12,AQ$1,$B$1)</f>
        <v>75.13</v>
      </c>
      <c r="AR12">
        <f>_xll.EQNXTDZ($A$1,$B12,AR$1,$B$1)</f>
        <v>62.58</v>
      </c>
      <c r="AS12">
        <f>_xll.EQNXTDZ($A$1,$B12,AS$1,$B$1)</f>
        <v>132.81</v>
      </c>
      <c r="AT12">
        <f>_xll.EQNXTDZ($A$1,$B12,AT$1,$B$1)</f>
        <v>6.7</v>
      </c>
      <c r="AU12">
        <f>_xll.EQNXTDZ($A$1,$B12,AU$1,$B$1)</f>
        <v>25.56</v>
      </c>
      <c r="AV12">
        <f>_xll.EQNXTDZ($A$1,$B12,AV$1,$B$1)</f>
        <v>29.31</v>
      </c>
      <c r="AW12">
        <f>_xll.EQNXTDZ($A$1,$B12,AW$1,$B$1)</f>
        <v>39.25</v>
      </c>
      <c r="AX12">
        <f>_xll.EQNXTDZ($A$1,$B12,AX$1,$B$1)</f>
        <v>24.44</v>
      </c>
      <c r="AY12">
        <f>_xll.EQNXTDZ($A$1,$B12,AY$1,$B$1)</f>
        <v>40.130000000000003</v>
      </c>
      <c r="AZ12">
        <f>_xll.EQNXTDZ($A$1,$B12,AZ$1,$B$1)</f>
        <v>33.94</v>
      </c>
      <c r="BA12">
        <f>_xll.EQNXTDZ($A$1,$B12,BA$1,$B$1)</f>
        <v>19.559999999999999</v>
      </c>
      <c r="BB12">
        <f>_xll.EQNXTDZ($A$1,$B12,BB$1,$B$1)</f>
        <v>31.23</v>
      </c>
      <c r="BC12">
        <f>_xll.EQNXTDZ($A$1,$B12,BC$1,$B$1)</f>
        <v>41</v>
      </c>
      <c r="BD12">
        <f>_xll.EQNXTDZ($A$1,$B12,BD$1,$B$1)</f>
        <v>96.02</v>
      </c>
      <c r="BE12">
        <f>_xll.EQNXTDZ($A$1,$B12,BE$1,$B$1)</f>
        <v>80.08</v>
      </c>
      <c r="BF12">
        <f>_xll.EQNXTDZ($A$1,$B12,BF$1,$B$1)</f>
        <v>27.29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70.38</v>
      </c>
      <c r="S13">
        <f>_xll.EQNXTDZ($A$1,$B13,S$1,$B$1)</f>
        <v>80.14</v>
      </c>
      <c r="T13">
        <f>_xll.EQNXTDZ($A$1,$B13,T$1,$B$1)</f>
        <v>71.55</v>
      </c>
      <c r="U13">
        <f>_xll.EQNXTDZ($A$1,$B13,U$1,$B$1)</f>
        <v>72.47</v>
      </c>
      <c r="V13">
        <f>_xll.EQNXTDZ($A$1,$B13,V$1,$B$1)</f>
        <v>90.63</v>
      </c>
      <c r="W13">
        <f>_xll.EQNXTDZ($A$1,$B13,W$1,$B$1)</f>
        <v>95.83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60.3</v>
      </c>
      <c r="D14">
        <f>_xll.EQNXTDZ($A$1,$B14,D$1,$B$1)</f>
        <v>64.63</v>
      </c>
      <c r="E14">
        <f>_xll.EQNXTDZ($A$1,$B14,E$1,$B$1)</f>
        <v>84.27</v>
      </c>
      <c r="F14">
        <f>_xll.EQNXTDZ($A$1,$B14,F$1,$B$1)</f>
        <v>80.040000000000006</v>
      </c>
      <c r="G14">
        <f>_xll.EQNXTDZ($A$1,$B14,G$1,$B$1)</f>
        <v>64.81</v>
      </c>
      <c r="H14">
        <f>_xll.EQNXTDZ($A$1,$B14,H$1,$B$1)</f>
        <v>74.709999999999994</v>
      </c>
      <c r="I14">
        <f>_xll.EQNXTDZ($A$1,$B14,I$1,$B$1)</f>
        <v>77.680000000000007</v>
      </c>
      <c r="J14">
        <f>_xll.EQNXTDZ($A$1,$B14,J$1,$B$1)</f>
        <v>77.28</v>
      </c>
      <c r="K14">
        <f>_xll.EQNXTDZ($A$1,$B14,K$1,$B$1)</f>
        <v>101.15</v>
      </c>
      <c r="L14">
        <f>_xll.EQNXTDZ($A$1,$B14,L$1,$B$1)</f>
        <v>138.1</v>
      </c>
      <c r="M14">
        <f>_xll.EQNXTDZ($A$1,$B14,M$1,$B$1)</f>
        <v>109.6</v>
      </c>
      <c r="N14">
        <f>_xll.EQNXTDZ($A$1,$B14,N$1,$B$1)</f>
        <v>131.86000000000001</v>
      </c>
      <c r="O14">
        <f>_xll.EQNXTDZ($A$1,$B14,O$1,$B$1)</f>
        <v>118.81</v>
      </c>
      <c r="P14">
        <f>_xll.EQNXTDZ($A$1,$B14,P$1,$B$1)</f>
        <v>128.31</v>
      </c>
      <c r="Q14">
        <f>_xll.EQNXTDZ($A$1,$B14,Q$1,$B$1)</f>
        <v>113.14</v>
      </c>
      <c r="R14">
        <f>_xll.EQNXTDZ($A$1,$B14,R$1,$B$1)</f>
        <v>143.47999999999999</v>
      </c>
      <c r="S14">
        <f>_xll.EQNXTDZ($A$1,$B14,S$1,$B$1)</f>
        <v>127.26</v>
      </c>
      <c r="T14">
        <f>_xll.EQNXTDZ($A$1,$B14,T$1,$B$1)</f>
        <v>140.33000000000001</v>
      </c>
      <c r="U14">
        <f>_xll.EQNXTDZ($A$1,$B14,U$1,$B$1)</f>
        <v>133.57</v>
      </c>
      <c r="V14">
        <f>_xll.EQNXTDZ($A$1,$B14,V$1,$B$1)</f>
        <v>185.89</v>
      </c>
      <c r="W14">
        <f>_xll.EQNXTDZ($A$1,$B14,W$1,$B$1)</f>
        <v>155.55000000000001</v>
      </c>
      <c r="X14">
        <f>_xll.EQNXTDZ($A$1,$B14,X$1,$B$1)</f>
        <v>142.08000000000001</v>
      </c>
      <c r="Y14">
        <f>_xll.EQNXTDZ($A$1,$B14,Y$1,$B$1)</f>
        <v>183.99</v>
      </c>
      <c r="Z14">
        <f>_xll.EQNXTDZ($A$1,$B14,Z$1,$B$1)</f>
        <v>194.35</v>
      </c>
      <c r="AA14">
        <f>_xll.EQNXTDZ($A$1,$B14,AA$1,$B$1)</f>
        <v>170.86</v>
      </c>
      <c r="AB14">
        <f>_xll.EQNXTDZ($A$1,$B14,AB$1,$B$1)</f>
        <v>174.36</v>
      </c>
      <c r="AC14">
        <f>_xll.EQNXTDZ($A$1,$B14,AC$1,$B$1)</f>
        <v>207.62</v>
      </c>
      <c r="AD14">
        <f>_xll.EQNXTDZ($A$1,$B14,AD$1,$B$1)</f>
        <v>221.32</v>
      </c>
      <c r="AE14">
        <f>_xll.EQNXTDZ($A$1,$B14,AE$1,$B$1)</f>
        <v>180.87</v>
      </c>
      <c r="AF14">
        <f>_xll.EQNXTDZ($A$1,$B14,AF$1,$B$1)</f>
        <v>226.53</v>
      </c>
      <c r="AG14">
        <f>_xll.EQNXTDZ($A$1,$B14,AG$1,$B$1)</f>
        <v>208.76</v>
      </c>
      <c r="AH14">
        <f>_xll.EQNXTDZ($A$1,$B14,AH$1,$B$1)</f>
        <v>233.37</v>
      </c>
      <c r="AI14">
        <f>_xll.EQNXTDZ($A$1,$B14,AI$1,$B$1)</f>
        <v>170.53</v>
      </c>
      <c r="AJ14">
        <f>_xll.EQNXTDZ($A$1,$B14,AJ$1,$B$1)</f>
        <v>223.25</v>
      </c>
      <c r="AK14">
        <f>_xll.EQNXTDZ($A$1,$B14,AK$1,$B$1)</f>
        <v>230.67</v>
      </c>
      <c r="AL14">
        <f>_xll.EQNXTDZ($A$1,$B14,AL$1,$B$1)</f>
        <v>284.58</v>
      </c>
      <c r="AM14">
        <f>_xll.EQNXTDZ($A$1,$B14,AM$1,$B$1)</f>
        <v>289.5</v>
      </c>
      <c r="AN14">
        <f>_xll.EQNXTDZ($A$1,$B14,AN$1,$B$1)</f>
        <v>312.99</v>
      </c>
      <c r="AO14">
        <f>_xll.EQNXTDZ($A$1,$B14,AO$1,$B$1)</f>
        <v>349.63</v>
      </c>
      <c r="AP14">
        <f>_xll.EQNXTDZ($A$1,$B14,AP$1,$B$1)</f>
        <v>395.84</v>
      </c>
      <c r="AQ14">
        <f>_xll.EQNXTDZ($A$1,$B14,AQ$1,$B$1)</f>
        <v>412.6</v>
      </c>
      <c r="AR14">
        <f>_xll.EQNXTDZ($A$1,$B14,AR$1,$B$1)</f>
        <v>400.71</v>
      </c>
      <c r="AS14">
        <f>_xll.EQNXTDZ($A$1,$B14,AS$1,$B$1)</f>
        <v>372.29</v>
      </c>
      <c r="AT14">
        <f>_xll.EQNXTDZ($A$1,$B14,AT$1,$B$1)</f>
        <v>371.89</v>
      </c>
      <c r="AU14">
        <f>_xll.EQNXTDZ($A$1,$B14,AU$1,$B$1)</f>
        <v>347.11</v>
      </c>
      <c r="AV14">
        <f>_xll.EQNXTDZ($A$1,$B14,AV$1,$B$1)</f>
        <v>341.56</v>
      </c>
      <c r="AW14">
        <f>_xll.EQNXTDZ($A$1,$B14,AW$1,$B$1)</f>
        <v>351.19</v>
      </c>
      <c r="AX14">
        <f>_xll.EQNXTDZ($A$1,$B14,AX$1,$B$1)</f>
        <v>449.22</v>
      </c>
      <c r="AY14">
        <f>_xll.EQNXTDZ($A$1,$B14,AY$1,$B$1)</f>
        <v>422.48</v>
      </c>
      <c r="AZ14">
        <f>_xll.EQNXTDZ($A$1,$B14,AZ$1,$B$1)</f>
        <v>431.17</v>
      </c>
      <c r="BA14">
        <f>_xll.EQNXTDZ($A$1,$B14,BA$1,$B$1)</f>
        <v>440.07</v>
      </c>
      <c r="BB14">
        <f>_xll.EQNXTDZ($A$1,$B14,BB$1,$B$1)</f>
        <v>468.24</v>
      </c>
      <c r="BC14">
        <f>_xll.EQNXTDZ($A$1,$B14,BC$1,$B$1)</f>
        <v>446.78</v>
      </c>
      <c r="BD14">
        <f>_xll.EQNXTDZ($A$1,$B14,BD$1,$B$1)</f>
        <v>447.22</v>
      </c>
      <c r="BE14">
        <f>_xll.EQNXTDZ($A$1,$B14,BE$1,$B$1)</f>
        <v>450.12</v>
      </c>
      <c r="BF14">
        <f>_xll.EQNXTDZ($A$1,$B14,BF$1,$B$1)</f>
        <v>520.73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81.27</v>
      </c>
      <c r="D15">
        <f>_xll.EQNXTDZ($A$1,$B15,D$1,$B$1)</f>
        <v>84.24</v>
      </c>
      <c r="E15">
        <f>_xll.EQNXTDZ($A$1,$B15,E$1,$B$1)</f>
        <v>84.98</v>
      </c>
      <c r="F15">
        <f>_xll.EQNXTDZ($A$1,$B15,F$1,$B$1)</f>
        <v>86.04</v>
      </c>
      <c r="G15">
        <f>_xll.EQNXTDZ($A$1,$B15,G$1,$B$1)</f>
        <v>84.72</v>
      </c>
      <c r="H15">
        <f>_xll.EQNXTDZ($A$1,$B15,H$1,$B$1)</f>
        <v>84.7</v>
      </c>
      <c r="I15">
        <f>_xll.EQNXTDZ($A$1,$B15,I$1,$B$1)</f>
        <v>84.74</v>
      </c>
      <c r="J15">
        <f>_xll.EQNXTDZ($A$1,$B15,J$1,$B$1)</f>
        <v>95.24</v>
      </c>
      <c r="K15">
        <f>_xll.EQNXTDZ($A$1,$B15,K$1,$B$1)</f>
        <v>120.09</v>
      </c>
      <c r="L15">
        <f>_xll.EQNXTDZ($A$1,$B15,L$1,$B$1)</f>
        <v>115.07</v>
      </c>
      <c r="M15">
        <f>_xll.EQNXTDZ($A$1,$B15,M$1,$B$1)</f>
        <v>101.36</v>
      </c>
      <c r="N15">
        <f>_xll.EQNXTDZ($A$1,$B15,N$1,$B$1)</f>
        <v>97.63</v>
      </c>
      <c r="O15">
        <f>_xll.EQNXTDZ($A$1,$B15,O$1,$B$1)</f>
        <v>106.1</v>
      </c>
      <c r="P15">
        <f>_xll.EQNXTDZ($A$1,$B15,P$1,$B$1)</f>
        <v>106.1</v>
      </c>
      <c r="Q15">
        <f>_xll.EQNXTDZ($A$1,$B15,Q$1,$B$1)</f>
        <v>93.3</v>
      </c>
      <c r="R15">
        <f>_xll.EQNXTDZ($A$1,$B15,R$1,$B$1)</f>
        <v>92.57</v>
      </c>
      <c r="S15">
        <f>_xll.EQNXTDZ($A$1,$B15,S$1,$B$1)</f>
        <v>105.54</v>
      </c>
      <c r="T15">
        <f>_xll.EQNXTDZ($A$1,$B15,T$1,$B$1)</f>
        <v>99.33</v>
      </c>
      <c r="U15">
        <f>_xll.EQNXTDZ($A$1,$B15,U$1,$B$1)</f>
        <v>103.35</v>
      </c>
      <c r="V15">
        <f>_xll.EQNXTDZ($A$1,$B15,V$1,$B$1)</f>
        <v>109.58</v>
      </c>
      <c r="W15">
        <f>_xll.EQNXTDZ($A$1,$B15,W$1,$B$1)</f>
        <v>119.78</v>
      </c>
      <c r="X15">
        <f>_xll.EQNXTDZ($A$1,$B15,X$1,$B$1)</f>
        <v>121.65</v>
      </c>
      <c r="Y15">
        <f>_xll.EQNXTDZ($A$1,$B15,Y$1,$B$1)</f>
        <v>126.48</v>
      </c>
      <c r="Z15">
        <f>_xll.EQNXTDZ($A$1,$B15,Z$1,$B$1)</f>
        <v>132.88</v>
      </c>
      <c r="AA15">
        <f>_xll.EQNXTDZ($A$1,$B15,AA$1,$B$1)</f>
        <v>148.34</v>
      </c>
      <c r="AB15">
        <f>_xll.EQNXTDZ($A$1,$B15,AB$1,$B$1)</f>
        <v>150.54</v>
      </c>
      <c r="AC15">
        <f>_xll.EQNXTDZ($A$1,$B15,AC$1,$B$1)</f>
        <v>147</v>
      </c>
      <c r="AD15">
        <f>_xll.EQNXTDZ($A$1,$B15,AD$1,$B$1)</f>
        <v>147.62</v>
      </c>
      <c r="AE15">
        <f>_xll.EQNXTDZ($A$1,$B15,AE$1,$B$1)</f>
        <v>155.41999999999999</v>
      </c>
      <c r="AF15">
        <f>_xll.EQNXTDZ($A$1,$B15,AF$1,$B$1)</f>
        <v>163.47</v>
      </c>
      <c r="AG15">
        <f>_xll.EQNXTDZ($A$1,$B15,AG$1,$B$1)</f>
        <v>182.06</v>
      </c>
      <c r="AH15">
        <f>_xll.EQNXTDZ($A$1,$B15,AH$1,$B$1)</f>
        <v>171.6</v>
      </c>
      <c r="AI15">
        <f>_xll.EQNXTDZ($A$1,$B15,AI$1,$B$1)</f>
        <v>123.27</v>
      </c>
      <c r="AJ15">
        <f>_xll.EQNXTDZ($A$1,$B15,AJ$1,$B$1)</f>
        <v>189.73</v>
      </c>
      <c r="AK15">
        <f>_xll.EQNXTDZ($A$1,$B15,AK$1,$B$1)</f>
        <v>194.62</v>
      </c>
      <c r="AL15">
        <f>_xll.EQNXTDZ($A$1,$B15,AL$1,$B$1)</f>
        <v>209.72</v>
      </c>
      <c r="AM15">
        <f>_xll.EQNXTDZ($A$1,$B15,AM$1,$B$1)</f>
        <v>231.79</v>
      </c>
      <c r="AN15">
        <f>_xll.EQNXTDZ($A$1,$B15,AN$1,$B$1)</f>
        <v>263.82</v>
      </c>
      <c r="AO15">
        <f>_xll.EQNXTDZ($A$1,$B15,AO$1,$B$1)</f>
        <v>300.18</v>
      </c>
      <c r="AP15">
        <f>_xll.EQNXTDZ($A$1,$B15,AP$1,$B$1)</f>
        <v>339.77</v>
      </c>
      <c r="AQ15">
        <f>_xll.EQNXTDZ($A$1,$B15,AQ$1,$B$1)</f>
        <v>410.3</v>
      </c>
      <c r="AR15">
        <f>_xll.EQNXTDZ($A$1,$B15,AR$1,$B$1)</f>
        <v>373.68</v>
      </c>
      <c r="AS15">
        <f>_xll.EQNXTDZ($A$1,$B15,AS$1,$B$1)</f>
        <v>344.26</v>
      </c>
      <c r="AT15">
        <f>_xll.EQNXTDZ($A$1,$B15,AT$1,$B$1)</f>
        <v>344.01</v>
      </c>
      <c r="AU15">
        <f>_xll.EQNXTDZ($A$1,$B15,AU$1,$B$1)</f>
        <v>352.8</v>
      </c>
      <c r="AV15">
        <f>_xll.EQNXTDZ($A$1,$B15,AV$1,$B$1)</f>
        <v>343.79</v>
      </c>
      <c r="AW15">
        <f>_xll.EQNXTDZ($A$1,$B15,AW$1,$B$1)</f>
        <v>319.42</v>
      </c>
      <c r="AX15">
        <f>_xll.EQNXTDZ($A$1,$B15,AX$1,$B$1)</f>
        <v>328.8</v>
      </c>
      <c r="AY15">
        <f>_xll.EQNXTDZ($A$1,$B15,AY$1,$B$1)</f>
        <v>341.73</v>
      </c>
      <c r="AZ15">
        <f>_xll.EQNXTDZ($A$1,$B15,AZ$1,$B$1)</f>
        <v>345.07</v>
      </c>
      <c r="BA15">
        <f>_xll.EQNXTDZ($A$1,$B15,BA$1,$B$1)</f>
        <v>331.09</v>
      </c>
      <c r="BB15">
        <f>_xll.EQNXTDZ($A$1,$B15,BB$1,$B$1)</f>
        <v>333.98</v>
      </c>
      <c r="BC15">
        <f>_xll.EQNXTDZ($A$1,$B15,BC$1,$B$1)</f>
        <v>362.73</v>
      </c>
      <c r="BD15">
        <f>_xll.EQNXTDZ($A$1,$B15,BD$1,$B$1)</f>
        <v>342.06</v>
      </c>
      <c r="BE15">
        <f>_xll.EQNXTDZ($A$1,$B15,BE$1,$B$1)</f>
        <v>325.77999999999997</v>
      </c>
      <c r="BF15">
        <f>_xll.EQNXTDZ($A$1,$B15,BF$1,$B$1)</f>
        <v>347.1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44.19</v>
      </c>
      <c r="D16">
        <f>_xll.EQNXTDZ($A$1,$B16,D$1,$B$1)</f>
        <v>52.46</v>
      </c>
      <c r="E16">
        <f>_xll.EQNXTDZ($A$1,$B16,E$1,$B$1)</f>
        <v>51.47</v>
      </c>
      <c r="F16">
        <f>_xll.EQNXTDZ($A$1,$B16,F$1,$B$1)</f>
        <v>54.32</v>
      </c>
      <c r="G16">
        <f>_xll.EQNXTDZ($A$1,$B16,G$1,$B$1)</f>
        <v>54.43</v>
      </c>
      <c r="H16">
        <f>_xll.EQNXTDZ($A$1,$B16,H$1,$B$1)</f>
        <v>55.26</v>
      </c>
      <c r="I16">
        <f>_xll.EQNXTDZ($A$1,$B16,I$1,$B$1)</f>
        <v>58.41</v>
      </c>
      <c r="J16">
        <f>_xll.EQNXTDZ($A$1,$B16,J$1,$B$1)</f>
        <v>64.62</v>
      </c>
      <c r="K16">
        <f>_xll.EQNXTDZ($A$1,$B16,K$1,$B$1)</f>
        <v>85.41</v>
      </c>
      <c r="L16">
        <f>_xll.EQNXTDZ($A$1,$B16,L$1,$B$1)</f>
        <v>87.1</v>
      </c>
      <c r="M16">
        <f>_xll.EQNXTDZ($A$1,$B16,M$1,$B$1)</f>
        <v>88.46</v>
      </c>
      <c r="N16">
        <f>_xll.EQNXTDZ($A$1,$B16,N$1,$B$1)</f>
        <v>95.16</v>
      </c>
      <c r="O16">
        <f>_xll.EQNXTDZ($A$1,$B16,O$1,$B$1)</f>
        <v>90.86</v>
      </c>
      <c r="P16">
        <f>_xll.EQNXTDZ($A$1,$B16,P$1,$B$1)</f>
        <v>88.68</v>
      </c>
      <c r="Q16">
        <f>_xll.EQNXTDZ($A$1,$B16,Q$1,$B$1)</f>
        <v>94.67</v>
      </c>
      <c r="R16">
        <f>_xll.EQNXTDZ($A$1,$B16,R$1,$B$1)</f>
        <v>112.12</v>
      </c>
      <c r="S16">
        <f>_xll.EQNXTDZ($A$1,$B16,S$1,$B$1)</f>
        <v>103.44</v>
      </c>
      <c r="T16">
        <f>_xll.EQNXTDZ($A$1,$B16,T$1,$B$1)</f>
        <v>101.65</v>
      </c>
      <c r="U16">
        <f>_xll.EQNXTDZ($A$1,$B16,U$1,$B$1)</f>
        <v>107.46</v>
      </c>
      <c r="V16">
        <f>_xll.EQNXTDZ($A$1,$B16,V$1,$B$1)</f>
        <v>121.24</v>
      </c>
      <c r="W16">
        <f>_xll.EQNXTDZ($A$1,$B16,W$1,$B$1)</f>
        <v>116.16</v>
      </c>
      <c r="X16">
        <f>_xll.EQNXTDZ($A$1,$B16,X$1,$B$1)</f>
        <v>113.14</v>
      </c>
      <c r="Y16">
        <f>_xll.EQNXTDZ($A$1,$B16,Y$1,$B$1)</f>
        <v>119.85</v>
      </c>
      <c r="Z16">
        <f>_xll.EQNXTDZ($A$1,$B16,Z$1,$B$1)</f>
        <v>124.89</v>
      </c>
      <c r="AA16">
        <f>_xll.EQNXTDZ($A$1,$B16,AA$1,$B$1)</f>
        <v>117.12</v>
      </c>
      <c r="AB16">
        <f>_xll.EQNXTDZ($A$1,$B16,AB$1,$B$1)</f>
        <v>112.41</v>
      </c>
      <c r="AC16">
        <f>_xll.EQNXTDZ($A$1,$B16,AC$1,$B$1)</f>
        <v>116.98</v>
      </c>
      <c r="AD16">
        <f>_xll.EQNXTDZ($A$1,$B16,AD$1,$B$1)</f>
        <v>125.04</v>
      </c>
      <c r="AE16">
        <f>_xll.EQNXTDZ($A$1,$B16,AE$1,$B$1)</f>
        <v>129.02000000000001</v>
      </c>
      <c r="AF16">
        <f>_xll.EQNXTDZ($A$1,$B16,AF$1,$B$1)</f>
        <v>129.15</v>
      </c>
      <c r="AG16">
        <f>_xll.EQNXTDZ($A$1,$B16,AG$1,$B$1)</f>
        <v>136.75</v>
      </c>
      <c r="AH16">
        <f>_xll.EQNXTDZ($A$1,$B16,AH$1,$B$1)</f>
        <v>147</v>
      </c>
      <c r="AI16">
        <f>_xll.EQNXTDZ($A$1,$B16,AI$1,$B$1)</f>
        <v>137.49</v>
      </c>
      <c r="AJ16">
        <f>_xll.EQNXTDZ($A$1,$B16,AJ$1,$B$1)</f>
        <v>150.74</v>
      </c>
      <c r="AK16">
        <f>_xll.EQNXTDZ($A$1,$B16,AK$1,$B$1)</f>
        <v>157.86000000000001</v>
      </c>
      <c r="AL16">
        <f>_xll.EQNXTDZ($A$1,$B16,AL$1,$B$1)</f>
        <v>175.31</v>
      </c>
      <c r="AM16">
        <f>_xll.EQNXTDZ($A$1,$B16,AM$1,$B$1)</f>
        <v>182</v>
      </c>
      <c r="AN16">
        <f>_xll.EQNXTDZ($A$1,$B16,AN$1,$B$1)</f>
        <v>177.73</v>
      </c>
      <c r="AO16">
        <f>_xll.EQNXTDZ($A$1,$B16,AO$1,$B$1)</f>
        <v>206.77</v>
      </c>
      <c r="AP16">
        <f>_xll.EQNXTDZ($A$1,$B16,AP$1,$B$1)</f>
        <v>213.5</v>
      </c>
      <c r="AQ16">
        <f>_xll.EQNXTDZ($A$1,$B16,AQ$1,$B$1)</f>
        <v>194.21</v>
      </c>
      <c r="AR16">
        <f>_xll.EQNXTDZ($A$1,$B16,AR$1,$B$1)</f>
        <v>195.27</v>
      </c>
      <c r="AS16">
        <f>_xll.EQNXTDZ($A$1,$B16,AS$1,$B$1)</f>
        <v>210.17</v>
      </c>
      <c r="AT16">
        <f>_xll.EQNXTDZ($A$1,$B16,AT$1,$B$1)</f>
        <v>214.15</v>
      </c>
      <c r="AU16">
        <f>_xll.EQNXTDZ($A$1,$B16,AU$1,$B$1)</f>
        <v>217.97</v>
      </c>
      <c r="AV16">
        <f>_xll.EQNXTDZ($A$1,$B16,AV$1,$B$1)</f>
        <v>226.63</v>
      </c>
      <c r="AW16">
        <f>_xll.EQNXTDZ($A$1,$B16,AW$1,$B$1)</f>
        <v>243.83</v>
      </c>
      <c r="AX16">
        <f>_xll.EQNXTDZ($A$1,$B16,AX$1,$B$1)</f>
        <v>246.6</v>
      </c>
      <c r="AY16">
        <f>_xll.EQNXTDZ($A$1,$B16,AY$1,$B$1)</f>
        <v>252.19</v>
      </c>
      <c r="AZ16">
        <f>_xll.EQNXTDZ($A$1,$B16,AZ$1,$B$1)</f>
        <v>253.38</v>
      </c>
      <c r="BA16">
        <f>_xll.EQNXTDZ($A$1,$B16,BA$1,$B$1)</f>
        <v>260.75</v>
      </c>
      <c r="BB16">
        <f>_xll.EQNXTDZ($A$1,$B16,BB$1,$B$1)</f>
        <v>276.14999999999998</v>
      </c>
      <c r="BC16">
        <f>_xll.EQNXTDZ($A$1,$B16,BC$1,$B$1)</f>
        <v>277.26</v>
      </c>
      <c r="BD16">
        <f>_xll.EQNXTDZ($A$1,$B16,BD$1,$B$1)</f>
        <v>277.14</v>
      </c>
      <c r="BE16">
        <f>_xll.EQNXTDZ($A$1,$B16,BE$1,$B$1)</f>
        <v>280.83999999999997</v>
      </c>
      <c r="BF16">
        <f>_xll.EQNXTDZ($A$1,$B16,BF$1,$B$1)</f>
        <v>313.10000000000002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45.72</v>
      </c>
      <c r="D19">
        <f>_xll.EQNXTDZ($A$1,$B19,D$1,$B$1)</f>
        <v>0</v>
      </c>
      <c r="E19">
        <f>_xll.EQNXTDZ($A$1,$B19,E$1,$B$1)</f>
        <v>20.309999999999999</v>
      </c>
      <c r="F19">
        <f>_xll.EQNXTDZ($A$1,$B19,F$1,$B$1)</f>
        <v>0</v>
      </c>
      <c r="G19">
        <f>_xll.EQNXTDZ($A$1,$B19,G$1,$B$1)</f>
        <v>16.38</v>
      </c>
      <c r="H19">
        <f>_xll.EQNXTDZ($A$1,$B19,H$1,$B$1)</f>
        <v>6.54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0.22</v>
      </c>
      <c r="L19">
        <f>_xll.EQNXTDZ($A$1,$B19,L$1,$B$1)</f>
        <v>5.64</v>
      </c>
      <c r="M19">
        <f>_xll.EQNXTDZ($A$1,$B19,M$1,$B$1)</f>
        <v>6.74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10.29</v>
      </c>
      <c r="Q19">
        <f>_xll.EQNXTDZ($A$1,$B19,Q$1,$B$1)</f>
        <v>6.48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4.45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14.36</v>
      </c>
      <c r="AB19">
        <f>_xll.EQNXTDZ($A$1,$B19,AB$1,$B$1)</f>
        <v>17.23</v>
      </c>
      <c r="AC19">
        <f>_xll.EQNXTDZ($A$1,$B19,AC$1,$B$1)</f>
        <v>0</v>
      </c>
      <c r="AD19">
        <f>_xll.EQNXTDZ($A$1,$B19,AD$1,$B$1)</f>
        <v>1.64</v>
      </c>
      <c r="AE19">
        <f>_xll.EQNXTDZ($A$1,$B19,AE$1,$B$1)</f>
        <v>0</v>
      </c>
      <c r="AF19">
        <f>_xll.EQNXTDZ($A$1,$B19,AF$1,$B$1)</f>
        <v>4.21</v>
      </c>
      <c r="AG19">
        <f>_xll.EQNXTDZ($A$1,$B19,AG$1,$B$1)</f>
        <v>0</v>
      </c>
      <c r="AH19">
        <f>_xll.EQNXTDZ($A$1,$B19,AH$1,$B$1)</f>
        <v>27.08</v>
      </c>
      <c r="AI19">
        <f>_xll.EQNXTDZ($A$1,$B19,AI$1,$B$1)</f>
        <v>9.09</v>
      </c>
      <c r="AJ19">
        <f>_xll.EQNXTDZ($A$1,$B19,AJ$1,$B$1)</f>
        <v>9.59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24.87</v>
      </c>
      <c r="AR19">
        <f>_xll.EQNXTDZ($A$1,$B19,AR$1,$B$1)</f>
        <v>36.08</v>
      </c>
      <c r="AS19">
        <f>_xll.EQNXTDZ($A$1,$B19,AS$1,$B$1)</f>
        <v>15.04</v>
      </c>
      <c r="AT19">
        <f>_xll.EQNXTDZ($A$1,$B19,AT$1,$B$1)</f>
        <v>28.01</v>
      </c>
      <c r="AU19">
        <f>_xll.EQNXTDZ($A$1,$B19,AU$1,$B$1)</f>
        <v>23.73</v>
      </c>
      <c r="AV19">
        <f>_xll.EQNXTDZ($A$1,$B19,AV$1,$B$1)</f>
        <v>19.11</v>
      </c>
      <c r="AW19">
        <f>_xll.EQNXTDZ($A$1,$B19,AW$1,$B$1)</f>
        <v>18.079999999999998</v>
      </c>
      <c r="AX19">
        <f>_xll.EQNXTDZ($A$1,$B19,AX$1,$B$1)</f>
        <v>15.79</v>
      </c>
      <c r="AY19">
        <f>_xll.EQNXTDZ($A$1,$B19,AY$1,$B$1)</f>
        <v>17.239999999999998</v>
      </c>
      <c r="AZ19">
        <f>_xll.EQNXTDZ($A$1,$B19,AZ$1,$B$1)</f>
        <v>22.59</v>
      </c>
      <c r="BA19">
        <f>_xll.EQNXTDZ($A$1,$B19,BA$1,$B$1)</f>
        <v>34.22</v>
      </c>
      <c r="BB19">
        <f>_xll.EQNXTDZ($A$1,$B19,BB$1,$B$1)</f>
        <v>45.12</v>
      </c>
      <c r="BC19">
        <f>_xll.EQNXTDZ($A$1,$B19,BC$1,$B$1)</f>
        <v>0</v>
      </c>
      <c r="BD19">
        <f>_xll.EQNXTDZ($A$1,$B19,BD$1,$B$1)</f>
        <v>30.63</v>
      </c>
      <c r="BE19">
        <f>_xll.EQNXTDZ($A$1,$B19,BE$1,$B$1)</f>
        <v>40.200000000000003</v>
      </c>
      <c r="BF19">
        <f>_xll.EQNXTDZ($A$1,$B19,BF$1,$B$1)</f>
        <v>126.2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88.42</v>
      </c>
      <c r="D22">
        <f>_xll.EQNXTDZ($A$1,$B22,D$1,$B$1)</f>
        <v>111.35</v>
      </c>
      <c r="E22">
        <f>_xll.EQNXTDZ($A$1,$B22,E$1,$B$1)</f>
        <v>195.11</v>
      </c>
      <c r="F22">
        <f>_xll.EQNXTDZ($A$1,$B22,F$1,$B$1)</f>
        <v>133.16999999999999</v>
      </c>
      <c r="G22">
        <f>_xll.EQNXTDZ($A$1,$B22,G$1,$B$1)</f>
        <v>111.29</v>
      </c>
      <c r="H22">
        <f>_xll.EQNXTDZ($A$1,$B22,H$1,$B$1)</f>
        <v>127.01</v>
      </c>
      <c r="I22">
        <f>_xll.EQNXTDZ($A$1,$B22,I$1,$B$1)</f>
        <v>145.19999999999999</v>
      </c>
      <c r="J22">
        <f>_xll.EQNXTDZ($A$1,$B22,J$1,$B$1)</f>
        <v>106.03</v>
      </c>
      <c r="K22">
        <f>_xll.EQNXTDZ($A$1,$B22,K$1,$B$1)</f>
        <v>181.26</v>
      </c>
      <c r="L22">
        <f>_xll.EQNXTDZ($A$1,$B22,L$1,$B$1)</f>
        <v>193.57</v>
      </c>
      <c r="M22">
        <f>_xll.EQNXTDZ($A$1,$B22,M$1,$B$1)</f>
        <v>180.81</v>
      </c>
      <c r="N22">
        <f>_xll.EQNXTDZ($A$1,$B22,N$1,$B$1)</f>
        <v>158.66</v>
      </c>
      <c r="O22">
        <f>_xll.EQNXTDZ($A$1,$B22,O$1,$B$1)</f>
        <v>267.18</v>
      </c>
      <c r="P22">
        <f>_xll.EQNXTDZ($A$1,$B22,P$1,$B$1)</f>
        <v>238.1</v>
      </c>
      <c r="Q22">
        <f>_xll.EQNXTDZ($A$1,$B22,Q$1,$B$1)</f>
        <v>227.18</v>
      </c>
      <c r="R22">
        <f>_xll.EQNXTDZ($A$1,$B22,R$1,$B$1)</f>
        <v>224.8</v>
      </c>
      <c r="S22">
        <f>_xll.EQNXTDZ($A$1,$B22,S$1,$B$1)</f>
        <v>289.83999999999997</v>
      </c>
      <c r="T22">
        <f>_xll.EQNXTDZ($A$1,$B22,T$1,$B$1)</f>
        <v>232.58</v>
      </c>
      <c r="U22">
        <f>_xll.EQNXTDZ($A$1,$B22,U$1,$B$1)</f>
        <v>226.78</v>
      </c>
      <c r="V22">
        <f>_xll.EQNXTDZ($A$1,$B22,V$1,$B$1)</f>
        <v>215.74</v>
      </c>
      <c r="W22">
        <f>_xll.EQNXTDZ($A$1,$B22,W$1,$B$1)</f>
        <v>198.42</v>
      </c>
      <c r="X22">
        <f>_xll.EQNXTDZ($A$1,$B22,X$1,$B$1)</f>
        <v>203.61</v>
      </c>
      <c r="Y22">
        <f>_xll.EQNXTDZ($A$1,$B22,Y$1,$B$1)</f>
        <v>231.6</v>
      </c>
      <c r="Z22">
        <f>_xll.EQNXTDZ($A$1,$B22,Z$1,$B$1)</f>
        <v>272.61</v>
      </c>
      <c r="AA22">
        <f>_xll.EQNXTDZ($A$1,$B22,AA$1,$B$1)</f>
        <v>304.23</v>
      </c>
      <c r="AB22">
        <f>_xll.EQNXTDZ($A$1,$B22,AB$1,$B$1)</f>
        <v>300.26</v>
      </c>
      <c r="AC22">
        <f>_xll.EQNXTDZ($A$1,$B22,AC$1,$B$1)</f>
        <v>311.97000000000003</v>
      </c>
      <c r="AD22">
        <f>_xll.EQNXTDZ($A$1,$B22,AD$1,$B$1)</f>
        <v>372.36</v>
      </c>
      <c r="AE22">
        <f>_xll.EQNXTDZ($A$1,$B22,AE$1,$B$1)</f>
        <v>344.66</v>
      </c>
      <c r="AF22">
        <f>_xll.EQNXTDZ($A$1,$B22,AF$1,$B$1)</f>
        <v>331</v>
      </c>
      <c r="AG22">
        <f>_xll.EQNXTDZ($A$1,$B22,AG$1,$B$1)</f>
        <v>390.16</v>
      </c>
      <c r="AH22">
        <f>_xll.EQNXTDZ($A$1,$B22,AH$1,$B$1)</f>
        <v>361.31</v>
      </c>
      <c r="AI22">
        <f>_xll.EQNXTDZ($A$1,$B22,AI$1,$B$1)</f>
        <v>363.25</v>
      </c>
      <c r="AJ22">
        <f>_xll.EQNXTDZ($A$1,$B22,AJ$1,$B$1)</f>
        <v>572.49</v>
      </c>
      <c r="AK22">
        <f>_xll.EQNXTDZ($A$1,$B22,AK$1,$B$1)</f>
        <v>544.64</v>
      </c>
      <c r="AL22">
        <f>_xll.EQNXTDZ($A$1,$B22,AL$1,$B$1)</f>
        <v>634.27</v>
      </c>
      <c r="AM22">
        <f>_xll.EQNXTDZ($A$1,$B22,AM$1,$B$1)</f>
        <v>664.37</v>
      </c>
      <c r="AN22">
        <f>_xll.EQNXTDZ($A$1,$B22,AN$1,$B$1)</f>
        <v>654.35</v>
      </c>
      <c r="AO22">
        <f>_xll.EQNXTDZ($A$1,$B22,AO$1,$B$1)</f>
        <v>847.88</v>
      </c>
      <c r="AP22">
        <f>_xll.EQNXTDZ($A$1,$B22,AP$1,$B$1)</f>
        <v>936.6</v>
      </c>
      <c r="AQ22">
        <f>_xll.EQNXTDZ($A$1,$B22,AQ$1,$B$1)</f>
        <v>994.97</v>
      </c>
      <c r="AR22">
        <f>_xll.EQNXTDZ($A$1,$B22,AR$1,$B$1)</f>
        <v>769.11000000000104</v>
      </c>
      <c r="AS22">
        <f>_xll.EQNXTDZ($A$1,$B22,AS$1,$B$1)</f>
        <v>833.52</v>
      </c>
      <c r="AT22">
        <f>_xll.EQNXTDZ($A$1,$B22,AT$1,$B$1)</f>
        <v>931.6</v>
      </c>
      <c r="AU22">
        <f>_xll.EQNXTDZ($A$1,$B22,AU$1,$B$1)</f>
        <v>696.25000000000102</v>
      </c>
      <c r="AV22">
        <f>_xll.EQNXTDZ($A$1,$B22,AV$1,$B$1)</f>
        <v>626.21</v>
      </c>
      <c r="AW22">
        <f>_xll.EQNXTDZ($A$1,$B22,AW$1,$B$1)</f>
        <v>565.83000000000004</v>
      </c>
      <c r="AX22">
        <f>_xll.EQNXTDZ($A$1,$B22,AX$1,$B$1)</f>
        <v>695.82</v>
      </c>
      <c r="AY22">
        <f>_xll.EQNXTDZ($A$1,$B22,AY$1,$B$1)</f>
        <v>603.41999999999996</v>
      </c>
      <c r="AZ22">
        <f>_xll.EQNXTDZ($A$1,$B22,AZ$1,$B$1)</f>
        <v>538.03999999999905</v>
      </c>
      <c r="BA22">
        <f>_xll.EQNXTDZ($A$1,$B22,BA$1,$B$1)</f>
        <v>619.57000000000005</v>
      </c>
      <c r="BB22">
        <f>_xll.EQNXTDZ($A$1,$B22,BB$1,$B$1)</f>
        <v>957.41</v>
      </c>
      <c r="BC22">
        <f>_xll.EQNXTDZ($A$1,$B22,BC$1,$B$1)</f>
        <v>821.15</v>
      </c>
      <c r="BD22">
        <f>_xll.EQNXTDZ($A$1,$B22,BD$1,$B$1)</f>
        <v>774.15</v>
      </c>
      <c r="BE22">
        <f>_xll.EQNXTDZ($A$1,$B22,BE$1,$B$1)</f>
        <v>779.97</v>
      </c>
      <c r="BF22">
        <f>_xll.EQNXTDZ($A$1,$B22,BF$1,$B$1)</f>
        <v>1025.68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7.77</v>
      </c>
      <c r="D23">
        <f>_xll.EQNXTDZ($A$1,$B23,D$1,$B$1)</f>
        <v>45.52</v>
      </c>
      <c r="E23">
        <f>_xll.EQNXTDZ($A$1,$B23,E$1,$B$1)</f>
        <v>2.82</v>
      </c>
      <c r="F23">
        <f>_xll.EQNXTDZ($A$1,$B23,F$1,$B$1)</f>
        <v>29.18</v>
      </c>
      <c r="G23">
        <f>_xll.EQNXTDZ($A$1,$B23,G$1,$B$1)</f>
        <v>8.73</v>
      </c>
      <c r="H23">
        <f>_xll.EQNXTDZ($A$1,$B23,H$1,$B$1)</f>
        <v>5.3</v>
      </c>
      <c r="I23">
        <f>_xll.EQNXTDZ($A$1,$B23,I$1,$B$1)</f>
        <v>10.53</v>
      </c>
      <c r="J23">
        <f>_xll.EQNXTDZ($A$1,$B23,J$1,$B$1)</f>
        <v>17.25</v>
      </c>
      <c r="K23">
        <f>_xll.EQNXTDZ($A$1,$B23,K$1,$B$1)</f>
        <v>29.34</v>
      </c>
      <c r="L23">
        <f>_xll.EQNXTDZ($A$1,$B23,L$1,$B$1)</f>
        <v>25.5</v>
      </c>
      <c r="M23">
        <f>_xll.EQNXTDZ($A$1,$B23,M$1,$B$1)</f>
        <v>4.6399999999999997</v>
      </c>
      <c r="N23">
        <f>_xll.EQNXTDZ($A$1,$B23,N$1,$B$1)</f>
        <v>8.26</v>
      </c>
      <c r="O23">
        <f>_xll.EQNXTDZ($A$1,$B23,O$1,$B$1)</f>
        <v>5.32</v>
      </c>
      <c r="P23">
        <f>_xll.EQNXTDZ($A$1,$B23,P$1,$B$1)</f>
        <v>6.81</v>
      </c>
      <c r="Q23">
        <f>_xll.EQNXTDZ($A$1,$B23,Q$1,$B$1)</f>
        <v>4.79</v>
      </c>
      <c r="R23">
        <f>_xll.EQNXTDZ($A$1,$B23,R$1,$B$1)</f>
        <v>17.04</v>
      </c>
      <c r="S23">
        <f>_xll.EQNXTDZ($A$1,$B23,S$1,$B$1)</f>
        <v>12.5</v>
      </c>
      <c r="T23">
        <f>_xll.EQNXTDZ($A$1,$B23,T$1,$B$1)</f>
        <v>14.1</v>
      </c>
      <c r="U23">
        <f>_xll.EQNXTDZ($A$1,$B23,U$1,$B$1)</f>
        <v>6.43</v>
      </c>
      <c r="V23">
        <f>_xll.EQNXTDZ($A$1,$B23,V$1,$B$1)</f>
        <v>44.44</v>
      </c>
      <c r="W23">
        <f>_xll.EQNXTDZ($A$1,$B23,W$1,$B$1)</f>
        <v>31.03</v>
      </c>
      <c r="X23">
        <f>_xll.EQNXTDZ($A$1,$B23,X$1,$B$1)</f>
        <v>22.61</v>
      </c>
      <c r="Y23">
        <f>_xll.EQNXTDZ($A$1,$B23,Y$1,$B$1)</f>
        <v>42.02</v>
      </c>
      <c r="Z23">
        <f>_xll.EQNXTDZ($A$1,$B23,Z$1,$B$1)</f>
        <v>19.46</v>
      </c>
      <c r="AA23">
        <f>_xll.EQNXTDZ($A$1,$B23,AA$1,$B$1)</f>
        <v>3.86</v>
      </c>
      <c r="AB23">
        <f>_xll.EQNXTDZ($A$1,$B23,AB$1,$B$1)</f>
        <v>2.93</v>
      </c>
      <c r="AC23">
        <f>_xll.EQNXTDZ($A$1,$B23,AC$1,$B$1)</f>
        <v>16.940000000000001</v>
      </c>
      <c r="AD23">
        <f>_xll.EQNXTDZ($A$1,$B23,AD$1,$B$1)</f>
        <v>16.14</v>
      </c>
      <c r="AE23">
        <f>_xll.EQNXTDZ($A$1,$B23,AE$1,$B$1)</f>
        <v>30.26</v>
      </c>
      <c r="AF23">
        <f>_xll.EQNXTDZ($A$1,$B23,AF$1,$B$1)</f>
        <v>21.99</v>
      </c>
      <c r="AG23">
        <f>_xll.EQNXTDZ($A$1,$B23,AG$1,$B$1)</f>
        <v>18.29</v>
      </c>
      <c r="AH23">
        <f>_xll.EQNXTDZ($A$1,$B23,AH$1,$B$1)</f>
        <v>6.32</v>
      </c>
      <c r="AI23">
        <f>_xll.EQNXTDZ($A$1,$B23,AI$1,$B$1)</f>
        <v>10.1</v>
      </c>
      <c r="AJ23">
        <f>_xll.EQNXTDZ($A$1,$B23,AJ$1,$B$1)</f>
        <v>9.75</v>
      </c>
      <c r="AK23">
        <f>_xll.EQNXTDZ($A$1,$B23,AK$1,$B$1)</f>
        <v>43.16</v>
      </c>
      <c r="AL23">
        <f>_xll.EQNXTDZ($A$1,$B23,AL$1,$B$1)</f>
        <v>22.02</v>
      </c>
      <c r="AM23">
        <f>_xll.EQNXTDZ($A$1,$B23,AM$1,$B$1)</f>
        <v>20.96</v>
      </c>
      <c r="AN23">
        <f>_xll.EQNXTDZ($A$1,$B23,AN$1,$B$1)</f>
        <v>31.72</v>
      </c>
      <c r="AO23">
        <f>_xll.EQNXTDZ($A$1,$B23,AO$1,$B$1)</f>
        <v>44.2</v>
      </c>
      <c r="AP23">
        <f>_xll.EQNXTDZ($A$1,$B23,AP$1,$B$1)</f>
        <v>18.63</v>
      </c>
      <c r="AQ23">
        <f>_xll.EQNXTDZ($A$1,$B23,AQ$1,$B$1)</f>
        <v>9.85</v>
      </c>
      <c r="AR23">
        <f>_xll.EQNXTDZ($A$1,$B23,AR$1,$B$1)</f>
        <v>32.74</v>
      </c>
      <c r="AS23">
        <f>_xll.EQNXTDZ($A$1,$B23,AS$1,$B$1)</f>
        <v>10.01</v>
      </c>
      <c r="AT23">
        <f>_xll.EQNXTDZ($A$1,$B23,AT$1,$B$1)</f>
        <v>22.33</v>
      </c>
      <c r="AU23">
        <f>_xll.EQNXTDZ($A$1,$B23,AU$1,$B$1)</f>
        <v>11.76</v>
      </c>
      <c r="AV23">
        <f>_xll.EQNXTDZ($A$1,$B23,AV$1,$B$1)</f>
        <v>29.12</v>
      </c>
      <c r="AW23">
        <f>_xll.EQNXTDZ($A$1,$B23,AW$1,$B$1)</f>
        <v>18.75</v>
      </c>
      <c r="AX23">
        <f>_xll.EQNXTDZ($A$1,$B23,AX$1,$B$1)</f>
        <v>23.39</v>
      </c>
      <c r="AY23">
        <f>_xll.EQNXTDZ($A$1,$B23,AY$1,$B$1)</f>
        <v>25.26</v>
      </c>
      <c r="AZ23">
        <f>_xll.EQNXTDZ($A$1,$B23,AZ$1,$B$1)</f>
        <v>33.33</v>
      </c>
      <c r="BA23">
        <f>_xll.EQNXTDZ($A$1,$B23,BA$1,$B$1)</f>
        <v>39.64</v>
      </c>
      <c r="BB23">
        <f>_xll.EQNXTDZ($A$1,$B23,BB$1,$B$1)</f>
        <v>34.49</v>
      </c>
      <c r="BC23">
        <f>_xll.EQNXTDZ($A$1,$B23,BC$1,$B$1)</f>
        <v>37.81</v>
      </c>
      <c r="BD23">
        <f>_xll.EQNXTDZ($A$1,$B23,BD$1,$B$1)</f>
        <v>25.71</v>
      </c>
      <c r="BE23">
        <f>_xll.EQNXTDZ($A$1,$B23,BE$1,$B$1)</f>
        <v>27.33</v>
      </c>
      <c r="BF23">
        <f>_xll.EQNXTDZ($A$1,$B23,BF$1,$B$1)</f>
        <v>24.9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96.19</v>
      </c>
      <c r="D24">
        <f>_xll.EQNXTDZ($A$1,$B24,D$1,$B$1)</f>
        <v>156.87</v>
      </c>
      <c r="E24">
        <f>_xll.EQNXTDZ($A$1,$B24,E$1,$B$1)</f>
        <v>197.93</v>
      </c>
      <c r="F24">
        <f>_xll.EQNXTDZ($A$1,$B24,F$1,$B$1)</f>
        <v>162.35</v>
      </c>
      <c r="G24">
        <f>_xll.EQNXTDZ($A$1,$B24,G$1,$B$1)</f>
        <v>120.02</v>
      </c>
      <c r="H24">
        <f>_xll.EQNXTDZ($A$1,$B24,H$1,$B$1)</f>
        <v>132.31</v>
      </c>
      <c r="I24">
        <f>_xll.EQNXTDZ($A$1,$B24,I$1,$B$1)</f>
        <v>155.72999999999999</v>
      </c>
      <c r="J24">
        <f>_xll.EQNXTDZ($A$1,$B24,J$1,$B$1)</f>
        <v>123.28</v>
      </c>
      <c r="K24">
        <f>_xll.EQNXTDZ($A$1,$B24,K$1,$B$1)</f>
        <v>210.6</v>
      </c>
      <c r="L24">
        <f>_xll.EQNXTDZ($A$1,$B24,L$1,$B$1)</f>
        <v>219.07</v>
      </c>
      <c r="M24">
        <f>_xll.EQNXTDZ($A$1,$B24,M$1,$B$1)</f>
        <v>185.45</v>
      </c>
      <c r="N24">
        <f>_xll.EQNXTDZ($A$1,$B24,N$1,$B$1)</f>
        <v>166.92</v>
      </c>
      <c r="O24">
        <f>_xll.EQNXTDZ($A$1,$B24,O$1,$B$1)</f>
        <v>272.5</v>
      </c>
      <c r="P24">
        <f>_xll.EQNXTDZ($A$1,$B24,P$1,$B$1)</f>
        <v>244.91</v>
      </c>
      <c r="Q24">
        <f>_xll.EQNXTDZ($A$1,$B24,Q$1,$B$1)</f>
        <v>231.97</v>
      </c>
      <c r="R24">
        <f>_xll.EQNXTDZ($A$1,$B24,R$1,$B$1)</f>
        <v>241.84</v>
      </c>
      <c r="S24">
        <f>_xll.EQNXTDZ($A$1,$B24,S$1,$B$1)</f>
        <v>302.33999999999997</v>
      </c>
      <c r="T24">
        <f>_xll.EQNXTDZ($A$1,$B24,T$1,$B$1)</f>
        <v>246.68</v>
      </c>
      <c r="U24">
        <f>_xll.EQNXTDZ($A$1,$B24,U$1,$B$1)</f>
        <v>233.21</v>
      </c>
      <c r="V24">
        <f>_xll.EQNXTDZ($A$1,$B24,V$1,$B$1)</f>
        <v>260.18</v>
      </c>
      <c r="W24">
        <f>_xll.EQNXTDZ($A$1,$B24,W$1,$B$1)</f>
        <v>229.45</v>
      </c>
      <c r="X24">
        <f>_xll.EQNXTDZ($A$1,$B24,X$1,$B$1)</f>
        <v>226.22</v>
      </c>
      <c r="Y24">
        <f>_xll.EQNXTDZ($A$1,$B24,Y$1,$B$1)</f>
        <v>273.62</v>
      </c>
      <c r="Z24">
        <f>_xll.EQNXTDZ($A$1,$B24,Z$1,$B$1)</f>
        <v>292.07</v>
      </c>
      <c r="AA24">
        <f>_xll.EQNXTDZ($A$1,$B24,AA$1,$B$1)</f>
        <v>308.08999999999997</v>
      </c>
      <c r="AB24">
        <f>_xll.EQNXTDZ($A$1,$B24,AB$1,$B$1)</f>
        <v>303.19</v>
      </c>
      <c r="AC24">
        <f>_xll.EQNXTDZ($A$1,$B24,AC$1,$B$1)</f>
        <v>328.91</v>
      </c>
      <c r="AD24">
        <f>_xll.EQNXTDZ($A$1,$B24,AD$1,$B$1)</f>
        <v>388.5</v>
      </c>
      <c r="AE24">
        <f>_xll.EQNXTDZ($A$1,$B24,AE$1,$B$1)</f>
        <v>374.92</v>
      </c>
      <c r="AF24">
        <f>_xll.EQNXTDZ($A$1,$B24,AF$1,$B$1)</f>
        <v>352.99</v>
      </c>
      <c r="AG24">
        <f>_xll.EQNXTDZ($A$1,$B24,AG$1,$B$1)</f>
        <v>408.45</v>
      </c>
      <c r="AH24">
        <f>_xll.EQNXTDZ($A$1,$B24,AH$1,$B$1)</f>
        <v>367.63</v>
      </c>
      <c r="AI24">
        <f>_xll.EQNXTDZ($A$1,$B24,AI$1,$B$1)</f>
        <v>373.35</v>
      </c>
      <c r="AJ24">
        <f>_xll.EQNXTDZ($A$1,$B24,AJ$1,$B$1)</f>
        <v>582.24</v>
      </c>
      <c r="AK24">
        <f>_xll.EQNXTDZ($A$1,$B24,AK$1,$B$1)</f>
        <v>587.79999999999995</v>
      </c>
      <c r="AL24">
        <f>_xll.EQNXTDZ($A$1,$B24,AL$1,$B$1)</f>
        <v>656.29</v>
      </c>
      <c r="AM24">
        <f>_xll.EQNXTDZ($A$1,$B24,AM$1,$B$1)</f>
        <v>685.33</v>
      </c>
      <c r="AN24">
        <f>_xll.EQNXTDZ($A$1,$B24,AN$1,$B$1)</f>
        <v>686.07</v>
      </c>
      <c r="AO24">
        <f>_xll.EQNXTDZ($A$1,$B24,AO$1,$B$1)</f>
        <v>892.08</v>
      </c>
      <c r="AP24">
        <f>_xll.EQNXTDZ($A$1,$B24,AP$1,$B$1)</f>
        <v>955.23</v>
      </c>
      <c r="AQ24">
        <f>_xll.EQNXTDZ($A$1,$B24,AQ$1,$B$1)</f>
        <v>1004.82</v>
      </c>
      <c r="AR24">
        <f>_xll.EQNXTDZ($A$1,$B24,AR$1,$B$1)</f>
        <v>801.85</v>
      </c>
      <c r="AS24">
        <f>_xll.EQNXTDZ($A$1,$B24,AS$1,$B$1)</f>
        <v>843.53</v>
      </c>
      <c r="AT24">
        <f>_xll.EQNXTDZ($A$1,$B24,AT$1,$B$1)</f>
        <v>953.93</v>
      </c>
      <c r="AU24">
        <f>_xll.EQNXTDZ($A$1,$B24,AU$1,$B$1)</f>
        <v>708.01000000000101</v>
      </c>
      <c r="AV24">
        <f>_xll.EQNXTDZ($A$1,$B24,AV$1,$B$1)</f>
        <v>655.33000000000004</v>
      </c>
      <c r="AW24">
        <f>_xll.EQNXTDZ($A$1,$B24,AW$1,$B$1)</f>
        <v>584.58000000000004</v>
      </c>
      <c r="AX24">
        <f>_xll.EQNXTDZ($A$1,$B24,AX$1,$B$1)</f>
        <v>719.21</v>
      </c>
      <c r="AY24">
        <f>_xll.EQNXTDZ($A$1,$B24,AY$1,$B$1)</f>
        <v>628.67999999999995</v>
      </c>
      <c r="AZ24">
        <f>_xll.EQNXTDZ($A$1,$B24,AZ$1,$B$1)</f>
        <v>571.37</v>
      </c>
      <c r="BA24">
        <f>_xll.EQNXTDZ($A$1,$B24,BA$1,$B$1)</f>
        <v>659.21</v>
      </c>
      <c r="BB24">
        <f>_xll.EQNXTDZ($A$1,$B24,BB$1,$B$1)</f>
        <v>991.9</v>
      </c>
      <c r="BC24">
        <f>_xll.EQNXTDZ($A$1,$B24,BC$1,$B$1)</f>
        <v>858.96000000000095</v>
      </c>
      <c r="BD24">
        <f>_xll.EQNXTDZ($A$1,$B24,BD$1,$B$1)</f>
        <v>799.86</v>
      </c>
      <c r="BE24">
        <f>_xll.EQNXTDZ($A$1,$B24,BE$1,$B$1)</f>
        <v>807.3</v>
      </c>
      <c r="BF24">
        <f>_xll.EQNXTDZ($A$1,$B24,BF$1,$B$1)</f>
        <v>1050.58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23.91</v>
      </c>
      <c r="D25">
        <f>_xll.EQNXTDZ($A$1,$B25,D$1,$B$1)</f>
        <v>24.71</v>
      </c>
      <c r="E25">
        <f>_xll.EQNXTDZ($A$1,$B25,E$1,$B$1)</f>
        <v>20.83</v>
      </c>
      <c r="F25">
        <f>_xll.EQNXTDZ($A$1,$B25,F$1,$B$1)</f>
        <v>15.2</v>
      </c>
      <c r="G25">
        <f>_xll.EQNXTDZ($A$1,$B25,G$1,$B$1)</f>
        <v>20.27</v>
      </c>
      <c r="H25">
        <f>_xll.EQNXTDZ($A$1,$B25,H$1,$B$1)</f>
        <v>22.6</v>
      </c>
      <c r="I25">
        <f>_xll.EQNXTDZ($A$1,$B25,I$1,$B$1)</f>
        <v>15.96</v>
      </c>
      <c r="J25">
        <f>_xll.EQNXTDZ($A$1,$B25,J$1,$B$1)</f>
        <v>11.19</v>
      </c>
      <c r="K25">
        <f>_xll.EQNXTDZ($A$1,$B25,K$1,$B$1)</f>
        <v>32.76</v>
      </c>
      <c r="L25">
        <f>_xll.EQNXTDZ($A$1,$B25,L$1,$B$1)</f>
        <v>37.479999999999997</v>
      </c>
      <c r="M25">
        <f>_xll.EQNXTDZ($A$1,$B25,M$1,$B$1)</f>
        <v>36.9</v>
      </c>
      <c r="N25">
        <f>_xll.EQNXTDZ($A$1,$B25,N$1,$B$1)</f>
        <v>30.44</v>
      </c>
      <c r="O25">
        <f>_xll.EQNXTDZ($A$1,$B25,O$1,$B$1)</f>
        <v>34.39</v>
      </c>
      <c r="P25">
        <f>_xll.EQNXTDZ($A$1,$B25,P$1,$B$1)</f>
        <v>33.35</v>
      </c>
      <c r="Q25">
        <f>_xll.EQNXTDZ($A$1,$B25,Q$1,$B$1)</f>
        <v>31.2</v>
      </c>
      <c r="R25">
        <f>_xll.EQNXTDZ($A$1,$B25,R$1,$B$1)</f>
        <v>31.99</v>
      </c>
      <c r="S25">
        <f>_xll.EQNXTDZ($A$1,$B25,S$1,$B$1)</f>
        <v>28.06</v>
      </c>
      <c r="T25">
        <f>_xll.EQNXTDZ($A$1,$B25,T$1,$B$1)</f>
        <v>24.04</v>
      </c>
      <c r="U25">
        <f>_xll.EQNXTDZ($A$1,$B25,U$1,$B$1)</f>
        <v>26.87</v>
      </c>
      <c r="V25">
        <f>_xll.EQNXTDZ($A$1,$B25,V$1,$B$1)</f>
        <v>22.8</v>
      </c>
      <c r="W25">
        <f>_xll.EQNXTDZ($A$1,$B25,W$1,$B$1)</f>
        <v>27.06</v>
      </c>
      <c r="X25">
        <f>_xll.EQNXTDZ($A$1,$B25,X$1,$B$1)</f>
        <v>30.46</v>
      </c>
      <c r="Y25">
        <f>_xll.EQNXTDZ($A$1,$B25,Y$1,$B$1)</f>
        <v>23.87</v>
      </c>
      <c r="Z25">
        <f>_xll.EQNXTDZ($A$1,$B25,Z$1,$B$1)</f>
        <v>42.5</v>
      </c>
      <c r="AA25">
        <f>_xll.EQNXTDZ($A$1,$B25,AA$1,$B$1)</f>
        <v>44.18</v>
      </c>
      <c r="AB25">
        <f>_xll.EQNXTDZ($A$1,$B25,AB$1,$B$1)</f>
        <v>49.1</v>
      </c>
      <c r="AC25">
        <f>_xll.EQNXTDZ($A$1,$B25,AC$1,$B$1)</f>
        <v>53.38</v>
      </c>
      <c r="AD25">
        <f>_xll.EQNXTDZ($A$1,$B25,AD$1,$B$1)</f>
        <v>52.36</v>
      </c>
      <c r="AE25">
        <f>_xll.EQNXTDZ($A$1,$B25,AE$1,$B$1)</f>
        <v>51.51</v>
      </c>
      <c r="AF25">
        <f>_xll.EQNXTDZ($A$1,$B25,AF$1,$B$1)</f>
        <v>55.02</v>
      </c>
      <c r="AG25">
        <f>_xll.EQNXTDZ($A$1,$B25,AG$1,$B$1)</f>
        <v>47.53</v>
      </c>
      <c r="AH25">
        <f>_xll.EQNXTDZ($A$1,$B25,AH$1,$B$1)</f>
        <v>46.62</v>
      </c>
      <c r="AI25">
        <f>_xll.EQNXTDZ($A$1,$B25,AI$1,$B$1)</f>
        <v>43.16</v>
      </c>
      <c r="AJ25">
        <f>_xll.EQNXTDZ($A$1,$B25,AJ$1,$B$1)</f>
        <v>36.15</v>
      </c>
      <c r="AK25">
        <f>_xll.EQNXTDZ($A$1,$B25,AK$1,$B$1)</f>
        <v>28.49</v>
      </c>
      <c r="AL25">
        <f>_xll.EQNXTDZ($A$1,$B25,AL$1,$B$1)</f>
        <v>26.15</v>
      </c>
      <c r="AM25">
        <f>_xll.EQNXTDZ($A$1,$B25,AM$1,$B$1)</f>
        <v>27.47</v>
      </c>
      <c r="AN25">
        <f>_xll.EQNXTDZ($A$1,$B25,AN$1,$B$1)</f>
        <v>23.36</v>
      </c>
      <c r="AO25">
        <f>_xll.EQNXTDZ($A$1,$B25,AO$1,$B$1)</f>
        <v>29.41</v>
      </c>
      <c r="AP25">
        <f>_xll.EQNXTDZ($A$1,$B25,AP$1,$B$1)</f>
        <v>35.69</v>
      </c>
      <c r="AQ25">
        <f>_xll.EQNXTDZ($A$1,$B25,AQ$1,$B$1)</f>
        <v>32.5</v>
      </c>
      <c r="AR25">
        <f>_xll.EQNXTDZ($A$1,$B25,AR$1,$B$1)</f>
        <v>44.47</v>
      </c>
      <c r="AS25">
        <f>_xll.EQNXTDZ($A$1,$B25,AS$1,$B$1)</f>
        <v>61.95</v>
      </c>
      <c r="AT25">
        <f>_xll.EQNXTDZ($A$1,$B25,AT$1,$B$1)</f>
        <v>65.900000000000006</v>
      </c>
      <c r="AU25">
        <f>_xll.EQNXTDZ($A$1,$B25,AU$1,$B$1)</f>
        <v>65.63</v>
      </c>
      <c r="AV25">
        <f>_xll.EQNXTDZ($A$1,$B25,AV$1,$B$1)</f>
        <v>79.290000000000006</v>
      </c>
      <c r="AW25">
        <f>_xll.EQNXTDZ($A$1,$B25,AW$1,$B$1)</f>
        <v>67.37</v>
      </c>
      <c r="AX25">
        <f>_xll.EQNXTDZ($A$1,$B25,AX$1,$B$1)</f>
        <v>90</v>
      </c>
      <c r="AY25">
        <f>_xll.EQNXTDZ($A$1,$B25,AY$1,$B$1)</f>
        <v>96.54</v>
      </c>
      <c r="AZ25">
        <f>_xll.EQNXTDZ($A$1,$B25,AZ$1,$B$1)</f>
        <v>93.78</v>
      </c>
      <c r="BA25">
        <f>_xll.EQNXTDZ($A$1,$B25,BA$1,$B$1)</f>
        <v>96.25</v>
      </c>
      <c r="BB25">
        <f>_xll.EQNXTDZ($A$1,$B25,BB$1,$B$1)</f>
        <v>89.39</v>
      </c>
      <c r="BC25">
        <f>_xll.EQNXTDZ($A$1,$B25,BC$1,$B$1)</f>
        <v>79.900000000000006</v>
      </c>
      <c r="BD25">
        <f>_xll.EQNXTDZ($A$1,$B25,BD$1,$B$1)</f>
        <v>70.680000000000007</v>
      </c>
      <c r="BE25">
        <f>_xll.EQNXTDZ($A$1,$B25,BE$1,$B$1)</f>
        <v>65.5</v>
      </c>
      <c r="BF25">
        <f>_xll.EQNXTDZ($A$1,$B25,BF$1,$B$1)</f>
        <v>61.96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8.18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-73.239999999999995</v>
      </c>
      <c r="BF26">
        <f>_xll.EQNXTDZ($A$1,$B26,BF$1,$B$1)</f>
        <v>-11.71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72.28</v>
      </c>
      <c r="D27">
        <f>_xll.EQNXTDZ($A$1,$B27,D$1,$B$1)</f>
        <v>132.16</v>
      </c>
      <c r="E27">
        <f>_xll.EQNXTDZ($A$1,$B27,E$1,$B$1)</f>
        <v>177.1</v>
      </c>
      <c r="F27">
        <f>_xll.EQNXTDZ($A$1,$B27,F$1,$B$1)</f>
        <v>155.33000000000001</v>
      </c>
      <c r="G27">
        <f>_xll.EQNXTDZ($A$1,$B27,G$1,$B$1)</f>
        <v>99.75</v>
      </c>
      <c r="H27">
        <f>_xll.EQNXTDZ($A$1,$B27,H$1,$B$1)</f>
        <v>109.71</v>
      </c>
      <c r="I27">
        <f>_xll.EQNXTDZ($A$1,$B27,I$1,$B$1)</f>
        <v>139.77000000000001</v>
      </c>
      <c r="J27">
        <f>_xll.EQNXTDZ($A$1,$B27,J$1,$B$1)</f>
        <v>112.09</v>
      </c>
      <c r="K27">
        <f>_xll.EQNXTDZ($A$1,$B27,K$1,$B$1)</f>
        <v>177.84</v>
      </c>
      <c r="L27">
        <f>_xll.EQNXTDZ($A$1,$B27,L$1,$B$1)</f>
        <v>181.59</v>
      </c>
      <c r="M27">
        <f>_xll.EQNXTDZ($A$1,$B27,M$1,$B$1)</f>
        <v>148.55000000000001</v>
      </c>
      <c r="N27">
        <f>_xll.EQNXTDZ($A$1,$B27,N$1,$B$1)</f>
        <v>136.47999999999999</v>
      </c>
      <c r="O27">
        <f>_xll.EQNXTDZ($A$1,$B27,O$1,$B$1)</f>
        <v>238.11</v>
      </c>
      <c r="P27">
        <f>_xll.EQNXTDZ($A$1,$B27,P$1,$B$1)</f>
        <v>211.56</v>
      </c>
      <c r="Q27">
        <f>_xll.EQNXTDZ($A$1,$B27,Q$1,$B$1)</f>
        <v>200.77</v>
      </c>
      <c r="R27">
        <f>_xll.EQNXTDZ($A$1,$B27,R$1,$B$1)</f>
        <v>209.85</v>
      </c>
      <c r="S27">
        <f>_xll.EQNXTDZ($A$1,$B27,S$1,$B$1)</f>
        <v>274.27999999999997</v>
      </c>
      <c r="T27">
        <f>_xll.EQNXTDZ($A$1,$B27,T$1,$B$1)</f>
        <v>222.64</v>
      </c>
      <c r="U27">
        <f>_xll.EQNXTDZ($A$1,$B27,U$1,$B$1)</f>
        <v>206.34</v>
      </c>
      <c r="V27">
        <f>_xll.EQNXTDZ($A$1,$B27,V$1,$B$1)</f>
        <v>237.38</v>
      </c>
      <c r="W27">
        <f>_xll.EQNXTDZ($A$1,$B27,W$1,$B$1)</f>
        <v>202.39</v>
      </c>
      <c r="X27">
        <f>_xll.EQNXTDZ($A$1,$B27,X$1,$B$1)</f>
        <v>195.76</v>
      </c>
      <c r="Y27">
        <f>_xll.EQNXTDZ($A$1,$B27,Y$1,$B$1)</f>
        <v>249.75</v>
      </c>
      <c r="Z27">
        <f>_xll.EQNXTDZ($A$1,$B27,Z$1,$B$1)</f>
        <v>249.57</v>
      </c>
      <c r="AA27">
        <f>_xll.EQNXTDZ($A$1,$B27,AA$1,$B$1)</f>
        <v>263.91000000000003</v>
      </c>
      <c r="AB27">
        <f>_xll.EQNXTDZ($A$1,$B27,AB$1,$B$1)</f>
        <v>254.09</v>
      </c>
      <c r="AC27">
        <f>_xll.EQNXTDZ($A$1,$B27,AC$1,$B$1)</f>
        <v>275.52999999999997</v>
      </c>
      <c r="AD27">
        <f>_xll.EQNXTDZ($A$1,$B27,AD$1,$B$1)</f>
        <v>336.14</v>
      </c>
      <c r="AE27">
        <f>_xll.EQNXTDZ($A$1,$B27,AE$1,$B$1)</f>
        <v>323.41000000000003</v>
      </c>
      <c r="AF27">
        <f>_xll.EQNXTDZ($A$1,$B27,AF$1,$B$1)</f>
        <v>297.97000000000003</v>
      </c>
      <c r="AG27">
        <f>_xll.EQNXTDZ($A$1,$B27,AG$1,$B$1)</f>
        <v>360.92</v>
      </c>
      <c r="AH27">
        <f>_xll.EQNXTDZ($A$1,$B27,AH$1,$B$1)</f>
        <v>321.01</v>
      </c>
      <c r="AI27">
        <f>_xll.EQNXTDZ($A$1,$B27,AI$1,$B$1)</f>
        <v>330.19</v>
      </c>
      <c r="AJ27">
        <f>_xll.EQNXTDZ($A$1,$B27,AJ$1,$B$1)</f>
        <v>546.09</v>
      </c>
      <c r="AK27">
        <f>_xll.EQNXTDZ($A$1,$B27,AK$1,$B$1)</f>
        <v>559.30999999999995</v>
      </c>
      <c r="AL27">
        <f>_xll.EQNXTDZ($A$1,$B27,AL$1,$B$1)</f>
        <v>630.14</v>
      </c>
      <c r="AM27">
        <f>_xll.EQNXTDZ($A$1,$B27,AM$1,$B$1)</f>
        <v>657.86</v>
      </c>
      <c r="AN27">
        <f>_xll.EQNXTDZ($A$1,$B27,AN$1,$B$1)</f>
        <v>662.71</v>
      </c>
      <c r="AO27">
        <f>_xll.EQNXTDZ($A$1,$B27,AO$1,$B$1)</f>
        <v>862.67</v>
      </c>
      <c r="AP27">
        <f>_xll.EQNXTDZ($A$1,$B27,AP$1,$B$1)</f>
        <v>919.54</v>
      </c>
      <c r="AQ27">
        <f>_xll.EQNXTDZ($A$1,$B27,AQ$1,$B$1)</f>
        <v>972.32</v>
      </c>
      <c r="AR27">
        <f>_xll.EQNXTDZ($A$1,$B27,AR$1,$B$1)</f>
        <v>757.38</v>
      </c>
      <c r="AS27">
        <f>_xll.EQNXTDZ($A$1,$B27,AS$1,$B$1)</f>
        <v>781.58</v>
      </c>
      <c r="AT27">
        <f>_xll.EQNXTDZ($A$1,$B27,AT$1,$B$1)</f>
        <v>888.03</v>
      </c>
      <c r="AU27">
        <f>_xll.EQNXTDZ($A$1,$B27,AU$1,$B$1)</f>
        <v>642.38000000000102</v>
      </c>
      <c r="AV27">
        <f>_xll.EQNXTDZ($A$1,$B27,AV$1,$B$1)</f>
        <v>576.04</v>
      </c>
      <c r="AW27">
        <f>_xll.EQNXTDZ($A$1,$B27,AW$1,$B$1)</f>
        <v>517.21</v>
      </c>
      <c r="AX27">
        <f>_xll.EQNXTDZ($A$1,$B27,AX$1,$B$1)</f>
        <v>629.21</v>
      </c>
      <c r="AY27">
        <f>_xll.EQNXTDZ($A$1,$B27,AY$1,$B$1)</f>
        <v>532.14</v>
      </c>
      <c r="AZ27">
        <f>_xll.EQNXTDZ($A$1,$B27,AZ$1,$B$1)</f>
        <v>477.59</v>
      </c>
      <c r="BA27">
        <f>_xll.EQNXTDZ($A$1,$B27,BA$1,$B$1)</f>
        <v>562.96</v>
      </c>
      <c r="BB27">
        <f>_xll.EQNXTDZ($A$1,$B27,BB$1,$B$1)</f>
        <v>902.51</v>
      </c>
      <c r="BC27">
        <f>_xll.EQNXTDZ($A$1,$B27,BC$1,$B$1)</f>
        <v>779.06000000000097</v>
      </c>
      <c r="BD27">
        <f>_xll.EQNXTDZ($A$1,$B27,BD$1,$B$1)</f>
        <v>729.18</v>
      </c>
      <c r="BE27">
        <f>_xll.EQNXTDZ($A$1,$B27,BE$1,$B$1)</f>
        <v>668.56</v>
      </c>
      <c r="BF27">
        <f>_xll.EQNXTDZ($A$1,$B27,BF$1,$B$1)</f>
        <v>976.90999999999894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42.2</v>
      </c>
      <c r="D28">
        <f>_xll.EQNXTDZ($A$1,$B28,D$1,$B$1)</f>
        <v>46.29</v>
      </c>
      <c r="E28">
        <f>_xll.EQNXTDZ($A$1,$B28,E$1,$B$1)</f>
        <v>47.84</v>
      </c>
      <c r="F28">
        <f>_xll.EQNXTDZ($A$1,$B28,F$1,$B$1)</f>
        <v>47.95</v>
      </c>
      <c r="G28">
        <f>_xll.EQNXTDZ($A$1,$B28,G$1,$B$1)</f>
        <v>48.39</v>
      </c>
      <c r="H28">
        <f>_xll.EQNXTDZ($A$1,$B28,H$1,$B$1)</f>
        <v>47.97</v>
      </c>
      <c r="I28">
        <f>_xll.EQNXTDZ($A$1,$B28,I$1,$B$1)</f>
        <v>47.89</v>
      </c>
      <c r="J28">
        <f>_xll.EQNXTDZ($A$1,$B28,J$1,$B$1)</f>
        <v>46.21</v>
      </c>
      <c r="K28">
        <f>_xll.EQNXTDZ($A$1,$B28,K$1,$B$1)</f>
        <v>57.82</v>
      </c>
      <c r="L28">
        <f>_xll.EQNXTDZ($A$1,$B28,L$1,$B$1)</f>
        <v>61.6</v>
      </c>
      <c r="M28">
        <f>_xll.EQNXTDZ($A$1,$B28,M$1,$B$1)</f>
        <v>60.8</v>
      </c>
      <c r="N28">
        <f>_xll.EQNXTDZ($A$1,$B28,N$1,$B$1)</f>
        <v>64.81</v>
      </c>
      <c r="O28">
        <f>_xll.EQNXTDZ($A$1,$B28,O$1,$B$1)</f>
        <v>72.459999999999994</v>
      </c>
      <c r="P28">
        <f>_xll.EQNXTDZ($A$1,$B28,P$1,$B$1)</f>
        <v>73.319999999999993</v>
      </c>
      <c r="Q28">
        <f>_xll.EQNXTDZ($A$1,$B28,Q$1,$B$1)</f>
        <v>71.430000000000007</v>
      </c>
      <c r="R28">
        <f>_xll.EQNXTDZ($A$1,$B28,R$1,$B$1)</f>
        <v>69.459999999999994</v>
      </c>
      <c r="S28">
        <f>_xll.EQNXTDZ($A$1,$B28,S$1,$B$1)</f>
        <v>69.59</v>
      </c>
      <c r="T28">
        <f>_xll.EQNXTDZ($A$1,$B28,T$1,$B$1)</f>
        <v>70.010000000000005</v>
      </c>
      <c r="U28">
        <f>_xll.EQNXTDZ($A$1,$B28,U$1,$B$1)</f>
        <v>70.86</v>
      </c>
      <c r="V28">
        <f>_xll.EQNXTDZ($A$1,$B28,V$1,$B$1)</f>
        <v>72.989999999999995</v>
      </c>
      <c r="W28">
        <f>_xll.EQNXTDZ($A$1,$B28,W$1,$B$1)</f>
        <v>75.8</v>
      </c>
      <c r="X28">
        <f>_xll.EQNXTDZ($A$1,$B28,X$1,$B$1)</f>
        <v>76.84</v>
      </c>
      <c r="Y28">
        <f>_xll.EQNXTDZ($A$1,$B28,Y$1,$B$1)</f>
        <v>77.02</v>
      </c>
      <c r="Z28">
        <f>_xll.EQNXTDZ($A$1,$B28,Z$1,$B$1)</f>
        <v>86.14</v>
      </c>
      <c r="AA28">
        <f>_xll.EQNXTDZ($A$1,$B28,AA$1,$B$1)</f>
        <v>87.88</v>
      </c>
      <c r="AB28">
        <f>_xll.EQNXTDZ($A$1,$B28,AB$1,$B$1)</f>
        <v>87.69</v>
      </c>
      <c r="AC28">
        <f>_xll.EQNXTDZ($A$1,$B28,AC$1,$B$1)</f>
        <v>90.94</v>
      </c>
      <c r="AD28">
        <f>_xll.EQNXTDZ($A$1,$B28,AD$1,$B$1)</f>
        <v>94.93</v>
      </c>
      <c r="AE28">
        <f>_xll.EQNXTDZ($A$1,$B28,AE$1,$B$1)</f>
        <v>92.46</v>
      </c>
      <c r="AF28">
        <f>_xll.EQNXTDZ($A$1,$B28,AF$1,$B$1)</f>
        <v>92.92</v>
      </c>
      <c r="AG28">
        <f>_xll.EQNXTDZ($A$1,$B28,AG$1,$B$1)</f>
        <v>101.86</v>
      </c>
      <c r="AH28">
        <f>_xll.EQNXTDZ($A$1,$B28,AH$1,$B$1)</f>
        <v>101.37</v>
      </c>
      <c r="AI28">
        <f>_xll.EQNXTDZ($A$1,$B28,AI$1,$B$1)</f>
        <v>104.02</v>
      </c>
      <c r="AJ28">
        <f>_xll.EQNXTDZ($A$1,$B28,AJ$1,$B$1)</f>
        <v>114.02</v>
      </c>
      <c r="AK28">
        <f>_xll.EQNXTDZ($A$1,$B28,AK$1,$B$1)</f>
        <v>116.56</v>
      </c>
      <c r="AL28">
        <f>_xll.EQNXTDZ($A$1,$B28,AL$1,$B$1)</f>
        <v>118.48</v>
      </c>
      <c r="AM28">
        <f>_xll.EQNXTDZ($A$1,$B28,AM$1,$B$1)</f>
        <v>122.95</v>
      </c>
      <c r="AN28">
        <f>_xll.EQNXTDZ($A$1,$B28,AN$1,$B$1)</f>
        <v>130.29</v>
      </c>
      <c r="AO28">
        <f>_xll.EQNXTDZ($A$1,$B28,AO$1,$B$1)</f>
        <v>132.38999999999999</v>
      </c>
      <c r="AP28">
        <f>_xll.EQNXTDZ($A$1,$B28,AP$1,$B$1)</f>
        <v>131.6</v>
      </c>
      <c r="AQ28">
        <f>_xll.EQNXTDZ($A$1,$B28,AQ$1,$B$1)</f>
        <v>130.72999999999999</v>
      </c>
      <c r="AR28">
        <f>_xll.EQNXTDZ($A$1,$B28,AR$1,$B$1)</f>
        <v>139.30000000000001</v>
      </c>
      <c r="AS28">
        <f>_xll.EQNXTDZ($A$1,$B28,AS$1,$B$1)</f>
        <v>150.65</v>
      </c>
      <c r="AT28">
        <f>_xll.EQNXTDZ($A$1,$B28,AT$1,$B$1)</f>
        <v>154.63999999999999</v>
      </c>
      <c r="AU28">
        <f>_xll.EQNXTDZ($A$1,$B28,AU$1,$B$1)</f>
        <v>156.61000000000001</v>
      </c>
      <c r="AV28">
        <f>_xll.EQNXTDZ($A$1,$B28,AV$1,$B$1)</f>
        <v>161.22999999999999</v>
      </c>
      <c r="AW28">
        <f>_xll.EQNXTDZ($A$1,$B28,AW$1,$B$1)</f>
        <v>168.89</v>
      </c>
      <c r="AX28">
        <f>_xll.EQNXTDZ($A$1,$B28,AX$1,$B$1)</f>
        <v>185.89</v>
      </c>
      <c r="AY28">
        <f>_xll.EQNXTDZ($A$1,$B28,AY$1,$B$1)</f>
        <v>188.16</v>
      </c>
      <c r="AZ28">
        <f>_xll.EQNXTDZ($A$1,$B28,AZ$1,$B$1)</f>
        <v>193.93</v>
      </c>
      <c r="BA28">
        <f>_xll.EQNXTDZ($A$1,$B28,BA$1,$B$1)</f>
        <v>194.26</v>
      </c>
      <c r="BB28">
        <f>_xll.EQNXTDZ($A$1,$B28,BB$1,$B$1)</f>
        <v>195.15</v>
      </c>
      <c r="BC28">
        <f>_xll.EQNXTDZ($A$1,$B28,BC$1,$B$1)</f>
        <v>203.24</v>
      </c>
      <c r="BD28">
        <f>_xll.EQNXTDZ($A$1,$B28,BD$1,$B$1)</f>
        <v>212.13</v>
      </c>
      <c r="BE28">
        <f>_xll.EQNXTDZ($A$1,$B28,BE$1,$B$1)</f>
        <v>216.89</v>
      </c>
      <c r="BF28">
        <f>_xll.EQNXTDZ($A$1,$B28,BF$1,$B$1)</f>
        <v>219.81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8.06</v>
      </c>
      <c r="D29">
        <f>_xll.EQNXTDZ($A$1,$B29,D$1,$B$1)</f>
        <v>10.51</v>
      </c>
      <c r="E29">
        <f>_xll.EQNXTDZ($A$1,$B29,E$1,$B$1)</f>
        <v>40.01</v>
      </c>
      <c r="F29">
        <f>_xll.EQNXTDZ($A$1,$B29,F$1,$B$1)</f>
        <v>35.5</v>
      </c>
      <c r="G29">
        <f>_xll.EQNXTDZ($A$1,$B29,G$1,$B$1)</f>
        <v>7.55</v>
      </c>
      <c r="H29">
        <f>_xll.EQNXTDZ($A$1,$B29,H$1,$B$1)</f>
        <v>13.97</v>
      </c>
      <c r="I29">
        <f>_xll.EQNXTDZ($A$1,$B29,I$1,$B$1)</f>
        <v>19.82</v>
      </c>
      <c r="J29">
        <f>_xll.EQNXTDZ($A$1,$B29,J$1,$B$1)</f>
        <v>12.98</v>
      </c>
      <c r="K29">
        <f>_xll.EQNXTDZ($A$1,$B29,K$1,$B$1)</f>
        <v>27.52</v>
      </c>
      <c r="L29">
        <f>_xll.EQNXTDZ($A$1,$B29,L$1,$B$1)</f>
        <v>41.5</v>
      </c>
      <c r="M29">
        <f>_xll.EQNXTDZ($A$1,$B29,M$1,$B$1)</f>
        <v>16.350000000000001</v>
      </c>
      <c r="N29">
        <f>_xll.EQNXTDZ($A$1,$B29,N$1,$B$1)</f>
        <v>11.25</v>
      </c>
      <c r="O29">
        <f>_xll.EQNXTDZ($A$1,$B29,O$1,$B$1)</f>
        <v>52.23</v>
      </c>
      <c r="P29">
        <f>_xll.EQNXTDZ($A$1,$B29,P$1,$B$1)</f>
        <v>36.119999999999997</v>
      </c>
      <c r="Q29">
        <f>_xll.EQNXTDZ($A$1,$B29,Q$1,$B$1)</f>
        <v>32.46</v>
      </c>
      <c r="R29">
        <f>_xll.EQNXTDZ($A$1,$B29,R$1,$B$1)</f>
        <v>28.7</v>
      </c>
      <c r="S29">
        <f>_xll.EQNXTDZ($A$1,$B29,S$1,$B$1)</f>
        <v>50.13</v>
      </c>
      <c r="T29">
        <f>_xll.EQNXTDZ($A$1,$B29,T$1,$B$1)</f>
        <v>29.79</v>
      </c>
      <c r="U29">
        <f>_xll.EQNXTDZ($A$1,$B29,U$1,$B$1)</f>
        <v>27.11</v>
      </c>
      <c r="V29">
        <f>_xll.EQNXTDZ($A$1,$B29,V$1,$B$1)</f>
        <v>35.17</v>
      </c>
      <c r="W29">
        <f>_xll.EQNXTDZ($A$1,$B29,W$1,$B$1)</f>
        <v>22.78</v>
      </c>
      <c r="X29">
        <f>_xll.EQNXTDZ($A$1,$B29,X$1,$B$1)</f>
        <v>16.16</v>
      </c>
      <c r="Y29">
        <f>_xll.EQNXTDZ($A$1,$B29,Y$1,$B$1)</f>
        <v>41.51</v>
      </c>
      <c r="Z29">
        <f>_xll.EQNXTDZ($A$1,$B29,Z$1,$B$1)</f>
        <v>39.520000000000003</v>
      </c>
      <c r="AA29">
        <f>_xll.EQNXTDZ($A$1,$B29,AA$1,$B$1)</f>
        <v>46.24</v>
      </c>
      <c r="AB29">
        <f>_xll.EQNXTDZ($A$1,$B29,AB$1,$B$1)</f>
        <v>37.67</v>
      </c>
      <c r="AC29">
        <f>_xll.EQNXTDZ($A$1,$B29,AC$1,$B$1)</f>
        <v>31.02</v>
      </c>
      <c r="AD29">
        <f>_xll.EQNXTDZ($A$1,$B29,AD$1,$B$1)</f>
        <v>61.91</v>
      </c>
      <c r="AE29">
        <f>_xll.EQNXTDZ($A$1,$B29,AE$1,$B$1)</f>
        <v>55.61</v>
      </c>
      <c r="AF29">
        <f>_xll.EQNXTDZ($A$1,$B29,AF$1,$B$1)</f>
        <v>4.12</v>
      </c>
      <c r="AG29">
        <f>_xll.EQNXTDZ($A$1,$B29,AG$1,$B$1)</f>
        <v>-86.41</v>
      </c>
      <c r="AH29">
        <f>_xll.EQNXTDZ($A$1,$B29,AH$1,$B$1)</f>
        <v>25.48</v>
      </c>
      <c r="AI29">
        <f>_xll.EQNXTDZ($A$1,$B29,AI$1,$B$1)</f>
        <v>49.3</v>
      </c>
      <c r="AJ29">
        <f>_xll.EQNXTDZ($A$1,$B29,AJ$1,$B$1)</f>
        <v>116.39</v>
      </c>
      <c r="AK29">
        <f>_xll.EQNXTDZ($A$1,$B29,AK$1,$B$1)</f>
        <v>118.5</v>
      </c>
      <c r="AL29">
        <f>_xll.EQNXTDZ($A$1,$B29,AL$1,$B$1)</f>
        <v>130.21</v>
      </c>
      <c r="AM29">
        <f>_xll.EQNXTDZ($A$1,$B29,AM$1,$B$1)</f>
        <v>139.63</v>
      </c>
      <c r="AN29">
        <f>_xll.EQNXTDZ($A$1,$B29,AN$1,$B$1)</f>
        <v>149.97</v>
      </c>
      <c r="AO29">
        <f>_xll.EQNXTDZ($A$1,$B29,AO$1,$B$1)</f>
        <v>224.74</v>
      </c>
      <c r="AP29">
        <f>_xll.EQNXTDZ($A$1,$B29,AP$1,$B$1)</f>
        <v>182.29</v>
      </c>
      <c r="AQ29">
        <f>_xll.EQNXTDZ($A$1,$B29,AQ$1,$B$1)</f>
        <v>233.59</v>
      </c>
      <c r="AR29">
        <f>_xll.EQNXTDZ($A$1,$B29,AR$1,$B$1)</f>
        <v>137.09</v>
      </c>
      <c r="AS29">
        <f>_xll.EQNXTDZ($A$1,$B29,AS$1,$B$1)</f>
        <v>120.03</v>
      </c>
      <c r="AT29">
        <f>_xll.EQNXTDZ($A$1,$B29,AT$1,$B$1)</f>
        <v>170.94</v>
      </c>
      <c r="AU29">
        <f>_xll.EQNXTDZ($A$1,$B29,AU$1,$B$1)</f>
        <v>126.48</v>
      </c>
      <c r="AV29">
        <f>_xll.EQNXTDZ($A$1,$B29,AV$1,$B$1)</f>
        <v>114.03</v>
      </c>
      <c r="AW29">
        <f>_xll.EQNXTDZ($A$1,$B29,AW$1,$B$1)</f>
        <v>94.89</v>
      </c>
      <c r="AX29">
        <f>_xll.EQNXTDZ($A$1,$B29,AX$1,$B$1)</f>
        <v>21.11</v>
      </c>
      <c r="AY29">
        <f>_xll.EQNXTDZ($A$1,$B29,AY$1,$B$1)</f>
        <v>91.76</v>
      </c>
      <c r="AZ29">
        <f>_xll.EQNXTDZ($A$1,$B29,AZ$1,$B$1)</f>
        <v>82.24</v>
      </c>
      <c r="BA29">
        <f>_xll.EQNXTDZ($A$1,$B29,BA$1,$B$1)</f>
        <v>97.62</v>
      </c>
      <c r="BB29">
        <f>_xll.EQNXTDZ($A$1,$B29,BB$1,$B$1)</f>
        <v>181.3</v>
      </c>
      <c r="BC29">
        <f>_xll.EQNXTDZ($A$1,$B29,BC$1,$B$1)</f>
        <v>143.5</v>
      </c>
      <c r="BD29">
        <f>_xll.EQNXTDZ($A$1,$B29,BD$1,$B$1)</f>
        <v>128.87</v>
      </c>
      <c r="BE29">
        <f>_xll.EQNXTDZ($A$1,$B29,BE$1,$B$1)</f>
        <v>19.010000000000002</v>
      </c>
      <c r="BF29">
        <f>_xll.EQNXTDZ($A$1,$B29,BF$1,$B$1)</f>
        <v>175.08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22.02</v>
      </c>
      <c r="D30">
        <f>_xll.EQNXTDZ($A$1,$B30,D$1,$B$1)</f>
        <v>75.36</v>
      </c>
      <c r="E30">
        <f>_xll.EQNXTDZ($A$1,$B30,E$1,$B$1)</f>
        <v>89.25</v>
      </c>
      <c r="F30">
        <f>_xll.EQNXTDZ($A$1,$B30,F$1,$B$1)</f>
        <v>71.88</v>
      </c>
      <c r="G30">
        <f>_xll.EQNXTDZ($A$1,$B30,G$1,$B$1)</f>
        <v>43.81</v>
      </c>
      <c r="H30">
        <f>_xll.EQNXTDZ($A$1,$B30,H$1,$B$1)</f>
        <v>47.77</v>
      </c>
      <c r="I30">
        <f>_xll.EQNXTDZ($A$1,$B30,I$1,$B$1)</f>
        <v>72.06</v>
      </c>
      <c r="J30">
        <f>_xll.EQNXTDZ($A$1,$B30,J$1,$B$1)</f>
        <v>52.9</v>
      </c>
      <c r="K30">
        <f>_xll.EQNXTDZ($A$1,$B30,K$1,$B$1)</f>
        <v>92.5</v>
      </c>
      <c r="L30">
        <f>_xll.EQNXTDZ($A$1,$B30,L$1,$B$1)</f>
        <v>78.489999999999995</v>
      </c>
      <c r="M30">
        <f>_xll.EQNXTDZ($A$1,$B30,M$1,$B$1)</f>
        <v>71.400000000000006</v>
      </c>
      <c r="N30">
        <f>_xll.EQNXTDZ($A$1,$B30,N$1,$B$1)</f>
        <v>60.42</v>
      </c>
      <c r="O30">
        <f>_xll.EQNXTDZ($A$1,$B30,O$1,$B$1)</f>
        <v>113.42</v>
      </c>
      <c r="P30">
        <f>_xll.EQNXTDZ($A$1,$B30,P$1,$B$1)</f>
        <v>102.12</v>
      </c>
      <c r="Q30">
        <f>_xll.EQNXTDZ($A$1,$B30,Q$1,$B$1)</f>
        <v>96.88</v>
      </c>
      <c r="R30">
        <f>_xll.EQNXTDZ($A$1,$B30,R$1,$B$1)</f>
        <v>111.69</v>
      </c>
      <c r="S30">
        <f>_xll.EQNXTDZ($A$1,$B30,S$1,$B$1)</f>
        <v>154.56</v>
      </c>
      <c r="T30">
        <f>_xll.EQNXTDZ($A$1,$B30,T$1,$B$1)</f>
        <v>122.84</v>
      </c>
      <c r="U30">
        <f>_xll.EQNXTDZ($A$1,$B30,U$1,$B$1)</f>
        <v>108.37</v>
      </c>
      <c r="V30">
        <f>_xll.EQNXTDZ($A$1,$B30,V$1,$B$1)</f>
        <v>129.22</v>
      </c>
      <c r="W30">
        <f>_xll.EQNXTDZ($A$1,$B30,W$1,$B$1)</f>
        <v>103.81</v>
      </c>
      <c r="X30">
        <f>_xll.EQNXTDZ($A$1,$B30,X$1,$B$1)</f>
        <v>102.76</v>
      </c>
      <c r="Y30">
        <f>_xll.EQNXTDZ($A$1,$B30,Y$1,$B$1)</f>
        <v>131.22</v>
      </c>
      <c r="Z30">
        <f>_xll.EQNXTDZ($A$1,$B30,Z$1,$B$1)</f>
        <v>123.91</v>
      </c>
      <c r="AA30">
        <f>_xll.EQNXTDZ($A$1,$B30,AA$1,$B$1)</f>
        <v>129.79</v>
      </c>
      <c r="AB30">
        <f>_xll.EQNXTDZ($A$1,$B30,AB$1,$B$1)</f>
        <v>128.72999999999999</v>
      </c>
      <c r="AC30">
        <f>_xll.EQNXTDZ($A$1,$B30,AC$1,$B$1)</f>
        <v>153.57</v>
      </c>
      <c r="AD30">
        <f>_xll.EQNXTDZ($A$1,$B30,AD$1,$B$1)</f>
        <v>179.3</v>
      </c>
      <c r="AE30">
        <f>_xll.EQNXTDZ($A$1,$B30,AE$1,$B$1)</f>
        <v>175.34</v>
      </c>
      <c r="AF30">
        <f>_xll.EQNXTDZ($A$1,$B30,AF$1,$B$1)</f>
        <v>200.93</v>
      </c>
      <c r="AG30">
        <f>_xll.EQNXTDZ($A$1,$B30,AG$1,$B$1)</f>
        <v>345.47</v>
      </c>
      <c r="AH30">
        <f>_xll.EQNXTDZ($A$1,$B30,AH$1,$B$1)</f>
        <v>194.16</v>
      </c>
      <c r="AI30">
        <f>_xll.EQNXTDZ($A$1,$B30,AI$1,$B$1)</f>
        <v>176.87</v>
      </c>
      <c r="AJ30">
        <f>_xll.EQNXTDZ($A$1,$B30,AJ$1,$B$1)</f>
        <v>315.68</v>
      </c>
      <c r="AK30">
        <f>_xll.EQNXTDZ($A$1,$B30,AK$1,$B$1)</f>
        <v>324.25</v>
      </c>
      <c r="AL30">
        <f>_xll.EQNXTDZ($A$1,$B30,AL$1,$B$1)</f>
        <v>381.45</v>
      </c>
      <c r="AM30">
        <f>_xll.EQNXTDZ($A$1,$B30,AM$1,$B$1)</f>
        <v>395.28</v>
      </c>
      <c r="AN30">
        <f>_xll.EQNXTDZ($A$1,$B30,AN$1,$B$1)</f>
        <v>382.45</v>
      </c>
      <c r="AO30">
        <f>_xll.EQNXTDZ($A$1,$B30,AO$1,$B$1)</f>
        <v>505.54</v>
      </c>
      <c r="AP30">
        <f>_xll.EQNXTDZ($A$1,$B30,AP$1,$B$1)</f>
        <v>605.65</v>
      </c>
      <c r="AQ30">
        <f>_xll.EQNXTDZ($A$1,$B30,AQ$1,$B$1)</f>
        <v>608</v>
      </c>
      <c r="AR30">
        <f>_xll.EQNXTDZ($A$1,$B30,AR$1,$B$1)</f>
        <v>480.99</v>
      </c>
      <c r="AS30">
        <f>_xll.EQNXTDZ($A$1,$B30,AS$1,$B$1)</f>
        <v>510.9</v>
      </c>
      <c r="AT30">
        <f>_xll.EQNXTDZ($A$1,$B30,AT$1,$B$1)</f>
        <v>562.45000000000005</v>
      </c>
      <c r="AU30">
        <f>_xll.EQNXTDZ($A$1,$B30,AU$1,$B$1)</f>
        <v>359.29000000000099</v>
      </c>
      <c r="AV30">
        <f>_xll.EQNXTDZ($A$1,$B30,AV$1,$B$1)</f>
        <v>300.77999999999997</v>
      </c>
      <c r="AW30">
        <f>_xll.EQNXTDZ($A$1,$B30,AW$1,$B$1)</f>
        <v>253.43</v>
      </c>
      <c r="AX30">
        <f>_xll.EQNXTDZ($A$1,$B30,AX$1,$B$1)</f>
        <v>422.21</v>
      </c>
      <c r="AY30">
        <f>_xll.EQNXTDZ($A$1,$B30,AY$1,$B$1)</f>
        <v>252.22</v>
      </c>
      <c r="AZ30">
        <f>_xll.EQNXTDZ($A$1,$B30,AZ$1,$B$1)</f>
        <v>201.42</v>
      </c>
      <c r="BA30">
        <f>_xll.EQNXTDZ($A$1,$B30,BA$1,$B$1)</f>
        <v>271.08</v>
      </c>
      <c r="BB30">
        <f>_xll.EQNXTDZ($A$1,$B30,BB$1,$B$1)</f>
        <v>526.05999999999995</v>
      </c>
      <c r="BC30">
        <f>_xll.EQNXTDZ($A$1,$B30,BC$1,$B$1)</f>
        <v>432.32000000000102</v>
      </c>
      <c r="BD30">
        <f>_xll.EQNXTDZ($A$1,$B30,BD$1,$B$1)</f>
        <v>388.18</v>
      </c>
      <c r="BE30">
        <f>_xll.EQNXTDZ($A$1,$B30,BE$1,$B$1)</f>
        <v>432.66</v>
      </c>
      <c r="BF30">
        <f>_xll.EQNXTDZ($A$1,$B30,BF$1,$B$1)</f>
        <v>582.01999999999896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22.02</v>
      </c>
      <c r="D38">
        <f>_xll.EQNXTDZ($A$1,$B38,D$1,$B$1)</f>
        <v>75.36</v>
      </c>
      <c r="E38">
        <f>_xll.EQNXTDZ($A$1,$B38,E$1,$B$1)</f>
        <v>89.25</v>
      </c>
      <c r="F38">
        <f>_xll.EQNXTDZ($A$1,$B38,F$1,$B$1)</f>
        <v>71.88</v>
      </c>
      <c r="G38">
        <f>_xll.EQNXTDZ($A$1,$B38,G$1,$B$1)</f>
        <v>43.81</v>
      </c>
      <c r="H38">
        <f>_xll.EQNXTDZ($A$1,$B38,H$1,$B$1)</f>
        <v>47.77</v>
      </c>
      <c r="I38">
        <f>_xll.EQNXTDZ($A$1,$B38,I$1,$B$1)</f>
        <v>72.06</v>
      </c>
      <c r="J38">
        <f>_xll.EQNXTDZ($A$1,$B38,J$1,$B$1)</f>
        <v>52.9</v>
      </c>
      <c r="K38">
        <f>_xll.EQNXTDZ($A$1,$B38,K$1,$B$1)</f>
        <v>92.5</v>
      </c>
      <c r="L38">
        <f>_xll.EQNXTDZ($A$1,$B38,L$1,$B$1)</f>
        <v>78.489999999999995</v>
      </c>
      <c r="M38">
        <f>_xll.EQNXTDZ($A$1,$B38,M$1,$B$1)</f>
        <v>71.400000000000006</v>
      </c>
      <c r="N38">
        <f>_xll.EQNXTDZ($A$1,$B38,N$1,$B$1)</f>
        <v>60.42</v>
      </c>
      <c r="O38">
        <f>_xll.EQNXTDZ($A$1,$B38,O$1,$B$1)</f>
        <v>113.42</v>
      </c>
      <c r="P38">
        <f>_xll.EQNXTDZ($A$1,$B38,P$1,$B$1)</f>
        <v>102.12</v>
      </c>
      <c r="Q38">
        <f>_xll.EQNXTDZ($A$1,$B38,Q$1,$B$1)</f>
        <v>96.88</v>
      </c>
      <c r="R38">
        <f>_xll.EQNXTDZ($A$1,$B38,R$1,$B$1)</f>
        <v>111.69</v>
      </c>
      <c r="S38">
        <f>_xll.EQNXTDZ($A$1,$B38,S$1,$B$1)</f>
        <v>154.56</v>
      </c>
      <c r="T38">
        <f>_xll.EQNXTDZ($A$1,$B38,T$1,$B$1)</f>
        <v>122.84</v>
      </c>
      <c r="U38">
        <f>_xll.EQNXTDZ($A$1,$B38,U$1,$B$1)</f>
        <v>108.37</v>
      </c>
      <c r="V38">
        <f>_xll.EQNXTDZ($A$1,$B38,V$1,$B$1)</f>
        <v>129.22</v>
      </c>
      <c r="W38">
        <f>_xll.EQNXTDZ($A$1,$B38,W$1,$B$1)</f>
        <v>103.81</v>
      </c>
      <c r="X38">
        <f>_xll.EQNXTDZ($A$1,$B38,X$1,$B$1)</f>
        <v>102.76</v>
      </c>
      <c r="Y38">
        <f>_xll.EQNXTDZ($A$1,$B38,Y$1,$B$1)</f>
        <v>131.22</v>
      </c>
      <c r="Z38">
        <f>_xll.EQNXTDZ($A$1,$B38,Z$1,$B$1)</f>
        <v>123.91</v>
      </c>
      <c r="AA38">
        <f>_xll.EQNXTDZ($A$1,$B38,AA$1,$B$1)</f>
        <v>133.84</v>
      </c>
      <c r="AB38">
        <f>_xll.EQNXTDZ($A$1,$B38,AB$1,$B$1)</f>
        <v>151.19999999999999</v>
      </c>
      <c r="AC38">
        <f>_xll.EQNXTDZ($A$1,$B38,AC$1,$B$1)</f>
        <v>165.71</v>
      </c>
      <c r="AD38">
        <f>_xll.EQNXTDZ($A$1,$B38,AD$1,$B$1)</f>
        <v>190.89</v>
      </c>
      <c r="AE38">
        <f>_xll.EQNXTDZ($A$1,$B38,AE$1,$B$1)</f>
        <v>189.22</v>
      </c>
      <c r="AF38">
        <f>_xll.EQNXTDZ($A$1,$B38,AF$1,$B$1)</f>
        <v>301.13</v>
      </c>
      <c r="AG38">
        <f>_xll.EQNXTDZ($A$1,$B38,AG$1,$B$1)</f>
        <v>342.99</v>
      </c>
      <c r="AH38">
        <f>_xll.EQNXTDZ($A$1,$B38,AH$1,$B$1)</f>
        <v>185.75</v>
      </c>
      <c r="AI38">
        <f>_xll.EQNXTDZ($A$1,$B38,AI$1,$B$1)</f>
        <v>177.09</v>
      </c>
      <c r="AJ38">
        <f>_xll.EQNXTDZ($A$1,$B38,AJ$1,$B$1)</f>
        <v>315.2</v>
      </c>
      <c r="AK38">
        <f>_xll.EQNXTDZ($A$1,$B38,AK$1,$B$1)</f>
        <v>324.73</v>
      </c>
      <c r="AL38">
        <f>_xll.EQNXTDZ($A$1,$B38,AL$1,$B$1)</f>
        <v>380.92</v>
      </c>
      <c r="AM38">
        <f>_xll.EQNXTDZ($A$1,$B38,AM$1,$B$1)</f>
        <v>395.28</v>
      </c>
      <c r="AN38">
        <f>_xll.EQNXTDZ($A$1,$B38,AN$1,$B$1)</f>
        <v>382.45</v>
      </c>
      <c r="AO38">
        <f>_xll.EQNXTDZ($A$1,$B38,AO$1,$B$1)</f>
        <v>505.54</v>
      </c>
      <c r="AP38">
        <f>_xll.EQNXTDZ($A$1,$B38,AP$1,$B$1)</f>
        <v>605.65</v>
      </c>
      <c r="AQ38">
        <f>_xll.EQNXTDZ($A$1,$B38,AQ$1,$B$1)</f>
        <v>608</v>
      </c>
      <c r="AR38">
        <f>_xll.EQNXTDZ($A$1,$B38,AR$1,$B$1)</f>
        <v>480.99</v>
      </c>
      <c r="AS38">
        <f>_xll.EQNXTDZ($A$1,$B38,AS$1,$B$1)</f>
        <v>510.9</v>
      </c>
      <c r="AT38">
        <f>_xll.EQNXTDZ($A$1,$B38,AT$1,$B$1)</f>
        <v>562.45000000000005</v>
      </c>
      <c r="AU38">
        <f>_xll.EQNXTDZ($A$1,$B38,AU$1,$B$1)</f>
        <v>359.29</v>
      </c>
      <c r="AV38">
        <f>_xll.EQNXTDZ($A$1,$B38,AV$1,$B$1)</f>
        <v>300.77999999999997</v>
      </c>
      <c r="AW38">
        <f>_xll.EQNXTDZ($A$1,$B38,AW$1,$B$1)</f>
        <v>253.43</v>
      </c>
      <c r="AX38">
        <f>_xll.EQNXTDZ($A$1,$B38,AX$1,$B$1)</f>
        <v>422.21</v>
      </c>
      <c r="AY38">
        <f>_xll.EQNXTDZ($A$1,$B38,AY$1,$B$1)</f>
        <v>252.22</v>
      </c>
      <c r="AZ38">
        <f>_xll.EQNXTDZ($A$1,$B38,AZ$1,$B$1)</f>
        <v>201.42</v>
      </c>
      <c r="BA38">
        <f>_xll.EQNXTDZ($A$1,$B38,BA$1,$B$1)</f>
        <v>271.08</v>
      </c>
      <c r="BB38">
        <f>_xll.EQNXTDZ($A$1,$B38,BB$1,$B$1)</f>
        <v>526.05999999999995</v>
      </c>
      <c r="BC38">
        <f>_xll.EQNXTDZ($A$1,$B38,BC$1,$B$1)</f>
        <v>432.32</v>
      </c>
      <c r="BD38">
        <f>_xll.EQNXTDZ($A$1,$B38,BD$1,$B$1)</f>
        <v>388.18</v>
      </c>
      <c r="BE38">
        <f>_xll.EQNXTDZ($A$1,$B38,BE$1,$B$1)</f>
        <v>432.66</v>
      </c>
      <c r="BF38">
        <f>_xll.EQNXTDZ($A$1,$B38,BF$1,$B$1)</f>
        <v>582.02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4.05</v>
      </c>
      <c r="AB39">
        <f>_xll.EQNXTDZ($A$1,$B39,AB$1,$B$1)</f>
        <v>22.47</v>
      </c>
      <c r="AC39">
        <f>_xll.EQNXTDZ($A$1,$B39,AC$1,$B$1)</f>
        <v>12.14</v>
      </c>
      <c r="AD39">
        <f>_xll.EQNXTDZ($A$1,$B39,AD$1,$B$1)</f>
        <v>11.59</v>
      </c>
      <c r="AE39">
        <f>_xll.EQNXTDZ($A$1,$B39,AE$1,$B$1)</f>
        <v>13.88</v>
      </c>
      <c r="AF39">
        <f>_xll.EQNXTDZ($A$1,$B39,AF$1,$B$1)</f>
        <v>100.2</v>
      </c>
      <c r="AG39">
        <f>_xll.EQNXTDZ($A$1,$B39,AG$1,$B$1)</f>
        <v>-2.48</v>
      </c>
      <c r="AH39">
        <f>_xll.EQNXTDZ($A$1,$B39,AH$1,$B$1)</f>
        <v>-8.41</v>
      </c>
      <c r="AI39">
        <f>_xll.EQNXTDZ($A$1,$B39,AI$1,$B$1)</f>
        <v>0.22</v>
      </c>
      <c r="AJ39">
        <f>_xll.EQNXTDZ($A$1,$B39,AJ$1,$B$1)</f>
        <v>-0.48</v>
      </c>
      <c r="AK39">
        <f>_xll.EQNXTDZ($A$1,$B39,AK$1,$B$1)</f>
        <v>0.48</v>
      </c>
      <c r="AL39">
        <f>_xll.EQNXTDZ($A$1,$B39,AL$1,$B$1)</f>
        <v>-0.53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-2.76</v>
      </c>
      <c r="P40">
        <f>_xll.EQNXTDZ($A$1,$B40,P$1,$B$1)</f>
        <v>-1.76</v>
      </c>
      <c r="Q40">
        <f>_xll.EQNXTDZ($A$1,$B40,Q$1,$B$1)</f>
        <v>1.58</v>
      </c>
      <c r="R40">
        <f>_xll.EQNXTDZ($A$1,$B40,R$1,$B$1)</f>
        <v>0.18</v>
      </c>
      <c r="S40">
        <f>_xll.EQNXTDZ($A$1,$B40,S$1,$B$1)</f>
        <v>-5.55</v>
      </c>
      <c r="T40">
        <f>_xll.EQNXTDZ($A$1,$B40,T$1,$B$1)</f>
        <v>4.3</v>
      </c>
      <c r="U40">
        <f>_xll.EQNXTDZ($A$1,$B40,U$1,$B$1)</f>
        <v>0.76</v>
      </c>
      <c r="V40">
        <f>_xll.EQNXTDZ($A$1,$B40,V$1,$B$1)</f>
        <v>11.7</v>
      </c>
      <c r="W40">
        <f>_xll.EQNXTDZ($A$1,$B40,W$1,$B$1)</f>
        <v>1.59</v>
      </c>
      <c r="X40">
        <f>_xll.EQNXTDZ($A$1,$B40,X$1,$B$1)</f>
        <v>-4.1100000000000003</v>
      </c>
      <c r="Y40">
        <f>_xll.EQNXTDZ($A$1,$B40,Y$1,$B$1)</f>
        <v>11.13</v>
      </c>
      <c r="Z40">
        <f>_xll.EQNXTDZ($A$1,$B40,Z$1,$B$1)</f>
        <v>-5.52</v>
      </c>
      <c r="AA40">
        <f>_xll.EQNXTDZ($A$1,$B40,AA$1,$B$1)</f>
        <v>-26.93</v>
      </c>
      <c r="AB40">
        <f>_xll.EQNXTDZ($A$1,$B40,AB$1,$B$1)</f>
        <v>-14.84</v>
      </c>
      <c r="AC40">
        <f>_xll.EQNXTDZ($A$1,$B40,AC$1,$B$1)</f>
        <v>45.65</v>
      </c>
      <c r="AD40">
        <f>_xll.EQNXTDZ($A$1,$B40,AD$1,$B$1)</f>
        <v>1.77</v>
      </c>
      <c r="AE40">
        <f>_xll.EQNXTDZ($A$1,$B40,AE$1,$B$1)</f>
        <v>3</v>
      </c>
      <c r="AF40">
        <f>_xll.EQNXTDZ($A$1,$B40,AF$1,$B$1)</f>
        <v>-8.7799999999999994</v>
      </c>
      <c r="AG40">
        <f>_xll.EQNXTDZ($A$1,$B40,AG$1,$B$1)</f>
        <v>12.51</v>
      </c>
      <c r="AH40">
        <f>_xll.EQNXTDZ($A$1,$B40,AH$1,$B$1)</f>
        <v>-125.74</v>
      </c>
      <c r="AI40">
        <f>_xll.EQNXTDZ($A$1,$B40,AI$1,$B$1)</f>
        <v>41.18</v>
      </c>
      <c r="AJ40">
        <f>_xll.EQNXTDZ($A$1,$B40,AJ$1,$B$1)</f>
        <v>19.09</v>
      </c>
      <c r="AK40">
        <f>_xll.EQNXTDZ($A$1,$B40,AK$1,$B$1)</f>
        <v>60.54</v>
      </c>
      <c r="AL40">
        <f>_xll.EQNXTDZ($A$1,$B40,AL$1,$B$1)</f>
        <v>6.69</v>
      </c>
      <c r="AM40">
        <f>_xll.EQNXTDZ($A$1,$B40,AM$1,$B$1)</f>
        <v>-26.67</v>
      </c>
      <c r="AN40">
        <f>_xll.EQNXTDZ($A$1,$B40,AN$1,$B$1)</f>
        <v>-9.9499999999999993</v>
      </c>
      <c r="AO40">
        <f>_xll.EQNXTDZ($A$1,$B40,AO$1,$B$1)</f>
        <v>25.87</v>
      </c>
      <c r="AP40">
        <f>_xll.EQNXTDZ($A$1,$B40,AP$1,$B$1)</f>
        <v>31.47</v>
      </c>
      <c r="AQ40">
        <f>_xll.EQNXTDZ($A$1,$B40,AQ$1,$B$1)</f>
        <v>-174.23</v>
      </c>
      <c r="AR40">
        <f>_xll.EQNXTDZ($A$1,$B40,AR$1,$B$1)</f>
        <v>-152.55000000000001</v>
      </c>
      <c r="AS40">
        <f>_xll.EQNXTDZ($A$1,$B40,AS$1,$B$1)</f>
        <v>89.87</v>
      </c>
      <c r="AT40">
        <f>_xll.EQNXTDZ($A$1,$B40,AT$1,$B$1)</f>
        <v>41.28</v>
      </c>
      <c r="AU40">
        <f>_xll.EQNXTDZ($A$1,$B40,AU$1,$B$1)</f>
        <v>10.19</v>
      </c>
      <c r="AV40">
        <f>_xll.EQNXTDZ($A$1,$B40,AV$1,$B$1)</f>
        <v>-43.1</v>
      </c>
      <c r="AW40">
        <f>_xll.EQNXTDZ($A$1,$B40,AW$1,$B$1)</f>
        <v>76.48</v>
      </c>
      <c r="AX40">
        <f>_xll.EQNXTDZ($A$1,$B40,AX$1,$B$1)</f>
        <v>-22.44</v>
      </c>
      <c r="AY40">
        <f>_xll.EQNXTDZ($A$1,$B40,AY$1,$B$1)</f>
        <v>42.84</v>
      </c>
      <c r="AZ40">
        <f>_xll.EQNXTDZ($A$1,$B40,AZ$1,$B$1)</f>
        <v>124.12</v>
      </c>
      <c r="BA40">
        <f>_xll.EQNXTDZ($A$1,$B40,BA$1,$B$1)</f>
        <v>-152.41</v>
      </c>
      <c r="BB40">
        <f>_xll.EQNXTDZ($A$1,$B40,BB$1,$B$1)</f>
        <v>86.83</v>
      </c>
      <c r="BC40">
        <f>_xll.EQNXTDZ($A$1,$B40,BC$1,$B$1)</f>
        <v>39.33</v>
      </c>
      <c r="BD40">
        <f>_xll.EQNXTDZ($A$1,$B40,BD$1,$B$1)</f>
        <v>-108.12</v>
      </c>
      <c r="BE40">
        <f>_xll.EQNXTDZ($A$1,$B40,BE$1,$B$1)</f>
        <v>47.9</v>
      </c>
      <c r="BF40">
        <f>_xll.EQNXTDZ($A$1,$B40,BF$1,$B$1)</f>
        <v>-139.13999999999999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110.66</v>
      </c>
      <c r="P41">
        <f>_xll.EQNXTDZ($A$1,$B41,P$1,$B$1)</f>
        <v>100.36</v>
      </c>
      <c r="Q41">
        <f>_xll.EQNXTDZ($A$1,$B41,Q$1,$B$1)</f>
        <v>98.46</v>
      </c>
      <c r="R41">
        <f>_xll.EQNXTDZ($A$1,$B41,R$1,$B$1)</f>
        <v>111.87</v>
      </c>
      <c r="S41">
        <f>_xll.EQNXTDZ($A$1,$B41,S$1,$B$1)</f>
        <v>149.01</v>
      </c>
      <c r="T41">
        <f>_xll.EQNXTDZ($A$1,$B41,T$1,$B$1)</f>
        <v>127.14</v>
      </c>
      <c r="U41">
        <f>_xll.EQNXTDZ($A$1,$B41,U$1,$B$1)</f>
        <v>109.13</v>
      </c>
      <c r="V41">
        <f>_xll.EQNXTDZ($A$1,$B41,V$1,$B$1)</f>
        <v>140.91999999999999</v>
      </c>
      <c r="W41">
        <f>_xll.EQNXTDZ($A$1,$B41,W$1,$B$1)</f>
        <v>105.4</v>
      </c>
      <c r="X41">
        <f>_xll.EQNXTDZ($A$1,$B41,X$1,$B$1)</f>
        <v>98.65</v>
      </c>
      <c r="Y41">
        <f>_xll.EQNXTDZ($A$1,$B41,Y$1,$B$1)</f>
        <v>142.35</v>
      </c>
      <c r="Z41">
        <f>_xll.EQNXTDZ($A$1,$B41,Z$1,$B$1)</f>
        <v>118.39</v>
      </c>
      <c r="AA41">
        <f>_xll.EQNXTDZ($A$1,$B41,AA$1,$B$1)</f>
        <v>106.91</v>
      </c>
      <c r="AB41">
        <f>_xll.EQNXTDZ($A$1,$B41,AB$1,$B$1)</f>
        <v>136.36000000000001</v>
      </c>
      <c r="AC41">
        <f>_xll.EQNXTDZ($A$1,$B41,AC$1,$B$1)</f>
        <v>211.36</v>
      </c>
      <c r="AD41">
        <f>_xll.EQNXTDZ($A$1,$B41,AD$1,$B$1)</f>
        <v>192.66</v>
      </c>
      <c r="AE41">
        <f>_xll.EQNXTDZ($A$1,$B41,AE$1,$B$1)</f>
        <v>192.22</v>
      </c>
      <c r="AF41">
        <f>_xll.EQNXTDZ($A$1,$B41,AF$1,$B$1)</f>
        <v>292.35000000000002</v>
      </c>
      <c r="AG41">
        <f>_xll.EQNXTDZ($A$1,$B41,AG$1,$B$1)</f>
        <v>355.5</v>
      </c>
      <c r="AH41">
        <f>_xll.EQNXTDZ($A$1,$B41,AH$1,$B$1)</f>
        <v>60.01</v>
      </c>
      <c r="AI41">
        <f>_xll.EQNXTDZ($A$1,$B41,AI$1,$B$1)</f>
        <v>218.27</v>
      </c>
      <c r="AJ41">
        <f>_xll.EQNXTDZ($A$1,$B41,AJ$1,$B$1)</f>
        <v>334.29</v>
      </c>
      <c r="AK41">
        <f>_xll.EQNXTDZ($A$1,$B41,AK$1,$B$1)</f>
        <v>385.27</v>
      </c>
      <c r="AL41">
        <f>_xll.EQNXTDZ($A$1,$B41,AL$1,$B$1)</f>
        <v>387.61</v>
      </c>
      <c r="AM41">
        <f>_xll.EQNXTDZ($A$1,$B41,AM$1,$B$1)</f>
        <v>368.61</v>
      </c>
      <c r="AN41">
        <f>_xll.EQNXTDZ($A$1,$B41,AN$1,$B$1)</f>
        <v>372.5</v>
      </c>
      <c r="AO41">
        <f>_xll.EQNXTDZ($A$1,$B41,AO$1,$B$1)</f>
        <v>531.41</v>
      </c>
      <c r="AP41">
        <f>_xll.EQNXTDZ($A$1,$B41,AP$1,$B$1)</f>
        <v>637.12</v>
      </c>
      <c r="AQ41">
        <f>_xll.EQNXTDZ($A$1,$B41,AQ$1,$B$1)</f>
        <v>433.77</v>
      </c>
      <c r="AR41">
        <f>_xll.EQNXTDZ($A$1,$B41,AR$1,$B$1)</f>
        <v>328.44</v>
      </c>
      <c r="AS41">
        <f>_xll.EQNXTDZ($A$1,$B41,AS$1,$B$1)</f>
        <v>600.77</v>
      </c>
      <c r="AT41">
        <f>_xll.EQNXTDZ($A$1,$B41,AT$1,$B$1)</f>
        <v>603.73</v>
      </c>
      <c r="AU41">
        <f>_xll.EQNXTDZ($A$1,$B41,AU$1,$B$1)</f>
        <v>369.48</v>
      </c>
      <c r="AV41">
        <f>_xll.EQNXTDZ($A$1,$B41,AV$1,$B$1)</f>
        <v>257.68</v>
      </c>
      <c r="AW41">
        <f>_xll.EQNXTDZ($A$1,$B41,AW$1,$B$1)</f>
        <v>329.91</v>
      </c>
      <c r="AX41">
        <f>_xll.EQNXTDZ($A$1,$B41,AX$1,$B$1)</f>
        <v>399.77</v>
      </c>
      <c r="AY41">
        <f>_xll.EQNXTDZ($A$1,$B41,AY$1,$B$1)</f>
        <v>295.06</v>
      </c>
      <c r="AZ41">
        <f>_xll.EQNXTDZ($A$1,$B41,AZ$1,$B$1)</f>
        <v>325.54000000000002</v>
      </c>
      <c r="BA41">
        <f>_xll.EQNXTDZ($A$1,$B41,BA$1,$B$1)</f>
        <v>118.67</v>
      </c>
      <c r="BB41">
        <f>_xll.EQNXTDZ($A$1,$B41,BB$1,$B$1)</f>
        <v>612.89</v>
      </c>
      <c r="BC41">
        <f>_xll.EQNXTDZ($A$1,$B41,BC$1,$B$1)</f>
        <v>471.65</v>
      </c>
      <c r="BD41">
        <f>_xll.EQNXTDZ($A$1,$B41,BD$1,$B$1)</f>
        <v>280.06</v>
      </c>
      <c r="BE41">
        <f>_xll.EQNXTDZ($A$1,$B41,BE$1,$B$1)</f>
        <v>480.56</v>
      </c>
      <c r="BF41">
        <f>_xll.EQNXTDZ($A$1,$B41,BF$1,$B$1)</f>
        <v>442.88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22.02</v>
      </c>
      <c r="D42">
        <f>_xll.EQNXTDZ($A$1,$B42,D$1,$B$1)</f>
        <v>75.36</v>
      </c>
      <c r="E42">
        <f>_xll.EQNXTDZ($A$1,$B42,E$1,$B$1)</f>
        <v>89.25</v>
      </c>
      <c r="F42">
        <f>_xll.EQNXTDZ($A$1,$B42,F$1,$B$1)</f>
        <v>71.88</v>
      </c>
      <c r="G42">
        <f>_xll.EQNXTDZ($A$1,$B42,G$1,$B$1)</f>
        <v>43.81</v>
      </c>
      <c r="H42">
        <f>_xll.EQNXTDZ($A$1,$B42,H$1,$B$1)</f>
        <v>47.77</v>
      </c>
      <c r="I42">
        <f>_xll.EQNXTDZ($A$1,$B42,I$1,$B$1)</f>
        <v>72.06</v>
      </c>
      <c r="J42">
        <f>_xll.EQNXTDZ($A$1,$B42,J$1,$B$1)</f>
        <v>52.9</v>
      </c>
      <c r="K42">
        <f>_xll.EQNXTDZ($A$1,$B42,K$1,$B$1)</f>
        <v>92.5</v>
      </c>
      <c r="L42">
        <f>_xll.EQNXTDZ($A$1,$B42,L$1,$B$1)</f>
        <v>78.489999999999995</v>
      </c>
      <c r="M42">
        <f>_xll.EQNXTDZ($A$1,$B42,M$1,$B$1)</f>
        <v>71.400000000000006</v>
      </c>
      <c r="N42">
        <f>_xll.EQNXTDZ($A$1,$B42,N$1,$B$1)</f>
        <v>60.42</v>
      </c>
      <c r="O42">
        <f>_xll.EQNXTDZ($A$1,$B42,O$1,$B$1)</f>
        <v>113.42</v>
      </c>
      <c r="P42">
        <f>_xll.EQNXTDZ($A$1,$B42,P$1,$B$1)</f>
        <v>102.12</v>
      </c>
      <c r="Q42">
        <f>_xll.EQNXTDZ($A$1,$B42,Q$1,$B$1)</f>
        <v>96.88</v>
      </c>
      <c r="R42">
        <f>_xll.EQNXTDZ($A$1,$B42,R$1,$B$1)</f>
        <v>111.69</v>
      </c>
      <c r="S42">
        <f>_xll.EQNXTDZ($A$1,$B42,S$1,$B$1)</f>
        <v>154.56</v>
      </c>
      <c r="T42">
        <f>_xll.EQNXTDZ($A$1,$B42,T$1,$B$1)</f>
        <v>122.84</v>
      </c>
      <c r="U42">
        <f>_xll.EQNXTDZ($A$1,$B42,U$1,$B$1)</f>
        <v>108.37</v>
      </c>
      <c r="V42">
        <f>_xll.EQNXTDZ($A$1,$B42,V$1,$B$1)</f>
        <v>129.22</v>
      </c>
      <c r="W42">
        <f>_xll.EQNXTDZ($A$1,$B42,W$1,$B$1)</f>
        <v>103.81</v>
      </c>
      <c r="X42">
        <f>_xll.EQNXTDZ($A$1,$B42,X$1,$B$1)</f>
        <v>102.76</v>
      </c>
      <c r="Y42">
        <f>_xll.EQNXTDZ($A$1,$B42,Y$1,$B$1)</f>
        <v>131.22</v>
      </c>
      <c r="Z42">
        <f>_xll.EQNXTDZ($A$1,$B42,Z$1,$B$1)</f>
        <v>123.91</v>
      </c>
      <c r="AA42">
        <f>_xll.EQNXTDZ($A$1,$B42,AA$1,$B$1)</f>
        <v>133.84</v>
      </c>
      <c r="AB42">
        <f>_xll.EQNXTDZ($A$1,$B42,AB$1,$B$1)</f>
        <v>151.19999999999999</v>
      </c>
      <c r="AC42">
        <f>_xll.EQNXTDZ($A$1,$B42,AC$1,$B$1)</f>
        <v>165.71</v>
      </c>
      <c r="AD42">
        <f>_xll.EQNXTDZ($A$1,$B42,AD$1,$B$1)</f>
        <v>190.89</v>
      </c>
      <c r="AE42">
        <f>_xll.EQNXTDZ($A$1,$B42,AE$1,$B$1)</f>
        <v>189.22</v>
      </c>
      <c r="AF42">
        <f>_xll.EQNXTDZ($A$1,$B42,AF$1,$B$1)</f>
        <v>301.13</v>
      </c>
      <c r="AG42">
        <f>_xll.EQNXTDZ($A$1,$B42,AG$1,$B$1)</f>
        <v>342.99</v>
      </c>
      <c r="AH42">
        <f>_xll.EQNXTDZ($A$1,$B42,AH$1,$B$1)</f>
        <v>185.75</v>
      </c>
      <c r="AI42">
        <f>_xll.EQNXTDZ($A$1,$B42,AI$1,$B$1)</f>
        <v>177.09</v>
      </c>
      <c r="AJ42">
        <f>_xll.EQNXTDZ($A$1,$B42,AJ$1,$B$1)</f>
        <v>315.2</v>
      </c>
      <c r="AK42">
        <f>_xll.EQNXTDZ($A$1,$B42,AK$1,$B$1)</f>
        <v>324.73</v>
      </c>
      <c r="AL42">
        <f>_xll.EQNXTDZ($A$1,$B42,AL$1,$B$1)</f>
        <v>380.92</v>
      </c>
      <c r="AM42">
        <f>_xll.EQNXTDZ($A$1,$B42,AM$1,$B$1)</f>
        <v>395.28</v>
      </c>
      <c r="AN42">
        <f>_xll.EQNXTDZ($A$1,$B42,AN$1,$B$1)</f>
        <v>382.45</v>
      </c>
      <c r="AO42">
        <f>_xll.EQNXTDZ($A$1,$B42,AO$1,$B$1)</f>
        <v>505.54</v>
      </c>
      <c r="AP42">
        <f>_xll.EQNXTDZ($A$1,$B42,AP$1,$B$1)</f>
        <v>605.65</v>
      </c>
      <c r="AQ42">
        <f>_xll.EQNXTDZ($A$1,$B42,AQ$1,$B$1)</f>
        <v>608</v>
      </c>
      <c r="AR42">
        <f>_xll.EQNXTDZ($A$1,$B42,AR$1,$B$1)</f>
        <v>480.99</v>
      </c>
      <c r="AS42">
        <f>_xll.EQNXTDZ($A$1,$B42,AS$1,$B$1)</f>
        <v>510.9</v>
      </c>
      <c r="AT42">
        <f>_xll.EQNXTDZ($A$1,$B42,AT$1,$B$1)</f>
        <v>562.45000000000005</v>
      </c>
      <c r="AU42">
        <f>_xll.EQNXTDZ($A$1,$B42,AU$1,$B$1)</f>
        <v>359.29</v>
      </c>
      <c r="AV42">
        <f>_xll.EQNXTDZ($A$1,$B42,AV$1,$B$1)</f>
        <v>300.77999999999997</v>
      </c>
      <c r="AW42">
        <f>_xll.EQNXTDZ($A$1,$B42,AW$1,$B$1)</f>
        <v>253.43</v>
      </c>
      <c r="AX42">
        <f>_xll.EQNXTDZ($A$1,$B42,AX$1,$B$1)</f>
        <v>422.21</v>
      </c>
      <c r="AY42">
        <f>_xll.EQNXTDZ($A$1,$B42,AY$1,$B$1)</f>
        <v>252.22</v>
      </c>
      <c r="AZ42">
        <f>_xll.EQNXTDZ($A$1,$B42,AZ$1,$B$1)</f>
        <v>201.42</v>
      </c>
      <c r="BA42">
        <f>_xll.EQNXTDZ($A$1,$B42,BA$1,$B$1)</f>
        <v>271.08</v>
      </c>
      <c r="BB42">
        <f>_xll.EQNXTDZ($A$1,$B42,BB$1,$B$1)</f>
        <v>526.05999999999995</v>
      </c>
      <c r="BC42">
        <f>_xll.EQNXTDZ($A$1,$B42,BC$1,$B$1)</f>
        <v>432.32</v>
      </c>
      <c r="BD42">
        <f>_xll.EQNXTDZ($A$1,$B42,BD$1,$B$1)</f>
        <v>388.18</v>
      </c>
      <c r="BE42">
        <f>_xll.EQNXTDZ($A$1,$B42,BE$1,$B$1)</f>
        <v>432.66</v>
      </c>
      <c r="BF42">
        <f>_xll.EQNXTDZ($A$1,$B42,BF$1,$B$1)</f>
        <v>582.02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57.42</v>
      </c>
      <c r="D45">
        <f>_xll.EQNXTDZ($A$1,$B45,D$1,$B$1)</f>
        <v>57.42</v>
      </c>
      <c r="E45">
        <f>_xll.EQNXTDZ($A$1,$B45,E$1,$B$1)</f>
        <v>57.42</v>
      </c>
      <c r="F45">
        <f>_xll.EQNXTDZ($A$1,$B45,F$1,$B$1)</f>
        <v>57.42</v>
      </c>
      <c r="G45">
        <f>_xll.EQNXTDZ($A$1,$B45,G$1,$B$1)</f>
        <v>57.42</v>
      </c>
      <c r="H45">
        <f>_xll.EQNXTDZ($A$1,$B45,H$1,$B$1)</f>
        <v>57.42</v>
      </c>
      <c r="I45">
        <f>_xll.EQNXTDZ($A$1,$B45,I$1,$B$1)</f>
        <v>57.42</v>
      </c>
      <c r="J45">
        <f>_xll.EQNXTDZ($A$1,$B45,J$1,$B$1)</f>
        <v>57.42</v>
      </c>
      <c r="K45">
        <f>_xll.EQNXTDZ($A$1,$B45,K$1,$B$1)</f>
        <v>57.42</v>
      </c>
      <c r="L45">
        <f>_xll.EQNXTDZ($A$1,$B45,L$1,$B$1)</f>
        <v>57.42</v>
      </c>
      <c r="M45">
        <f>_xll.EQNXTDZ($A$1,$B45,M$1,$B$1)</f>
        <v>57.42</v>
      </c>
      <c r="N45">
        <f>_xll.EQNXTDZ($A$1,$B45,N$1,$B$1)</f>
        <v>57.42</v>
      </c>
      <c r="O45">
        <f>_xll.EQNXTDZ($A$1,$B45,O$1,$B$1)</f>
        <v>57.42</v>
      </c>
      <c r="P45">
        <f>_xll.EQNXTDZ($A$1,$B45,P$1,$B$1)</f>
        <v>57.42</v>
      </c>
      <c r="Q45">
        <f>_xll.EQNXTDZ($A$1,$B45,Q$1,$B$1)</f>
        <v>57.42</v>
      </c>
      <c r="R45">
        <f>_xll.EQNXTDZ($A$1,$B45,R$1,$B$1)</f>
        <v>57.42</v>
      </c>
      <c r="S45">
        <f>_xll.EQNXTDZ($A$1,$B45,S$1,$B$1)</f>
        <v>57.42</v>
      </c>
      <c r="T45">
        <f>_xll.EQNXTDZ($A$1,$B45,T$1,$B$1)</f>
        <v>57.42</v>
      </c>
      <c r="U45">
        <f>_xll.EQNXTDZ($A$1,$B45,U$1,$B$1)</f>
        <v>57.42</v>
      </c>
      <c r="V45">
        <f>_xll.EQNXTDZ($A$1,$B45,V$1,$B$1)</f>
        <v>57.42</v>
      </c>
      <c r="W45">
        <f>_xll.EQNXTDZ($A$1,$B45,W$1,$B$1)</f>
        <v>57.42</v>
      </c>
      <c r="X45">
        <f>_xll.EQNXTDZ($A$1,$B45,X$1,$B$1)</f>
        <v>57.42</v>
      </c>
      <c r="Y45">
        <f>_xll.EQNXTDZ($A$1,$B45,Y$1,$B$1)</f>
        <v>57.42</v>
      </c>
      <c r="Z45">
        <f>_xll.EQNXTDZ($A$1,$B45,Z$1,$B$1)</f>
        <v>57.42</v>
      </c>
      <c r="AA45">
        <f>_xll.EQNXTDZ($A$1,$B45,AA$1,$B$1)</f>
        <v>57.42</v>
      </c>
      <c r="AB45">
        <f>_xll.EQNXTDZ($A$1,$B45,AB$1,$B$1)</f>
        <v>57.48</v>
      </c>
      <c r="AC45">
        <f>_xll.EQNXTDZ($A$1,$B45,AC$1,$B$1)</f>
        <v>57.48</v>
      </c>
      <c r="AD45">
        <f>_xll.EQNXTDZ($A$1,$B45,AD$1,$B$1)</f>
        <v>57.48</v>
      </c>
      <c r="AE45">
        <f>_xll.EQNXTDZ($A$1,$B45,AE$1,$B$1)</f>
        <v>57.48</v>
      </c>
      <c r="AF45">
        <f>_xll.EQNXTDZ($A$1,$B45,AF$1,$B$1)</f>
        <v>57.48</v>
      </c>
      <c r="AG45">
        <f>_xll.EQNXTDZ($A$1,$B45,AG$1,$B$1)</f>
        <v>57.48</v>
      </c>
      <c r="AH45">
        <f>_xll.EQNXTDZ($A$1,$B45,AH$1,$B$1)</f>
        <v>57.48</v>
      </c>
      <c r="AI45">
        <f>_xll.EQNXTDZ($A$1,$B45,AI$1,$B$1)</f>
        <v>57.48</v>
      </c>
      <c r="AJ45">
        <f>_xll.EQNXTDZ($A$1,$B45,AJ$1,$B$1)</f>
        <v>57.48</v>
      </c>
      <c r="AK45">
        <f>_xll.EQNXTDZ($A$1,$B45,AK$1,$B$1)</f>
        <v>59.25</v>
      </c>
      <c r="AL45">
        <f>_xll.EQNXTDZ($A$1,$B45,AL$1,$B$1)</f>
        <v>59.25</v>
      </c>
      <c r="AM45">
        <f>_xll.EQNXTDZ($A$1,$B45,AM$1,$B$1)</f>
        <v>59.25</v>
      </c>
      <c r="AN45">
        <f>_xll.EQNXTDZ($A$1,$B45,AN$1,$B$1)</f>
        <v>59.25</v>
      </c>
      <c r="AO45">
        <f>_xll.EQNXTDZ($A$1,$B45,AO$1,$B$1)</f>
        <v>296.42</v>
      </c>
      <c r="AP45">
        <f>_xll.EQNXTDZ($A$1,$B45,AP$1,$B$1)</f>
        <v>296.42</v>
      </c>
      <c r="AQ45">
        <f>_xll.EQNXTDZ($A$1,$B45,AQ$1,$B$1)</f>
        <v>296.42</v>
      </c>
      <c r="AR45">
        <f>_xll.EQNXTDZ($A$1,$B45,AR$1,$B$1)</f>
        <v>296.42</v>
      </c>
      <c r="AS45">
        <f>_xll.EQNXTDZ($A$1,$B45,AS$1,$B$1)</f>
        <v>296.42</v>
      </c>
      <c r="AT45">
        <f>_xll.EQNXTDZ($A$1,$B45,AT$1,$B$1)</f>
        <v>296.42</v>
      </c>
      <c r="AU45">
        <f>_xll.EQNXTDZ($A$1,$B45,AU$1,$B$1)</f>
        <v>296.42</v>
      </c>
      <c r="AV45">
        <f>_xll.EQNXTDZ($A$1,$B45,AV$1,$B$1)</f>
        <v>206.42</v>
      </c>
      <c r="AW45">
        <f>_xll.EQNXTDZ($A$1,$B45,AW$1,$B$1)</f>
        <v>296.42</v>
      </c>
      <c r="AX45">
        <f>_xll.EQNXTDZ($A$1,$B45,AX$1,$B$1)</f>
        <v>296.42</v>
      </c>
      <c r="AY45">
        <f>_xll.EQNXTDZ($A$1,$B45,AY$1,$B$1)</f>
        <v>296.42</v>
      </c>
      <c r="AZ45">
        <f>_xll.EQNXTDZ($A$1,$B45,AZ$1,$B$1)</f>
        <v>296.42</v>
      </c>
      <c r="BA45">
        <f>_xll.EQNXTDZ($A$1,$B45,BA$1,$B$1)</f>
        <v>296.42</v>
      </c>
      <c r="BB45">
        <f>_xll.EQNXTDZ($A$1,$B45,BB$1,$B$1)</f>
        <v>296.42</v>
      </c>
      <c r="BC45">
        <f>_xll.EQNXTDZ($A$1,$B45,BC$1,$B$1)</f>
        <v>296.42</v>
      </c>
      <c r="BD45">
        <f>_xll.EQNXTDZ($A$1,$B45,BD$1,$B$1)</f>
        <v>296.42</v>
      </c>
      <c r="BE45">
        <f>_xll.EQNXTDZ($A$1,$B45,BE$1,$B$1)</f>
        <v>296.42</v>
      </c>
      <c r="BF45">
        <f>_xll.EQNXTDZ($A$1,$B45,BF$1,$B$1)</f>
        <v>296.42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41.24</v>
      </c>
      <c r="D48" s="55">
        <f>_xll.EQNXTDZ($A$1,$B48,D$5)</f>
        <v>44.82</v>
      </c>
      <c r="E48" s="55">
        <f>_xll.EQNXTDZ($A$1,$B48,E$5)</f>
        <v>40.14</v>
      </c>
      <c r="F48" s="55">
        <f>_xll.EQNXTDZ($A$1,$B48,F$5)</f>
        <v>33.79</v>
      </c>
      <c r="G48" s="55">
        <f>_xll.EQNXTDZ($A$1,$B48,G$5)</f>
        <v>28.85</v>
      </c>
      <c r="H48" s="55">
        <f>_xll.EQNXTDZ($A$1,$B48,H$5)</f>
        <v>33</v>
      </c>
      <c r="I48" s="55">
        <f>_xll.EQNXTDZ($A$1,$B48,I$5)</f>
        <v>44.31</v>
      </c>
      <c r="J48" s="55">
        <f>_xll.EQNXTDZ($A$1,$B48,J$5)</f>
        <v>72.03</v>
      </c>
      <c r="K48" s="55">
        <f>_xll.EQNXTDZ($A$1,$B48,K$5)</f>
        <v>118.5</v>
      </c>
      <c r="L48" s="55">
        <f>_xll.EQNXTDZ($A$1,$B48,L$5)</f>
        <v>150.5</v>
      </c>
      <c r="M48" s="55">
        <f>_xll.EQNXTDZ($A$1,$B48,M$5)</f>
        <v>174.59</v>
      </c>
      <c r="N48" s="55">
        <f>_xll.EQNXTDZ($A$1,$B48,N$5)</f>
        <v>198</v>
      </c>
      <c r="O48" s="55">
        <f>_xll.EQNXTDZ($A$1,$B48,O$5)</f>
        <v>245.92</v>
      </c>
      <c r="P48" s="55">
        <f>_xll.EQNXTDZ($A$1,$B48,P$5)</f>
        <v>224.43</v>
      </c>
      <c r="Q48" s="55">
        <f>_xll.EQNXTDZ($A$1,$B48,Q$5)</f>
        <v>252.63</v>
      </c>
      <c r="R48" s="55">
        <f>_xll.EQNXTDZ($A$1,$B48,R$5)</f>
        <v>261.17</v>
      </c>
      <c r="S48" s="55">
        <f>_xll.EQNXTDZ($A$1,$B48,S$5)</f>
        <v>262.43</v>
      </c>
      <c r="T48" s="55">
        <f>_xll.EQNXTDZ($A$1,$B48,T$5)</f>
        <v>355.02</v>
      </c>
      <c r="U48" s="55">
        <f>_xll.EQNXTDZ($A$1,$B48,U$5)</f>
        <v>308.44</v>
      </c>
      <c r="V48" s="55">
        <f>_xll.EQNXTDZ($A$1,$B48,V$5)</f>
        <v>325.19</v>
      </c>
      <c r="W48" s="55">
        <f>_xll.EQNXTDZ($A$1,$B48,W$5)</f>
        <v>307.70999999999998</v>
      </c>
      <c r="X48" s="55">
        <f>_xll.EQNXTDZ($A$1,$B48,X$5)</f>
        <v>307.76</v>
      </c>
      <c r="Y48" s="55">
        <f>_xll.EQNXTDZ($A$1,$B48,Y$5)</f>
        <v>396.82</v>
      </c>
      <c r="Z48" s="55">
        <f>_xll.EQNXTDZ($A$1,$B48,Z$5)</f>
        <v>391.56</v>
      </c>
      <c r="AA48" s="55">
        <f>_xll.EQNXTDZ($A$1,$B48,AA$5)</f>
        <v>338.97</v>
      </c>
      <c r="AB48" s="55">
        <f>_xll.EQNXTDZ($A$1,$B48,AB$5)</f>
        <v>341.24</v>
      </c>
      <c r="AC48" s="55">
        <f>_xll.EQNXTDZ($A$1,$B48,AC$5)</f>
        <v>399.71</v>
      </c>
      <c r="AD48" s="55">
        <f>_xll.EQNXTDZ($A$1,$B48,AD$5)</f>
        <v>480.82</v>
      </c>
      <c r="AE48" s="55">
        <f>_xll.EQNXTDZ($A$1,$B48,AE$5)</f>
        <v>608.70000000000005</v>
      </c>
      <c r="AF48" s="55">
        <f>_xll.EQNXTDZ($A$1,$B48,AF$5)</f>
        <v>550.35</v>
      </c>
      <c r="AG48" s="55">
        <f>_xll.EQNXTDZ($A$1,$B48,AG$5)</f>
        <v>687.17</v>
      </c>
      <c r="AH48" s="55">
        <f>_xll.EQNXTDZ($A$1,$B48,AH$5)</f>
        <v>555.86</v>
      </c>
      <c r="AI48" s="55">
        <f>_xll.EQNXTDZ($A$1,$B48,AI$5)</f>
        <v>720.96</v>
      </c>
      <c r="AJ48" s="55">
        <f>_xll.EQNXTDZ($A$1,$B48,AJ$5)</f>
        <v>825.89</v>
      </c>
      <c r="AK48" s="55">
        <f>_xll.EQNXTDZ($A$1,$B48,AK$5)</f>
        <v>1114.3599999999999</v>
      </c>
      <c r="AL48" s="55">
        <f>_xll.EQNXTDZ($A$1,$B48,AL$5)</f>
        <v>1081.3</v>
      </c>
      <c r="AM48" s="55">
        <f>_xll.EQNXTDZ($A$1,$B48,AM$5)</f>
        <v>1454.94</v>
      </c>
      <c r="AN48" s="55">
        <f>_xll.EQNXTDZ($A$1,$B48,AN$5)</f>
        <v>2257.14</v>
      </c>
      <c r="AO48" s="55">
        <f>_xll.EQNXTDZ($A$1,$B48,AO$5)</f>
        <v>2420.5500000000002</v>
      </c>
      <c r="AP48" s="55">
        <f>_xll.EQNXTDZ($A$1,$B48,AP$5)</f>
        <v>2678.45</v>
      </c>
      <c r="AQ48" s="55">
        <f>_xll.EQNXTDZ($A$1,$B48,AQ$5)</f>
        <v>2249.35</v>
      </c>
      <c r="AR48" s="55">
        <f>_xll.EQNXTDZ($A$1,$B48,AR$5)</f>
        <v>2503.9</v>
      </c>
      <c r="AS48" s="55">
        <f>_xll.EQNXTDZ($A$1,$B48,AS$5)</f>
        <v>2291.6</v>
      </c>
      <c r="AT48" s="55">
        <f>_xll.EQNXTDZ($A$1,$B48,AT$5)</f>
        <v>2406.1999999999998</v>
      </c>
      <c r="AU48" s="55">
        <f>_xll.EQNXTDZ($A$1,$B48,AU$5)</f>
        <v>2290.25</v>
      </c>
      <c r="AV48" s="55">
        <f>_xll.EQNXTDZ($A$1,$B48,AV$5)</f>
        <v>2248.5500000000002</v>
      </c>
      <c r="AW48" s="55">
        <f>_xll.EQNXTDZ($A$1,$B48,AW$5)</f>
        <v>2480.0500000000002</v>
      </c>
      <c r="AX48" s="55">
        <f>_xll.EQNXTDZ($A$1,$B48,AX$5)</f>
        <v>2557.5500000000002</v>
      </c>
      <c r="AY48" s="55">
        <f>_xll.EQNXTDZ($A$1,$B48,AY$5)</f>
        <v>2432.4</v>
      </c>
      <c r="AZ48" s="55">
        <f>_xll.EQNXTDZ($A$1,$B48,AZ$5)</f>
        <v>2497.3000000000002</v>
      </c>
      <c r="BA48" s="55">
        <f>_xll.EQNXTDZ($A$1,$B48,BA$5)</f>
        <v>2237.5</v>
      </c>
      <c r="BB48" s="55">
        <f>_xll.EQNXTDZ($A$1,$B48,BB$5)</f>
        <v>2939.35</v>
      </c>
      <c r="BC48" s="55">
        <f>_xll.EQNXTDZ($A$1,$B48,BC$5)</f>
        <v>3244.85</v>
      </c>
      <c r="BD48" s="55">
        <f>_xll.EQNXTDZ($A$1,$B48,BD$5)</f>
        <v>2823.35</v>
      </c>
      <c r="BE48" s="55">
        <f>_xll.EQNXTDZ($A$1,$B48,BE$5)</f>
        <v>3074.4</v>
      </c>
      <c r="BF48" s="55">
        <f>_xll.EQNXTDZ($A$1,$B48,BF$5)</f>
        <v>2437.1999999999998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49.95</v>
      </c>
      <c r="D49" s="55">
        <f>_xll.EQNXTDZ($A$1,$B49,D$5)</f>
        <v>50.71</v>
      </c>
      <c r="E49" s="55">
        <f>_xll.EQNXTDZ($A$1,$B49,E$5)</f>
        <v>50.71</v>
      </c>
      <c r="F49" s="55">
        <f>_xll.EQNXTDZ($A$1,$B49,F$5)</f>
        <v>50.71</v>
      </c>
      <c r="G49" s="55">
        <f>_xll.EQNXTDZ($A$1,$B49,G$5)</f>
        <v>51.78</v>
      </c>
      <c r="H49" s="55">
        <f>_xll.EQNXTDZ($A$1,$B49,H$5)</f>
        <v>52.1</v>
      </c>
      <c r="I49" s="55">
        <f>_xll.EQNXTDZ($A$1,$B49,I$5)</f>
        <v>52.38</v>
      </c>
      <c r="J49" s="55">
        <f>_xll.EQNXTDZ($A$1,$B49,J$5)</f>
        <v>52.38</v>
      </c>
      <c r="K49" s="55">
        <f>_xll.EQNXTDZ($A$1,$B49,K$5)</f>
        <v>52.38</v>
      </c>
      <c r="L49" s="55">
        <f>_xll.EQNXTDZ($A$1,$B49,L$5)</f>
        <v>52.38</v>
      </c>
      <c r="M49" s="55">
        <f>_xll.EQNXTDZ($A$1,$B49,M$5)</f>
        <v>52.38</v>
      </c>
      <c r="N49" s="55">
        <f>_xll.EQNXTDZ($A$1,$B49,N$5)</f>
        <v>52.38</v>
      </c>
      <c r="O49" s="55">
        <f>_xll.EQNXTDZ($A$1,$B49,O$5)</f>
        <v>52.38</v>
      </c>
      <c r="P49" s="55">
        <f>_xll.EQNXTDZ($A$1,$B49,P$5)</f>
        <v>52.38</v>
      </c>
      <c r="Q49" s="55">
        <f>_xll.EQNXTDZ($A$1,$B49,Q$5)</f>
        <v>52.38</v>
      </c>
      <c r="R49" s="55">
        <f>_xll.EQNXTDZ($A$1,$B49,R$5)</f>
        <v>52.38</v>
      </c>
      <c r="S49" s="55">
        <f>_xll.EQNXTDZ($A$1,$B49,S$5)</f>
        <v>52.38</v>
      </c>
      <c r="T49" s="55">
        <f>_xll.EQNXTDZ($A$1,$B49,T$5)</f>
        <v>52.38</v>
      </c>
      <c r="U49" s="55">
        <f>_xll.EQNXTDZ($A$1,$B49,U$5)</f>
        <v>52.38</v>
      </c>
      <c r="V49" s="55">
        <f>_xll.EQNXTDZ($A$1,$B49,V$5)</f>
        <v>52.38</v>
      </c>
      <c r="W49" s="55">
        <f>_xll.EQNXTDZ($A$1,$B49,W$5)</f>
        <v>52.38</v>
      </c>
      <c r="X49" s="55">
        <f>_xll.EQNXTDZ($A$1,$B49,X$5)</f>
        <v>52.38</v>
      </c>
      <c r="Y49" s="55">
        <f>_xll.EQNXTDZ($A$1,$B49,Y$5)</f>
        <v>52.38</v>
      </c>
      <c r="Z49" s="55">
        <f>_xll.EQNXTDZ($A$1,$B49,Z$5)</f>
        <v>52.38</v>
      </c>
      <c r="AA49" s="55">
        <f>_xll.EQNXTDZ($A$1,$B49,AA$5)</f>
        <v>52.38</v>
      </c>
      <c r="AB49" s="55">
        <f>_xll.EQNXTDZ($A$1,$B49,AB$5)</f>
        <v>52.32</v>
      </c>
      <c r="AC49" s="55">
        <f>_xll.EQNXTDZ($A$1,$B49,AC$5)</f>
        <v>52.32</v>
      </c>
      <c r="AD49" s="55">
        <f>_xll.EQNXTDZ($A$1,$B49,AD$5)</f>
        <v>52.32</v>
      </c>
      <c r="AE49" s="55">
        <f>_xll.EQNXTDZ($A$1,$B49,AE$5)</f>
        <v>52.32</v>
      </c>
      <c r="AF49" s="55">
        <f>_xll.EQNXTDZ($A$1,$B49,AF$5)</f>
        <v>52.32</v>
      </c>
      <c r="AG49" s="55">
        <f>_xll.EQNXTDZ($A$1,$B49,AG$5)</f>
        <v>52.32</v>
      </c>
      <c r="AH49" s="55">
        <f>_xll.EQNXTDZ($A$1,$B49,AH$5)</f>
        <v>52.32</v>
      </c>
      <c r="AI49" s="55">
        <f>_xll.EQNXTDZ($A$1,$B49,AI$5)</f>
        <v>52.32</v>
      </c>
      <c r="AJ49" s="55">
        <f>_xll.EQNXTDZ($A$1,$B49,AJ$5)</f>
        <v>52.32</v>
      </c>
      <c r="AK49" s="55">
        <f>_xll.EQNXTDZ($A$1,$B49,AK$5)</f>
        <v>50.77</v>
      </c>
      <c r="AL49" s="55">
        <f>_xll.EQNXTDZ($A$1,$B49,AL$5)</f>
        <v>50.77</v>
      </c>
      <c r="AM49" s="55">
        <f>_xll.EQNXTDZ($A$1,$B49,AM$5)</f>
        <v>50.77</v>
      </c>
      <c r="AN49" s="55">
        <f>_xll.EQNXTDZ($A$1,$B49,AN$5)</f>
        <v>50.77</v>
      </c>
      <c r="AO49" s="55">
        <f>_xll.EQNXTDZ($A$1,$B49,AO$5)</f>
        <v>50.73</v>
      </c>
      <c r="AP49" s="55">
        <f>_xll.EQNXTDZ($A$1,$B49,AP$5)</f>
        <v>50.73</v>
      </c>
      <c r="AQ49" s="55">
        <f>_xll.EQNXTDZ($A$1,$B49,AQ$5)</f>
        <v>50.73</v>
      </c>
      <c r="AR49" s="55">
        <f>_xll.EQNXTDZ($A$1,$B49,AR$5)</f>
        <v>50.53</v>
      </c>
      <c r="AS49" s="55">
        <f>_xll.EQNXTDZ($A$1,$B49,AS$5)</f>
        <v>50.53</v>
      </c>
      <c r="AT49" s="55">
        <f>_xll.EQNXTDZ($A$1,$B49,AT$5)</f>
        <v>50.53</v>
      </c>
      <c r="AU49" s="55">
        <f>_xll.EQNXTDZ($A$1,$B49,AU$5)</f>
        <v>50.53</v>
      </c>
      <c r="AV49" s="55">
        <f>_xll.EQNXTDZ($A$1,$B49,AV$5)</f>
        <v>50.53</v>
      </c>
      <c r="AW49" s="55">
        <f>_xll.EQNXTDZ($A$1,$B49,AW$5)</f>
        <v>50.53</v>
      </c>
      <c r="AX49" s="55">
        <f>_xll.EQNXTDZ($A$1,$B49,AX$5)</f>
        <v>50.3</v>
      </c>
      <c r="AY49" s="55">
        <f>_xll.EQNXTDZ($A$1,$B49,AY$5)</f>
        <v>50.26</v>
      </c>
      <c r="AZ49" s="55">
        <f>_xll.EQNXTDZ($A$1,$B49,AZ$5)</f>
        <v>50.26</v>
      </c>
      <c r="BA49" s="55">
        <f>_xll.EQNXTDZ($A$1,$B49,BA$5)</f>
        <v>50.26</v>
      </c>
      <c r="BB49" s="55">
        <f>_xll.EQNXTDZ($A$1,$B49,BB$5)</f>
        <v>50.26</v>
      </c>
      <c r="BC49" s="55">
        <f>_xll.EQNXTDZ($A$1,$B49,BC$5)</f>
        <v>50.26</v>
      </c>
      <c r="BD49" s="55">
        <f>_xll.EQNXTDZ($A$1,$B49,BD$5)</f>
        <v>50.26</v>
      </c>
      <c r="BE49" s="55">
        <f>_xll.EQNXTDZ($A$1,$B49,BE$5)</f>
        <v>50.26</v>
      </c>
      <c r="BF49" s="55">
        <f>_xll.EQNXTDZ($A$1,$B49,BF$5)</f>
        <v>50.26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3.61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3.06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58.44</v>
      </c>
      <c r="E56" s="55">
        <f>_xll.EQNXTDZ($A$1,$B56,E$5,$B$1)</f>
        <v>0</v>
      </c>
      <c r="F56" s="55">
        <f>_xll.EQNXTDZ($A$1,$B56,F$5,$B$1)</f>
        <v>58.44</v>
      </c>
      <c r="G56" s="55">
        <f>_xll.EQNXTDZ($A$1,$B56,G$5,$B$1)</f>
        <v>0</v>
      </c>
      <c r="H56" s="55">
        <f>_xll.EQNXTDZ($A$1,$B56,H$5,$B$1)</f>
        <v>58.44</v>
      </c>
      <c r="I56" s="55">
        <f>_xll.EQNXTDZ($A$1,$B56,I$5,$B$1)</f>
        <v>0</v>
      </c>
      <c r="J56" s="55">
        <f>_xll.EQNXTDZ($A$1,$B56,J$5,$B$1)</f>
        <v>58.44</v>
      </c>
      <c r="K56" s="55">
        <f>_xll.EQNXTDZ($A$1,$B56,K$5,$B$1)</f>
        <v>0</v>
      </c>
      <c r="L56" s="55">
        <f>_xll.EQNXTDZ($A$1,$B56,L$5,$B$1)</f>
        <v>58.44</v>
      </c>
      <c r="M56" s="55">
        <f>_xll.EQNXTDZ($A$1,$B56,M$5,$B$1)</f>
        <v>0</v>
      </c>
      <c r="N56" s="55">
        <f>_xll.EQNXTDZ($A$1,$B56,N$5,$B$1)</f>
        <v>58.44</v>
      </c>
      <c r="O56" s="55">
        <f>_xll.EQNXTDZ($A$1,$B56,O$5,$B$1)</f>
        <v>0</v>
      </c>
      <c r="P56" s="55">
        <f>_xll.EQNXTDZ($A$1,$B56,P$5,$B$1)</f>
        <v>58.44</v>
      </c>
      <c r="Q56" s="55">
        <f>_xll.EQNXTDZ($A$1,$B56,Q$5,$B$1)</f>
        <v>0</v>
      </c>
      <c r="R56" s="55">
        <f>_xll.EQNXTDZ($A$1,$B56,R$5,$B$1)</f>
        <v>58.44</v>
      </c>
      <c r="S56" s="55">
        <f>_xll.EQNXTDZ($A$1,$B56,S$5,$B$1)</f>
        <v>0</v>
      </c>
      <c r="T56" s="55">
        <f>_xll.EQNXTDZ($A$1,$B56,T$5,$B$1)</f>
        <v>58.44</v>
      </c>
      <c r="U56" s="55">
        <f>_xll.EQNXTDZ($A$1,$B56,U$5,$B$1)</f>
        <v>0</v>
      </c>
      <c r="V56" s="55">
        <f>_xll.EQNXTDZ($A$1,$B56,V$5,$B$1)</f>
        <v>58.44</v>
      </c>
      <c r="W56" s="55">
        <f>_xll.EQNXTDZ($A$1,$B56,W$5,$B$1)</f>
        <v>0</v>
      </c>
      <c r="X56" s="55">
        <f>_xll.EQNXTDZ($A$1,$B56,X$5,$B$1)</f>
        <v>58.44</v>
      </c>
      <c r="Y56" s="55">
        <f>_xll.EQNXTDZ($A$1,$B56,Y$5,$B$1)</f>
        <v>0</v>
      </c>
      <c r="Z56" s="55">
        <f>_xll.EQNXTDZ($A$1,$B56,Z$5,$B$1)</f>
        <v>58.44</v>
      </c>
      <c r="AA56" s="55">
        <f>_xll.EQNXTDZ($A$1,$B56,AA$5,$B$1)</f>
        <v>0</v>
      </c>
      <c r="AB56" s="55">
        <f>_xll.EQNXTDZ($A$1,$B56,AB$5,$B$1)</f>
        <v>58.5</v>
      </c>
      <c r="AC56" s="55">
        <f>_xll.EQNXTDZ($A$1,$B56,AC$5,$B$1)</f>
        <v>0</v>
      </c>
      <c r="AD56" s="55">
        <f>_xll.EQNXTDZ($A$1,$B56,AD$5,$B$1)</f>
        <v>58.5</v>
      </c>
      <c r="AE56" s="55">
        <f>_xll.EQNXTDZ($A$1,$B56,AE$5,$B$1)</f>
        <v>0</v>
      </c>
      <c r="AF56" s="55">
        <f>_xll.EQNXTDZ($A$1,$B56,AF$5,$B$1)</f>
        <v>58.5</v>
      </c>
      <c r="AG56" s="55">
        <f>_xll.EQNXTDZ($A$1,$B56,AG$5,$B$1)</f>
        <v>0</v>
      </c>
      <c r="AH56" s="55">
        <f>_xll.EQNXTDZ($A$1,$B56,AH$5,$B$1)</f>
        <v>58.5</v>
      </c>
      <c r="AI56" s="55">
        <f>_xll.EQNXTDZ($A$1,$B56,AI$5,$B$1)</f>
        <v>0</v>
      </c>
      <c r="AJ56" s="55">
        <f>_xll.EQNXTDZ($A$1,$B56,AJ$5,$B$1)</f>
        <v>58.5</v>
      </c>
      <c r="AK56" s="55">
        <f>_xll.EQNXTDZ($A$1,$B56,AK$5,$B$1)</f>
        <v>0</v>
      </c>
      <c r="AL56" s="55">
        <f>_xll.EQNXTDZ($A$1,$B56,AL$5,$B$1)</f>
        <v>60.26</v>
      </c>
      <c r="AM56" s="55">
        <f>_xll.EQNXTDZ($A$1,$B56,AM$5,$B$1)</f>
        <v>0</v>
      </c>
      <c r="AN56" s="55">
        <f>_xll.EQNXTDZ($A$1,$B56,AN$5,$B$1)</f>
        <v>60.26</v>
      </c>
      <c r="AO56" s="55">
        <f>_xll.EQNXTDZ($A$1,$B56,AO$5,$B$1)</f>
        <v>0</v>
      </c>
      <c r="AP56" s="55">
        <f>_xll.EQNXTDZ($A$1,$B56,AP$5,$B$1)</f>
        <v>297.44</v>
      </c>
      <c r="AQ56" s="55">
        <f>_xll.EQNXTDZ($A$1,$B56,AQ$5,$B$1)</f>
        <v>0</v>
      </c>
      <c r="AR56" s="55">
        <f>_xll.EQNXTDZ($A$1,$B56,AR$5,$B$1)</f>
        <v>297.44</v>
      </c>
      <c r="AS56" s="55">
        <f>_xll.EQNXTDZ($A$1,$B56,AS$5,$B$1)</f>
        <v>0</v>
      </c>
      <c r="AT56" s="55">
        <f>_xll.EQNXTDZ($A$1,$B56,AT$5,$B$1)</f>
        <v>297.44</v>
      </c>
      <c r="AU56" s="55">
        <f>_xll.EQNXTDZ($A$1,$B56,AU$5,$B$1)</f>
        <v>0</v>
      </c>
      <c r="AV56" s="55">
        <f>_xll.EQNXTDZ($A$1,$B56,AV$5,$B$1)</f>
        <v>297.44</v>
      </c>
      <c r="AW56" s="55">
        <f>_xll.EQNXTDZ($A$1,$B56,AW$5,$B$1)</f>
        <v>0</v>
      </c>
      <c r="AX56" s="55">
        <f>_xll.EQNXTDZ($A$1,$B56,AX$5,$B$1)</f>
        <v>297.44</v>
      </c>
      <c r="AY56" s="55">
        <f>_xll.EQNXTDZ($A$1,$B56,AY$5,$B$1)</f>
        <v>0</v>
      </c>
      <c r="AZ56" s="55">
        <f>_xll.EQNXTDZ($A$1,$B56,AZ$5,$B$1)</f>
        <v>297.44</v>
      </c>
      <c r="BA56" s="55">
        <f>_xll.EQNXTDZ($A$1,$B56,BA$5,$B$1)</f>
        <v>0</v>
      </c>
      <c r="BB56" s="55">
        <f>_xll.EQNXTDZ($A$1,$B56,BB$5,$B$1)</f>
        <v>297.44</v>
      </c>
      <c r="BC56" s="55">
        <f>_xll.EQNXTDZ($A$1,$B56,BC$5,$B$1)</f>
        <v>0</v>
      </c>
      <c r="BD56" s="55">
        <f>_xll.EQNXTDZ($A$1,$B56,BD$5,$B$1)</f>
        <v>297.44</v>
      </c>
      <c r="BE56" s="55">
        <f>_xll.EQNXTDZ($A$1,$B56,BE$5,$B$1)</f>
        <v>0</v>
      </c>
      <c r="BF56" s="55">
        <f>_xll.EQNXTDZ($A$1,$B56,BF$5,$B$1)</f>
        <v>297.44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1886.68</v>
      </c>
      <c r="E58" s="55">
        <f>_xll.EQNXTDZ($A$1,$B58,E$5,$B$1)</f>
        <v>0</v>
      </c>
      <c r="F58" s="55">
        <f>_xll.EQNXTDZ($A$1,$B58,F$5,$B$1)</f>
        <v>1910.49</v>
      </c>
      <c r="G58" s="55">
        <f>_xll.EQNXTDZ($A$1,$B58,G$5,$B$1)</f>
        <v>0</v>
      </c>
      <c r="H58" s="55">
        <f>_xll.EQNXTDZ($A$1,$B58,H$5,$B$1)</f>
        <v>2046.63</v>
      </c>
      <c r="I58" s="55">
        <f>_xll.EQNXTDZ($A$1,$B58,I$5,$B$1)</f>
        <v>0</v>
      </c>
      <c r="J58" s="55">
        <f>_xll.EQNXTDZ($A$1,$B58,J$5,$B$1)</f>
        <v>2008.22</v>
      </c>
      <c r="K58" s="55">
        <f>_xll.EQNXTDZ($A$1,$B58,K$5,$B$1)</f>
        <v>0</v>
      </c>
      <c r="L58" s="55">
        <f>_xll.EQNXTDZ($A$1,$B58,L$5,$B$1)</f>
        <v>2242.0300000000002</v>
      </c>
      <c r="M58" s="55">
        <f>_xll.EQNXTDZ($A$1,$B58,M$5,$B$1)</f>
        <v>0</v>
      </c>
      <c r="N58" s="55">
        <f>_xll.EQNXTDZ($A$1,$B58,N$5,$B$1)</f>
        <v>2237.9</v>
      </c>
      <c r="O58" s="55">
        <f>_xll.EQNXTDZ($A$1,$B58,O$5,$B$1)</f>
        <v>0</v>
      </c>
      <c r="P58" s="55">
        <f>_xll.EQNXTDZ($A$1,$B58,P$5,$B$1)</f>
        <v>2412.0100000000002</v>
      </c>
      <c r="Q58" s="55">
        <f>_xll.EQNXTDZ($A$1,$B58,Q$5,$B$1)</f>
        <v>0</v>
      </c>
      <c r="R58" s="55">
        <f>_xll.EQNXTDZ($A$1,$B58,R$5,$B$1)</f>
        <v>2704.54</v>
      </c>
      <c r="S58" s="55">
        <f>_xll.EQNXTDZ($A$1,$B58,S$5,$B$1)</f>
        <v>0</v>
      </c>
      <c r="T58" s="55">
        <f>_xll.EQNXTDZ($A$1,$B58,T$5,$B$1)</f>
        <v>2817.11</v>
      </c>
      <c r="U58" s="55">
        <f>_xll.EQNXTDZ($A$1,$B58,U$5,$B$1)</f>
        <v>0</v>
      </c>
      <c r="V58" s="55">
        <f>_xll.EQNXTDZ($A$1,$B58,V$5,$B$1)</f>
        <v>3124.22</v>
      </c>
      <c r="W58" s="55">
        <f>_xll.EQNXTDZ($A$1,$B58,W$5,$B$1)</f>
        <v>0</v>
      </c>
      <c r="X58" s="55">
        <f>_xll.EQNXTDZ($A$1,$B58,X$5,$B$1)</f>
        <v>3287.36</v>
      </c>
      <c r="Y58" s="55">
        <f>_xll.EQNXTDZ($A$1,$B58,Y$5,$B$1)</f>
        <v>0</v>
      </c>
      <c r="Z58" s="55">
        <f>_xll.EQNXTDZ($A$1,$B58,Z$5,$B$1)</f>
        <v>3506.09</v>
      </c>
      <c r="AA58" s="55">
        <f>_xll.EQNXTDZ($A$1,$B58,AA$5,$B$1)</f>
        <v>0</v>
      </c>
      <c r="AB58" s="55">
        <f>_xll.EQNXTDZ($A$1,$B58,AB$5,$B$1)</f>
        <v>3707.84</v>
      </c>
      <c r="AC58" s="55">
        <f>_xll.EQNXTDZ($A$1,$B58,AC$5,$B$1)</f>
        <v>0</v>
      </c>
      <c r="AD58" s="55">
        <f>_xll.EQNXTDZ($A$1,$B58,AD$5,$B$1)</f>
        <v>4070.77</v>
      </c>
      <c r="AE58" s="55">
        <f>_xll.EQNXTDZ($A$1,$B58,AE$5,$B$1)</f>
        <v>0</v>
      </c>
      <c r="AF58" s="55">
        <f>_xll.EQNXTDZ($A$1,$B58,AF$5,$B$1)</f>
        <v>4507.29</v>
      </c>
      <c r="AG58" s="55">
        <f>_xll.EQNXTDZ($A$1,$B58,AG$5,$B$1)</f>
        <v>0</v>
      </c>
      <c r="AH58" s="55">
        <f>_xll.EQNXTDZ($A$1,$B58,AH$5,$B$1)</f>
        <v>4874.82</v>
      </c>
      <c r="AI58" s="55">
        <f>_xll.EQNXTDZ($A$1,$B58,AI$5,$B$1)</f>
        <v>0</v>
      </c>
      <c r="AJ58" s="55">
        <f>_xll.EQNXTDZ($A$1,$B58,AJ$5,$B$1)</f>
        <v>5399.12</v>
      </c>
      <c r="AK58" s="55">
        <f>_xll.EQNXTDZ($A$1,$B58,AK$5,$B$1)</f>
        <v>0</v>
      </c>
      <c r="AL58" s="55">
        <f>_xll.EQNXTDZ($A$1,$B58,AL$5,$B$1)</f>
        <v>6796.16</v>
      </c>
      <c r="AM58" s="55">
        <f>_xll.EQNXTDZ($A$1,$B58,AM$5,$B$1)</f>
        <v>0</v>
      </c>
      <c r="AN58" s="55">
        <f>_xll.EQNXTDZ($A$1,$B58,AN$5,$B$1)</f>
        <v>7466.67</v>
      </c>
      <c r="AO58" s="55">
        <f>_xll.EQNXTDZ($A$1,$B58,AO$5,$B$1)</f>
        <v>0</v>
      </c>
      <c r="AP58" s="55">
        <f>_xll.EQNXTDZ($A$1,$B58,AP$5,$B$1)</f>
        <v>8267.92</v>
      </c>
      <c r="AQ58" s="55">
        <f>_xll.EQNXTDZ($A$1,$B58,AQ$5,$B$1)</f>
        <v>0</v>
      </c>
      <c r="AR58" s="55">
        <f>_xll.EQNXTDZ($A$1,$B58,AR$5,$B$1)</f>
        <v>8927.39</v>
      </c>
      <c r="AS58" s="55">
        <f>_xll.EQNXTDZ($A$1,$B58,AS$5,$B$1)</f>
        <v>0</v>
      </c>
      <c r="AT58" s="55">
        <f>_xll.EQNXTDZ($A$1,$B58,AT$5,$B$1)</f>
        <v>10029.61</v>
      </c>
      <c r="AU58" s="55">
        <f>_xll.EQNXTDZ($A$1,$B58,AU$5,$B$1)</f>
        <v>0</v>
      </c>
      <c r="AV58" s="55">
        <f>_xll.EQNXTDZ($A$1,$B58,AV$5,$B$1)</f>
        <v>10554.37</v>
      </c>
      <c r="AW58" s="55">
        <f>_xll.EQNXTDZ($A$1,$B58,AW$5,$B$1)</f>
        <v>0</v>
      </c>
      <c r="AX58" s="55">
        <f>_xll.EQNXTDZ($A$1,$B58,AX$5,$B$1)</f>
        <v>11181.58</v>
      </c>
      <c r="AY58" s="55">
        <f>_xll.EQNXTDZ($A$1,$B58,AY$5,$B$1)</f>
        <v>0</v>
      </c>
      <c r="AZ58" s="55">
        <f>_xll.EQNXTDZ($A$1,$B58,AZ$5,$B$1)</f>
        <v>11699.87</v>
      </c>
      <c r="BA58" s="55">
        <f>_xll.EQNXTDZ($A$1,$B58,BA$5,$B$1)</f>
        <v>0</v>
      </c>
      <c r="BB58" s="55">
        <f>_xll.EQNXTDZ($A$1,$B58,BB$5,$B$1)</f>
        <v>12328.76</v>
      </c>
      <c r="BC58" s="55">
        <f>_xll.EQNXTDZ($A$1,$B58,BC$5,$B$1)</f>
        <v>0</v>
      </c>
      <c r="BD58" s="55">
        <f>_xll.EQNXTDZ($A$1,$B58,BD$5,$B$1)</f>
        <v>12966.18</v>
      </c>
      <c r="BE58" s="55">
        <f>_xll.EQNXTDZ($A$1,$B58,BE$5,$B$1)</f>
        <v>0</v>
      </c>
      <c r="BF58" s="55">
        <f>_xll.EQNXTDZ($A$1,$B58,BF$5,$B$1)</f>
        <v>13745.32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1945.12</v>
      </c>
      <c r="E59" s="55">
        <f>_xll.EQNXTDZ($A$1,$B59,E$5,$B$1)</f>
        <v>0</v>
      </c>
      <c r="F59" s="55">
        <f>_xll.EQNXTDZ($A$1,$B59,F$5,$B$1)</f>
        <v>1968.93</v>
      </c>
      <c r="G59" s="55">
        <f>_xll.EQNXTDZ($A$1,$B59,G$5,$B$1)</f>
        <v>0</v>
      </c>
      <c r="H59" s="55">
        <f>_xll.EQNXTDZ($A$1,$B59,H$5,$B$1)</f>
        <v>2105.0700000000002</v>
      </c>
      <c r="I59" s="55">
        <f>_xll.EQNXTDZ($A$1,$B59,I$5,$B$1)</f>
        <v>0</v>
      </c>
      <c r="J59" s="55">
        <f>_xll.EQNXTDZ($A$1,$B59,J$5,$B$1)</f>
        <v>2066.66</v>
      </c>
      <c r="K59" s="55">
        <f>_xll.EQNXTDZ($A$1,$B59,K$5,$B$1)</f>
        <v>0</v>
      </c>
      <c r="L59" s="55">
        <f>_xll.EQNXTDZ($A$1,$B59,L$5,$B$1)</f>
        <v>2300.4699999999998</v>
      </c>
      <c r="M59" s="55">
        <f>_xll.EQNXTDZ($A$1,$B59,M$5,$B$1)</f>
        <v>0</v>
      </c>
      <c r="N59" s="55">
        <f>_xll.EQNXTDZ($A$1,$B59,N$5,$B$1)</f>
        <v>2296.34</v>
      </c>
      <c r="O59" s="55">
        <f>_xll.EQNXTDZ($A$1,$B59,O$5,$B$1)</f>
        <v>0</v>
      </c>
      <c r="P59" s="55">
        <f>_xll.EQNXTDZ($A$1,$B59,P$5,$B$1)</f>
        <v>2470.4499999999998</v>
      </c>
      <c r="Q59" s="55">
        <f>_xll.EQNXTDZ($A$1,$B59,Q$5,$B$1)</f>
        <v>0</v>
      </c>
      <c r="R59" s="55">
        <f>_xll.EQNXTDZ($A$1,$B59,R$5,$B$1)</f>
        <v>2762.98</v>
      </c>
      <c r="S59" s="55">
        <f>_xll.EQNXTDZ($A$1,$B59,S$5,$B$1)</f>
        <v>0</v>
      </c>
      <c r="T59" s="55">
        <f>_xll.EQNXTDZ($A$1,$B59,T$5,$B$1)</f>
        <v>2875.55</v>
      </c>
      <c r="U59" s="55">
        <f>_xll.EQNXTDZ($A$1,$B59,U$5,$B$1)</f>
        <v>0</v>
      </c>
      <c r="V59" s="55">
        <f>_xll.EQNXTDZ($A$1,$B59,V$5,$B$1)</f>
        <v>3182.66</v>
      </c>
      <c r="W59" s="55">
        <f>_xll.EQNXTDZ($A$1,$B59,W$5,$B$1)</f>
        <v>0</v>
      </c>
      <c r="X59" s="55">
        <f>_xll.EQNXTDZ($A$1,$B59,X$5,$B$1)</f>
        <v>3345.8</v>
      </c>
      <c r="Y59" s="55">
        <f>_xll.EQNXTDZ($A$1,$B59,Y$5,$B$1)</f>
        <v>0</v>
      </c>
      <c r="Z59" s="55">
        <f>_xll.EQNXTDZ($A$1,$B59,Z$5,$B$1)</f>
        <v>3564.53</v>
      </c>
      <c r="AA59" s="55">
        <f>_xll.EQNXTDZ($A$1,$B59,AA$5,$B$1)</f>
        <v>0</v>
      </c>
      <c r="AB59" s="55">
        <f>_xll.EQNXTDZ($A$1,$B59,AB$5,$B$1)</f>
        <v>3766.34</v>
      </c>
      <c r="AC59" s="55">
        <f>_xll.EQNXTDZ($A$1,$B59,AC$5,$B$1)</f>
        <v>0</v>
      </c>
      <c r="AD59" s="55">
        <f>_xll.EQNXTDZ($A$1,$B59,AD$5,$B$1)</f>
        <v>4129.2700000000004</v>
      </c>
      <c r="AE59" s="55">
        <f>_xll.EQNXTDZ($A$1,$B59,AE$5,$B$1)</f>
        <v>0</v>
      </c>
      <c r="AF59" s="55">
        <f>_xll.EQNXTDZ($A$1,$B59,AF$5,$B$1)</f>
        <v>4565.79</v>
      </c>
      <c r="AG59" s="55">
        <f>_xll.EQNXTDZ($A$1,$B59,AG$5,$B$1)</f>
        <v>0</v>
      </c>
      <c r="AH59" s="55">
        <f>_xll.EQNXTDZ($A$1,$B59,AH$5,$B$1)</f>
        <v>4933.32</v>
      </c>
      <c r="AI59" s="55">
        <f>_xll.EQNXTDZ($A$1,$B59,AI$5,$B$1)</f>
        <v>0</v>
      </c>
      <c r="AJ59" s="55">
        <f>_xll.EQNXTDZ($A$1,$B59,AJ$5,$B$1)</f>
        <v>5457.62</v>
      </c>
      <c r="AK59" s="55">
        <f>_xll.EQNXTDZ($A$1,$B59,AK$5,$B$1)</f>
        <v>0</v>
      </c>
      <c r="AL59" s="55">
        <f>_xll.EQNXTDZ($A$1,$B59,AL$5,$B$1)</f>
        <v>6856.42</v>
      </c>
      <c r="AM59" s="55">
        <f>_xll.EQNXTDZ($A$1,$B59,AM$5,$B$1)</f>
        <v>0</v>
      </c>
      <c r="AN59" s="55">
        <f>_xll.EQNXTDZ($A$1,$B59,AN$5,$B$1)</f>
        <v>7526.93</v>
      </c>
      <c r="AO59" s="55">
        <f>_xll.EQNXTDZ($A$1,$B59,AO$5,$B$1)</f>
        <v>0</v>
      </c>
      <c r="AP59" s="55">
        <f>_xll.EQNXTDZ($A$1,$B59,AP$5,$B$1)</f>
        <v>8565.36</v>
      </c>
      <c r="AQ59" s="55">
        <f>_xll.EQNXTDZ($A$1,$B59,AQ$5,$B$1)</f>
        <v>0</v>
      </c>
      <c r="AR59" s="55">
        <f>_xll.EQNXTDZ($A$1,$B59,AR$5,$B$1)</f>
        <v>9224.83</v>
      </c>
      <c r="AS59" s="55">
        <f>_xll.EQNXTDZ($A$1,$B59,AS$5,$B$1)</f>
        <v>0</v>
      </c>
      <c r="AT59" s="55">
        <f>_xll.EQNXTDZ($A$1,$B59,AT$5,$B$1)</f>
        <v>10327.049999999999</v>
      </c>
      <c r="AU59" s="55">
        <f>_xll.EQNXTDZ($A$1,$B59,AU$5,$B$1)</f>
        <v>0</v>
      </c>
      <c r="AV59" s="55">
        <f>_xll.EQNXTDZ($A$1,$B59,AV$5,$B$1)</f>
        <v>10851.81</v>
      </c>
      <c r="AW59" s="55">
        <f>_xll.EQNXTDZ($A$1,$B59,AW$5,$B$1)</f>
        <v>0</v>
      </c>
      <c r="AX59" s="55">
        <f>_xll.EQNXTDZ($A$1,$B59,AX$5,$B$1)</f>
        <v>11479.02</v>
      </c>
      <c r="AY59" s="55">
        <f>_xll.EQNXTDZ($A$1,$B59,AY$5,$B$1)</f>
        <v>0</v>
      </c>
      <c r="AZ59" s="55">
        <f>_xll.EQNXTDZ($A$1,$B59,AZ$5,$B$1)</f>
        <v>11997.31</v>
      </c>
      <c r="BA59" s="55">
        <f>_xll.EQNXTDZ($A$1,$B59,BA$5,$B$1)</f>
        <v>0</v>
      </c>
      <c r="BB59" s="55">
        <f>_xll.EQNXTDZ($A$1,$B59,BB$5,$B$1)</f>
        <v>12626.2</v>
      </c>
      <c r="BC59" s="55">
        <f>_xll.EQNXTDZ($A$1,$B59,BC$5,$B$1)</f>
        <v>0</v>
      </c>
      <c r="BD59" s="55">
        <f>_xll.EQNXTDZ($A$1,$B59,BD$5,$B$1)</f>
        <v>13263.62</v>
      </c>
      <c r="BE59" s="55">
        <f>_xll.EQNXTDZ($A$1,$B59,BE$5,$B$1)</f>
        <v>0</v>
      </c>
      <c r="BF59" s="55">
        <f>_xll.EQNXTDZ($A$1,$B59,BF$5,$B$1)</f>
        <v>14042.76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1096.1400000000001</v>
      </c>
      <c r="G61" s="55">
        <f>_xll.EQNXTDZ($A$1,$B61,G$5,$B$1)</f>
        <v>0</v>
      </c>
      <c r="H61" s="55">
        <f>_xll.EQNXTDZ($A$1,$B61,H$5,$B$1)</f>
        <v>676.17</v>
      </c>
      <c r="I61" s="55">
        <f>_xll.EQNXTDZ($A$1,$B61,I$5,$B$1)</f>
        <v>0</v>
      </c>
      <c r="J61" s="55">
        <f>_xll.EQNXTDZ($A$1,$B61,J$5,$B$1)</f>
        <v>1712.62</v>
      </c>
      <c r="K61" s="55">
        <f>_xll.EQNXTDZ($A$1,$B61,K$5,$B$1)</f>
        <v>0</v>
      </c>
      <c r="L61" s="55">
        <f>_xll.EQNXTDZ($A$1,$B61,L$5,$B$1)</f>
        <v>965.11</v>
      </c>
      <c r="M61" s="55">
        <f>_xll.EQNXTDZ($A$1,$B61,M$5,$B$1)</f>
        <v>0</v>
      </c>
      <c r="N61" s="55">
        <f>_xll.EQNXTDZ($A$1,$B61,N$5,$B$1)</f>
        <v>1788.19</v>
      </c>
      <c r="O61" s="55">
        <f>_xll.EQNXTDZ($A$1,$B61,O$5,$B$1)</f>
        <v>0</v>
      </c>
      <c r="P61" s="55">
        <f>_xll.EQNXTDZ($A$1,$B61,P$5,$B$1)</f>
        <v>1459.53</v>
      </c>
      <c r="Q61" s="55">
        <f>_xll.EQNXTDZ($A$1,$B61,Q$5,$B$1)</f>
        <v>0</v>
      </c>
      <c r="R61" s="55">
        <f>_xll.EQNXTDZ($A$1,$B61,R$5,$B$1)</f>
        <v>1940.47</v>
      </c>
      <c r="S61" s="55">
        <f>_xll.EQNXTDZ($A$1,$B61,S$5,$B$1)</f>
        <v>0</v>
      </c>
      <c r="T61" s="55">
        <f>_xll.EQNXTDZ($A$1,$B61,T$5,$B$1)</f>
        <v>1648.08</v>
      </c>
      <c r="U61" s="55">
        <f>_xll.EQNXTDZ($A$1,$B61,U$5,$B$1)</f>
        <v>0</v>
      </c>
      <c r="V61" s="55">
        <f>_xll.EQNXTDZ($A$1,$B61,V$5,$B$1)</f>
        <v>1431.86</v>
      </c>
      <c r="W61" s="55">
        <f>_xll.EQNXTDZ($A$1,$B61,W$5,$B$1)</f>
        <v>0</v>
      </c>
      <c r="X61" s="55">
        <f>_xll.EQNXTDZ($A$1,$B61,X$5,$B$1)</f>
        <v>1819.55</v>
      </c>
      <c r="Y61" s="55">
        <f>_xll.EQNXTDZ($A$1,$B61,Y$5,$B$1)</f>
        <v>0</v>
      </c>
      <c r="Z61" s="55">
        <f>_xll.EQNXTDZ($A$1,$B61,Z$5,$B$1)</f>
        <v>1907.26</v>
      </c>
      <c r="AA61" s="55">
        <f>_xll.EQNXTDZ($A$1,$B61,AA$5,$B$1)</f>
        <v>0</v>
      </c>
      <c r="AB61" s="55">
        <f>_xll.EQNXTDZ($A$1,$B61,AB$5,$B$1)</f>
        <v>2086.06</v>
      </c>
      <c r="AC61" s="55">
        <f>_xll.EQNXTDZ($A$1,$B61,AC$5,$B$1)</f>
        <v>0</v>
      </c>
      <c r="AD61" s="55">
        <f>_xll.EQNXTDZ($A$1,$B61,AD$5,$B$1)</f>
        <v>2161.34</v>
      </c>
      <c r="AE61" s="55">
        <f>_xll.EQNXTDZ($A$1,$B61,AE$5,$B$1)</f>
        <v>0</v>
      </c>
      <c r="AF61" s="55">
        <f>_xll.EQNXTDZ($A$1,$B61,AF$5,$B$1)</f>
        <v>1782.14</v>
      </c>
      <c r="AG61" s="55">
        <f>_xll.EQNXTDZ($A$1,$B61,AG$5,$B$1)</f>
        <v>0</v>
      </c>
      <c r="AH61" s="55">
        <f>_xll.EQNXTDZ($A$1,$B61,AH$5,$B$1)</f>
        <v>2311.63</v>
      </c>
      <c r="AI61" s="55">
        <f>_xll.EQNXTDZ($A$1,$B61,AI$5,$B$1)</f>
        <v>0</v>
      </c>
      <c r="AJ61" s="55">
        <f>_xll.EQNXTDZ($A$1,$B61,AJ$5,$B$1)</f>
        <v>2769.72</v>
      </c>
      <c r="AK61" s="55">
        <f>_xll.EQNXTDZ($A$1,$B61,AK$5,$B$1)</f>
        <v>0</v>
      </c>
      <c r="AL61" s="55">
        <f>_xll.EQNXTDZ($A$1,$B61,AL$5,$B$1)</f>
        <v>1965.01</v>
      </c>
      <c r="AM61" s="55">
        <f>_xll.EQNXTDZ($A$1,$B61,AM$5,$B$1)</f>
        <v>0</v>
      </c>
      <c r="AN61" s="55">
        <f>_xll.EQNXTDZ($A$1,$B61,AN$5,$B$1)</f>
        <v>1552.21</v>
      </c>
      <c r="AO61" s="55">
        <f>_xll.EQNXTDZ($A$1,$B61,AO$5,$B$1)</f>
        <v>0</v>
      </c>
      <c r="AP61" s="55">
        <f>_xll.EQNXTDZ($A$1,$B61,AP$5,$B$1)</f>
        <v>1753.3</v>
      </c>
      <c r="AQ61" s="55">
        <f>_xll.EQNXTDZ($A$1,$B61,AQ$5,$B$1)</f>
        <v>0</v>
      </c>
      <c r="AR61" s="55">
        <f>_xll.EQNXTDZ($A$1,$B61,AR$5,$B$1)</f>
        <v>1674.19</v>
      </c>
      <c r="AS61" s="55">
        <f>_xll.EQNXTDZ($A$1,$B61,AS$5,$B$1)</f>
        <v>0</v>
      </c>
      <c r="AT61" s="55">
        <f>_xll.EQNXTDZ($A$1,$B61,AT$5,$B$1)</f>
        <v>2311.52</v>
      </c>
      <c r="AU61" s="55">
        <f>_xll.EQNXTDZ($A$1,$B61,AU$5,$B$1)</f>
        <v>0</v>
      </c>
      <c r="AV61" s="55">
        <f>_xll.EQNXTDZ($A$1,$B61,AV$5,$B$1)</f>
        <v>2385.56</v>
      </c>
      <c r="AW61" s="55">
        <f>_xll.EQNXTDZ($A$1,$B61,AW$5,$B$1)</f>
        <v>0</v>
      </c>
      <c r="AX61" s="55">
        <f>_xll.EQNXTDZ($A$1,$B61,AX$5,$B$1)</f>
        <v>2251.14</v>
      </c>
      <c r="AY61" s="55">
        <f>_xll.EQNXTDZ($A$1,$B61,AY$5,$B$1)</f>
        <v>0</v>
      </c>
      <c r="AZ61" s="55">
        <f>_xll.EQNXTDZ($A$1,$B61,AZ$5,$B$1)</f>
        <v>2002.21</v>
      </c>
      <c r="BA61" s="55">
        <f>_xll.EQNXTDZ($A$1,$B61,BA$5,$B$1)</f>
        <v>0</v>
      </c>
      <c r="BB61" s="55">
        <f>_xll.EQNXTDZ($A$1,$B61,BB$5,$B$1)</f>
        <v>1981.33</v>
      </c>
      <c r="BC61" s="55">
        <f>_xll.EQNXTDZ($A$1,$B61,BC$5,$B$1)</f>
        <v>0</v>
      </c>
      <c r="BD61" s="55">
        <f>_xll.EQNXTDZ($A$1,$B61,BD$5,$B$1)</f>
        <v>1913.54</v>
      </c>
      <c r="BE61" s="55">
        <f>_xll.EQNXTDZ($A$1,$B61,BE$5,$B$1)</f>
        <v>0</v>
      </c>
      <c r="BF61" s="55">
        <f>_xll.EQNXTDZ($A$1,$B61,BF$5,$B$1)</f>
        <v>1953.3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1096.1400000000001</v>
      </c>
      <c r="G63" s="55">
        <f>_xll.EQNXTDZ($A$1,$B63,G$5,$B$1)</f>
        <v>0</v>
      </c>
      <c r="H63" s="55">
        <f>_xll.EQNXTDZ($A$1,$B63,H$5,$B$1)</f>
        <v>676.17</v>
      </c>
      <c r="I63" s="55">
        <f>_xll.EQNXTDZ($A$1,$B63,I$5,$B$1)</f>
        <v>0</v>
      </c>
      <c r="J63" s="55">
        <f>_xll.EQNXTDZ($A$1,$B63,J$5,$B$1)</f>
        <v>1712.62</v>
      </c>
      <c r="K63" s="55">
        <f>_xll.EQNXTDZ($A$1,$B63,K$5,$B$1)</f>
        <v>0</v>
      </c>
      <c r="L63" s="55">
        <f>_xll.EQNXTDZ($A$1,$B63,L$5,$B$1)</f>
        <v>965.11</v>
      </c>
      <c r="M63" s="55">
        <f>_xll.EQNXTDZ($A$1,$B63,M$5,$B$1)</f>
        <v>0</v>
      </c>
      <c r="N63" s="55">
        <f>_xll.EQNXTDZ($A$1,$B63,N$5,$B$1)</f>
        <v>1788.19</v>
      </c>
      <c r="O63" s="55">
        <f>_xll.EQNXTDZ($A$1,$B63,O$5,$B$1)</f>
        <v>0</v>
      </c>
      <c r="P63" s="55">
        <f>_xll.EQNXTDZ($A$1,$B63,P$5,$B$1)</f>
        <v>1459.53</v>
      </c>
      <c r="Q63" s="55">
        <f>_xll.EQNXTDZ($A$1,$B63,Q$5,$B$1)</f>
        <v>0</v>
      </c>
      <c r="R63" s="55">
        <f>_xll.EQNXTDZ($A$1,$B63,R$5,$B$1)</f>
        <v>1940.47</v>
      </c>
      <c r="S63" s="55">
        <f>_xll.EQNXTDZ($A$1,$B63,S$5,$B$1)</f>
        <v>0</v>
      </c>
      <c r="T63" s="55">
        <f>_xll.EQNXTDZ($A$1,$B63,T$5,$B$1)</f>
        <v>1648.08</v>
      </c>
      <c r="U63" s="55">
        <f>_xll.EQNXTDZ($A$1,$B63,U$5,$B$1)</f>
        <v>0</v>
      </c>
      <c r="V63" s="55">
        <f>_xll.EQNXTDZ($A$1,$B63,V$5,$B$1)</f>
        <v>1431.86</v>
      </c>
      <c r="W63" s="55">
        <f>_xll.EQNXTDZ($A$1,$B63,W$5,$B$1)</f>
        <v>0</v>
      </c>
      <c r="X63" s="55">
        <f>_xll.EQNXTDZ($A$1,$B63,X$5,$B$1)</f>
        <v>1819.55</v>
      </c>
      <c r="Y63" s="55">
        <f>_xll.EQNXTDZ($A$1,$B63,Y$5,$B$1)</f>
        <v>0</v>
      </c>
      <c r="Z63" s="55">
        <f>_xll.EQNXTDZ($A$1,$B63,Z$5,$B$1)</f>
        <v>1907.26</v>
      </c>
      <c r="AA63" s="55">
        <f>_xll.EQNXTDZ($A$1,$B63,AA$5,$B$1)</f>
        <v>0</v>
      </c>
      <c r="AB63" s="55">
        <f>_xll.EQNXTDZ($A$1,$B63,AB$5,$B$1)</f>
        <v>2086.06</v>
      </c>
      <c r="AC63" s="55">
        <f>_xll.EQNXTDZ($A$1,$B63,AC$5,$B$1)</f>
        <v>0</v>
      </c>
      <c r="AD63" s="55">
        <f>_xll.EQNXTDZ($A$1,$B63,AD$5,$B$1)</f>
        <v>2161.34</v>
      </c>
      <c r="AE63" s="55">
        <f>_xll.EQNXTDZ($A$1,$B63,AE$5,$B$1)</f>
        <v>0</v>
      </c>
      <c r="AF63" s="55">
        <f>_xll.EQNXTDZ($A$1,$B63,AF$5,$B$1)</f>
        <v>1782.14</v>
      </c>
      <c r="AG63" s="55">
        <f>_xll.EQNXTDZ($A$1,$B63,AG$5,$B$1)</f>
        <v>0</v>
      </c>
      <c r="AH63" s="55">
        <f>_xll.EQNXTDZ($A$1,$B63,AH$5,$B$1)</f>
        <v>2311.63</v>
      </c>
      <c r="AI63" s="55">
        <f>_xll.EQNXTDZ($A$1,$B63,AI$5,$B$1)</f>
        <v>0</v>
      </c>
      <c r="AJ63" s="55">
        <f>_xll.EQNXTDZ($A$1,$B63,AJ$5,$B$1)</f>
        <v>2769.72</v>
      </c>
      <c r="AK63" s="55">
        <f>_xll.EQNXTDZ($A$1,$B63,AK$5,$B$1)</f>
        <v>0</v>
      </c>
      <c r="AL63" s="55">
        <f>_xll.EQNXTDZ($A$1,$B63,AL$5,$B$1)</f>
        <v>1965.01</v>
      </c>
      <c r="AM63" s="55">
        <f>_xll.EQNXTDZ($A$1,$B63,AM$5,$B$1)</f>
        <v>0</v>
      </c>
      <c r="AN63" s="55">
        <f>_xll.EQNXTDZ($A$1,$B63,AN$5,$B$1)</f>
        <v>1552.21</v>
      </c>
      <c r="AO63" s="55">
        <f>_xll.EQNXTDZ($A$1,$B63,AO$5,$B$1)</f>
        <v>0</v>
      </c>
      <c r="AP63" s="55">
        <f>_xll.EQNXTDZ($A$1,$B63,AP$5,$B$1)</f>
        <v>1753.3</v>
      </c>
      <c r="AQ63" s="55">
        <f>_xll.EQNXTDZ($A$1,$B63,AQ$5,$B$1)</f>
        <v>0</v>
      </c>
      <c r="AR63" s="55">
        <f>_xll.EQNXTDZ($A$1,$B63,AR$5,$B$1)</f>
        <v>1674.19</v>
      </c>
      <c r="AS63" s="55">
        <f>_xll.EQNXTDZ($A$1,$B63,AS$5,$B$1)</f>
        <v>0</v>
      </c>
      <c r="AT63" s="55">
        <f>_xll.EQNXTDZ($A$1,$B63,AT$5,$B$1)</f>
        <v>2311.52</v>
      </c>
      <c r="AU63" s="55">
        <f>_xll.EQNXTDZ($A$1,$B63,AU$5,$B$1)</f>
        <v>0</v>
      </c>
      <c r="AV63" s="55">
        <f>_xll.EQNXTDZ($A$1,$B63,AV$5,$B$1)</f>
        <v>2385.56</v>
      </c>
      <c r="AW63" s="55">
        <f>_xll.EQNXTDZ($A$1,$B63,AW$5,$B$1)</f>
        <v>0</v>
      </c>
      <c r="AX63" s="55">
        <f>_xll.EQNXTDZ($A$1,$B63,AX$5,$B$1)</f>
        <v>2251.14</v>
      </c>
      <c r="AY63" s="55">
        <f>_xll.EQNXTDZ($A$1,$B63,AY$5,$B$1)</f>
        <v>0</v>
      </c>
      <c r="AZ63" s="55">
        <f>_xll.EQNXTDZ($A$1,$B63,AZ$5,$B$1)</f>
        <v>2002.21</v>
      </c>
      <c r="BA63" s="55">
        <f>_xll.EQNXTDZ($A$1,$B63,BA$5,$B$1)</f>
        <v>0</v>
      </c>
      <c r="BB63" s="55">
        <f>_xll.EQNXTDZ($A$1,$B63,BB$5,$B$1)</f>
        <v>1981.33</v>
      </c>
      <c r="BC63" s="55">
        <f>_xll.EQNXTDZ($A$1,$B63,BC$5,$B$1)</f>
        <v>0</v>
      </c>
      <c r="BD63" s="55">
        <f>_xll.EQNXTDZ($A$1,$B63,BD$5,$B$1)</f>
        <v>1913.54</v>
      </c>
      <c r="BE63" s="55">
        <f>_xll.EQNXTDZ($A$1,$B63,BE$5,$B$1)</f>
        <v>0</v>
      </c>
      <c r="BF63" s="55">
        <f>_xll.EQNXTDZ($A$1,$B63,BF$5,$B$1)</f>
        <v>1953.3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523.86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49.98</v>
      </c>
      <c r="O64" s="55">
        <f>_xll.EQNXTDZ($A$1,$B64,O$5,$B$1)</f>
        <v>0</v>
      </c>
      <c r="P64" s="55">
        <f>_xll.EQNXTDZ($A$1,$B64,P$5,$B$1)</f>
        <v>52.47</v>
      </c>
      <c r="Q64" s="55">
        <f>_xll.EQNXTDZ($A$1,$B64,Q$5,$B$1)</f>
        <v>0</v>
      </c>
      <c r="R64" s="55">
        <f>_xll.EQNXTDZ($A$1,$B64,R$5,$B$1)</f>
        <v>21.84</v>
      </c>
      <c r="S64" s="55">
        <f>_xll.EQNXTDZ($A$1,$B64,S$5,$B$1)</f>
        <v>0</v>
      </c>
      <c r="T64" s="55">
        <f>_xll.EQNXTDZ($A$1,$B64,T$5,$B$1)</f>
        <v>18.760000000000002</v>
      </c>
      <c r="U64" s="55">
        <f>_xll.EQNXTDZ($A$1,$B64,U$5,$B$1)</f>
        <v>0</v>
      </c>
      <c r="V64" s="55">
        <f>_xll.EQNXTDZ($A$1,$B64,V$5,$B$1)</f>
        <v>29.92</v>
      </c>
      <c r="W64" s="55">
        <f>_xll.EQNXTDZ($A$1,$B64,W$5,$B$1)</f>
        <v>0</v>
      </c>
      <c r="X64" s="55">
        <f>_xll.EQNXTDZ($A$1,$B64,X$5,$B$1)</f>
        <v>27.98</v>
      </c>
      <c r="Y64" s="55">
        <f>_xll.EQNXTDZ($A$1,$B64,Y$5,$B$1)</f>
        <v>0</v>
      </c>
      <c r="Z64" s="55">
        <f>_xll.EQNXTDZ($A$1,$B64,Z$5,$B$1)</f>
        <v>34.26</v>
      </c>
      <c r="AA64" s="55">
        <f>_xll.EQNXTDZ($A$1,$B64,AA$5,$B$1)</f>
        <v>0</v>
      </c>
      <c r="AB64" s="55">
        <f>_xll.EQNXTDZ($A$1,$B64,AB$5,$B$1)</f>
        <v>27.57</v>
      </c>
      <c r="AC64" s="55">
        <f>_xll.EQNXTDZ($A$1,$B64,AC$5,$B$1)</f>
        <v>0</v>
      </c>
      <c r="AD64" s="55">
        <f>_xll.EQNXTDZ($A$1,$B64,AD$5,$B$1)</f>
        <v>18.53</v>
      </c>
      <c r="AE64" s="55">
        <f>_xll.EQNXTDZ($A$1,$B64,AE$5,$B$1)</f>
        <v>0</v>
      </c>
      <c r="AF64" s="55">
        <f>_xll.EQNXTDZ($A$1,$B64,AF$5,$B$1)</f>
        <v>67.900000000000006</v>
      </c>
      <c r="AG64" s="55">
        <f>_xll.EQNXTDZ($A$1,$B64,AG$5,$B$1)</f>
        <v>0</v>
      </c>
      <c r="AH64" s="55">
        <f>_xll.EQNXTDZ($A$1,$B64,AH$5,$B$1)</f>
        <v>110.85</v>
      </c>
      <c r="AI64" s="55">
        <f>_xll.EQNXTDZ($A$1,$B64,AI$5,$B$1)</f>
        <v>0</v>
      </c>
      <c r="AJ64" s="55">
        <f>_xll.EQNXTDZ($A$1,$B64,AJ$5,$B$1)</f>
        <v>109.39</v>
      </c>
      <c r="AK64" s="55">
        <f>_xll.EQNXTDZ($A$1,$B64,AK$5,$B$1)</f>
        <v>0</v>
      </c>
      <c r="AL64" s="55">
        <f>_xll.EQNXTDZ($A$1,$B64,AL$5,$B$1)</f>
        <v>107.14</v>
      </c>
      <c r="AM64" s="55">
        <f>_xll.EQNXTDZ($A$1,$B64,AM$5,$B$1)</f>
        <v>0</v>
      </c>
      <c r="AN64" s="55">
        <f>_xll.EQNXTDZ($A$1,$B64,AN$5,$B$1)</f>
        <v>137.68</v>
      </c>
      <c r="AO64" s="55">
        <f>_xll.EQNXTDZ($A$1,$B64,AO$5,$B$1)</f>
        <v>0</v>
      </c>
      <c r="AP64" s="55">
        <f>_xll.EQNXTDZ($A$1,$B64,AP$5,$B$1)</f>
        <v>288.60000000000002</v>
      </c>
      <c r="AQ64" s="55">
        <f>_xll.EQNXTDZ($A$1,$B64,AQ$5,$B$1)</f>
        <v>0</v>
      </c>
      <c r="AR64" s="55">
        <f>_xll.EQNXTDZ($A$1,$B64,AR$5,$B$1)</f>
        <v>366.64</v>
      </c>
      <c r="AS64" s="55">
        <f>_xll.EQNXTDZ($A$1,$B64,AS$5,$B$1)</f>
        <v>0</v>
      </c>
      <c r="AT64" s="55">
        <f>_xll.EQNXTDZ($A$1,$B64,AT$5,$B$1)</f>
        <v>329.33</v>
      </c>
      <c r="AU64" s="55">
        <f>_xll.EQNXTDZ($A$1,$B64,AU$5,$B$1)</f>
        <v>0</v>
      </c>
      <c r="AV64" s="55">
        <f>_xll.EQNXTDZ($A$1,$B64,AV$5,$B$1)</f>
        <v>288.32</v>
      </c>
      <c r="AW64" s="55">
        <f>_xll.EQNXTDZ($A$1,$B64,AW$5,$B$1)</f>
        <v>0</v>
      </c>
      <c r="AX64" s="55">
        <f>_xll.EQNXTDZ($A$1,$B64,AX$5,$B$1)</f>
        <v>260.89999999999998</v>
      </c>
      <c r="AY64" s="55">
        <f>_xll.EQNXTDZ($A$1,$B64,AY$5,$B$1)</f>
        <v>0</v>
      </c>
      <c r="AZ64" s="55">
        <f>_xll.EQNXTDZ($A$1,$B64,AZ$5,$B$1)</f>
        <v>257</v>
      </c>
      <c r="BA64" s="55">
        <f>_xll.EQNXTDZ($A$1,$B64,BA$5,$B$1)</f>
        <v>0</v>
      </c>
      <c r="BB64" s="55">
        <f>_xll.EQNXTDZ($A$1,$B64,BB$5,$B$1)</f>
        <v>381.77</v>
      </c>
      <c r="BC64" s="55">
        <f>_xll.EQNXTDZ($A$1,$B64,BC$5,$B$1)</f>
        <v>0</v>
      </c>
      <c r="BD64" s="55">
        <f>_xll.EQNXTDZ($A$1,$B64,BD$5,$B$1)</f>
        <v>416.88</v>
      </c>
      <c r="BE64" s="55">
        <f>_xll.EQNXTDZ($A$1,$B64,BE$5,$B$1)</f>
        <v>0</v>
      </c>
      <c r="BF64" s="55">
        <f>_xll.EQNXTDZ($A$1,$B64,BF$5,$B$1)</f>
        <v>496.97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15.27</v>
      </c>
      <c r="E66" s="55">
        <f>_xll.EQNXTDZ($A$1,$B66,E$5,$B$1)</f>
        <v>0</v>
      </c>
      <c r="F66" s="55">
        <f>_xll.EQNXTDZ($A$1,$B66,F$5,$B$1)</f>
        <v>17.02</v>
      </c>
      <c r="G66" s="55">
        <f>_xll.EQNXTDZ($A$1,$B66,G$5,$B$1)</f>
        <v>0</v>
      </c>
      <c r="H66" s="55">
        <f>_xll.EQNXTDZ($A$1,$B66,H$5,$B$1)</f>
        <v>13.72</v>
      </c>
      <c r="I66" s="55">
        <f>_xll.EQNXTDZ($A$1,$B66,I$5,$B$1)</f>
        <v>0</v>
      </c>
      <c r="J66" s="55">
        <f>_xll.EQNXTDZ($A$1,$B66,J$5,$B$1)</f>
        <v>17.18</v>
      </c>
      <c r="K66" s="55">
        <f>_xll.EQNXTDZ($A$1,$B66,K$5,$B$1)</f>
        <v>0</v>
      </c>
      <c r="L66" s="55">
        <f>_xll.EQNXTDZ($A$1,$B66,L$5,$B$1)</f>
        <v>18.71</v>
      </c>
      <c r="M66" s="55">
        <f>_xll.EQNXTDZ($A$1,$B66,M$5,$B$1)</f>
        <v>0</v>
      </c>
      <c r="N66" s="55">
        <f>_xll.EQNXTDZ($A$1,$B66,N$5,$B$1)</f>
        <v>16.71</v>
      </c>
      <c r="O66" s="55">
        <f>_xll.EQNXTDZ($A$1,$B66,O$5,$B$1)</f>
        <v>0</v>
      </c>
      <c r="P66" s="55">
        <f>_xll.EQNXTDZ($A$1,$B66,P$5,$B$1)</f>
        <v>17.13</v>
      </c>
      <c r="Q66" s="55">
        <f>_xll.EQNXTDZ($A$1,$B66,Q$5,$B$1)</f>
        <v>0</v>
      </c>
      <c r="R66" s="55">
        <f>_xll.EQNXTDZ($A$1,$B66,R$5,$B$1)</f>
        <v>25.13</v>
      </c>
      <c r="S66" s="55">
        <f>_xll.EQNXTDZ($A$1,$B66,S$5,$B$1)</f>
        <v>0</v>
      </c>
      <c r="T66" s="55">
        <f>_xll.EQNXTDZ($A$1,$B66,T$5,$B$1)</f>
        <v>25.32</v>
      </c>
      <c r="U66" s="55">
        <f>_xll.EQNXTDZ($A$1,$B66,U$5,$B$1)</f>
        <v>0</v>
      </c>
      <c r="V66" s="55">
        <f>_xll.EQNXTDZ($A$1,$B66,V$5,$B$1)</f>
        <v>29.7</v>
      </c>
      <c r="W66" s="55">
        <f>_xll.EQNXTDZ($A$1,$B66,W$5,$B$1)</f>
        <v>0</v>
      </c>
      <c r="X66" s="55">
        <f>_xll.EQNXTDZ($A$1,$B66,X$5,$B$1)</f>
        <v>33.229999999999997</v>
      </c>
      <c r="Y66" s="55">
        <f>_xll.EQNXTDZ($A$1,$B66,Y$5,$B$1)</f>
        <v>0</v>
      </c>
      <c r="Z66" s="55">
        <f>_xll.EQNXTDZ($A$1,$B66,Z$5,$B$1)</f>
        <v>33.369999999999997</v>
      </c>
      <c r="AA66" s="55">
        <f>_xll.EQNXTDZ($A$1,$B66,AA$5,$B$1)</f>
        <v>0</v>
      </c>
      <c r="AB66" s="55">
        <f>_xll.EQNXTDZ($A$1,$B66,AB$5,$B$1)</f>
        <v>35.33</v>
      </c>
      <c r="AC66" s="55">
        <f>_xll.EQNXTDZ($A$1,$B66,AC$5,$B$1)</f>
        <v>0</v>
      </c>
      <c r="AD66" s="55">
        <f>_xll.EQNXTDZ($A$1,$B66,AD$5,$B$1)</f>
        <v>38.1</v>
      </c>
      <c r="AE66" s="55">
        <f>_xll.EQNXTDZ($A$1,$B66,AE$5,$B$1)</f>
        <v>0</v>
      </c>
      <c r="AF66" s="55">
        <f>_xll.EQNXTDZ($A$1,$B66,AF$5,$B$1)</f>
        <v>32.659999999999997</v>
      </c>
      <c r="AG66" s="55">
        <f>_xll.EQNXTDZ($A$1,$B66,AG$5,$B$1)</f>
        <v>0</v>
      </c>
      <c r="AH66" s="55">
        <f>_xll.EQNXTDZ($A$1,$B66,AH$5,$B$1)</f>
        <v>37.53</v>
      </c>
      <c r="AI66" s="55">
        <f>_xll.EQNXTDZ($A$1,$B66,AI$5,$B$1)</f>
        <v>0</v>
      </c>
      <c r="AJ66" s="55">
        <f>_xll.EQNXTDZ($A$1,$B66,AJ$5,$B$1)</f>
        <v>42.72</v>
      </c>
      <c r="AK66" s="55">
        <f>_xll.EQNXTDZ($A$1,$B66,AK$5,$B$1)</f>
        <v>0</v>
      </c>
      <c r="AL66" s="55">
        <f>_xll.EQNXTDZ($A$1,$B66,AL$5,$B$1)</f>
        <v>43.55</v>
      </c>
      <c r="AM66" s="55">
        <f>_xll.EQNXTDZ($A$1,$B66,AM$5,$B$1)</f>
        <v>0</v>
      </c>
      <c r="AN66" s="55">
        <f>_xll.EQNXTDZ($A$1,$B66,AN$5,$B$1)</f>
        <v>46.92</v>
      </c>
      <c r="AO66" s="55">
        <f>_xll.EQNXTDZ($A$1,$B66,AO$5,$B$1)</f>
        <v>0</v>
      </c>
      <c r="AP66" s="55">
        <f>_xll.EQNXTDZ($A$1,$B66,AP$5,$B$1)</f>
        <v>51.58</v>
      </c>
      <c r="AQ66" s="55">
        <f>_xll.EQNXTDZ($A$1,$B66,AQ$5,$B$1)</f>
        <v>0</v>
      </c>
      <c r="AR66" s="55">
        <f>_xll.EQNXTDZ($A$1,$B66,AR$5,$B$1)</f>
        <v>53.02</v>
      </c>
      <c r="AS66" s="55">
        <f>_xll.EQNXTDZ($A$1,$B66,AS$5,$B$1)</f>
        <v>0</v>
      </c>
      <c r="AT66" s="55">
        <f>_xll.EQNXTDZ($A$1,$B66,AT$5,$B$1)</f>
        <v>60.8</v>
      </c>
      <c r="AU66" s="55">
        <f>_xll.EQNXTDZ($A$1,$B66,AU$5,$B$1)</f>
        <v>0</v>
      </c>
      <c r="AV66" s="55">
        <f>_xll.EQNXTDZ($A$1,$B66,AV$5,$B$1)</f>
        <v>62.99</v>
      </c>
      <c r="AW66" s="55">
        <f>_xll.EQNXTDZ($A$1,$B66,AW$5,$B$1)</f>
        <v>0</v>
      </c>
      <c r="AX66" s="55">
        <f>_xll.EQNXTDZ($A$1,$B66,AX$5,$B$1)</f>
        <v>71.39</v>
      </c>
      <c r="AY66" s="55">
        <f>_xll.EQNXTDZ($A$1,$B66,AY$5,$B$1)</f>
        <v>0</v>
      </c>
      <c r="AZ66" s="55">
        <f>_xll.EQNXTDZ($A$1,$B66,AZ$5,$B$1)</f>
        <v>78.8</v>
      </c>
      <c r="BA66" s="55">
        <f>_xll.EQNXTDZ($A$1,$B66,BA$5,$B$1)</f>
        <v>0</v>
      </c>
      <c r="BB66" s="55">
        <f>_xll.EQNXTDZ($A$1,$B66,BB$5,$B$1)</f>
        <v>82.6</v>
      </c>
      <c r="BC66" s="55">
        <f>_xll.EQNXTDZ($A$1,$B66,BC$5,$B$1)</f>
        <v>0</v>
      </c>
      <c r="BD66" s="55">
        <f>_xll.EQNXTDZ($A$1,$B66,BD$5,$B$1)</f>
        <v>88.93</v>
      </c>
      <c r="BE66" s="55">
        <f>_xll.EQNXTDZ($A$1,$B66,BE$5,$B$1)</f>
        <v>0</v>
      </c>
      <c r="BF66" s="55">
        <f>_xll.EQNXTDZ($A$1,$B66,BF$5,$B$1)</f>
        <v>95.98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2484.25</v>
      </c>
      <c r="E67" s="55">
        <f>_xll.EQNXTDZ($A$1,$B67,E$5,$B$1)</f>
        <v>0</v>
      </c>
      <c r="F67" s="55">
        <f>_xll.EQNXTDZ($A$1,$B67,F$5,$B$1)</f>
        <v>3082.09</v>
      </c>
      <c r="G67" s="55">
        <f>_xll.EQNXTDZ($A$1,$B67,G$5,$B$1)</f>
        <v>0</v>
      </c>
      <c r="H67" s="55">
        <f>_xll.EQNXTDZ($A$1,$B67,H$5,$B$1)</f>
        <v>2794.96</v>
      </c>
      <c r="I67" s="55">
        <f>_xll.EQNXTDZ($A$1,$B67,I$5,$B$1)</f>
        <v>0</v>
      </c>
      <c r="J67" s="55">
        <f>_xll.EQNXTDZ($A$1,$B67,J$5,$B$1)</f>
        <v>3796.46</v>
      </c>
      <c r="K67" s="55">
        <f>_xll.EQNXTDZ($A$1,$B67,K$5,$B$1)</f>
        <v>0</v>
      </c>
      <c r="L67" s="55">
        <f>_xll.EQNXTDZ($A$1,$B67,L$5,$B$1)</f>
        <v>3284.29</v>
      </c>
      <c r="M67" s="55">
        <f>_xll.EQNXTDZ($A$1,$B67,M$5,$B$1)</f>
        <v>0</v>
      </c>
      <c r="N67" s="55">
        <f>_xll.EQNXTDZ($A$1,$B67,N$5,$B$1)</f>
        <v>4151.22</v>
      </c>
      <c r="O67" s="55">
        <f>_xll.EQNXTDZ($A$1,$B67,O$5,$B$1)</f>
        <v>0</v>
      </c>
      <c r="P67" s="55">
        <f>_xll.EQNXTDZ($A$1,$B67,P$5,$B$1)</f>
        <v>3999.58</v>
      </c>
      <c r="Q67" s="55">
        <f>_xll.EQNXTDZ($A$1,$B67,Q$5,$B$1)</f>
        <v>0</v>
      </c>
      <c r="R67" s="55">
        <f>_xll.EQNXTDZ($A$1,$B67,R$5,$B$1)</f>
        <v>4750.42</v>
      </c>
      <c r="S67" s="55">
        <f>_xll.EQNXTDZ($A$1,$B67,S$5,$B$1)</f>
        <v>0</v>
      </c>
      <c r="T67" s="55">
        <f>_xll.EQNXTDZ($A$1,$B67,T$5,$B$1)</f>
        <v>4567.71</v>
      </c>
      <c r="U67" s="55">
        <f>_xll.EQNXTDZ($A$1,$B67,U$5,$B$1)</f>
        <v>0</v>
      </c>
      <c r="V67" s="55">
        <f>_xll.EQNXTDZ($A$1,$B67,V$5,$B$1)</f>
        <v>4674.1400000000003</v>
      </c>
      <c r="W67" s="55">
        <f>_xll.EQNXTDZ($A$1,$B67,W$5,$B$1)</f>
        <v>0</v>
      </c>
      <c r="X67" s="55">
        <f>_xll.EQNXTDZ($A$1,$B67,X$5,$B$1)</f>
        <v>5226.5600000000004</v>
      </c>
      <c r="Y67" s="55">
        <f>_xll.EQNXTDZ($A$1,$B67,Y$5,$B$1)</f>
        <v>0</v>
      </c>
      <c r="Z67" s="55">
        <f>_xll.EQNXTDZ($A$1,$B67,Z$5,$B$1)</f>
        <v>5539.42</v>
      </c>
      <c r="AA67" s="55">
        <f>_xll.EQNXTDZ($A$1,$B67,AA$5,$B$1)</f>
        <v>0</v>
      </c>
      <c r="AB67" s="55">
        <f>_xll.EQNXTDZ($A$1,$B67,AB$5,$B$1)</f>
        <v>5915.3</v>
      </c>
      <c r="AC67" s="55">
        <f>_xll.EQNXTDZ($A$1,$B67,AC$5,$B$1)</f>
        <v>0</v>
      </c>
      <c r="AD67" s="55">
        <f>_xll.EQNXTDZ($A$1,$B67,AD$5,$B$1)</f>
        <v>6347.24</v>
      </c>
      <c r="AE67" s="55">
        <f>_xll.EQNXTDZ($A$1,$B67,AE$5,$B$1)</f>
        <v>0</v>
      </c>
      <c r="AF67" s="55">
        <f>_xll.EQNXTDZ($A$1,$B67,AF$5,$B$1)</f>
        <v>6448.49</v>
      </c>
      <c r="AG67" s="55">
        <f>_xll.EQNXTDZ($A$1,$B67,AG$5,$B$1)</f>
        <v>0</v>
      </c>
      <c r="AH67" s="55">
        <f>_xll.EQNXTDZ($A$1,$B67,AH$5,$B$1)</f>
        <v>7393.33</v>
      </c>
      <c r="AI67" s="55">
        <f>_xll.EQNXTDZ($A$1,$B67,AI$5,$B$1)</f>
        <v>0</v>
      </c>
      <c r="AJ67" s="55">
        <f>_xll.EQNXTDZ($A$1,$B67,AJ$5,$B$1)</f>
        <v>8379.4500000000007</v>
      </c>
      <c r="AK67" s="55">
        <f>_xll.EQNXTDZ($A$1,$B67,AK$5,$B$1)</f>
        <v>0</v>
      </c>
      <c r="AL67" s="55">
        <f>_xll.EQNXTDZ($A$1,$B67,AL$5,$B$1)</f>
        <v>8972.1200000000008</v>
      </c>
      <c r="AM67" s="55">
        <f>_xll.EQNXTDZ($A$1,$B67,AM$5,$B$1)</f>
        <v>0</v>
      </c>
      <c r="AN67" s="55">
        <f>_xll.EQNXTDZ($A$1,$B67,AN$5,$B$1)</f>
        <v>9263.74</v>
      </c>
      <c r="AO67" s="55">
        <f>_xll.EQNXTDZ($A$1,$B67,AO$5,$B$1)</f>
        <v>0</v>
      </c>
      <c r="AP67" s="55">
        <f>_xll.EQNXTDZ($A$1,$B67,AP$5,$B$1)</f>
        <v>10658.84</v>
      </c>
      <c r="AQ67" s="55">
        <f>_xll.EQNXTDZ($A$1,$B67,AQ$5,$B$1)</f>
        <v>0</v>
      </c>
      <c r="AR67" s="55">
        <f>_xll.EQNXTDZ($A$1,$B67,AR$5,$B$1)</f>
        <v>11318.68</v>
      </c>
      <c r="AS67" s="55">
        <f>_xll.EQNXTDZ($A$1,$B67,AS$5,$B$1)</f>
        <v>0</v>
      </c>
      <c r="AT67" s="55">
        <f>_xll.EQNXTDZ($A$1,$B67,AT$5,$B$1)</f>
        <v>13028.7</v>
      </c>
      <c r="AU67" s="55">
        <f>_xll.EQNXTDZ($A$1,$B67,AU$5,$B$1)</f>
        <v>0</v>
      </c>
      <c r="AV67" s="55">
        <f>_xll.EQNXTDZ($A$1,$B67,AV$5,$B$1)</f>
        <v>13588.68</v>
      </c>
      <c r="AW67" s="55">
        <f>_xll.EQNXTDZ($A$1,$B67,AW$5,$B$1)</f>
        <v>0</v>
      </c>
      <c r="AX67" s="55">
        <f>_xll.EQNXTDZ($A$1,$B67,AX$5,$B$1)</f>
        <v>14062.45</v>
      </c>
      <c r="AY67" s="55">
        <f>_xll.EQNXTDZ($A$1,$B67,AY$5,$B$1)</f>
        <v>0</v>
      </c>
      <c r="AZ67" s="55">
        <f>_xll.EQNXTDZ($A$1,$B67,AZ$5,$B$1)</f>
        <v>14335.32</v>
      </c>
      <c r="BA67" s="55">
        <f>_xll.EQNXTDZ($A$1,$B67,BA$5,$B$1)</f>
        <v>0</v>
      </c>
      <c r="BB67" s="55">
        <f>_xll.EQNXTDZ($A$1,$B67,BB$5,$B$1)</f>
        <v>15071.9</v>
      </c>
      <c r="BC67" s="55">
        <f>_xll.EQNXTDZ($A$1,$B67,BC$5,$B$1)</f>
        <v>0</v>
      </c>
      <c r="BD67" s="55">
        <f>_xll.EQNXTDZ($A$1,$B67,BD$5,$B$1)</f>
        <v>15682.97</v>
      </c>
      <c r="BE67" s="55">
        <f>_xll.EQNXTDZ($A$1,$B67,BE$5,$B$1)</f>
        <v>0</v>
      </c>
      <c r="BF67" s="55">
        <f>_xll.EQNXTDZ($A$1,$B67,BF$5,$B$1)</f>
        <v>16589.009999999998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2389.8200000000002</v>
      </c>
      <c r="E68" s="55">
        <f>_xll.EQNXTDZ($A$1,$B68,E$5,$B$1)</f>
        <v>0</v>
      </c>
      <c r="F68" s="55">
        <f>_xll.EQNXTDZ($A$1,$B68,F$5,$B$1)</f>
        <v>2902.25</v>
      </c>
      <c r="G68" s="55">
        <f>_xll.EQNXTDZ($A$1,$B68,G$5,$B$1)</f>
        <v>0</v>
      </c>
      <c r="H68" s="55">
        <f>_xll.EQNXTDZ($A$1,$B68,H$5,$B$1)</f>
        <v>2582.6999999999998</v>
      </c>
      <c r="I68" s="55">
        <f>_xll.EQNXTDZ($A$1,$B68,I$5,$B$1)</f>
        <v>0</v>
      </c>
      <c r="J68" s="55">
        <f>_xll.EQNXTDZ($A$1,$B68,J$5,$B$1)</f>
        <v>3659.91</v>
      </c>
      <c r="K68" s="55">
        <f>_xll.EQNXTDZ($A$1,$B68,K$5,$B$1)</f>
        <v>0</v>
      </c>
      <c r="L68" s="55">
        <f>_xll.EQNXTDZ($A$1,$B68,L$5,$B$1)</f>
        <v>2916.61</v>
      </c>
      <c r="M68" s="55">
        <f>_xll.EQNXTDZ($A$1,$B68,M$5,$B$1)</f>
        <v>0</v>
      </c>
      <c r="N68" s="55">
        <f>_xll.EQNXTDZ($A$1,$B68,N$5,$B$1)</f>
        <v>4022.95</v>
      </c>
      <c r="O68" s="55">
        <f>_xll.EQNXTDZ($A$1,$B68,O$5,$B$1)</f>
        <v>0</v>
      </c>
      <c r="P68" s="55">
        <f>_xll.EQNXTDZ($A$1,$B68,P$5,$B$1)</f>
        <v>4146.8100000000004</v>
      </c>
      <c r="Q68" s="55">
        <f>_xll.EQNXTDZ($A$1,$B68,Q$5,$B$1)</f>
        <v>0</v>
      </c>
      <c r="R68" s="55">
        <f>_xll.EQNXTDZ($A$1,$B68,R$5,$B$1)</f>
        <v>4107.6099999999997</v>
      </c>
      <c r="S68" s="55">
        <f>_xll.EQNXTDZ($A$1,$B68,S$5,$B$1)</f>
        <v>0</v>
      </c>
      <c r="T68" s="55">
        <f>_xll.EQNXTDZ($A$1,$B68,T$5,$B$1)</f>
        <v>4080</v>
      </c>
      <c r="U68" s="55">
        <f>_xll.EQNXTDZ($A$1,$B68,U$5,$B$1)</f>
        <v>0</v>
      </c>
      <c r="V68" s="55">
        <f>_xll.EQNXTDZ($A$1,$B68,V$5,$B$1)</f>
        <v>4400</v>
      </c>
      <c r="W68" s="55">
        <f>_xll.EQNXTDZ($A$1,$B68,W$5,$B$1)</f>
        <v>0</v>
      </c>
      <c r="X68" s="55">
        <f>_xll.EQNXTDZ($A$1,$B68,X$5,$B$1)</f>
        <v>4364.5</v>
      </c>
      <c r="Y68" s="55">
        <f>_xll.EQNXTDZ($A$1,$B68,Y$5,$B$1)</f>
        <v>0</v>
      </c>
      <c r="Z68" s="55">
        <f>_xll.EQNXTDZ($A$1,$B68,Z$5,$B$1)</f>
        <v>5117.51</v>
      </c>
      <c r="AA68" s="55">
        <f>_xll.EQNXTDZ($A$1,$B68,AA$5,$B$1)</f>
        <v>0</v>
      </c>
      <c r="AB68" s="55">
        <f>_xll.EQNXTDZ($A$1,$B68,AB$5,$B$1)</f>
        <v>5251.74</v>
      </c>
      <c r="AC68" s="55">
        <f>_xll.EQNXTDZ($A$1,$B68,AC$5,$B$1)</f>
        <v>0</v>
      </c>
      <c r="AD68" s="55">
        <f>_xll.EQNXTDZ($A$1,$B68,AD$5,$B$1)</f>
        <v>5605.31</v>
      </c>
      <c r="AE68" s="55">
        <f>_xll.EQNXTDZ($A$1,$B68,AE$5,$B$1)</f>
        <v>0</v>
      </c>
      <c r="AF68" s="55">
        <f>_xll.EQNXTDZ($A$1,$B68,AF$5,$B$1)</f>
        <v>5706.15</v>
      </c>
      <c r="AG68" s="55">
        <f>_xll.EQNXTDZ($A$1,$B68,AG$5,$B$1)</f>
        <v>0</v>
      </c>
      <c r="AH68" s="55">
        <f>_xll.EQNXTDZ($A$1,$B68,AH$5,$B$1)</f>
        <v>6139.39</v>
      </c>
      <c r="AI68" s="55">
        <f>_xll.EQNXTDZ($A$1,$B68,AI$5,$B$1)</f>
        <v>0</v>
      </c>
      <c r="AJ68" s="55">
        <f>_xll.EQNXTDZ($A$1,$B68,AJ$5,$B$1)</f>
        <v>7195.39</v>
      </c>
      <c r="AK68" s="55">
        <f>_xll.EQNXTDZ($A$1,$B68,AK$5,$B$1)</f>
        <v>0</v>
      </c>
      <c r="AL68" s="55">
        <f>_xll.EQNXTDZ($A$1,$B68,AL$5,$B$1)</f>
        <v>7609.58</v>
      </c>
      <c r="AM68" s="55">
        <f>_xll.EQNXTDZ($A$1,$B68,AM$5,$B$1)</f>
        <v>0</v>
      </c>
      <c r="AN68" s="55">
        <f>_xll.EQNXTDZ($A$1,$B68,AN$5,$B$1)</f>
        <v>7990.94</v>
      </c>
      <c r="AO68" s="55">
        <f>_xll.EQNXTDZ($A$1,$B68,AO$5,$B$1)</f>
        <v>0</v>
      </c>
      <c r="AP68" s="55">
        <f>_xll.EQNXTDZ($A$1,$B68,AP$5,$B$1)</f>
        <v>8169.94</v>
      </c>
      <c r="AQ68" s="55">
        <f>_xll.EQNXTDZ($A$1,$B68,AQ$5,$B$1)</f>
        <v>0</v>
      </c>
      <c r="AR68" s="55">
        <f>_xll.EQNXTDZ($A$1,$B68,AR$5,$B$1)</f>
        <v>8881.7900000000009</v>
      </c>
      <c r="AS68" s="55">
        <f>_xll.EQNXTDZ($A$1,$B68,AS$5,$B$1)</f>
        <v>0</v>
      </c>
      <c r="AT68" s="55">
        <f>_xll.EQNXTDZ($A$1,$B68,AT$5,$B$1)</f>
        <v>9762.59</v>
      </c>
      <c r="AU68" s="55">
        <f>_xll.EQNXTDZ($A$1,$B68,AU$5,$B$1)</f>
        <v>0</v>
      </c>
      <c r="AV68" s="55">
        <f>_xll.EQNXTDZ($A$1,$B68,AV$5,$B$1)</f>
        <v>10569.89</v>
      </c>
      <c r="AW68" s="55">
        <f>_xll.EQNXTDZ($A$1,$B68,AW$5,$B$1)</f>
        <v>0</v>
      </c>
      <c r="AX68" s="55">
        <f>_xll.EQNXTDZ($A$1,$B68,AX$5,$B$1)</f>
        <v>12964.98</v>
      </c>
      <c r="AY68" s="55">
        <f>_xll.EQNXTDZ($A$1,$B68,AY$5,$B$1)</f>
        <v>0</v>
      </c>
      <c r="AZ68" s="55">
        <f>_xll.EQNXTDZ($A$1,$B68,AZ$5,$B$1)</f>
        <v>13203.19</v>
      </c>
      <c r="BA68" s="55">
        <f>_xll.EQNXTDZ($A$1,$B68,BA$5,$B$1)</f>
        <v>0</v>
      </c>
      <c r="BB68" s="55">
        <f>_xll.EQNXTDZ($A$1,$B68,BB$5,$B$1)</f>
        <v>13470.81</v>
      </c>
      <c r="BC68" s="55">
        <f>_xll.EQNXTDZ($A$1,$B68,BC$5,$B$1)</f>
        <v>0</v>
      </c>
      <c r="BD68" s="55">
        <f>_xll.EQNXTDZ($A$1,$B68,BD$5,$B$1)</f>
        <v>13689.65</v>
      </c>
      <c r="BE68" s="55">
        <f>_xll.EQNXTDZ($A$1,$B68,BE$5,$B$1)</f>
        <v>0</v>
      </c>
      <c r="BF68" s="55">
        <f>_xll.EQNXTDZ($A$1,$B68,BF$5,$B$1)</f>
        <v>13683.58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2389.8200000000002</v>
      </c>
      <c r="E71" s="55">
        <f>_xll.EQNXTDZ($A$1,$B71,E$5,$B$1)</f>
        <v>0</v>
      </c>
      <c r="F71" s="55">
        <f>_xll.EQNXTDZ($A$1,$B71,F$5,$B$1)</f>
        <v>2902.25</v>
      </c>
      <c r="G71" s="55">
        <f>_xll.EQNXTDZ($A$1,$B71,G$5,$B$1)</f>
        <v>0</v>
      </c>
      <c r="H71" s="55">
        <f>_xll.EQNXTDZ($A$1,$B71,H$5,$B$1)</f>
        <v>2582.6999999999998</v>
      </c>
      <c r="I71" s="55">
        <f>_xll.EQNXTDZ($A$1,$B71,I$5,$B$1)</f>
        <v>0</v>
      </c>
      <c r="J71" s="55">
        <f>_xll.EQNXTDZ($A$1,$B71,J$5,$B$1)</f>
        <v>3659.91</v>
      </c>
      <c r="K71" s="55">
        <f>_xll.EQNXTDZ($A$1,$B71,K$5,$B$1)</f>
        <v>0</v>
      </c>
      <c r="L71" s="55">
        <f>_xll.EQNXTDZ($A$1,$B71,L$5,$B$1)</f>
        <v>2916.61</v>
      </c>
      <c r="M71" s="55">
        <f>_xll.EQNXTDZ($A$1,$B71,M$5,$B$1)</f>
        <v>0</v>
      </c>
      <c r="N71" s="55">
        <f>_xll.EQNXTDZ($A$1,$B71,N$5,$B$1)</f>
        <v>4022.95</v>
      </c>
      <c r="O71" s="55">
        <f>_xll.EQNXTDZ($A$1,$B71,O$5,$B$1)</f>
        <v>0</v>
      </c>
      <c r="P71" s="55">
        <f>_xll.EQNXTDZ($A$1,$B71,P$5,$B$1)</f>
        <v>4146.8100000000004</v>
      </c>
      <c r="Q71" s="55">
        <f>_xll.EQNXTDZ($A$1,$B71,Q$5,$B$1)</f>
        <v>0</v>
      </c>
      <c r="R71" s="55">
        <f>_xll.EQNXTDZ($A$1,$B71,R$5,$B$1)</f>
        <v>4107.6099999999997</v>
      </c>
      <c r="S71" s="55">
        <f>_xll.EQNXTDZ($A$1,$B71,S$5,$B$1)</f>
        <v>0</v>
      </c>
      <c r="T71" s="55">
        <f>_xll.EQNXTDZ($A$1,$B71,T$5,$B$1)</f>
        <v>4080</v>
      </c>
      <c r="U71" s="55">
        <f>_xll.EQNXTDZ($A$1,$B71,U$5,$B$1)</f>
        <v>0</v>
      </c>
      <c r="V71" s="55">
        <f>_xll.EQNXTDZ($A$1,$B71,V$5,$B$1)</f>
        <v>4400</v>
      </c>
      <c r="W71" s="55">
        <f>_xll.EQNXTDZ($A$1,$B71,W$5,$B$1)</f>
        <v>0</v>
      </c>
      <c r="X71" s="55">
        <f>_xll.EQNXTDZ($A$1,$B71,X$5,$B$1)</f>
        <v>4364.5</v>
      </c>
      <c r="Y71" s="55">
        <f>_xll.EQNXTDZ($A$1,$B71,Y$5,$B$1)</f>
        <v>0</v>
      </c>
      <c r="Z71" s="55">
        <f>_xll.EQNXTDZ($A$1,$B71,Z$5,$B$1)</f>
        <v>5117.51</v>
      </c>
      <c r="AA71" s="55">
        <f>_xll.EQNXTDZ($A$1,$B71,AA$5,$B$1)</f>
        <v>0</v>
      </c>
      <c r="AB71" s="55">
        <f>_xll.EQNXTDZ($A$1,$B71,AB$5,$B$1)</f>
        <v>5251.74</v>
      </c>
      <c r="AC71" s="55">
        <f>_xll.EQNXTDZ($A$1,$B71,AC$5,$B$1)</f>
        <v>0</v>
      </c>
      <c r="AD71" s="55">
        <f>_xll.EQNXTDZ($A$1,$B71,AD$5,$B$1)</f>
        <v>5605.31</v>
      </c>
      <c r="AE71" s="55">
        <f>_xll.EQNXTDZ($A$1,$B71,AE$5,$B$1)</f>
        <v>0</v>
      </c>
      <c r="AF71" s="55">
        <f>_xll.EQNXTDZ($A$1,$B71,AF$5,$B$1)</f>
        <v>5706.15</v>
      </c>
      <c r="AG71" s="55">
        <f>_xll.EQNXTDZ($A$1,$B71,AG$5,$B$1)</f>
        <v>0</v>
      </c>
      <c r="AH71" s="55">
        <f>_xll.EQNXTDZ($A$1,$B71,AH$5,$B$1)</f>
        <v>6139.39</v>
      </c>
      <c r="AI71" s="55">
        <f>_xll.EQNXTDZ($A$1,$B71,AI$5,$B$1)</f>
        <v>0</v>
      </c>
      <c r="AJ71" s="55">
        <f>_xll.EQNXTDZ($A$1,$B71,AJ$5,$B$1)</f>
        <v>7195.39</v>
      </c>
      <c r="AK71" s="55">
        <f>_xll.EQNXTDZ($A$1,$B71,AK$5,$B$1)</f>
        <v>0</v>
      </c>
      <c r="AL71" s="55">
        <f>_xll.EQNXTDZ($A$1,$B71,AL$5,$B$1)</f>
        <v>7609.58</v>
      </c>
      <c r="AM71" s="55">
        <f>_xll.EQNXTDZ($A$1,$B71,AM$5,$B$1)</f>
        <v>0</v>
      </c>
      <c r="AN71" s="55">
        <f>_xll.EQNXTDZ($A$1,$B71,AN$5,$B$1)</f>
        <v>7990.94</v>
      </c>
      <c r="AO71" s="55">
        <f>_xll.EQNXTDZ($A$1,$B71,AO$5,$B$1)</f>
        <v>0</v>
      </c>
      <c r="AP71" s="55">
        <f>_xll.EQNXTDZ($A$1,$B71,AP$5,$B$1)</f>
        <v>8169.94</v>
      </c>
      <c r="AQ71" s="55">
        <f>_xll.EQNXTDZ($A$1,$B71,AQ$5,$B$1)</f>
        <v>0</v>
      </c>
      <c r="AR71" s="55">
        <f>_xll.EQNXTDZ($A$1,$B71,AR$5,$B$1)</f>
        <v>8881.7900000000009</v>
      </c>
      <c r="AS71" s="55">
        <f>_xll.EQNXTDZ($A$1,$B71,AS$5,$B$1)</f>
        <v>0</v>
      </c>
      <c r="AT71" s="55">
        <f>_xll.EQNXTDZ($A$1,$B71,AT$5,$B$1)</f>
        <v>9762.59</v>
      </c>
      <c r="AU71" s="55">
        <f>_xll.EQNXTDZ($A$1,$B71,AU$5,$B$1)</f>
        <v>0</v>
      </c>
      <c r="AV71" s="55">
        <f>_xll.EQNXTDZ($A$1,$B71,AV$5,$B$1)</f>
        <v>10569.89</v>
      </c>
      <c r="AW71" s="55">
        <f>_xll.EQNXTDZ($A$1,$B71,AW$5,$B$1)</f>
        <v>0</v>
      </c>
      <c r="AX71" s="55">
        <f>_xll.EQNXTDZ($A$1,$B71,AX$5,$B$1)</f>
        <v>12964.98</v>
      </c>
      <c r="AY71" s="55">
        <f>_xll.EQNXTDZ($A$1,$B71,AY$5,$B$1)</f>
        <v>0</v>
      </c>
      <c r="AZ71" s="55">
        <f>_xll.EQNXTDZ($A$1,$B71,AZ$5,$B$1)</f>
        <v>13203.19</v>
      </c>
      <c r="BA71" s="55">
        <f>_xll.EQNXTDZ($A$1,$B71,BA$5,$B$1)</f>
        <v>0</v>
      </c>
      <c r="BB71" s="55">
        <f>_xll.EQNXTDZ($A$1,$B71,BB$5,$B$1)</f>
        <v>13470.81</v>
      </c>
      <c r="BC71" s="55">
        <f>_xll.EQNXTDZ($A$1,$B71,BC$5,$B$1)</f>
        <v>0</v>
      </c>
      <c r="BD71" s="55">
        <f>_xll.EQNXTDZ($A$1,$B71,BD$5,$B$1)</f>
        <v>13689.65</v>
      </c>
      <c r="BE71" s="55">
        <f>_xll.EQNXTDZ($A$1,$B71,BE$5,$B$1)</f>
        <v>0</v>
      </c>
      <c r="BF71" s="55">
        <f>_xll.EQNXTDZ($A$1,$B71,BF$5,$B$1)</f>
        <v>13683.58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2.96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2.96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3.5</v>
      </c>
      <c r="O72" s="55">
        <f>_xll.EQNXTDZ($A$1,$B72,O$5,$B$1)</f>
        <v>0</v>
      </c>
      <c r="P72" s="55">
        <f>_xll.EQNXTDZ($A$1,$B72,P$5,$B$1)</f>
        <v>3.5</v>
      </c>
      <c r="Q72" s="55">
        <f>_xll.EQNXTDZ($A$1,$B72,Q$5,$B$1)</f>
        <v>0</v>
      </c>
      <c r="R72" s="55">
        <f>_xll.EQNXTDZ($A$1,$B72,R$5,$B$1)</f>
        <v>4.91</v>
      </c>
      <c r="S72" s="55">
        <f>_xll.EQNXTDZ($A$1,$B72,S$5,$B$1)</f>
        <v>0</v>
      </c>
      <c r="T72" s="55">
        <f>_xll.EQNXTDZ($A$1,$B72,T$5,$B$1)</f>
        <v>4.91</v>
      </c>
      <c r="U72" s="55">
        <f>_xll.EQNXTDZ($A$1,$B72,U$5,$B$1)</f>
        <v>0</v>
      </c>
      <c r="V72" s="55">
        <f>_xll.EQNXTDZ($A$1,$B72,V$5,$B$1)</f>
        <v>4.91</v>
      </c>
      <c r="W72" s="55">
        <f>_xll.EQNXTDZ($A$1,$B72,W$5,$B$1)</f>
        <v>0</v>
      </c>
      <c r="X72" s="55">
        <f>_xll.EQNXTDZ($A$1,$B72,X$5,$B$1)</f>
        <v>4.91</v>
      </c>
      <c r="Y72" s="55">
        <f>_xll.EQNXTDZ($A$1,$B72,Y$5,$B$1)</f>
        <v>0</v>
      </c>
      <c r="Z72" s="55">
        <f>_xll.EQNXTDZ($A$1,$B72,Z$5,$B$1)</f>
        <v>4.08</v>
      </c>
      <c r="AA72" s="55">
        <f>_xll.EQNXTDZ($A$1,$B72,AA$5,$B$1)</f>
        <v>0</v>
      </c>
      <c r="AB72" s="55">
        <f>_xll.EQNXTDZ($A$1,$B72,AB$5,$B$1)</f>
        <v>4.08</v>
      </c>
      <c r="AC72" s="55">
        <f>_xll.EQNXTDZ($A$1,$B72,AC$5,$B$1)</f>
        <v>0</v>
      </c>
      <c r="AD72" s="55">
        <f>_xll.EQNXTDZ($A$1,$B72,AD$5,$B$1)</f>
        <v>4.08</v>
      </c>
      <c r="AE72" s="55">
        <f>_xll.EQNXTDZ($A$1,$B72,AE$5,$B$1)</f>
        <v>0</v>
      </c>
      <c r="AF72" s="55">
        <f>_xll.EQNXTDZ($A$1,$B72,AF$5,$B$1)</f>
        <v>0.62</v>
      </c>
      <c r="AG72" s="55">
        <f>_xll.EQNXTDZ($A$1,$B72,AG$5,$B$1)</f>
        <v>0</v>
      </c>
      <c r="AH72" s="55">
        <f>_xll.EQNXTDZ($A$1,$B72,AH$5,$B$1)</f>
        <v>0.62</v>
      </c>
      <c r="AI72" s="55">
        <f>_xll.EQNXTDZ($A$1,$B72,AI$5,$B$1)</f>
        <v>0</v>
      </c>
      <c r="AJ72" s="55">
        <f>_xll.EQNXTDZ($A$1,$B72,AJ$5,$B$1)</f>
        <v>0.62</v>
      </c>
      <c r="AK72" s="55">
        <f>_xll.EQNXTDZ($A$1,$B72,AK$5,$B$1)</f>
        <v>0</v>
      </c>
      <c r="AL72" s="55">
        <f>_xll.EQNXTDZ($A$1,$B72,AL$5,$B$1)</f>
        <v>0.62</v>
      </c>
      <c r="AM72" s="55">
        <f>_xll.EQNXTDZ($A$1,$B72,AM$5,$B$1)</f>
        <v>0</v>
      </c>
      <c r="AN72" s="55">
        <f>_xll.EQNXTDZ($A$1,$B72,AN$5,$B$1)</f>
        <v>0.62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117.44</v>
      </c>
      <c r="S74" s="55">
        <f>_xll.EQNXTDZ($A$1,$B74,S$5,$B$1)</f>
        <v>0</v>
      </c>
      <c r="T74" s="55">
        <f>_xll.EQNXTDZ($A$1,$B74,T$5,$B$1)</f>
        <v>377.34</v>
      </c>
      <c r="U74" s="55">
        <f>_xll.EQNXTDZ($A$1,$B74,U$5,$B$1)</f>
        <v>0</v>
      </c>
      <c r="V74" s="55">
        <f>_xll.EQNXTDZ($A$1,$B74,V$5,$B$1)</f>
        <v>258.58</v>
      </c>
      <c r="W74" s="55">
        <f>_xll.EQNXTDZ($A$1,$B74,W$5,$B$1)</f>
        <v>0</v>
      </c>
      <c r="X74" s="55">
        <f>_xll.EQNXTDZ($A$1,$B74,X$5,$B$1)</f>
        <v>766.92</v>
      </c>
      <c r="Y74" s="55">
        <f>_xll.EQNXTDZ($A$1,$B74,Y$5,$B$1)</f>
        <v>0</v>
      </c>
      <c r="Z74" s="55">
        <f>_xll.EQNXTDZ($A$1,$B74,Z$5,$B$1)</f>
        <v>558.80999999999995</v>
      </c>
      <c r="AA74" s="55">
        <f>_xll.EQNXTDZ($A$1,$B74,AA$5,$B$1)</f>
        <v>0</v>
      </c>
      <c r="AB74" s="55">
        <f>_xll.EQNXTDZ($A$1,$B74,AB$5,$B$1)</f>
        <v>767.05</v>
      </c>
      <c r="AC74" s="55">
        <f>_xll.EQNXTDZ($A$1,$B74,AC$5,$B$1)</f>
        <v>0</v>
      </c>
      <c r="AD74" s="55">
        <f>_xll.EQNXTDZ($A$1,$B74,AD$5,$B$1)</f>
        <v>753.61</v>
      </c>
      <c r="AE74" s="55">
        <f>_xll.EQNXTDZ($A$1,$B74,AE$5,$B$1)</f>
        <v>0</v>
      </c>
      <c r="AF74" s="55">
        <f>_xll.EQNXTDZ($A$1,$B74,AF$5,$B$1)</f>
        <v>1104.8800000000001</v>
      </c>
      <c r="AG74" s="55">
        <f>_xll.EQNXTDZ($A$1,$B74,AG$5,$B$1)</f>
        <v>0</v>
      </c>
      <c r="AH74" s="55">
        <f>_xll.EQNXTDZ($A$1,$B74,AH$5,$B$1)</f>
        <v>1393.29</v>
      </c>
      <c r="AI74" s="55">
        <f>_xll.EQNXTDZ($A$1,$B74,AI$5,$B$1)</f>
        <v>0</v>
      </c>
      <c r="AJ74" s="55">
        <f>_xll.EQNXTDZ($A$1,$B74,AJ$5,$B$1)</f>
        <v>547.13</v>
      </c>
      <c r="AK74" s="55">
        <f>_xll.EQNXTDZ($A$1,$B74,AK$5,$B$1)</f>
        <v>0</v>
      </c>
      <c r="AL74" s="55">
        <f>_xll.EQNXTDZ($A$1,$B74,AL$5,$B$1)</f>
        <v>772.26</v>
      </c>
      <c r="AM74" s="55">
        <f>_xll.EQNXTDZ($A$1,$B74,AM$5,$B$1)</f>
        <v>0</v>
      </c>
      <c r="AN74" s="55">
        <f>_xll.EQNXTDZ($A$1,$B74,AN$5,$B$1)</f>
        <v>813.38</v>
      </c>
      <c r="AO74" s="55">
        <f>_xll.EQNXTDZ($A$1,$B74,AO$5,$B$1)</f>
        <v>0</v>
      </c>
      <c r="AP74" s="55">
        <f>_xll.EQNXTDZ($A$1,$B74,AP$5,$B$1)</f>
        <v>1671.63</v>
      </c>
      <c r="AQ74" s="55">
        <f>_xll.EQNXTDZ($A$1,$B74,AQ$5,$B$1)</f>
        <v>0</v>
      </c>
      <c r="AR74" s="55">
        <f>_xll.EQNXTDZ($A$1,$B74,AR$5,$B$1)</f>
        <v>1843.47</v>
      </c>
      <c r="AS74" s="55">
        <f>_xll.EQNXTDZ($A$1,$B74,AS$5,$B$1)</f>
        <v>0</v>
      </c>
      <c r="AT74" s="55">
        <f>_xll.EQNXTDZ($A$1,$B74,AT$5,$B$1)</f>
        <v>2405.54</v>
      </c>
      <c r="AU74" s="55">
        <f>_xll.EQNXTDZ($A$1,$B74,AU$5,$B$1)</f>
        <v>0</v>
      </c>
      <c r="AV74" s="55">
        <f>_xll.EQNXTDZ($A$1,$B74,AV$5,$B$1)</f>
        <v>2683.27</v>
      </c>
      <c r="AW74" s="55">
        <f>_xll.EQNXTDZ($A$1,$B74,AW$5,$B$1)</f>
        <v>0</v>
      </c>
      <c r="AX74" s="55">
        <f>_xll.EQNXTDZ($A$1,$B74,AX$5,$B$1)</f>
        <v>805.33</v>
      </c>
      <c r="AY74" s="55">
        <f>_xll.EQNXTDZ($A$1,$B74,AY$5,$B$1)</f>
        <v>0</v>
      </c>
      <c r="AZ74" s="55">
        <f>_xll.EQNXTDZ($A$1,$B74,AZ$5,$B$1)</f>
        <v>836.73</v>
      </c>
      <c r="BA74" s="55">
        <f>_xll.EQNXTDZ($A$1,$B74,BA$5,$B$1)</f>
        <v>0</v>
      </c>
      <c r="BB74" s="55">
        <f>_xll.EQNXTDZ($A$1,$B74,BB$5,$B$1)</f>
        <v>811.02</v>
      </c>
      <c r="BC74" s="55">
        <f>_xll.EQNXTDZ($A$1,$B74,BC$5,$B$1)</f>
        <v>0</v>
      </c>
      <c r="BD74" s="55">
        <f>_xll.EQNXTDZ($A$1,$B74,BD$5,$B$1)</f>
        <v>1237.69</v>
      </c>
      <c r="BE74" s="55">
        <f>_xll.EQNXTDZ($A$1,$B74,BE$5,$B$1)</f>
        <v>0</v>
      </c>
      <c r="BF74" s="55">
        <f>_xll.EQNXTDZ($A$1,$B74,BF$5,$B$1)</f>
        <v>1889.41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92.3</v>
      </c>
      <c r="E77" s="55">
        <f>_xll.EQNXTDZ($A$1,$B77,E$5,$B$1)</f>
        <v>0</v>
      </c>
      <c r="F77" s="55">
        <f>_xll.EQNXTDZ($A$1,$B77,F$5,$B$1)</f>
        <v>9.77</v>
      </c>
      <c r="G77" s="55">
        <f>_xll.EQNXTDZ($A$1,$B77,G$5,$B$1)</f>
        <v>0</v>
      </c>
      <c r="H77" s="55">
        <f>_xll.EQNXTDZ($A$1,$B77,H$5,$B$1)</f>
        <v>92.66</v>
      </c>
      <c r="I77" s="55">
        <f>_xll.EQNXTDZ($A$1,$B77,I$5,$B$1)</f>
        <v>0</v>
      </c>
      <c r="J77" s="55">
        <f>_xll.EQNXTDZ($A$1,$B77,J$5,$B$1)</f>
        <v>10.119999999999999</v>
      </c>
      <c r="K77" s="55">
        <f>_xll.EQNXTDZ($A$1,$B77,K$5,$B$1)</f>
        <v>0</v>
      </c>
      <c r="L77" s="55">
        <f>_xll.EQNXTDZ($A$1,$B77,L$5,$B$1)</f>
        <v>87.3</v>
      </c>
      <c r="M77" s="55">
        <f>_xll.EQNXTDZ($A$1,$B77,M$5,$B$1)</f>
        <v>0</v>
      </c>
      <c r="N77" s="55">
        <f>_xll.EQNXTDZ($A$1,$B77,N$5,$B$1)</f>
        <v>0.05</v>
      </c>
      <c r="O77" s="55">
        <f>_xll.EQNXTDZ($A$1,$B77,O$5,$B$1)</f>
        <v>0</v>
      </c>
      <c r="P77" s="55">
        <f>_xll.EQNXTDZ($A$1,$B77,P$5,$B$1)</f>
        <v>0.05</v>
      </c>
      <c r="Q77" s="55">
        <f>_xll.EQNXTDZ($A$1,$B77,Q$5,$B$1)</f>
        <v>0</v>
      </c>
      <c r="R77" s="55">
        <f>_xll.EQNXTDZ($A$1,$B77,R$5,$B$1)</f>
        <v>4.33</v>
      </c>
      <c r="S77" s="55">
        <f>_xll.EQNXTDZ($A$1,$B77,S$5,$B$1)</f>
        <v>0</v>
      </c>
      <c r="T77" s="55">
        <f>_xll.EQNXTDZ($A$1,$B77,T$5,$B$1)</f>
        <v>0.11</v>
      </c>
      <c r="U77" s="55">
        <f>_xll.EQNXTDZ($A$1,$B77,U$5,$B$1)</f>
        <v>0</v>
      </c>
      <c r="V77" s="55">
        <f>_xll.EQNXTDZ($A$1,$B77,V$5,$B$1)</f>
        <v>25.12</v>
      </c>
      <c r="W77" s="55">
        <f>_xll.EQNXTDZ($A$1,$B77,W$5,$B$1)</f>
        <v>0</v>
      </c>
      <c r="X77" s="55">
        <f>_xll.EQNXTDZ($A$1,$B77,X$5,$B$1)</f>
        <v>0.12</v>
      </c>
      <c r="Y77" s="55">
        <f>_xll.EQNXTDZ($A$1,$B77,Y$5,$B$1)</f>
        <v>0</v>
      </c>
      <c r="Z77" s="55">
        <f>_xll.EQNXTDZ($A$1,$B77,Z$5,$B$1)</f>
        <v>0.12</v>
      </c>
      <c r="AA77" s="55">
        <f>_xll.EQNXTDZ($A$1,$B77,AA$5,$B$1)</f>
        <v>0</v>
      </c>
      <c r="AB77" s="55">
        <f>_xll.EQNXTDZ($A$1,$B77,AB$5,$B$1)</f>
        <v>0.12</v>
      </c>
      <c r="AC77" s="55">
        <f>_xll.EQNXTDZ($A$1,$B77,AC$5,$B$1)</f>
        <v>0</v>
      </c>
      <c r="AD77" s="55">
        <f>_xll.EQNXTDZ($A$1,$B77,AD$5,$B$1)</f>
        <v>0.11</v>
      </c>
      <c r="AE77" s="55">
        <f>_xll.EQNXTDZ($A$1,$B77,AE$5,$B$1)</f>
        <v>0</v>
      </c>
      <c r="AF77" s="55">
        <f>_xll.EQNXTDZ($A$1,$B77,AF$5,$B$1)</f>
        <v>4.16</v>
      </c>
      <c r="AG77" s="55">
        <f>_xll.EQNXTDZ($A$1,$B77,AG$5,$B$1)</f>
        <v>0</v>
      </c>
      <c r="AH77" s="55">
        <f>_xll.EQNXTDZ($A$1,$B77,AH$5,$B$1)</f>
        <v>4.16</v>
      </c>
      <c r="AI77" s="55">
        <f>_xll.EQNXTDZ($A$1,$B77,AI$5,$B$1)</f>
        <v>0</v>
      </c>
      <c r="AJ77" s="55">
        <f>_xll.EQNXTDZ($A$1,$B77,AJ$5,$B$1)</f>
        <v>4.16</v>
      </c>
      <c r="AK77" s="55">
        <f>_xll.EQNXTDZ($A$1,$B77,AK$5,$B$1)</f>
        <v>0</v>
      </c>
      <c r="AL77" s="55">
        <f>_xll.EQNXTDZ($A$1,$B77,AL$5,$B$1)</f>
        <v>4.16</v>
      </c>
      <c r="AM77" s="55">
        <f>_xll.EQNXTDZ($A$1,$B77,AM$5,$B$1)</f>
        <v>0</v>
      </c>
      <c r="AN77" s="55">
        <f>_xll.EQNXTDZ($A$1,$B77,AN$5,$B$1)</f>
        <v>4.16</v>
      </c>
      <c r="AO77" s="55">
        <f>_xll.EQNXTDZ($A$1,$B77,AO$5,$B$1)</f>
        <v>0</v>
      </c>
      <c r="AP77" s="55">
        <f>_xll.EQNXTDZ($A$1,$B77,AP$5,$B$1)</f>
        <v>4.16</v>
      </c>
      <c r="AQ77" s="55">
        <f>_xll.EQNXTDZ($A$1,$B77,AQ$5,$B$1)</f>
        <v>0</v>
      </c>
      <c r="AR77" s="55">
        <f>_xll.EQNXTDZ($A$1,$B77,AR$5,$B$1)</f>
        <v>4.16</v>
      </c>
      <c r="AS77" s="55">
        <f>_xll.EQNXTDZ($A$1,$B77,AS$5,$B$1)</f>
        <v>0</v>
      </c>
      <c r="AT77" s="55">
        <f>_xll.EQNXTDZ($A$1,$B77,AT$5,$B$1)</f>
        <v>4.16</v>
      </c>
      <c r="AU77" s="55">
        <f>_xll.EQNXTDZ($A$1,$B77,AU$5,$B$1)</f>
        <v>0</v>
      </c>
      <c r="AV77" s="55">
        <f>_xll.EQNXTDZ($A$1,$B77,AV$5,$B$1)</f>
        <v>19.38</v>
      </c>
      <c r="AW77" s="55">
        <f>_xll.EQNXTDZ($A$1,$B77,AW$5,$B$1)</f>
        <v>0</v>
      </c>
      <c r="AX77" s="55">
        <f>_xll.EQNXTDZ($A$1,$B77,AX$5,$B$1)</f>
        <v>121.12</v>
      </c>
      <c r="AY77" s="55">
        <f>_xll.EQNXTDZ($A$1,$B77,AY$5,$B$1)</f>
        <v>0</v>
      </c>
      <c r="AZ77" s="55">
        <f>_xll.EQNXTDZ($A$1,$B77,AZ$5,$B$1)</f>
        <v>122.13</v>
      </c>
      <c r="BA77" s="55">
        <f>_xll.EQNXTDZ($A$1,$B77,BA$5,$B$1)</f>
        <v>0</v>
      </c>
      <c r="BB77" s="55">
        <f>_xll.EQNXTDZ($A$1,$B77,BB$5,$B$1)</f>
        <v>122.76</v>
      </c>
      <c r="BC77" s="55">
        <f>_xll.EQNXTDZ($A$1,$B77,BC$5,$B$1)</f>
        <v>0</v>
      </c>
      <c r="BD77" s="55">
        <f>_xll.EQNXTDZ($A$1,$B77,BD$5,$B$1)</f>
        <v>124.54</v>
      </c>
      <c r="BE77" s="55">
        <f>_xll.EQNXTDZ($A$1,$B77,BE$5,$B$1)</f>
        <v>0</v>
      </c>
      <c r="BF77" s="55">
        <f>_xll.EQNXTDZ($A$1,$B77,BF$5,$B$1)</f>
        <v>124.07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110.83</v>
      </c>
      <c r="E78" s="55">
        <f>_xll.EQNXTDZ($A$1,$B78,E$5,$B$1)</f>
        <v>0</v>
      </c>
      <c r="F78" s="55">
        <f>_xll.EQNXTDZ($A$1,$B78,F$5,$B$1)</f>
        <v>150.06</v>
      </c>
      <c r="G78" s="55">
        <f>_xll.EQNXTDZ($A$1,$B78,G$5,$B$1)</f>
        <v>0</v>
      </c>
      <c r="H78" s="55">
        <f>_xll.EQNXTDZ($A$1,$B78,H$5,$B$1)</f>
        <v>99.24</v>
      </c>
      <c r="I78" s="55">
        <f>_xll.EQNXTDZ($A$1,$B78,I$5,$B$1)</f>
        <v>0</v>
      </c>
      <c r="J78" s="55">
        <f>_xll.EQNXTDZ($A$1,$B78,J$5,$B$1)</f>
        <v>72.010000000000005</v>
      </c>
      <c r="K78" s="55">
        <f>_xll.EQNXTDZ($A$1,$B78,K$5,$B$1)</f>
        <v>0</v>
      </c>
      <c r="L78" s="55">
        <f>_xll.EQNXTDZ($A$1,$B78,L$5,$B$1)</f>
        <v>98</v>
      </c>
      <c r="M78" s="55">
        <f>_xll.EQNXTDZ($A$1,$B78,M$5,$B$1)</f>
        <v>0</v>
      </c>
      <c r="N78" s="55">
        <f>_xll.EQNXTDZ($A$1,$B78,N$5,$B$1)</f>
        <v>131.11000000000001</v>
      </c>
      <c r="O78" s="55">
        <f>_xll.EQNXTDZ($A$1,$B78,O$5,$B$1)</f>
        <v>0</v>
      </c>
      <c r="P78" s="55">
        <f>_xll.EQNXTDZ($A$1,$B78,P$5,$B$1)</f>
        <v>165.78</v>
      </c>
      <c r="Q78" s="55">
        <f>_xll.EQNXTDZ($A$1,$B78,Q$5,$B$1)</f>
        <v>0</v>
      </c>
      <c r="R78" s="55">
        <f>_xll.EQNXTDZ($A$1,$B78,R$5,$B$1)</f>
        <v>30.3</v>
      </c>
      <c r="S78" s="55">
        <f>_xll.EQNXTDZ($A$1,$B78,S$5,$B$1)</f>
        <v>0</v>
      </c>
      <c r="T78" s="55">
        <f>_xll.EQNXTDZ($A$1,$B78,T$5,$B$1)</f>
        <v>43.26</v>
      </c>
      <c r="U78" s="55">
        <f>_xll.EQNXTDZ($A$1,$B78,U$5,$B$1)</f>
        <v>0</v>
      </c>
      <c r="V78" s="55">
        <f>_xll.EQNXTDZ($A$1,$B78,V$5,$B$1)</f>
        <v>42.34</v>
      </c>
      <c r="W78" s="55">
        <f>_xll.EQNXTDZ($A$1,$B78,W$5,$B$1)</f>
        <v>0</v>
      </c>
      <c r="X78" s="55">
        <f>_xll.EQNXTDZ($A$1,$B78,X$5,$B$1)</f>
        <v>40</v>
      </c>
      <c r="Y78" s="55">
        <f>_xll.EQNXTDZ($A$1,$B78,Y$5,$B$1)</f>
        <v>0</v>
      </c>
      <c r="Z78" s="55">
        <f>_xll.EQNXTDZ($A$1,$B78,Z$5,$B$1)</f>
        <v>30.73</v>
      </c>
      <c r="AA78" s="55">
        <f>_xll.EQNXTDZ($A$1,$B78,AA$5,$B$1)</f>
        <v>0</v>
      </c>
      <c r="AB78" s="55">
        <f>_xll.EQNXTDZ($A$1,$B78,AB$5,$B$1)</f>
        <v>35.020000000000003</v>
      </c>
      <c r="AC78" s="55">
        <f>_xll.EQNXTDZ($A$1,$B78,AC$5,$B$1)</f>
        <v>0</v>
      </c>
      <c r="AD78" s="55">
        <f>_xll.EQNXTDZ($A$1,$B78,AD$5,$B$1)</f>
        <v>34.049999999999997</v>
      </c>
      <c r="AE78" s="55">
        <f>_xll.EQNXTDZ($A$1,$B78,AE$5,$B$1)</f>
        <v>0</v>
      </c>
      <c r="AF78" s="55">
        <f>_xll.EQNXTDZ($A$1,$B78,AF$5,$B$1)</f>
        <v>41</v>
      </c>
      <c r="AG78" s="55">
        <f>_xll.EQNXTDZ($A$1,$B78,AG$5,$B$1)</f>
        <v>0</v>
      </c>
      <c r="AH78" s="55">
        <f>_xll.EQNXTDZ($A$1,$B78,AH$5,$B$1)</f>
        <v>43.87</v>
      </c>
      <c r="AI78" s="55">
        <f>_xll.EQNXTDZ($A$1,$B78,AI$5,$B$1)</f>
        <v>0</v>
      </c>
      <c r="AJ78" s="55">
        <f>_xll.EQNXTDZ($A$1,$B78,AJ$5,$B$1)</f>
        <v>42.55</v>
      </c>
      <c r="AK78" s="55">
        <f>_xll.EQNXTDZ($A$1,$B78,AK$5,$B$1)</f>
        <v>0</v>
      </c>
      <c r="AL78" s="55">
        <f>_xll.EQNXTDZ($A$1,$B78,AL$5,$B$1)</f>
        <v>10.55</v>
      </c>
      <c r="AM78" s="55">
        <f>_xll.EQNXTDZ($A$1,$B78,AM$5,$B$1)</f>
        <v>0</v>
      </c>
      <c r="AN78" s="55">
        <f>_xll.EQNXTDZ($A$1,$B78,AN$5,$B$1)</f>
        <v>12.24</v>
      </c>
      <c r="AO78" s="55">
        <f>_xll.EQNXTDZ($A$1,$B78,AO$5,$B$1)</f>
        <v>0</v>
      </c>
      <c r="AP78" s="55">
        <f>_xll.EQNXTDZ($A$1,$B78,AP$5,$B$1)</f>
        <v>14.72</v>
      </c>
      <c r="AQ78" s="55">
        <f>_xll.EQNXTDZ($A$1,$B78,AQ$5,$B$1)</f>
        <v>0</v>
      </c>
      <c r="AR78" s="55">
        <f>_xll.EQNXTDZ($A$1,$B78,AR$5,$B$1)</f>
        <v>39.450000000000003</v>
      </c>
      <c r="AS78" s="55">
        <f>_xll.EQNXTDZ($A$1,$B78,AS$5,$B$1)</f>
        <v>0</v>
      </c>
      <c r="AT78" s="55">
        <f>_xll.EQNXTDZ($A$1,$B78,AT$5,$B$1)</f>
        <v>44.82</v>
      </c>
      <c r="AU78" s="55">
        <f>_xll.EQNXTDZ($A$1,$B78,AU$5,$B$1)</f>
        <v>0</v>
      </c>
      <c r="AV78" s="55">
        <f>_xll.EQNXTDZ($A$1,$B78,AV$5,$B$1)</f>
        <v>47.57</v>
      </c>
      <c r="AW78" s="55">
        <f>_xll.EQNXTDZ($A$1,$B78,AW$5,$B$1)</f>
        <v>0</v>
      </c>
      <c r="AX78" s="55">
        <f>_xll.EQNXTDZ($A$1,$B78,AX$5,$B$1)</f>
        <v>50.04</v>
      </c>
      <c r="AY78" s="55">
        <f>_xll.EQNXTDZ($A$1,$B78,AY$5,$B$1)</f>
        <v>0</v>
      </c>
      <c r="AZ78" s="55">
        <f>_xll.EQNXTDZ($A$1,$B78,AZ$5,$B$1)</f>
        <v>51.32</v>
      </c>
      <c r="BA78" s="55">
        <f>_xll.EQNXTDZ($A$1,$B78,BA$5,$B$1)</f>
        <v>0</v>
      </c>
      <c r="BB78" s="55">
        <f>_xll.EQNXTDZ($A$1,$B78,BB$5,$B$1)</f>
        <v>52.4</v>
      </c>
      <c r="BC78" s="55">
        <f>_xll.EQNXTDZ($A$1,$B78,BC$5,$B$1)</f>
        <v>0</v>
      </c>
      <c r="BD78" s="55">
        <f>_xll.EQNXTDZ($A$1,$B78,BD$5,$B$1)</f>
        <v>53.21</v>
      </c>
      <c r="BE78" s="55">
        <f>_xll.EQNXTDZ($A$1,$B78,BE$5,$B$1)</f>
        <v>0</v>
      </c>
      <c r="BF78" s="55">
        <f>_xll.EQNXTDZ($A$1,$B78,BF$5,$B$1)</f>
        <v>47.95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2.67</v>
      </c>
      <c r="E79" s="55">
        <f>_xll.EQNXTDZ($A$1,$B79,E$5,$B$1)</f>
        <v>0</v>
      </c>
      <c r="F79" s="55">
        <f>_xll.EQNXTDZ($A$1,$B79,F$5,$B$1)</f>
        <v>8.33</v>
      </c>
      <c r="G79" s="55">
        <f>_xll.EQNXTDZ($A$1,$B79,G$5,$B$1)</f>
        <v>0</v>
      </c>
      <c r="H79" s="55">
        <f>_xll.EQNXTDZ($A$1,$B79,H$5,$B$1)</f>
        <v>3.32</v>
      </c>
      <c r="I79" s="55">
        <f>_xll.EQNXTDZ($A$1,$B79,I$5,$B$1)</f>
        <v>0</v>
      </c>
      <c r="J79" s="55">
        <f>_xll.EQNXTDZ($A$1,$B79,J$5,$B$1)</f>
        <v>8.6300000000000008</v>
      </c>
      <c r="K79" s="55">
        <f>_xll.EQNXTDZ($A$1,$B79,K$5,$B$1)</f>
        <v>0</v>
      </c>
      <c r="L79" s="55">
        <f>_xll.EQNXTDZ($A$1,$B79,L$5,$B$1)</f>
        <v>3.22</v>
      </c>
      <c r="M79" s="55">
        <f>_xll.EQNXTDZ($A$1,$B79,M$5,$B$1)</f>
        <v>0</v>
      </c>
      <c r="N79" s="55">
        <f>_xll.EQNXTDZ($A$1,$B79,N$5,$B$1)</f>
        <v>9.1999999999999993</v>
      </c>
      <c r="O79" s="55">
        <f>_xll.EQNXTDZ($A$1,$B79,O$5,$B$1)</f>
        <v>0</v>
      </c>
      <c r="P79" s="55">
        <f>_xll.EQNXTDZ($A$1,$B79,P$5,$B$1)</f>
        <v>8.11</v>
      </c>
      <c r="Q79" s="55">
        <f>_xll.EQNXTDZ($A$1,$B79,Q$5,$B$1)</f>
        <v>0</v>
      </c>
      <c r="R79" s="55">
        <f>_xll.EQNXTDZ($A$1,$B79,R$5,$B$1)</f>
        <v>175.7</v>
      </c>
      <c r="S79" s="55">
        <f>_xll.EQNXTDZ($A$1,$B79,S$5,$B$1)</f>
        <v>0</v>
      </c>
      <c r="T79" s="55">
        <f>_xll.EQNXTDZ($A$1,$B79,T$5,$B$1)</f>
        <v>83.24</v>
      </c>
      <c r="U79" s="55">
        <f>_xll.EQNXTDZ($A$1,$B79,U$5,$B$1)</f>
        <v>0</v>
      </c>
      <c r="V79" s="55">
        <f>_xll.EQNXTDZ($A$1,$B79,V$5,$B$1)</f>
        <v>157.94</v>
      </c>
      <c r="W79" s="55">
        <f>_xll.EQNXTDZ($A$1,$B79,W$5,$B$1)</f>
        <v>0</v>
      </c>
      <c r="X79" s="55">
        <f>_xll.EQNXTDZ($A$1,$B79,X$5,$B$1)</f>
        <v>215.7</v>
      </c>
      <c r="Y79" s="55">
        <f>_xll.EQNXTDZ($A$1,$B79,Y$5,$B$1)</f>
        <v>0</v>
      </c>
      <c r="Z79" s="55">
        <f>_xll.EQNXTDZ($A$1,$B79,Z$5,$B$1)</f>
        <v>225.87</v>
      </c>
      <c r="AA79" s="55">
        <f>_xll.EQNXTDZ($A$1,$B79,AA$5,$B$1)</f>
        <v>0</v>
      </c>
      <c r="AB79" s="55">
        <f>_xll.EQNXTDZ($A$1,$B79,AB$5,$B$1)</f>
        <v>304.47000000000003</v>
      </c>
      <c r="AC79" s="55">
        <f>_xll.EQNXTDZ($A$1,$B79,AC$5,$B$1)</f>
        <v>0</v>
      </c>
      <c r="AD79" s="55">
        <f>_xll.EQNXTDZ($A$1,$B79,AD$5,$B$1)</f>
        <v>318.45</v>
      </c>
      <c r="AE79" s="55">
        <f>_xll.EQNXTDZ($A$1,$B79,AE$5,$B$1)</f>
        <v>0</v>
      </c>
      <c r="AF79" s="55">
        <f>_xll.EQNXTDZ($A$1,$B79,AF$5,$B$1)</f>
        <v>378.93</v>
      </c>
      <c r="AG79" s="55">
        <f>_xll.EQNXTDZ($A$1,$B79,AG$5,$B$1)</f>
        <v>0</v>
      </c>
      <c r="AH79" s="55">
        <f>_xll.EQNXTDZ($A$1,$B79,AH$5,$B$1)</f>
        <v>386.81</v>
      </c>
      <c r="AI79" s="55">
        <f>_xll.EQNXTDZ($A$1,$B79,AI$5,$B$1)</f>
        <v>0</v>
      </c>
      <c r="AJ79" s="55">
        <f>_xll.EQNXTDZ($A$1,$B79,AJ$5,$B$1)</f>
        <v>404.14</v>
      </c>
      <c r="AK79" s="55">
        <f>_xll.EQNXTDZ($A$1,$B79,AK$5,$B$1)</f>
        <v>0</v>
      </c>
      <c r="AL79" s="55">
        <f>_xll.EQNXTDZ($A$1,$B79,AL$5,$B$1)</f>
        <v>575.17999999999995</v>
      </c>
      <c r="AM79" s="55">
        <f>_xll.EQNXTDZ($A$1,$B79,AM$5,$B$1)</f>
        <v>0</v>
      </c>
      <c r="AN79" s="55">
        <f>_xll.EQNXTDZ($A$1,$B79,AN$5,$B$1)</f>
        <v>601.22</v>
      </c>
      <c r="AO79" s="55">
        <f>_xll.EQNXTDZ($A$1,$B79,AO$5,$B$1)</f>
        <v>0</v>
      </c>
      <c r="AP79" s="55">
        <f>_xll.EQNXTDZ($A$1,$B79,AP$5,$B$1)</f>
        <v>653.24</v>
      </c>
      <c r="AQ79" s="55">
        <f>_xll.EQNXTDZ($A$1,$B79,AQ$5,$B$1)</f>
        <v>0</v>
      </c>
      <c r="AR79" s="55">
        <f>_xll.EQNXTDZ($A$1,$B79,AR$5,$B$1)</f>
        <v>704.16</v>
      </c>
      <c r="AS79" s="55">
        <f>_xll.EQNXTDZ($A$1,$B79,AS$5,$B$1)</f>
        <v>0</v>
      </c>
      <c r="AT79" s="55">
        <f>_xll.EQNXTDZ($A$1,$B79,AT$5,$B$1)</f>
        <v>743.81</v>
      </c>
      <c r="AU79" s="55">
        <f>_xll.EQNXTDZ($A$1,$B79,AU$5,$B$1)</f>
        <v>0</v>
      </c>
      <c r="AV79" s="55">
        <f>_xll.EQNXTDZ($A$1,$B79,AV$5,$B$1)</f>
        <v>789.68</v>
      </c>
      <c r="AW79" s="55">
        <f>_xll.EQNXTDZ($A$1,$B79,AW$5,$B$1)</f>
        <v>0</v>
      </c>
      <c r="AX79" s="55">
        <f>_xll.EQNXTDZ($A$1,$B79,AX$5,$B$1)</f>
        <v>863.62</v>
      </c>
      <c r="AY79" s="55">
        <f>_xll.EQNXTDZ($A$1,$B79,AY$5,$B$1)</f>
        <v>0</v>
      </c>
      <c r="AZ79" s="55">
        <f>_xll.EQNXTDZ($A$1,$B79,AZ$5,$B$1)</f>
        <v>883.19</v>
      </c>
      <c r="BA79" s="55">
        <f>_xll.EQNXTDZ($A$1,$B79,BA$5,$B$1)</f>
        <v>0</v>
      </c>
      <c r="BB79" s="55">
        <f>_xll.EQNXTDZ($A$1,$B79,BB$5,$B$1)</f>
        <v>934.85</v>
      </c>
      <c r="BC79" s="55">
        <f>_xll.EQNXTDZ($A$1,$B79,BC$5,$B$1)</f>
        <v>0</v>
      </c>
      <c r="BD79" s="55">
        <f>_xll.EQNXTDZ($A$1,$B79,BD$5,$B$1)</f>
        <v>969.21</v>
      </c>
      <c r="BE79" s="55">
        <f>_xll.EQNXTDZ($A$1,$B79,BE$5,$B$1)</f>
        <v>0</v>
      </c>
      <c r="BF79" s="55">
        <f>_xll.EQNXTDZ($A$1,$B79,BF$5,$B$1)</f>
        <v>1153.98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62.72</v>
      </c>
      <c r="E80" s="55">
        <f>_xll.EQNXTDZ($A$1,$B80,E$5,$B$1)</f>
        <v>0</v>
      </c>
      <c r="F80" s="55">
        <f>_xll.EQNXTDZ($A$1,$B80,F$5,$B$1)</f>
        <v>141.46</v>
      </c>
      <c r="G80" s="55">
        <f>_xll.EQNXTDZ($A$1,$B80,G$5,$B$1)</f>
        <v>0</v>
      </c>
      <c r="H80" s="55">
        <f>_xll.EQNXTDZ($A$1,$B80,H$5,$B$1)</f>
        <v>148.22999999999999</v>
      </c>
      <c r="I80" s="55">
        <f>_xll.EQNXTDZ($A$1,$B80,I$5,$B$1)</f>
        <v>0</v>
      </c>
      <c r="J80" s="55">
        <f>_xll.EQNXTDZ($A$1,$B80,J$5,$B$1)</f>
        <v>26.48</v>
      </c>
      <c r="K80" s="55">
        <f>_xll.EQNXTDZ($A$1,$B80,K$5,$B$1)</f>
        <v>0</v>
      </c>
      <c r="L80" s="55">
        <f>_xll.EQNXTDZ($A$1,$B80,L$5,$B$1)</f>
        <v>95.4</v>
      </c>
      <c r="M80" s="55">
        <f>_xll.EQNXTDZ($A$1,$B80,M$5,$B$1)</f>
        <v>0</v>
      </c>
      <c r="N80" s="55">
        <f>_xll.EQNXTDZ($A$1,$B80,N$5,$B$1)</f>
        <v>94.22</v>
      </c>
      <c r="O80" s="55">
        <f>_xll.EQNXTDZ($A$1,$B80,O$5,$B$1)</f>
        <v>0</v>
      </c>
      <c r="P80" s="55">
        <f>_xll.EQNXTDZ($A$1,$B80,P$5,$B$1)</f>
        <v>229.22</v>
      </c>
      <c r="Q80" s="55">
        <f>_xll.EQNXTDZ($A$1,$B80,Q$5,$B$1)</f>
        <v>0</v>
      </c>
      <c r="R80" s="55">
        <f>_xll.EQNXTDZ($A$1,$B80,R$5,$B$1)</f>
        <v>160.6</v>
      </c>
      <c r="S80" s="55">
        <f>_xll.EQNXTDZ($A$1,$B80,S$5,$B$1)</f>
        <v>0</v>
      </c>
      <c r="T80" s="55">
        <f>_xll.EQNXTDZ($A$1,$B80,T$5,$B$1)</f>
        <v>246.08</v>
      </c>
      <c r="U80" s="55">
        <f>_xll.EQNXTDZ($A$1,$B80,U$5,$B$1)</f>
        <v>0</v>
      </c>
      <c r="V80" s="55">
        <f>_xll.EQNXTDZ($A$1,$B80,V$5,$B$1)</f>
        <v>170.76</v>
      </c>
      <c r="W80" s="55">
        <f>_xll.EQNXTDZ($A$1,$B80,W$5,$B$1)</f>
        <v>0</v>
      </c>
      <c r="X80" s="55">
        <f>_xll.EQNXTDZ($A$1,$B80,X$5,$B$1)</f>
        <v>117.87</v>
      </c>
      <c r="Y80" s="55">
        <f>_xll.EQNXTDZ($A$1,$B80,Y$5,$B$1)</f>
        <v>0</v>
      </c>
      <c r="Z80" s="55">
        <f>_xll.EQNXTDZ($A$1,$B80,Z$5,$B$1)</f>
        <v>121.7</v>
      </c>
      <c r="AA80" s="55">
        <f>_xll.EQNXTDZ($A$1,$B80,AA$5,$B$1)</f>
        <v>0</v>
      </c>
      <c r="AB80" s="55">
        <f>_xll.EQNXTDZ($A$1,$B80,AB$5,$B$1)</f>
        <v>96.54</v>
      </c>
      <c r="AC80" s="55">
        <f>_xll.EQNXTDZ($A$1,$B80,AC$5,$B$1)</f>
        <v>0</v>
      </c>
      <c r="AD80" s="55">
        <f>_xll.EQNXTDZ($A$1,$B80,AD$5,$B$1)</f>
        <v>100.49</v>
      </c>
      <c r="AE80" s="55">
        <f>_xll.EQNXTDZ($A$1,$B80,AE$5,$B$1)</f>
        <v>0</v>
      </c>
      <c r="AF80" s="55">
        <f>_xll.EQNXTDZ($A$1,$B80,AF$5,$B$1)</f>
        <v>104.42</v>
      </c>
      <c r="AG80" s="55">
        <f>_xll.EQNXTDZ($A$1,$B80,AG$5,$B$1)</f>
        <v>0</v>
      </c>
      <c r="AH80" s="55">
        <f>_xll.EQNXTDZ($A$1,$B80,AH$5,$B$1)</f>
        <v>198.5</v>
      </c>
      <c r="AI80" s="55">
        <f>_xll.EQNXTDZ($A$1,$B80,AI$5,$B$1)</f>
        <v>0</v>
      </c>
      <c r="AJ80" s="55">
        <f>_xll.EQNXTDZ($A$1,$B80,AJ$5,$B$1)</f>
        <v>397.4</v>
      </c>
      <c r="AK80" s="55">
        <f>_xll.EQNXTDZ($A$1,$B80,AK$5,$B$1)</f>
        <v>0</v>
      </c>
      <c r="AL80" s="55">
        <f>_xll.EQNXTDZ($A$1,$B80,AL$5,$B$1)</f>
        <v>412.52</v>
      </c>
      <c r="AM80" s="55">
        <f>_xll.EQNXTDZ($A$1,$B80,AM$5,$B$1)</f>
        <v>0</v>
      </c>
      <c r="AN80" s="55">
        <f>_xll.EQNXTDZ($A$1,$B80,AN$5,$B$1)</f>
        <v>584.04999999999995</v>
      </c>
      <c r="AO80" s="55">
        <f>_xll.EQNXTDZ($A$1,$B80,AO$5,$B$1)</f>
        <v>0</v>
      </c>
      <c r="AP80" s="55">
        <f>_xll.EQNXTDZ($A$1,$B80,AP$5,$B$1)</f>
        <v>316.74</v>
      </c>
      <c r="AQ80" s="55">
        <f>_xll.EQNXTDZ($A$1,$B80,AQ$5,$B$1)</f>
        <v>0</v>
      </c>
      <c r="AR80" s="55">
        <f>_xll.EQNXTDZ($A$1,$B80,AR$5,$B$1)</f>
        <v>324.5</v>
      </c>
      <c r="AS80" s="55">
        <f>_xll.EQNXTDZ($A$1,$B80,AS$5,$B$1)</f>
        <v>0</v>
      </c>
      <c r="AT80" s="55">
        <f>_xll.EQNXTDZ($A$1,$B80,AT$5,$B$1)</f>
        <v>490.05</v>
      </c>
      <c r="AU80" s="55">
        <f>_xll.EQNXTDZ($A$1,$B80,AU$5,$B$1)</f>
        <v>0</v>
      </c>
      <c r="AV80" s="55">
        <f>_xll.EQNXTDZ($A$1,$B80,AV$5,$B$1)</f>
        <v>553.27</v>
      </c>
      <c r="AW80" s="55">
        <f>_xll.EQNXTDZ($A$1,$B80,AW$5,$B$1)</f>
        <v>0</v>
      </c>
      <c r="AX80" s="55">
        <f>_xll.EQNXTDZ($A$1,$B80,AX$5,$B$1)</f>
        <v>405.58</v>
      </c>
      <c r="AY80" s="55">
        <f>_xll.EQNXTDZ($A$1,$B80,AY$5,$B$1)</f>
        <v>0</v>
      </c>
      <c r="AZ80" s="55">
        <f>_xll.EQNXTDZ($A$1,$B80,AZ$5,$B$1)</f>
        <v>456.81</v>
      </c>
      <c r="BA80" s="55">
        <f>_xll.EQNXTDZ($A$1,$B80,BA$5,$B$1)</f>
        <v>0</v>
      </c>
      <c r="BB80" s="55">
        <f>_xll.EQNXTDZ($A$1,$B80,BB$5,$B$1)</f>
        <v>704.53</v>
      </c>
      <c r="BC80" s="55">
        <f>_xll.EQNXTDZ($A$1,$B80,BC$5,$B$1)</f>
        <v>0</v>
      </c>
      <c r="BD80" s="55">
        <f>_xll.EQNXTDZ($A$1,$B80,BD$5,$B$1)</f>
        <v>412.29</v>
      </c>
      <c r="BE80" s="55">
        <f>_xll.EQNXTDZ($A$1,$B80,BE$5,$B$1)</f>
        <v>0</v>
      </c>
      <c r="BF80" s="55">
        <f>_xll.EQNXTDZ($A$1,$B80,BF$5,$B$1)</f>
        <v>563.29999999999995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456.24</v>
      </c>
      <c r="E81" s="55">
        <f>_xll.EQNXTDZ($A$1,$B81,E$5,$B$1)</f>
        <v>0</v>
      </c>
      <c r="F81" s="55">
        <f>_xll.EQNXTDZ($A$1,$B81,F$5,$B$1)</f>
        <v>563.23</v>
      </c>
      <c r="G81" s="55">
        <f>_xll.EQNXTDZ($A$1,$B81,G$5,$B$1)</f>
        <v>0</v>
      </c>
      <c r="H81" s="55">
        <f>_xll.EQNXTDZ($A$1,$B81,H$5,$B$1)</f>
        <v>604.32000000000005</v>
      </c>
      <c r="I81" s="55">
        <f>_xll.EQNXTDZ($A$1,$B81,I$5,$B$1)</f>
        <v>0</v>
      </c>
      <c r="J81" s="55">
        <f>_xll.EQNXTDZ($A$1,$B81,J$5,$B$1)</f>
        <v>746.4</v>
      </c>
      <c r="K81" s="55">
        <f>_xll.EQNXTDZ($A$1,$B81,K$5,$B$1)</f>
        <v>0</v>
      </c>
      <c r="L81" s="55">
        <f>_xll.EQNXTDZ($A$1,$B81,L$5,$B$1)</f>
        <v>698.79</v>
      </c>
      <c r="M81" s="55">
        <f>_xll.EQNXTDZ($A$1,$B81,M$5,$B$1)</f>
        <v>0</v>
      </c>
      <c r="N81" s="55">
        <f>_xll.EQNXTDZ($A$1,$B81,N$5,$B$1)</f>
        <v>763.5</v>
      </c>
      <c r="O81" s="55">
        <f>_xll.EQNXTDZ($A$1,$B81,O$5,$B$1)</f>
        <v>0</v>
      </c>
      <c r="P81" s="55">
        <f>_xll.EQNXTDZ($A$1,$B81,P$5,$B$1)</f>
        <v>780.71</v>
      </c>
      <c r="Q81" s="55">
        <f>_xll.EQNXTDZ($A$1,$B81,Q$5,$B$1)</f>
        <v>0</v>
      </c>
      <c r="R81" s="55">
        <f>_xll.EQNXTDZ($A$1,$B81,R$5,$B$1)</f>
        <v>671.05</v>
      </c>
      <c r="S81" s="55">
        <f>_xll.EQNXTDZ($A$1,$B81,S$5,$B$1)</f>
        <v>0</v>
      </c>
      <c r="T81" s="55">
        <f>_xll.EQNXTDZ($A$1,$B81,T$5,$B$1)</f>
        <v>805.24</v>
      </c>
      <c r="U81" s="55">
        <f>_xll.EQNXTDZ($A$1,$B81,U$5,$B$1)</f>
        <v>0</v>
      </c>
      <c r="V81" s="55">
        <f>_xll.EQNXTDZ($A$1,$B81,V$5,$B$1)</f>
        <v>838.14</v>
      </c>
      <c r="W81" s="55">
        <f>_xll.EQNXTDZ($A$1,$B81,W$5,$B$1)</f>
        <v>0</v>
      </c>
      <c r="X81" s="55">
        <f>_xll.EQNXTDZ($A$1,$B81,X$5,$B$1)</f>
        <v>890.57</v>
      </c>
      <c r="Y81" s="55">
        <f>_xll.EQNXTDZ($A$1,$B81,Y$5,$B$1)</f>
        <v>0</v>
      </c>
      <c r="Z81" s="55">
        <f>_xll.EQNXTDZ($A$1,$B81,Z$5,$B$1)</f>
        <v>958.18</v>
      </c>
      <c r="AA81" s="55">
        <f>_xll.EQNXTDZ($A$1,$B81,AA$5,$B$1)</f>
        <v>0</v>
      </c>
      <c r="AB81" s="55">
        <f>_xll.EQNXTDZ($A$1,$B81,AB$5,$B$1)</f>
        <v>1248.99</v>
      </c>
      <c r="AC81" s="55">
        <f>_xll.EQNXTDZ($A$1,$B81,AC$5,$B$1)</f>
        <v>0</v>
      </c>
      <c r="AD81" s="55">
        <f>_xll.EQNXTDZ($A$1,$B81,AD$5,$B$1)</f>
        <v>1224.74</v>
      </c>
      <c r="AE81" s="55">
        <f>_xll.EQNXTDZ($A$1,$B81,AE$5,$B$1)</f>
        <v>0</v>
      </c>
      <c r="AF81" s="55">
        <f>_xll.EQNXTDZ($A$1,$B81,AF$5,$B$1)</f>
        <v>1223.9100000000001</v>
      </c>
      <c r="AG81" s="55">
        <f>_xll.EQNXTDZ($A$1,$B81,AG$5,$B$1)</f>
        <v>0</v>
      </c>
      <c r="AH81" s="55">
        <f>_xll.EQNXTDZ($A$1,$B81,AH$5,$B$1)</f>
        <v>1201.23</v>
      </c>
      <c r="AI81" s="55">
        <f>_xll.EQNXTDZ($A$1,$B81,AI$5,$B$1)</f>
        <v>0</v>
      </c>
      <c r="AJ81" s="55">
        <f>_xll.EQNXTDZ($A$1,$B81,AJ$5,$B$1)</f>
        <v>1174.55</v>
      </c>
      <c r="AK81" s="55">
        <f>_xll.EQNXTDZ($A$1,$B81,AK$5,$B$1)</f>
        <v>0</v>
      </c>
      <c r="AL81" s="55">
        <f>_xll.EQNXTDZ($A$1,$B81,AL$5,$B$1)</f>
        <v>1465.82</v>
      </c>
      <c r="AM81" s="55">
        <f>_xll.EQNXTDZ($A$1,$B81,AM$5,$B$1)</f>
        <v>0</v>
      </c>
      <c r="AN81" s="55">
        <f>_xll.EQNXTDZ($A$1,$B81,AN$5,$B$1)</f>
        <v>1781.46</v>
      </c>
      <c r="AO81" s="55">
        <f>_xll.EQNXTDZ($A$1,$B81,AO$5,$B$1)</f>
        <v>0</v>
      </c>
      <c r="AP81" s="55">
        <f>_xll.EQNXTDZ($A$1,$B81,AP$5,$B$1)</f>
        <v>2138.4699999999998</v>
      </c>
      <c r="AQ81" s="55">
        <f>_xll.EQNXTDZ($A$1,$B81,AQ$5,$B$1)</f>
        <v>0</v>
      </c>
      <c r="AR81" s="55">
        <f>_xll.EQNXTDZ($A$1,$B81,AR$5,$B$1)</f>
        <v>2369.94</v>
      </c>
      <c r="AS81" s="55">
        <f>_xll.EQNXTDZ($A$1,$B81,AS$5,$B$1)</f>
        <v>0</v>
      </c>
      <c r="AT81" s="55">
        <f>_xll.EQNXTDZ($A$1,$B81,AT$5,$B$1)</f>
        <v>2274.29</v>
      </c>
      <c r="AU81" s="55">
        <f>_xll.EQNXTDZ($A$1,$B81,AU$5,$B$1)</f>
        <v>0</v>
      </c>
      <c r="AV81" s="55">
        <f>_xll.EQNXTDZ($A$1,$B81,AV$5,$B$1)</f>
        <v>2290.9</v>
      </c>
      <c r="AW81" s="55">
        <f>_xll.EQNXTDZ($A$1,$B81,AW$5,$B$1)</f>
        <v>0</v>
      </c>
      <c r="AX81" s="55">
        <f>_xll.EQNXTDZ($A$1,$B81,AX$5,$B$1)</f>
        <v>2326.4699999999998</v>
      </c>
      <c r="AY81" s="55">
        <f>_xll.EQNXTDZ($A$1,$B81,AY$5,$B$1)</f>
        <v>0</v>
      </c>
      <c r="AZ81" s="55">
        <f>_xll.EQNXTDZ($A$1,$B81,AZ$5,$B$1)</f>
        <v>2653.47</v>
      </c>
      <c r="BA81" s="55">
        <f>_xll.EQNXTDZ($A$1,$B81,BA$5,$B$1)</f>
        <v>0</v>
      </c>
      <c r="BB81" s="55">
        <f>_xll.EQNXTDZ($A$1,$B81,BB$5,$B$1)</f>
        <v>2348.9699999999998</v>
      </c>
      <c r="BC81" s="55">
        <f>_xll.EQNXTDZ($A$1,$B81,BC$5,$B$1)</f>
        <v>0</v>
      </c>
      <c r="BD81" s="55">
        <f>_xll.EQNXTDZ($A$1,$B81,BD$5,$B$1)</f>
        <v>2729.67</v>
      </c>
      <c r="BE81" s="55">
        <f>_xll.EQNXTDZ($A$1,$B81,BE$5,$B$1)</f>
        <v>0</v>
      </c>
      <c r="BF81" s="55">
        <f>_xll.EQNXTDZ($A$1,$B81,BF$5,$B$1)</f>
        <v>2788.64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473.55</v>
      </c>
      <c r="E82" s="55">
        <f>_xll.EQNXTDZ($A$1,$B82,E$5,$B$1)</f>
        <v>0</v>
      </c>
      <c r="F82" s="55">
        <f>_xll.EQNXTDZ($A$1,$B82,F$5,$B$1)</f>
        <v>508.69</v>
      </c>
      <c r="G82" s="55">
        <f>_xll.EQNXTDZ($A$1,$B82,G$5,$B$1)</f>
        <v>0</v>
      </c>
      <c r="H82" s="55">
        <f>_xll.EQNXTDZ($A$1,$B82,H$5,$B$1)</f>
        <v>530.42999999999995</v>
      </c>
      <c r="I82" s="55">
        <f>_xll.EQNXTDZ($A$1,$B82,I$5,$B$1)</f>
        <v>0</v>
      </c>
      <c r="J82" s="55">
        <f>_xll.EQNXTDZ($A$1,$B82,J$5,$B$1)</f>
        <v>691.49</v>
      </c>
      <c r="K82" s="55">
        <f>_xll.EQNXTDZ($A$1,$B82,K$5,$B$1)</f>
        <v>0</v>
      </c>
      <c r="L82" s="55">
        <f>_xll.EQNXTDZ($A$1,$B82,L$5,$B$1)</f>
        <v>601.54</v>
      </c>
      <c r="M82" s="55">
        <f>_xll.EQNXTDZ($A$1,$B82,M$5,$B$1)</f>
        <v>0</v>
      </c>
      <c r="N82" s="55">
        <f>_xll.EQNXTDZ($A$1,$B82,N$5,$B$1)</f>
        <v>610.66</v>
      </c>
      <c r="O82" s="55">
        <f>_xll.EQNXTDZ($A$1,$B82,O$5,$B$1)</f>
        <v>0</v>
      </c>
      <c r="P82" s="55">
        <f>_xll.EQNXTDZ($A$1,$B82,P$5,$B$1)</f>
        <v>660.83</v>
      </c>
      <c r="Q82" s="55">
        <f>_xll.EQNXTDZ($A$1,$B82,Q$5,$B$1)</f>
        <v>0</v>
      </c>
      <c r="R82" s="55">
        <f>_xll.EQNXTDZ($A$1,$B82,R$5,$B$1)</f>
        <v>514.48</v>
      </c>
      <c r="S82" s="55">
        <f>_xll.EQNXTDZ($A$1,$B82,S$5,$B$1)</f>
        <v>0</v>
      </c>
      <c r="T82" s="55">
        <f>_xll.EQNXTDZ($A$1,$B82,T$5,$B$1)</f>
        <v>662.48</v>
      </c>
      <c r="U82" s="55">
        <f>_xll.EQNXTDZ($A$1,$B82,U$5,$B$1)</f>
        <v>0</v>
      </c>
      <c r="V82" s="55">
        <f>_xll.EQNXTDZ($A$1,$B82,V$5,$B$1)</f>
        <v>656.89</v>
      </c>
      <c r="W82" s="55">
        <f>_xll.EQNXTDZ($A$1,$B82,W$5,$B$1)</f>
        <v>0</v>
      </c>
      <c r="X82" s="55">
        <f>_xll.EQNXTDZ($A$1,$B82,X$5,$B$1)</f>
        <v>857.07</v>
      </c>
      <c r="Y82" s="55">
        <f>_xll.EQNXTDZ($A$1,$B82,Y$5,$B$1)</f>
        <v>0</v>
      </c>
      <c r="Z82" s="55">
        <f>_xll.EQNXTDZ($A$1,$B82,Z$5,$B$1)</f>
        <v>680.65</v>
      </c>
      <c r="AA82" s="55">
        <f>_xll.EQNXTDZ($A$1,$B82,AA$5,$B$1)</f>
        <v>0</v>
      </c>
      <c r="AB82" s="55">
        <f>_xll.EQNXTDZ($A$1,$B82,AB$5,$B$1)</f>
        <v>1212.44</v>
      </c>
      <c r="AC82" s="55">
        <f>_xll.EQNXTDZ($A$1,$B82,AC$5,$B$1)</f>
        <v>0</v>
      </c>
      <c r="AD82" s="55">
        <f>_xll.EQNXTDZ($A$1,$B82,AD$5,$B$1)</f>
        <v>1028.75</v>
      </c>
      <c r="AE82" s="55">
        <f>_xll.EQNXTDZ($A$1,$B82,AE$5,$B$1)</f>
        <v>0</v>
      </c>
      <c r="AF82" s="55">
        <f>_xll.EQNXTDZ($A$1,$B82,AF$5,$B$1)</f>
        <v>925.59</v>
      </c>
      <c r="AG82" s="55">
        <f>_xll.EQNXTDZ($A$1,$B82,AG$5,$B$1)</f>
        <v>0</v>
      </c>
      <c r="AH82" s="55">
        <f>_xll.EQNXTDZ($A$1,$B82,AH$5,$B$1)</f>
        <v>891.07</v>
      </c>
      <c r="AI82" s="55">
        <f>_xll.EQNXTDZ($A$1,$B82,AI$5,$B$1)</f>
        <v>0</v>
      </c>
      <c r="AJ82" s="55">
        <f>_xll.EQNXTDZ($A$1,$B82,AJ$5,$B$1)</f>
        <v>1091.98</v>
      </c>
      <c r="AK82" s="55">
        <f>_xll.EQNXTDZ($A$1,$B82,AK$5,$B$1)</f>
        <v>0</v>
      </c>
      <c r="AL82" s="55">
        <f>_xll.EQNXTDZ($A$1,$B82,AL$5,$B$1)</f>
        <v>1274.56</v>
      </c>
      <c r="AM82" s="55">
        <f>_xll.EQNXTDZ($A$1,$B82,AM$5,$B$1)</f>
        <v>0</v>
      </c>
      <c r="AN82" s="55">
        <f>_xll.EQNXTDZ($A$1,$B82,AN$5,$B$1)</f>
        <v>1526.15</v>
      </c>
      <c r="AO82" s="55">
        <f>_xll.EQNXTDZ($A$1,$B82,AO$5,$B$1)</f>
        <v>0</v>
      </c>
      <c r="AP82" s="55">
        <f>_xll.EQNXTDZ($A$1,$B82,AP$5,$B$1)</f>
        <v>1792.45</v>
      </c>
      <c r="AQ82" s="55">
        <f>_xll.EQNXTDZ($A$1,$B82,AQ$5,$B$1)</f>
        <v>0</v>
      </c>
      <c r="AR82" s="55">
        <f>_xll.EQNXTDZ($A$1,$B82,AR$5,$B$1)</f>
        <v>1868.92</v>
      </c>
      <c r="AS82" s="55">
        <f>_xll.EQNXTDZ($A$1,$B82,AS$5,$B$1)</f>
        <v>0</v>
      </c>
      <c r="AT82" s="55">
        <f>_xll.EQNXTDZ($A$1,$B82,AT$5,$B$1)</f>
        <v>1785.62</v>
      </c>
      <c r="AU82" s="55">
        <f>_xll.EQNXTDZ($A$1,$B82,AU$5,$B$1)</f>
        <v>0</v>
      </c>
      <c r="AV82" s="55">
        <f>_xll.EQNXTDZ($A$1,$B82,AV$5,$B$1)</f>
        <v>1748.28</v>
      </c>
      <c r="AW82" s="55">
        <f>_xll.EQNXTDZ($A$1,$B82,AW$5,$B$1)</f>
        <v>0</v>
      </c>
      <c r="AX82" s="55">
        <f>_xll.EQNXTDZ($A$1,$B82,AX$5,$B$1)</f>
        <v>1942.82</v>
      </c>
      <c r="AY82" s="55">
        <f>_xll.EQNXTDZ($A$1,$B82,AY$5,$B$1)</f>
        <v>0</v>
      </c>
      <c r="AZ82" s="55">
        <f>_xll.EQNXTDZ($A$1,$B82,AZ$5,$B$1)</f>
        <v>2036.76</v>
      </c>
      <c r="BA82" s="55">
        <f>_xll.EQNXTDZ($A$1,$B82,BA$5,$B$1)</f>
        <v>0</v>
      </c>
      <c r="BB82" s="55">
        <f>_xll.EQNXTDZ($A$1,$B82,BB$5,$B$1)</f>
        <v>2169.46</v>
      </c>
      <c r="BC82" s="55">
        <f>_xll.EQNXTDZ($A$1,$B82,BC$5,$B$1)</f>
        <v>0</v>
      </c>
      <c r="BD82" s="55">
        <f>_xll.EQNXTDZ($A$1,$B82,BD$5,$B$1)</f>
        <v>2043.34</v>
      </c>
      <c r="BE82" s="55">
        <f>_xll.EQNXTDZ($A$1,$B82,BE$5,$B$1)</f>
        <v>0</v>
      </c>
      <c r="BF82" s="55">
        <f>_xll.EQNXTDZ($A$1,$B82,BF$5,$B$1)</f>
        <v>2561.6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78.430000000000007</v>
      </c>
      <c r="E83" s="55">
        <f>_xll.EQNXTDZ($A$1,$B83,E$5,$B$1)</f>
        <v>0</v>
      </c>
      <c r="F83" s="55">
        <f>_xll.EQNXTDZ($A$1,$B83,F$5,$B$1)</f>
        <v>190.96</v>
      </c>
      <c r="G83" s="55">
        <f>_xll.EQNXTDZ($A$1,$B83,G$5,$B$1)</f>
        <v>0</v>
      </c>
      <c r="H83" s="55">
        <f>_xll.EQNXTDZ($A$1,$B83,H$5,$B$1)</f>
        <v>102.11</v>
      </c>
      <c r="I83" s="55">
        <f>_xll.EQNXTDZ($A$1,$B83,I$5,$B$1)</f>
        <v>0</v>
      </c>
      <c r="J83" s="55">
        <f>_xll.EQNXTDZ($A$1,$B83,J$5,$B$1)</f>
        <v>82.46</v>
      </c>
      <c r="K83" s="55">
        <f>_xll.EQNXTDZ($A$1,$B83,K$5,$B$1)</f>
        <v>0</v>
      </c>
      <c r="L83" s="55">
        <f>_xll.EQNXTDZ($A$1,$B83,L$5,$B$1)</f>
        <v>232.12</v>
      </c>
      <c r="M83" s="55">
        <f>_xll.EQNXTDZ($A$1,$B83,M$5,$B$1)</f>
        <v>0</v>
      </c>
      <c r="N83" s="55">
        <f>_xll.EQNXTDZ($A$1,$B83,N$5,$B$1)</f>
        <v>107.3</v>
      </c>
      <c r="O83" s="55">
        <f>_xll.EQNXTDZ($A$1,$B83,O$5,$B$1)</f>
        <v>0</v>
      </c>
      <c r="P83" s="55">
        <f>_xll.EQNXTDZ($A$1,$B83,P$5,$B$1)</f>
        <v>96.91</v>
      </c>
      <c r="Q83" s="55">
        <f>_xll.EQNXTDZ($A$1,$B83,Q$5,$B$1)</f>
        <v>0</v>
      </c>
      <c r="R83" s="55">
        <f>_xll.EQNXTDZ($A$1,$B83,R$5,$B$1)</f>
        <v>389.23</v>
      </c>
      <c r="S83" s="55">
        <f>_xll.EQNXTDZ($A$1,$B83,S$5,$B$1)</f>
        <v>0</v>
      </c>
      <c r="T83" s="55">
        <f>_xll.EQNXTDZ($A$1,$B83,T$5,$B$1)</f>
        <v>79.66</v>
      </c>
      <c r="U83" s="55">
        <f>_xll.EQNXTDZ($A$1,$B83,U$5,$B$1)</f>
        <v>0</v>
      </c>
      <c r="V83" s="55">
        <f>_xll.EQNXTDZ($A$1,$B83,V$5,$B$1)</f>
        <v>96.12</v>
      </c>
      <c r="W83" s="55">
        <f>_xll.EQNXTDZ($A$1,$B83,W$5,$B$1)</f>
        <v>0</v>
      </c>
      <c r="X83" s="55">
        <f>_xll.EQNXTDZ($A$1,$B83,X$5,$B$1)</f>
        <v>96.53</v>
      </c>
      <c r="Y83" s="55">
        <f>_xll.EQNXTDZ($A$1,$B83,Y$5,$B$1)</f>
        <v>0</v>
      </c>
      <c r="Z83" s="55">
        <f>_xll.EQNXTDZ($A$1,$B83,Z$5,$B$1)</f>
        <v>96.74</v>
      </c>
      <c r="AA83" s="55">
        <f>_xll.EQNXTDZ($A$1,$B83,AA$5,$B$1)</f>
        <v>0</v>
      </c>
      <c r="AB83" s="55">
        <f>_xll.EQNXTDZ($A$1,$B83,AB$5,$B$1)</f>
        <v>104.2</v>
      </c>
      <c r="AC83" s="55">
        <f>_xll.EQNXTDZ($A$1,$B83,AC$5,$B$1)</f>
        <v>0</v>
      </c>
      <c r="AD83" s="55">
        <f>_xll.EQNXTDZ($A$1,$B83,AD$5,$B$1)</f>
        <v>198.88</v>
      </c>
      <c r="AE83" s="55">
        <f>_xll.EQNXTDZ($A$1,$B83,AE$5,$B$1)</f>
        <v>0</v>
      </c>
      <c r="AF83" s="55">
        <f>_xll.EQNXTDZ($A$1,$B83,AF$5,$B$1)</f>
        <v>185.62</v>
      </c>
      <c r="AG83" s="55">
        <f>_xll.EQNXTDZ($A$1,$B83,AG$5,$B$1)</f>
        <v>0</v>
      </c>
      <c r="AH83" s="55">
        <f>_xll.EQNXTDZ($A$1,$B83,AH$5,$B$1)</f>
        <v>125.47</v>
      </c>
      <c r="AI83" s="55">
        <f>_xll.EQNXTDZ($A$1,$B83,AI$5,$B$1)</f>
        <v>0</v>
      </c>
      <c r="AJ83" s="55">
        <f>_xll.EQNXTDZ($A$1,$B83,AJ$5,$B$1)</f>
        <v>191.24</v>
      </c>
      <c r="AK83" s="55">
        <f>_xll.EQNXTDZ($A$1,$B83,AK$5,$B$1)</f>
        <v>0</v>
      </c>
      <c r="AL83" s="55">
        <f>_xll.EQNXTDZ($A$1,$B83,AL$5,$B$1)</f>
        <v>282</v>
      </c>
      <c r="AM83" s="55">
        <f>_xll.EQNXTDZ($A$1,$B83,AM$5,$B$1)</f>
        <v>0</v>
      </c>
      <c r="AN83" s="55">
        <f>_xll.EQNXTDZ($A$1,$B83,AN$5,$B$1)</f>
        <v>162.97999999999999</v>
      </c>
      <c r="AO83" s="55">
        <f>_xll.EQNXTDZ($A$1,$B83,AO$5,$B$1)</f>
        <v>0</v>
      </c>
      <c r="AP83" s="55">
        <f>_xll.EQNXTDZ($A$1,$B83,AP$5,$B$1)</f>
        <v>459.35</v>
      </c>
      <c r="AQ83" s="55">
        <f>_xll.EQNXTDZ($A$1,$B83,AQ$5,$B$1)</f>
        <v>0</v>
      </c>
      <c r="AR83" s="55">
        <f>_xll.EQNXTDZ($A$1,$B83,AR$5,$B$1)</f>
        <v>363.94</v>
      </c>
      <c r="AS83" s="55">
        <f>_xll.EQNXTDZ($A$1,$B83,AS$5,$B$1)</f>
        <v>0</v>
      </c>
      <c r="AT83" s="55">
        <f>_xll.EQNXTDZ($A$1,$B83,AT$5,$B$1)</f>
        <v>616.46</v>
      </c>
      <c r="AU83" s="55">
        <f>_xll.EQNXTDZ($A$1,$B83,AU$5,$B$1)</f>
        <v>0</v>
      </c>
      <c r="AV83" s="55">
        <f>_xll.EQNXTDZ($A$1,$B83,AV$5,$B$1)</f>
        <v>397.19</v>
      </c>
      <c r="AW83" s="55">
        <f>_xll.EQNXTDZ($A$1,$B83,AW$5,$B$1)</f>
        <v>0</v>
      </c>
      <c r="AX83" s="55">
        <f>_xll.EQNXTDZ($A$1,$B83,AX$5,$B$1)</f>
        <v>407.54</v>
      </c>
      <c r="AY83" s="55">
        <f>_xll.EQNXTDZ($A$1,$B83,AY$5,$B$1)</f>
        <v>0</v>
      </c>
      <c r="AZ83" s="55">
        <f>_xll.EQNXTDZ($A$1,$B83,AZ$5,$B$1)</f>
        <v>154.51</v>
      </c>
      <c r="BA83" s="55">
        <f>_xll.EQNXTDZ($A$1,$B83,BA$5,$B$1)</f>
        <v>0</v>
      </c>
      <c r="BB83" s="55">
        <f>_xll.EQNXTDZ($A$1,$B83,BB$5,$B$1)</f>
        <v>353.75</v>
      </c>
      <c r="BC83" s="55">
        <f>_xll.EQNXTDZ($A$1,$B83,BC$5,$B$1)</f>
        <v>0</v>
      </c>
      <c r="BD83" s="55">
        <f>_xll.EQNXTDZ($A$1,$B83,BD$5,$B$1)</f>
        <v>222.38</v>
      </c>
      <c r="BE83" s="55">
        <f>_xll.EQNXTDZ($A$1,$B83,BE$5,$B$1)</f>
        <v>0</v>
      </c>
      <c r="BF83" s="55">
        <f>_xll.EQNXTDZ($A$1,$B83,BF$5,$B$1)</f>
        <v>610.96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1.65</v>
      </c>
      <c r="E84" s="55">
        <f>_xll.EQNXTDZ($A$1,$B84,E$5,$B$1)</f>
        <v>0</v>
      </c>
      <c r="F84" s="55">
        <f>_xll.EQNXTDZ($A$1,$B84,F$5,$B$1)</f>
        <v>2.19</v>
      </c>
      <c r="G84" s="55">
        <f>_xll.EQNXTDZ($A$1,$B84,G$5,$B$1)</f>
        <v>0</v>
      </c>
      <c r="H84" s="55">
        <f>_xll.EQNXTDZ($A$1,$B84,H$5,$B$1)</f>
        <v>0.76</v>
      </c>
      <c r="I84" s="55">
        <f>_xll.EQNXTDZ($A$1,$B84,I$5,$B$1)</f>
        <v>0</v>
      </c>
      <c r="J84" s="55">
        <f>_xll.EQNXTDZ($A$1,$B84,J$5,$B$1)</f>
        <v>7.79</v>
      </c>
      <c r="K84" s="55">
        <f>_xll.EQNXTDZ($A$1,$B84,K$5,$B$1)</f>
        <v>0</v>
      </c>
      <c r="L84" s="55">
        <f>_xll.EQNXTDZ($A$1,$B84,L$5,$B$1)</f>
        <v>1.95</v>
      </c>
      <c r="M84" s="55">
        <f>_xll.EQNXTDZ($A$1,$B84,M$5,$B$1)</f>
        <v>0</v>
      </c>
      <c r="N84" s="55">
        <f>_xll.EQNXTDZ($A$1,$B84,N$5,$B$1)</f>
        <v>3.9</v>
      </c>
      <c r="O84" s="55">
        <f>_xll.EQNXTDZ($A$1,$B84,O$5,$B$1)</f>
        <v>0</v>
      </c>
      <c r="P84" s="55">
        <f>_xll.EQNXTDZ($A$1,$B84,P$5,$B$1)</f>
        <v>2.2799999999999998</v>
      </c>
      <c r="Q84" s="55">
        <f>_xll.EQNXTDZ($A$1,$B84,Q$5,$B$1)</f>
        <v>0</v>
      </c>
      <c r="R84" s="55">
        <f>_xll.EQNXTDZ($A$1,$B84,R$5,$B$1)</f>
        <v>236.77</v>
      </c>
      <c r="S84" s="55">
        <f>_xll.EQNXTDZ($A$1,$B84,S$5,$B$1)</f>
        <v>0</v>
      </c>
      <c r="T84" s="55">
        <f>_xll.EQNXTDZ($A$1,$B84,T$5,$B$1)</f>
        <v>292.64999999999998</v>
      </c>
      <c r="U84" s="55">
        <f>_xll.EQNXTDZ($A$1,$B84,U$5,$B$1)</f>
        <v>0</v>
      </c>
      <c r="V84" s="55">
        <f>_xll.EQNXTDZ($A$1,$B84,V$5,$B$1)</f>
        <v>303.27</v>
      </c>
      <c r="W84" s="55">
        <f>_xll.EQNXTDZ($A$1,$B84,W$5,$B$1)</f>
        <v>0</v>
      </c>
      <c r="X84" s="55">
        <f>_xll.EQNXTDZ($A$1,$B84,X$5,$B$1)</f>
        <v>397.11</v>
      </c>
      <c r="Y84" s="55">
        <f>_xll.EQNXTDZ($A$1,$B84,Y$5,$B$1)</f>
        <v>0</v>
      </c>
      <c r="Z84" s="55">
        <f>_xll.EQNXTDZ($A$1,$B84,Z$5,$B$1)</f>
        <v>554.16999999999996</v>
      </c>
      <c r="AA84" s="55">
        <f>_xll.EQNXTDZ($A$1,$B84,AA$5,$B$1)</f>
        <v>0</v>
      </c>
      <c r="AB84" s="55">
        <f>_xll.EQNXTDZ($A$1,$B84,AB$5,$B$1)</f>
        <v>553.14</v>
      </c>
      <c r="AC84" s="55">
        <f>_xll.EQNXTDZ($A$1,$B84,AC$5,$B$1)</f>
        <v>0</v>
      </c>
      <c r="AD84" s="55">
        <f>_xll.EQNXTDZ($A$1,$B84,AD$5,$B$1)</f>
        <v>608.25</v>
      </c>
      <c r="AE84" s="55">
        <f>_xll.EQNXTDZ($A$1,$B84,AE$5,$B$1)</f>
        <v>0</v>
      </c>
      <c r="AF84" s="55">
        <f>_xll.EQNXTDZ($A$1,$B84,AF$5,$B$1)</f>
        <v>671.05</v>
      </c>
      <c r="AG84" s="55">
        <f>_xll.EQNXTDZ($A$1,$B84,AG$5,$B$1)</f>
        <v>0</v>
      </c>
      <c r="AH84" s="55">
        <f>_xll.EQNXTDZ($A$1,$B84,AH$5,$B$1)</f>
        <v>452.92</v>
      </c>
      <c r="AI84" s="55">
        <f>_xll.EQNXTDZ($A$1,$B84,AI$5,$B$1)</f>
        <v>0</v>
      </c>
      <c r="AJ84" s="55">
        <f>_xll.EQNXTDZ($A$1,$B84,AJ$5,$B$1)</f>
        <v>434.61</v>
      </c>
      <c r="AK84" s="55">
        <f>_xll.EQNXTDZ($A$1,$B84,AK$5,$B$1)</f>
        <v>0</v>
      </c>
      <c r="AL84" s="55">
        <f>_xll.EQNXTDZ($A$1,$B84,AL$5,$B$1)</f>
        <v>492.81</v>
      </c>
      <c r="AM84" s="55">
        <f>_xll.EQNXTDZ($A$1,$B84,AM$5,$B$1)</f>
        <v>0</v>
      </c>
      <c r="AN84" s="55">
        <f>_xll.EQNXTDZ($A$1,$B84,AN$5,$B$1)</f>
        <v>515.62</v>
      </c>
      <c r="AO84" s="55">
        <f>_xll.EQNXTDZ($A$1,$B84,AO$5,$B$1)</f>
        <v>0</v>
      </c>
      <c r="AP84" s="55">
        <f>_xll.EQNXTDZ($A$1,$B84,AP$5,$B$1)</f>
        <v>535.51</v>
      </c>
      <c r="AQ84" s="55">
        <f>_xll.EQNXTDZ($A$1,$B84,AQ$5,$B$1)</f>
        <v>0</v>
      </c>
      <c r="AR84" s="55">
        <f>_xll.EQNXTDZ($A$1,$B84,AR$5,$B$1)</f>
        <v>628.05999999999995</v>
      </c>
      <c r="AS84" s="55">
        <f>_xll.EQNXTDZ($A$1,$B84,AS$5,$B$1)</f>
        <v>0</v>
      </c>
      <c r="AT84" s="55">
        <f>_xll.EQNXTDZ($A$1,$B84,AT$5,$B$1)</f>
        <v>597.51</v>
      </c>
      <c r="AU84" s="55">
        <f>_xll.EQNXTDZ($A$1,$B84,AU$5,$B$1)</f>
        <v>0</v>
      </c>
      <c r="AV84" s="55">
        <f>_xll.EQNXTDZ($A$1,$B84,AV$5,$B$1)</f>
        <v>522.98</v>
      </c>
      <c r="AW84" s="55">
        <f>_xll.EQNXTDZ($A$1,$B84,AW$5,$B$1)</f>
        <v>0</v>
      </c>
      <c r="AX84" s="55">
        <f>_xll.EQNXTDZ($A$1,$B84,AX$5,$B$1)</f>
        <v>553.79</v>
      </c>
      <c r="AY84" s="55">
        <f>_xll.EQNXTDZ($A$1,$B84,AY$5,$B$1)</f>
        <v>0</v>
      </c>
      <c r="AZ84" s="55">
        <f>_xll.EQNXTDZ($A$1,$B84,AZ$5,$B$1)</f>
        <v>629.47</v>
      </c>
      <c r="BA84" s="55">
        <f>_xll.EQNXTDZ($A$1,$B84,BA$5,$B$1)</f>
        <v>0</v>
      </c>
      <c r="BB84" s="55">
        <f>_xll.EQNXTDZ($A$1,$B84,BB$5,$B$1)</f>
        <v>535.71</v>
      </c>
      <c r="BC84" s="55">
        <f>_xll.EQNXTDZ($A$1,$B84,BC$5,$B$1)</f>
        <v>0</v>
      </c>
      <c r="BD84" s="55">
        <f>_xll.EQNXTDZ($A$1,$B84,BD$5,$B$1)</f>
        <v>724.05</v>
      </c>
      <c r="BE84" s="55">
        <f>_xll.EQNXTDZ($A$1,$B84,BE$5,$B$1)</f>
        <v>0</v>
      </c>
      <c r="BF84" s="55">
        <f>_xll.EQNXTDZ($A$1,$B84,BF$5,$B$1)</f>
        <v>655.02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94.09</v>
      </c>
      <c r="E85" s="55">
        <f>_xll.EQNXTDZ($A$1,$B85,E$5,$B$1)</f>
        <v>0</v>
      </c>
      <c r="F85" s="55">
        <f>_xll.EQNXTDZ($A$1,$B85,F$5,$B$1)</f>
        <v>94.63</v>
      </c>
      <c r="G85" s="55">
        <f>_xll.EQNXTDZ($A$1,$B85,G$5,$B$1)</f>
        <v>0</v>
      </c>
      <c r="H85" s="55">
        <f>_xll.EQNXTDZ($A$1,$B85,H$5,$B$1)</f>
        <v>121.75</v>
      </c>
      <c r="I85" s="55">
        <f>_xll.EQNXTDZ($A$1,$B85,I$5,$B$1)</f>
        <v>0</v>
      </c>
      <c r="J85" s="55">
        <f>_xll.EQNXTDZ($A$1,$B85,J$5,$B$1)</f>
        <v>160.49</v>
      </c>
      <c r="K85" s="55">
        <f>_xll.EQNXTDZ($A$1,$B85,K$5,$B$1)</f>
        <v>0</v>
      </c>
      <c r="L85" s="55">
        <f>_xll.EQNXTDZ($A$1,$B85,L$5,$B$1)</f>
        <v>102.37</v>
      </c>
      <c r="M85" s="55">
        <f>_xll.EQNXTDZ($A$1,$B85,M$5,$B$1)</f>
        <v>0</v>
      </c>
      <c r="N85" s="55">
        <f>_xll.EQNXTDZ($A$1,$B85,N$5,$B$1)</f>
        <v>136.74</v>
      </c>
      <c r="O85" s="55">
        <f>_xll.EQNXTDZ($A$1,$B85,O$5,$B$1)</f>
        <v>0</v>
      </c>
      <c r="P85" s="55">
        <f>_xll.EQNXTDZ($A$1,$B85,P$5,$B$1)</f>
        <v>150.9</v>
      </c>
      <c r="Q85" s="55">
        <f>_xll.EQNXTDZ($A$1,$B85,Q$5,$B$1)</f>
        <v>0</v>
      </c>
      <c r="R85" s="55">
        <f>_xll.EQNXTDZ($A$1,$B85,R$5,$B$1)</f>
        <v>11.52</v>
      </c>
      <c r="S85" s="55">
        <f>_xll.EQNXTDZ($A$1,$B85,S$5,$B$1)</f>
        <v>0</v>
      </c>
      <c r="T85" s="55">
        <f>_xll.EQNXTDZ($A$1,$B85,T$5,$B$1)</f>
        <v>11.56</v>
      </c>
      <c r="U85" s="55">
        <f>_xll.EQNXTDZ($A$1,$B85,U$5,$B$1)</f>
        <v>0</v>
      </c>
      <c r="V85" s="55">
        <f>_xll.EQNXTDZ($A$1,$B85,V$5,$B$1)</f>
        <v>14.26</v>
      </c>
      <c r="W85" s="55">
        <f>_xll.EQNXTDZ($A$1,$B85,W$5,$B$1)</f>
        <v>0</v>
      </c>
      <c r="X85" s="55">
        <f>_xll.EQNXTDZ($A$1,$B85,X$5,$B$1)</f>
        <v>78.03</v>
      </c>
      <c r="Y85" s="55">
        <f>_xll.EQNXTDZ($A$1,$B85,Y$5,$B$1)</f>
        <v>0</v>
      </c>
      <c r="Z85" s="55">
        <f>_xll.EQNXTDZ($A$1,$B85,Z$5,$B$1)</f>
        <v>14.45</v>
      </c>
      <c r="AA85" s="55">
        <f>_xll.EQNXTDZ($A$1,$B85,AA$5,$B$1)</f>
        <v>0</v>
      </c>
      <c r="AB85" s="55">
        <f>_xll.EQNXTDZ($A$1,$B85,AB$5,$B$1)</f>
        <v>10.11</v>
      </c>
      <c r="AC85" s="55">
        <f>_xll.EQNXTDZ($A$1,$B85,AC$5,$B$1)</f>
        <v>0</v>
      </c>
      <c r="AD85" s="55">
        <f>_xll.EQNXTDZ($A$1,$B85,AD$5,$B$1)</f>
        <v>11.18</v>
      </c>
      <c r="AE85" s="55">
        <f>_xll.EQNXTDZ($A$1,$B85,AE$5,$B$1)</f>
        <v>0</v>
      </c>
      <c r="AF85" s="55">
        <f>_xll.EQNXTDZ($A$1,$B85,AF$5,$B$1)</f>
        <v>30.22</v>
      </c>
      <c r="AG85" s="55">
        <f>_xll.EQNXTDZ($A$1,$B85,AG$5,$B$1)</f>
        <v>0</v>
      </c>
      <c r="AH85" s="55">
        <f>_xll.EQNXTDZ($A$1,$B85,AH$5,$B$1)</f>
        <v>25.17</v>
      </c>
      <c r="AI85" s="55">
        <f>_xll.EQNXTDZ($A$1,$B85,AI$5,$B$1)</f>
        <v>0</v>
      </c>
      <c r="AJ85" s="55">
        <f>_xll.EQNXTDZ($A$1,$B85,AJ$5,$B$1)</f>
        <v>10.220000000000001</v>
      </c>
      <c r="AK85" s="55">
        <f>_xll.EQNXTDZ($A$1,$B85,AK$5,$B$1)</f>
        <v>0</v>
      </c>
      <c r="AL85" s="55">
        <f>_xll.EQNXTDZ($A$1,$B85,AL$5,$B$1)</f>
        <v>11.21</v>
      </c>
      <c r="AM85" s="55">
        <f>_xll.EQNXTDZ($A$1,$B85,AM$5,$B$1)</f>
        <v>0</v>
      </c>
      <c r="AN85" s="55">
        <f>_xll.EQNXTDZ($A$1,$B85,AN$5,$B$1)</f>
        <v>7.95</v>
      </c>
      <c r="AO85" s="55">
        <f>_xll.EQNXTDZ($A$1,$B85,AO$5,$B$1)</f>
        <v>0</v>
      </c>
      <c r="AP85" s="55">
        <f>_xll.EQNXTDZ($A$1,$B85,AP$5,$B$1)</f>
        <v>8.8000000000000007</v>
      </c>
      <c r="AQ85" s="55">
        <f>_xll.EQNXTDZ($A$1,$B85,AQ$5,$B$1)</f>
        <v>0</v>
      </c>
      <c r="AR85" s="55">
        <f>_xll.EQNXTDZ($A$1,$B85,AR$5,$B$1)</f>
        <v>9.02</v>
      </c>
      <c r="AS85" s="55">
        <f>_xll.EQNXTDZ($A$1,$B85,AS$5,$B$1)</f>
        <v>0</v>
      </c>
      <c r="AT85" s="55">
        <f>_xll.EQNXTDZ($A$1,$B85,AT$5,$B$1)</f>
        <v>11.02</v>
      </c>
      <c r="AU85" s="55">
        <f>_xll.EQNXTDZ($A$1,$B85,AU$5,$B$1)</f>
        <v>0</v>
      </c>
      <c r="AV85" s="55">
        <f>_xll.EQNXTDZ($A$1,$B85,AV$5,$B$1)</f>
        <v>11.34</v>
      </c>
      <c r="AW85" s="55">
        <f>_xll.EQNXTDZ($A$1,$B85,AW$5,$B$1)</f>
        <v>0</v>
      </c>
      <c r="AX85" s="55">
        <f>_xll.EQNXTDZ($A$1,$B85,AX$5,$B$1)</f>
        <v>13.09</v>
      </c>
      <c r="AY85" s="55">
        <f>_xll.EQNXTDZ($A$1,$B85,AY$5,$B$1)</f>
        <v>0</v>
      </c>
      <c r="AZ85" s="55">
        <f>_xll.EQNXTDZ($A$1,$B85,AZ$5,$B$1)</f>
        <v>14.12</v>
      </c>
      <c r="BA85" s="55">
        <f>_xll.EQNXTDZ($A$1,$B85,BA$5,$B$1)</f>
        <v>0</v>
      </c>
      <c r="BB85" s="55">
        <f>_xll.EQNXTDZ($A$1,$B85,BB$5,$B$1)</f>
        <v>17.13</v>
      </c>
      <c r="BC85" s="55">
        <f>_xll.EQNXTDZ($A$1,$B85,BC$5,$B$1)</f>
        <v>0</v>
      </c>
      <c r="BD85" s="55">
        <f>_xll.EQNXTDZ($A$1,$B85,BD$5,$B$1)</f>
        <v>16.78</v>
      </c>
      <c r="BE85" s="55">
        <f>_xll.EQNXTDZ($A$1,$B85,BE$5,$B$1)</f>
        <v>0</v>
      </c>
      <c r="BF85" s="55">
        <f>_xll.EQNXTDZ($A$1,$B85,BF$5,$B$1)</f>
        <v>18.09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1166.68</v>
      </c>
      <c r="E86" s="55">
        <f>_xll.EQNXTDZ($A$1,$B86,E$5,$B$1)</f>
        <v>0</v>
      </c>
      <c r="F86" s="55">
        <f>_xll.EQNXTDZ($A$1,$B86,F$5,$B$1)</f>
        <v>1501.16</v>
      </c>
      <c r="G86" s="55">
        <f>_xll.EQNXTDZ($A$1,$B86,G$5,$B$1)</f>
        <v>0</v>
      </c>
      <c r="H86" s="55">
        <f>_xll.EQNXTDZ($A$1,$B86,H$5,$B$1)</f>
        <v>1507.6</v>
      </c>
      <c r="I86" s="55">
        <f>_xll.EQNXTDZ($A$1,$B86,I$5,$B$1)</f>
        <v>0</v>
      </c>
      <c r="J86" s="55">
        <f>_xll.EQNXTDZ($A$1,$B86,J$5,$B$1)</f>
        <v>1715.11</v>
      </c>
      <c r="K86" s="55">
        <f>_xll.EQNXTDZ($A$1,$B86,K$5,$B$1)</f>
        <v>0</v>
      </c>
      <c r="L86" s="55">
        <f>_xll.EQNXTDZ($A$1,$B86,L$5,$B$1)</f>
        <v>1732.17</v>
      </c>
      <c r="M86" s="55">
        <f>_xll.EQNXTDZ($A$1,$B86,M$5,$B$1)</f>
        <v>0</v>
      </c>
      <c r="N86" s="55">
        <f>_xll.EQNXTDZ($A$1,$B86,N$5,$B$1)</f>
        <v>1716.32</v>
      </c>
      <c r="O86" s="55">
        <f>_xll.EQNXTDZ($A$1,$B86,O$5,$B$1)</f>
        <v>0</v>
      </c>
      <c r="P86" s="55">
        <f>_xll.EQNXTDZ($A$1,$B86,P$5,$B$1)</f>
        <v>1920.85</v>
      </c>
      <c r="Q86" s="55">
        <f>_xll.EQNXTDZ($A$1,$B86,Q$5,$B$1)</f>
        <v>0</v>
      </c>
      <c r="R86" s="55">
        <f>_xll.EQNXTDZ($A$1,$B86,R$5,$B$1)</f>
        <v>1983.65</v>
      </c>
      <c r="S86" s="55">
        <f>_xll.EQNXTDZ($A$1,$B86,S$5,$B$1)</f>
        <v>0</v>
      </c>
      <c r="T86" s="55">
        <f>_xll.EQNXTDZ($A$1,$B86,T$5,$B$1)</f>
        <v>2097.67</v>
      </c>
      <c r="U86" s="55">
        <f>_xll.EQNXTDZ($A$1,$B86,U$5,$B$1)</f>
        <v>0</v>
      </c>
      <c r="V86" s="55">
        <f>_xll.EQNXTDZ($A$1,$B86,V$5,$B$1)</f>
        <v>2079.44</v>
      </c>
      <c r="W86" s="55">
        <f>_xll.EQNXTDZ($A$1,$B86,W$5,$B$1)</f>
        <v>0</v>
      </c>
      <c r="X86" s="55">
        <f>_xll.EQNXTDZ($A$1,$B86,X$5,$B$1)</f>
        <v>2437.1799999999998</v>
      </c>
      <c r="Y86" s="55">
        <f>_xll.EQNXTDZ($A$1,$B86,Y$5,$B$1)</f>
        <v>0</v>
      </c>
      <c r="Z86" s="55">
        <f>_xll.EQNXTDZ($A$1,$B86,Z$5,$B$1)</f>
        <v>2425.89</v>
      </c>
      <c r="AA86" s="55">
        <f>_xll.EQNXTDZ($A$1,$B86,AA$5,$B$1)</f>
        <v>0</v>
      </c>
      <c r="AB86" s="55">
        <f>_xll.EQNXTDZ($A$1,$B86,AB$5,$B$1)</f>
        <v>3225.42</v>
      </c>
      <c r="AC86" s="55">
        <f>_xll.EQNXTDZ($A$1,$B86,AC$5,$B$1)</f>
        <v>0</v>
      </c>
      <c r="AD86" s="55">
        <f>_xll.EQNXTDZ($A$1,$B86,AD$5,$B$1)</f>
        <v>3172.29</v>
      </c>
      <c r="AE86" s="55">
        <f>_xll.EQNXTDZ($A$1,$B86,AE$5,$B$1)</f>
        <v>0</v>
      </c>
      <c r="AF86" s="55">
        <f>_xll.EQNXTDZ($A$1,$B86,AF$5,$B$1)</f>
        <v>3140.81</v>
      </c>
      <c r="AG86" s="55">
        <f>_xll.EQNXTDZ($A$1,$B86,AG$5,$B$1)</f>
        <v>0</v>
      </c>
      <c r="AH86" s="55">
        <f>_xll.EQNXTDZ($A$1,$B86,AH$5,$B$1)</f>
        <v>2894.36</v>
      </c>
      <c r="AI86" s="55">
        <f>_xll.EQNXTDZ($A$1,$B86,AI$5,$B$1)</f>
        <v>0</v>
      </c>
      <c r="AJ86" s="55">
        <f>_xll.EQNXTDZ($A$1,$B86,AJ$5,$B$1)</f>
        <v>3300</v>
      </c>
      <c r="AK86" s="55">
        <f>_xll.EQNXTDZ($A$1,$B86,AK$5,$B$1)</f>
        <v>0</v>
      </c>
      <c r="AL86" s="55">
        <f>_xll.EQNXTDZ($A$1,$B86,AL$5,$B$1)</f>
        <v>3938.92</v>
      </c>
      <c r="AM86" s="55">
        <f>_xll.EQNXTDZ($A$1,$B86,AM$5,$B$1)</f>
        <v>0</v>
      </c>
      <c r="AN86" s="55">
        <f>_xll.EQNXTDZ($A$1,$B86,AN$5,$B$1)</f>
        <v>4578.21</v>
      </c>
      <c r="AO86" s="55">
        <f>_xll.EQNXTDZ($A$1,$B86,AO$5,$B$1)</f>
        <v>0</v>
      </c>
      <c r="AP86" s="55">
        <f>_xll.EQNXTDZ($A$1,$B86,AP$5,$B$1)</f>
        <v>5251.32</v>
      </c>
      <c r="AQ86" s="55">
        <f>_xll.EQNXTDZ($A$1,$B86,AQ$5,$B$1)</f>
        <v>0</v>
      </c>
      <c r="AR86" s="55">
        <f>_xll.EQNXTDZ($A$1,$B86,AR$5,$B$1)</f>
        <v>5564.38</v>
      </c>
      <c r="AS86" s="55">
        <f>_xll.EQNXTDZ($A$1,$B86,AS$5,$B$1)</f>
        <v>0</v>
      </c>
      <c r="AT86" s="55">
        <f>_xll.EQNXTDZ($A$1,$B86,AT$5,$B$1)</f>
        <v>5774.95</v>
      </c>
      <c r="AU86" s="55">
        <f>_xll.EQNXTDZ($A$1,$B86,AU$5,$B$1)</f>
        <v>0</v>
      </c>
      <c r="AV86" s="55">
        <f>_xll.EQNXTDZ($A$1,$B86,AV$5,$B$1)</f>
        <v>5523.96</v>
      </c>
      <c r="AW86" s="55">
        <f>_xll.EQNXTDZ($A$1,$B86,AW$5,$B$1)</f>
        <v>0</v>
      </c>
      <c r="AX86" s="55">
        <f>_xll.EQNXTDZ($A$1,$B86,AX$5,$B$1)</f>
        <v>5649.29</v>
      </c>
      <c r="AY86" s="55">
        <f>_xll.EQNXTDZ($A$1,$B86,AY$5,$B$1)</f>
        <v>0</v>
      </c>
      <c r="AZ86" s="55">
        <f>_xll.EQNXTDZ($A$1,$B86,AZ$5,$B$1)</f>
        <v>5945.14</v>
      </c>
      <c r="BA86" s="55">
        <f>_xll.EQNXTDZ($A$1,$B86,BA$5,$B$1)</f>
        <v>0</v>
      </c>
      <c r="BB86" s="55">
        <f>_xll.EQNXTDZ($A$1,$B86,BB$5,$B$1)</f>
        <v>6129.55</v>
      </c>
      <c r="BC86" s="55">
        <f>_xll.EQNXTDZ($A$1,$B86,BC$5,$B$1)</f>
        <v>0</v>
      </c>
      <c r="BD86" s="55">
        <f>_xll.EQNXTDZ($A$1,$B86,BD$5,$B$1)</f>
        <v>6148.51</v>
      </c>
      <c r="BE86" s="55">
        <f>_xll.EQNXTDZ($A$1,$B86,BE$5,$B$1)</f>
        <v>0</v>
      </c>
      <c r="BF86" s="55">
        <f>_xll.EQNXTDZ($A$1,$B86,BF$5,$B$1)</f>
        <v>7197.61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664.14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386.16</v>
      </c>
      <c r="E88" s="55">
        <f>_xll.EQNXTDZ($A$1,$B88,E$5,$B$1)</f>
        <v>0</v>
      </c>
      <c r="F88" s="55">
        <f>_xll.EQNXTDZ($A$1,$B88,F$5,$B$1)</f>
        <v>242.55</v>
      </c>
      <c r="G88" s="55">
        <f>_xll.EQNXTDZ($A$1,$B88,G$5,$B$1)</f>
        <v>0</v>
      </c>
      <c r="H88" s="55">
        <f>_xll.EQNXTDZ($A$1,$B88,H$5,$B$1)</f>
        <v>383.89</v>
      </c>
      <c r="I88" s="55">
        <f>_xll.EQNXTDZ($A$1,$B88,I$5,$B$1)</f>
        <v>0</v>
      </c>
      <c r="J88" s="55">
        <f>_xll.EQNXTDZ($A$1,$B88,J$5,$B$1)</f>
        <v>319.89999999999998</v>
      </c>
      <c r="K88" s="55">
        <f>_xll.EQNXTDZ($A$1,$B88,K$5,$B$1)</f>
        <v>0</v>
      </c>
      <c r="L88" s="55">
        <f>_xll.EQNXTDZ($A$1,$B88,L$5,$B$1)</f>
        <v>370.33</v>
      </c>
      <c r="M88" s="55">
        <f>_xll.EQNXTDZ($A$1,$B88,M$5,$B$1)</f>
        <v>0</v>
      </c>
      <c r="N88" s="55">
        <f>_xll.EQNXTDZ($A$1,$B88,N$5,$B$1)</f>
        <v>236.23</v>
      </c>
      <c r="O88" s="55">
        <f>_xll.EQNXTDZ($A$1,$B88,O$5,$B$1)</f>
        <v>0</v>
      </c>
      <c r="P88" s="55">
        <f>_xll.EQNXTDZ($A$1,$B88,P$5,$B$1)</f>
        <v>304.16000000000003</v>
      </c>
      <c r="Q88" s="55">
        <f>_xll.EQNXTDZ($A$1,$B88,Q$5,$B$1)</f>
        <v>0</v>
      </c>
      <c r="R88" s="55">
        <f>_xll.EQNXTDZ($A$1,$B88,R$5,$B$1)</f>
        <v>189.26</v>
      </c>
      <c r="S88" s="55">
        <f>_xll.EQNXTDZ($A$1,$B88,S$5,$B$1)</f>
        <v>0</v>
      </c>
      <c r="T88" s="55">
        <f>_xll.EQNXTDZ($A$1,$B88,T$5,$B$1)</f>
        <v>448.1</v>
      </c>
      <c r="U88" s="55">
        <f>_xll.EQNXTDZ($A$1,$B88,U$5,$B$1)</f>
        <v>0</v>
      </c>
      <c r="V88" s="55">
        <f>_xll.EQNXTDZ($A$1,$B88,V$5,$B$1)</f>
        <v>545.57000000000005</v>
      </c>
      <c r="W88" s="55">
        <f>_xll.EQNXTDZ($A$1,$B88,W$5,$B$1)</f>
        <v>0</v>
      </c>
      <c r="X88" s="55">
        <f>_xll.EQNXTDZ($A$1,$B88,X$5,$B$1)</f>
        <v>969.5</v>
      </c>
      <c r="Y88" s="55">
        <f>_xll.EQNXTDZ($A$1,$B88,Y$5,$B$1)</f>
        <v>0</v>
      </c>
      <c r="Z88" s="55">
        <f>_xll.EQNXTDZ($A$1,$B88,Z$5,$B$1)</f>
        <v>850.78</v>
      </c>
      <c r="AA88" s="55">
        <f>_xll.EQNXTDZ($A$1,$B88,AA$5,$B$1)</f>
        <v>0</v>
      </c>
      <c r="AB88" s="55">
        <f>_xll.EQNXTDZ($A$1,$B88,AB$5,$B$1)</f>
        <v>1308.26</v>
      </c>
      <c r="AC88" s="55">
        <f>_xll.EQNXTDZ($A$1,$B88,AC$5,$B$1)</f>
        <v>0</v>
      </c>
      <c r="AD88" s="55">
        <f>_xll.EQNXTDZ($A$1,$B88,AD$5,$B$1)</f>
        <v>1127.3900000000001</v>
      </c>
      <c r="AE88" s="55">
        <f>_xll.EQNXTDZ($A$1,$B88,AE$5,$B$1)</f>
        <v>0</v>
      </c>
      <c r="AF88" s="55">
        <f>_xll.EQNXTDZ($A$1,$B88,AF$5,$B$1)</f>
        <v>1208.04</v>
      </c>
      <c r="AG88" s="55">
        <f>_xll.EQNXTDZ($A$1,$B88,AG$5,$B$1)</f>
        <v>0</v>
      </c>
      <c r="AH88" s="55">
        <f>_xll.EQNXTDZ($A$1,$B88,AH$5,$B$1)</f>
        <v>955.44</v>
      </c>
      <c r="AI88" s="55">
        <f>_xll.EQNXTDZ($A$1,$B88,AI$5,$B$1)</f>
        <v>0</v>
      </c>
      <c r="AJ88" s="55">
        <f>_xll.EQNXTDZ($A$1,$B88,AJ$5,$B$1)</f>
        <v>910.82</v>
      </c>
      <c r="AK88" s="55">
        <f>_xll.EQNXTDZ($A$1,$B88,AK$5,$B$1)</f>
        <v>0</v>
      </c>
      <c r="AL88" s="55">
        <f>_xll.EQNXTDZ($A$1,$B88,AL$5,$B$1)</f>
        <v>1425.95</v>
      </c>
      <c r="AM88" s="55">
        <f>_xll.EQNXTDZ($A$1,$B88,AM$5,$B$1)</f>
        <v>0</v>
      </c>
      <c r="AN88" s="55">
        <f>_xll.EQNXTDZ($A$1,$B88,AN$5,$B$1)</f>
        <v>1710.53</v>
      </c>
      <c r="AO88" s="55">
        <f>_xll.EQNXTDZ($A$1,$B88,AO$5,$B$1)</f>
        <v>0</v>
      </c>
      <c r="AP88" s="55">
        <f>_xll.EQNXTDZ($A$1,$B88,AP$5,$B$1)</f>
        <v>1786.05</v>
      </c>
      <c r="AQ88" s="55">
        <f>_xll.EQNXTDZ($A$1,$B88,AQ$5,$B$1)</f>
        <v>0</v>
      </c>
      <c r="AR88" s="55">
        <f>_xll.EQNXTDZ($A$1,$B88,AR$5,$B$1)</f>
        <v>2041.08</v>
      </c>
      <c r="AS88" s="55">
        <f>_xll.EQNXTDZ($A$1,$B88,AS$5,$B$1)</f>
        <v>0</v>
      </c>
      <c r="AT88" s="55">
        <f>_xll.EQNXTDZ($A$1,$B88,AT$5,$B$1)</f>
        <v>2042.54</v>
      </c>
      <c r="AU88" s="55">
        <f>_xll.EQNXTDZ($A$1,$B88,AU$5,$B$1)</f>
        <v>0</v>
      </c>
      <c r="AV88" s="55">
        <f>_xll.EQNXTDZ($A$1,$B88,AV$5,$B$1)</f>
        <v>2471.62</v>
      </c>
      <c r="AW88" s="55">
        <f>_xll.EQNXTDZ($A$1,$B88,AW$5,$B$1)</f>
        <v>0</v>
      </c>
      <c r="AX88" s="55">
        <f>_xll.EQNXTDZ($A$1,$B88,AX$5,$B$1)</f>
        <v>2669.1</v>
      </c>
      <c r="AY88" s="55">
        <f>_xll.EQNXTDZ($A$1,$B88,AY$5,$B$1)</f>
        <v>0</v>
      </c>
      <c r="AZ88" s="55">
        <f>_xll.EQNXTDZ($A$1,$B88,AZ$5,$B$1)</f>
        <v>3146.95</v>
      </c>
      <c r="BA88" s="55">
        <f>_xll.EQNXTDZ($A$1,$B88,BA$5,$B$1)</f>
        <v>0</v>
      </c>
      <c r="BB88" s="55">
        <f>_xll.EQNXTDZ($A$1,$B88,BB$5,$B$1)</f>
        <v>2659.91</v>
      </c>
      <c r="BC88" s="55">
        <f>_xll.EQNXTDZ($A$1,$B88,BC$5,$B$1)</f>
        <v>0</v>
      </c>
      <c r="BD88" s="55">
        <f>_xll.EQNXTDZ($A$1,$B88,BD$5,$B$1)</f>
        <v>2613.39</v>
      </c>
      <c r="BE88" s="55">
        <f>_xll.EQNXTDZ($A$1,$B88,BE$5,$B$1)</f>
        <v>0</v>
      </c>
      <c r="BF88" s="55">
        <f>_xll.EQNXTDZ($A$1,$B88,BF$5,$B$1)</f>
        <v>3051.03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518.17999999999995</v>
      </c>
      <c r="G89" s="55">
        <f>_xll.EQNXTDZ($A$1,$B89,G$5,$B$1)</f>
        <v>0</v>
      </c>
      <c r="H89" s="55">
        <f>_xll.EQNXTDZ($A$1,$B89,H$5,$B$1)</f>
        <v>630.39</v>
      </c>
      <c r="I89" s="55">
        <f>_xll.EQNXTDZ($A$1,$B89,I$5,$B$1)</f>
        <v>0</v>
      </c>
      <c r="J89" s="55">
        <f>_xll.EQNXTDZ($A$1,$B89,J$5,$B$1)</f>
        <v>788.6</v>
      </c>
      <c r="K89" s="55">
        <f>_xll.EQNXTDZ($A$1,$B89,K$5,$B$1)</f>
        <v>0</v>
      </c>
      <c r="L89" s="55">
        <f>_xll.EQNXTDZ($A$1,$B89,L$5,$B$1)</f>
        <v>574.53</v>
      </c>
      <c r="M89" s="55">
        <f>_xll.EQNXTDZ($A$1,$B89,M$5,$B$1)</f>
        <v>0</v>
      </c>
      <c r="N89" s="55">
        <f>_xll.EQNXTDZ($A$1,$B89,N$5,$B$1)</f>
        <v>581.44000000000005</v>
      </c>
      <c r="O89" s="55">
        <f>_xll.EQNXTDZ($A$1,$B89,O$5,$B$1)</f>
        <v>0</v>
      </c>
      <c r="P89" s="55">
        <f>_xll.EQNXTDZ($A$1,$B89,P$5,$B$1)</f>
        <v>766.93</v>
      </c>
      <c r="Q89" s="55">
        <f>_xll.EQNXTDZ($A$1,$B89,Q$5,$B$1)</f>
        <v>0</v>
      </c>
      <c r="R89" s="55">
        <f>_xll.EQNXTDZ($A$1,$B89,R$5,$B$1)</f>
        <v>714.55</v>
      </c>
      <c r="S89" s="55">
        <f>_xll.EQNXTDZ($A$1,$B89,S$5,$B$1)</f>
        <v>0</v>
      </c>
      <c r="T89" s="55">
        <f>_xll.EQNXTDZ($A$1,$B89,T$5,$B$1)</f>
        <v>739.99</v>
      </c>
      <c r="U89" s="55">
        <f>_xll.EQNXTDZ($A$1,$B89,U$5,$B$1)</f>
        <v>0</v>
      </c>
      <c r="V89" s="55">
        <f>_xll.EQNXTDZ($A$1,$B89,V$5,$B$1)</f>
        <v>808.9</v>
      </c>
      <c r="W89" s="55">
        <f>_xll.EQNXTDZ($A$1,$B89,W$5,$B$1)</f>
        <v>0</v>
      </c>
      <c r="X89" s="55">
        <f>_xll.EQNXTDZ($A$1,$B89,X$5,$B$1)</f>
        <v>926.84</v>
      </c>
      <c r="Y89" s="55">
        <f>_xll.EQNXTDZ($A$1,$B89,Y$5,$B$1)</f>
        <v>0</v>
      </c>
      <c r="Z89" s="55">
        <f>_xll.EQNXTDZ($A$1,$B89,Z$5,$B$1)</f>
        <v>1044.24</v>
      </c>
      <c r="AA89" s="55">
        <f>_xll.EQNXTDZ($A$1,$B89,AA$5,$B$1)</f>
        <v>0</v>
      </c>
      <c r="AB89" s="55">
        <f>_xll.EQNXTDZ($A$1,$B89,AB$5,$B$1)</f>
        <v>1361.53</v>
      </c>
      <c r="AC89" s="55">
        <f>_xll.EQNXTDZ($A$1,$B89,AC$5,$B$1)</f>
        <v>0</v>
      </c>
      <c r="AD89" s="55">
        <f>_xll.EQNXTDZ($A$1,$B89,AD$5,$B$1)</f>
        <v>1382.42</v>
      </c>
      <c r="AE89" s="55">
        <f>_xll.EQNXTDZ($A$1,$B89,AE$5,$B$1)</f>
        <v>0</v>
      </c>
      <c r="AF89" s="55">
        <f>_xll.EQNXTDZ($A$1,$B89,AF$5,$B$1)</f>
        <v>1211.98</v>
      </c>
      <c r="AG89" s="55">
        <f>_xll.EQNXTDZ($A$1,$B89,AG$5,$B$1)</f>
        <v>0</v>
      </c>
      <c r="AH89" s="55">
        <f>_xll.EQNXTDZ($A$1,$B89,AH$5,$B$1)</f>
        <v>1111.69</v>
      </c>
      <c r="AI89" s="55">
        <f>_xll.EQNXTDZ($A$1,$B89,AI$5,$B$1)</f>
        <v>0</v>
      </c>
      <c r="AJ89" s="55">
        <f>_xll.EQNXTDZ($A$1,$B89,AJ$5,$B$1)</f>
        <v>1104.27</v>
      </c>
      <c r="AK89" s="55">
        <f>_xll.EQNXTDZ($A$1,$B89,AK$5,$B$1)</f>
        <v>0</v>
      </c>
      <c r="AL89" s="55">
        <f>_xll.EQNXTDZ($A$1,$B89,AL$5,$B$1)</f>
        <v>1585.19</v>
      </c>
      <c r="AM89" s="55">
        <f>_xll.EQNXTDZ($A$1,$B89,AM$5,$B$1)</f>
        <v>0</v>
      </c>
      <c r="AN89" s="55">
        <f>_xll.EQNXTDZ($A$1,$B89,AN$5,$B$1)</f>
        <v>1885.74</v>
      </c>
      <c r="AO89" s="55">
        <f>_xll.EQNXTDZ($A$1,$B89,AO$5,$B$1)</f>
        <v>0</v>
      </c>
      <c r="AP89" s="55">
        <f>_xll.EQNXTDZ($A$1,$B89,AP$5,$B$1)</f>
        <v>2096.35</v>
      </c>
      <c r="AQ89" s="55">
        <f>_xll.EQNXTDZ($A$1,$B89,AQ$5,$B$1)</f>
        <v>0</v>
      </c>
      <c r="AR89" s="55">
        <f>_xll.EQNXTDZ($A$1,$B89,AR$5,$B$1)</f>
        <v>2243.37</v>
      </c>
      <c r="AS89" s="55">
        <f>_xll.EQNXTDZ($A$1,$B89,AS$5,$B$1)</f>
        <v>0</v>
      </c>
      <c r="AT89" s="55">
        <f>_xll.EQNXTDZ($A$1,$B89,AT$5,$B$1)</f>
        <v>2231.27</v>
      </c>
      <c r="AU89" s="55">
        <f>_xll.EQNXTDZ($A$1,$B89,AU$5,$B$1)</f>
        <v>0</v>
      </c>
      <c r="AV89" s="55">
        <f>_xll.EQNXTDZ($A$1,$B89,AV$5,$B$1)</f>
        <v>2083.54</v>
      </c>
      <c r="AW89" s="55">
        <f>_xll.EQNXTDZ($A$1,$B89,AW$5,$B$1)</f>
        <v>0</v>
      </c>
      <c r="AX89" s="55">
        <f>_xll.EQNXTDZ($A$1,$B89,AX$5,$B$1)</f>
        <v>2197.7600000000002</v>
      </c>
      <c r="AY89" s="55">
        <f>_xll.EQNXTDZ($A$1,$B89,AY$5,$B$1)</f>
        <v>0</v>
      </c>
      <c r="AZ89" s="55">
        <f>_xll.EQNXTDZ($A$1,$B89,AZ$5,$B$1)</f>
        <v>2330.9499999999998</v>
      </c>
      <c r="BA89" s="55">
        <f>_xll.EQNXTDZ($A$1,$B89,BA$5,$B$1)</f>
        <v>0</v>
      </c>
      <c r="BB89" s="55">
        <f>_xll.EQNXTDZ($A$1,$B89,BB$5,$B$1)</f>
        <v>2331.59</v>
      </c>
      <c r="BC89" s="55">
        <f>_xll.EQNXTDZ($A$1,$B89,BC$5,$B$1)</f>
        <v>0</v>
      </c>
      <c r="BD89" s="55">
        <f>_xll.EQNXTDZ($A$1,$B89,BD$5,$B$1)</f>
        <v>2478.48</v>
      </c>
      <c r="BE89" s="55">
        <f>_xll.EQNXTDZ($A$1,$B89,BE$5,$B$1)</f>
        <v>0</v>
      </c>
      <c r="BF89" s="55">
        <f>_xll.EQNXTDZ($A$1,$B89,BF$5,$B$1)</f>
        <v>2584.9699999999998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471.13</v>
      </c>
      <c r="G91" s="55">
        <f>_xll.EQNXTDZ($A$1,$B91,G$5,$B$1)</f>
        <v>0</v>
      </c>
      <c r="H91" s="55">
        <f>_xll.EQNXTDZ($A$1,$B91,H$5,$B$1)</f>
        <v>198.68</v>
      </c>
      <c r="I91" s="55">
        <f>_xll.EQNXTDZ($A$1,$B91,I$5,$B$1)</f>
        <v>0</v>
      </c>
      <c r="J91" s="55">
        <f>_xll.EQNXTDZ($A$1,$B91,J$5,$B$1)</f>
        <v>271.47000000000003</v>
      </c>
      <c r="K91" s="55">
        <f>_xll.EQNXTDZ($A$1,$B91,K$5,$B$1)</f>
        <v>0</v>
      </c>
      <c r="L91" s="55">
        <f>_xll.EQNXTDZ($A$1,$B91,L$5,$B$1)</f>
        <v>278.12</v>
      </c>
      <c r="M91" s="55">
        <f>_xll.EQNXTDZ($A$1,$B91,M$5,$B$1)</f>
        <v>0</v>
      </c>
      <c r="N91" s="55">
        <f>_xll.EQNXTDZ($A$1,$B91,N$5,$B$1)</f>
        <v>564.09</v>
      </c>
      <c r="O91" s="55">
        <f>_xll.EQNXTDZ($A$1,$B91,O$5,$B$1)</f>
        <v>0</v>
      </c>
      <c r="P91" s="55">
        <f>_xll.EQNXTDZ($A$1,$B91,P$5,$B$1)</f>
        <v>776.13</v>
      </c>
      <c r="Q91" s="55">
        <f>_xll.EQNXTDZ($A$1,$B91,Q$5,$B$1)</f>
        <v>0</v>
      </c>
      <c r="R91" s="55">
        <f>_xll.EQNXTDZ($A$1,$B91,R$5,$B$1)</f>
        <v>511.34</v>
      </c>
      <c r="S91" s="55">
        <f>_xll.EQNXTDZ($A$1,$B91,S$5,$B$1)</f>
        <v>0</v>
      </c>
      <c r="T91" s="55">
        <f>_xll.EQNXTDZ($A$1,$B91,T$5,$B$1)</f>
        <v>600.65</v>
      </c>
      <c r="U91" s="55">
        <f>_xll.EQNXTDZ($A$1,$B91,U$5,$B$1)</f>
        <v>0</v>
      </c>
      <c r="V91" s="55">
        <f>_xll.EQNXTDZ($A$1,$B91,V$5,$B$1)</f>
        <v>649.49</v>
      </c>
      <c r="W91" s="55">
        <f>_xll.EQNXTDZ($A$1,$B91,W$5,$B$1)</f>
        <v>0</v>
      </c>
      <c r="X91" s="55">
        <f>_xll.EQNXTDZ($A$1,$B91,X$5,$B$1)</f>
        <v>425.75</v>
      </c>
      <c r="Y91" s="55">
        <f>_xll.EQNXTDZ($A$1,$B91,Y$5,$B$1)</f>
        <v>0</v>
      </c>
      <c r="Z91" s="55">
        <f>_xll.EQNXTDZ($A$1,$B91,Z$5,$B$1)</f>
        <v>632.59</v>
      </c>
      <c r="AA91" s="55">
        <f>_xll.EQNXTDZ($A$1,$B91,AA$5,$B$1)</f>
        <v>0</v>
      </c>
      <c r="AB91" s="55">
        <f>_xll.EQNXTDZ($A$1,$B91,AB$5,$B$1)</f>
        <v>708.95</v>
      </c>
      <c r="AC91" s="55">
        <f>_xll.EQNXTDZ($A$1,$B91,AC$5,$B$1)</f>
        <v>0</v>
      </c>
      <c r="AD91" s="55">
        <f>_xll.EQNXTDZ($A$1,$B91,AD$5,$B$1)</f>
        <v>682.91</v>
      </c>
      <c r="AE91" s="55">
        <f>_xll.EQNXTDZ($A$1,$B91,AE$5,$B$1)</f>
        <v>0</v>
      </c>
      <c r="AF91" s="55">
        <f>_xll.EQNXTDZ($A$1,$B91,AF$5,$B$1)</f>
        <v>1134.3900000000001</v>
      </c>
      <c r="AG91" s="55">
        <f>_xll.EQNXTDZ($A$1,$B91,AG$5,$B$1)</f>
        <v>0</v>
      </c>
      <c r="AH91" s="55">
        <f>_xll.EQNXTDZ($A$1,$B91,AH$5,$B$1)</f>
        <v>1234.18</v>
      </c>
      <c r="AI91" s="55">
        <f>_xll.EQNXTDZ($A$1,$B91,AI$5,$B$1)</f>
        <v>0</v>
      </c>
      <c r="AJ91" s="55">
        <f>_xll.EQNXTDZ($A$1,$B91,AJ$5,$B$1)</f>
        <v>843.53</v>
      </c>
      <c r="AK91" s="55">
        <f>_xll.EQNXTDZ($A$1,$B91,AK$5,$B$1)</f>
        <v>0</v>
      </c>
      <c r="AL91" s="55">
        <f>_xll.EQNXTDZ($A$1,$B91,AL$5,$B$1)</f>
        <v>551.30999999999995</v>
      </c>
      <c r="AM91" s="55">
        <f>_xll.EQNXTDZ($A$1,$B91,AM$5,$B$1)</f>
        <v>0</v>
      </c>
      <c r="AN91" s="55">
        <f>_xll.EQNXTDZ($A$1,$B91,AN$5,$B$1)</f>
        <v>635.38</v>
      </c>
      <c r="AO91" s="55">
        <f>_xll.EQNXTDZ($A$1,$B91,AO$5,$B$1)</f>
        <v>0</v>
      </c>
      <c r="AP91" s="55">
        <f>_xll.EQNXTDZ($A$1,$B91,AP$5,$B$1)</f>
        <v>550.53</v>
      </c>
      <c r="AQ91" s="55">
        <f>_xll.EQNXTDZ($A$1,$B91,AQ$5,$B$1)</f>
        <v>0</v>
      </c>
      <c r="AR91" s="55">
        <f>_xll.EQNXTDZ($A$1,$B91,AR$5,$B$1)</f>
        <v>695.65</v>
      </c>
      <c r="AS91" s="55">
        <f>_xll.EQNXTDZ($A$1,$B91,AS$5,$B$1)</f>
        <v>0</v>
      </c>
      <c r="AT91" s="55">
        <f>_xll.EQNXTDZ($A$1,$B91,AT$5,$B$1)</f>
        <v>634.88</v>
      </c>
      <c r="AU91" s="55">
        <f>_xll.EQNXTDZ($A$1,$B91,AU$5,$B$1)</f>
        <v>0</v>
      </c>
      <c r="AV91" s="55">
        <f>_xll.EQNXTDZ($A$1,$B91,AV$5,$B$1)</f>
        <v>624.41</v>
      </c>
      <c r="AW91" s="55">
        <f>_xll.EQNXTDZ($A$1,$B91,AW$5,$B$1)</f>
        <v>0</v>
      </c>
      <c r="AX91" s="55">
        <f>_xll.EQNXTDZ($A$1,$B91,AX$5,$B$1)</f>
        <v>605.14</v>
      </c>
      <c r="AY91" s="55">
        <f>_xll.EQNXTDZ($A$1,$B91,AY$5,$B$1)</f>
        <v>0</v>
      </c>
      <c r="AZ91" s="55">
        <f>_xll.EQNXTDZ($A$1,$B91,AZ$5,$B$1)</f>
        <v>264.14</v>
      </c>
      <c r="BA91" s="55">
        <f>_xll.EQNXTDZ($A$1,$B91,BA$5,$B$1)</f>
        <v>0</v>
      </c>
      <c r="BB91" s="55">
        <f>_xll.EQNXTDZ($A$1,$B91,BB$5,$B$1)</f>
        <v>428.62</v>
      </c>
      <c r="BC91" s="55">
        <f>_xll.EQNXTDZ($A$1,$B91,BC$5,$B$1)</f>
        <v>0</v>
      </c>
      <c r="BD91" s="55">
        <f>_xll.EQNXTDZ($A$1,$B91,BD$5,$B$1)</f>
        <v>430.18</v>
      </c>
      <c r="BE91" s="55">
        <f>_xll.EQNXTDZ($A$1,$B91,BE$5,$B$1)</f>
        <v>0</v>
      </c>
      <c r="BF91" s="55">
        <f>_xll.EQNXTDZ($A$1,$B91,BF$5,$B$1)</f>
        <v>871.97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3.06</v>
      </c>
      <c r="E92" s="55">
        <f>_xll.EQNXTDZ($A$1,$B92,E$5,$B$1)</f>
        <v>0</v>
      </c>
      <c r="F92" s="55">
        <f>_xll.EQNXTDZ($A$1,$B92,F$5,$B$1)</f>
        <v>10.29</v>
      </c>
      <c r="G92" s="55">
        <f>_xll.EQNXTDZ($A$1,$B92,G$5,$B$1)</f>
        <v>0</v>
      </c>
      <c r="H92" s="55">
        <f>_xll.EQNXTDZ($A$1,$B92,H$5,$B$1)</f>
        <v>25.15</v>
      </c>
      <c r="I92" s="55">
        <f>_xll.EQNXTDZ($A$1,$B92,I$5,$B$1)</f>
        <v>0</v>
      </c>
      <c r="J92" s="55">
        <f>_xll.EQNXTDZ($A$1,$B92,J$5,$B$1)</f>
        <v>17.14</v>
      </c>
      <c r="K92" s="55">
        <f>_xll.EQNXTDZ($A$1,$B92,K$5,$B$1)</f>
        <v>0</v>
      </c>
      <c r="L92" s="55">
        <f>_xll.EQNXTDZ($A$1,$B92,L$5,$B$1)</f>
        <v>29.14</v>
      </c>
      <c r="M92" s="55">
        <f>_xll.EQNXTDZ($A$1,$B92,M$5,$B$1)</f>
        <v>0</v>
      </c>
      <c r="N92" s="55">
        <f>_xll.EQNXTDZ($A$1,$B92,N$5,$B$1)</f>
        <v>11.57</v>
      </c>
      <c r="O92" s="55">
        <f>_xll.EQNXTDZ($A$1,$B92,O$5,$B$1)</f>
        <v>0</v>
      </c>
      <c r="P92" s="55">
        <f>_xll.EQNXTDZ($A$1,$B92,P$5,$B$1)</f>
        <v>23.79</v>
      </c>
      <c r="Q92" s="55">
        <f>_xll.EQNXTDZ($A$1,$B92,Q$5,$B$1)</f>
        <v>0</v>
      </c>
      <c r="R92" s="55">
        <f>_xll.EQNXTDZ($A$1,$B92,R$5,$B$1)</f>
        <v>6.03</v>
      </c>
      <c r="S92" s="55">
        <f>_xll.EQNXTDZ($A$1,$B92,S$5,$B$1)</f>
        <v>0</v>
      </c>
      <c r="T92" s="55">
        <f>_xll.EQNXTDZ($A$1,$B92,T$5,$B$1)</f>
        <v>6.58</v>
      </c>
      <c r="U92" s="55">
        <f>_xll.EQNXTDZ($A$1,$B92,U$5,$B$1)</f>
        <v>0</v>
      </c>
      <c r="V92" s="55">
        <f>_xll.EQNXTDZ($A$1,$B92,V$5,$B$1)</f>
        <v>6.23</v>
      </c>
      <c r="W92" s="55">
        <f>_xll.EQNXTDZ($A$1,$B92,W$5,$B$1)</f>
        <v>0</v>
      </c>
      <c r="X92" s="55">
        <f>_xll.EQNXTDZ($A$1,$B92,X$5,$B$1)</f>
        <v>5.29</v>
      </c>
      <c r="Y92" s="55">
        <f>_xll.EQNXTDZ($A$1,$B92,Y$5,$B$1)</f>
        <v>0</v>
      </c>
      <c r="Z92" s="55">
        <f>_xll.EQNXTDZ($A$1,$B92,Z$5,$B$1)</f>
        <v>4.5999999999999996</v>
      </c>
      <c r="AA92" s="55">
        <f>_xll.EQNXTDZ($A$1,$B92,AA$5,$B$1)</f>
        <v>0</v>
      </c>
      <c r="AB92" s="55">
        <f>_xll.EQNXTDZ($A$1,$B92,AB$5,$B$1)</f>
        <v>4.29</v>
      </c>
      <c r="AC92" s="55">
        <f>_xll.EQNXTDZ($A$1,$B92,AC$5,$B$1)</f>
        <v>0</v>
      </c>
      <c r="AD92" s="55">
        <f>_xll.EQNXTDZ($A$1,$B92,AD$5,$B$1)</f>
        <v>5.96</v>
      </c>
      <c r="AE92" s="55">
        <f>_xll.EQNXTDZ($A$1,$B92,AE$5,$B$1)</f>
        <v>0</v>
      </c>
      <c r="AF92" s="55">
        <f>_xll.EQNXTDZ($A$1,$B92,AF$5,$B$1)</f>
        <v>34.85</v>
      </c>
      <c r="AG92" s="55">
        <f>_xll.EQNXTDZ($A$1,$B92,AG$5,$B$1)</f>
        <v>0</v>
      </c>
      <c r="AH92" s="55">
        <f>_xll.EQNXTDZ($A$1,$B92,AH$5,$B$1)</f>
        <v>6.62</v>
      </c>
      <c r="AI92" s="55">
        <f>_xll.EQNXTDZ($A$1,$B92,AI$5,$B$1)</f>
        <v>0</v>
      </c>
      <c r="AJ92" s="55">
        <f>_xll.EQNXTDZ($A$1,$B92,AJ$5,$B$1)</f>
        <v>7.86</v>
      </c>
      <c r="AK92" s="55">
        <f>_xll.EQNXTDZ($A$1,$B92,AK$5,$B$1)</f>
        <v>0</v>
      </c>
      <c r="AL92" s="55">
        <f>_xll.EQNXTDZ($A$1,$B92,AL$5,$B$1)</f>
        <v>8.68</v>
      </c>
      <c r="AM92" s="55">
        <f>_xll.EQNXTDZ($A$1,$B92,AM$5,$B$1)</f>
        <v>0</v>
      </c>
      <c r="AN92" s="55">
        <f>_xll.EQNXTDZ($A$1,$B92,AN$5,$B$1)</f>
        <v>9.5500000000000007</v>
      </c>
      <c r="AO92" s="55">
        <f>_xll.EQNXTDZ($A$1,$B92,AO$5,$B$1)</f>
        <v>0</v>
      </c>
      <c r="AP92" s="55">
        <f>_xll.EQNXTDZ($A$1,$B92,AP$5,$B$1)</f>
        <v>7.38</v>
      </c>
      <c r="AQ92" s="55">
        <f>_xll.EQNXTDZ($A$1,$B92,AQ$5,$B$1)</f>
        <v>0</v>
      </c>
      <c r="AR92" s="55">
        <f>_xll.EQNXTDZ($A$1,$B92,AR$5,$B$1)</f>
        <v>9.92</v>
      </c>
      <c r="AS92" s="55">
        <f>_xll.EQNXTDZ($A$1,$B92,AS$5,$B$1)</f>
        <v>0</v>
      </c>
      <c r="AT92" s="55">
        <f>_xll.EQNXTDZ($A$1,$B92,AT$5,$B$1)</f>
        <v>7.91</v>
      </c>
      <c r="AU92" s="55">
        <f>_xll.EQNXTDZ($A$1,$B92,AU$5,$B$1)</f>
        <v>0</v>
      </c>
      <c r="AV92" s="55">
        <f>_xll.EQNXTDZ($A$1,$B92,AV$5,$B$1)</f>
        <v>10.7</v>
      </c>
      <c r="AW92" s="55">
        <f>_xll.EQNXTDZ($A$1,$B92,AW$5,$B$1)</f>
        <v>0</v>
      </c>
      <c r="AX92" s="55">
        <f>_xll.EQNXTDZ($A$1,$B92,AX$5,$B$1)</f>
        <v>8.77</v>
      </c>
      <c r="AY92" s="55">
        <f>_xll.EQNXTDZ($A$1,$B92,AY$5,$B$1)</f>
        <v>0</v>
      </c>
      <c r="AZ92" s="55">
        <f>_xll.EQNXTDZ($A$1,$B92,AZ$5,$B$1)</f>
        <v>9.94</v>
      </c>
      <c r="BA92" s="55">
        <f>_xll.EQNXTDZ($A$1,$B92,BA$5,$B$1)</f>
        <v>0</v>
      </c>
      <c r="BB92" s="55">
        <f>_xll.EQNXTDZ($A$1,$B92,BB$5,$B$1)</f>
        <v>9.81</v>
      </c>
      <c r="BC92" s="55">
        <f>_xll.EQNXTDZ($A$1,$B92,BC$5,$B$1)</f>
        <v>0</v>
      </c>
      <c r="BD92" s="55">
        <f>_xll.EQNXTDZ($A$1,$B92,BD$5,$B$1)</f>
        <v>11.75</v>
      </c>
      <c r="BE92" s="55">
        <f>_xll.EQNXTDZ($A$1,$B92,BE$5,$B$1)</f>
        <v>0</v>
      </c>
      <c r="BF92" s="55">
        <f>_xll.EQNXTDZ($A$1,$B92,BF$5,$B$1)</f>
        <v>14.87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1053.3599999999999</v>
      </c>
      <c r="E93" s="55">
        <f>_xll.EQNXTDZ($A$1,$B93,E$5,$B$1)</f>
        <v>0</v>
      </c>
      <c r="F93" s="55">
        <f>_xll.EQNXTDZ($A$1,$B93,F$5,$B$1)</f>
        <v>1242.1500000000001</v>
      </c>
      <c r="G93" s="55">
        <f>_xll.EQNXTDZ($A$1,$B93,G$5,$B$1)</f>
        <v>0</v>
      </c>
      <c r="H93" s="55">
        <f>_xll.EQNXTDZ($A$1,$B93,H$5,$B$1)</f>
        <v>1238.1099999999999</v>
      </c>
      <c r="I93" s="55">
        <f>_xll.EQNXTDZ($A$1,$B93,I$5,$B$1)</f>
        <v>0</v>
      </c>
      <c r="J93" s="55">
        <f>_xll.EQNXTDZ($A$1,$B93,J$5,$B$1)</f>
        <v>1397.11</v>
      </c>
      <c r="K93" s="55">
        <f>_xll.EQNXTDZ($A$1,$B93,K$5,$B$1)</f>
        <v>0</v>
      </c>
      <c r="L93" s="55">
        <f>_xll.EQNXTDZ($A$1,$B93,L$5,$B$1)</f>
        <v>1252.1199999999999</v>
      </c>
      <c r="M93" s="55">
        <f>_xll.EQNXTDZ($A$1,$B93,M$5,$B$1)</f>
        <v>0</v>
      </c>
      <c r="N93" s="55">
        <f>_xll.EQNXTDZ($A$1,$B93,N$5,$B$1)</f>
        <v>1393.33</v>
      </c>
      <c r="O93" s="55">
        <f>_xll.EQNXTDZ($A$1,$B93,O$5,$B$1)</f>
        <v>0</v>
      </c>
      <c r="P93" s="55">
        <f>_xll.EQNXTDZ($A$1,$B93,P$5,$B$1)</f>
        <v>1871.01</v>
      </c>
      <c r="Q93" s="55">
        <f>_xll.EQNXTDZ($A$1,$B93,Q$5,$B$1)</f>
        <v>0</v>
      </c>
      <c r="R93" s="55">
        <f>_xll.EQNXTDZ($A$1,$B93,R$5,$B$1)</f>
        <v>1421.18</v>
      </c>
      <c r="S93" s="55">
        <f>_xll.EQNXTDZ($A$1,$B93,S$5,$B$1)</f>
        <v>0</v>
      </c>
      <c r="T93" s="55">
        <f>_xll.EQNXTDZ($A$1,$B93,T$5,$B$1)</f>
        <v>1795.32</v>
      </c>
      <c r="U93" s="55">
        <f>_xll.EQNXTDZ($A$1,$B93,U$5,$B$1)</f>
        <v>0</v>
      </c>
      <c r="V93" s="55">
        <f>_xll.EQNXTDZ($A$1,$B93,V$5,$B$1)</f>
        <v>2010.19</v>
      </c>
      <c r="W93" s="55">
        <f>_xll.EQNXTDZ($A$1,$B93,W$5,$B$1)</f>
        <v>0</v>
      </c>
      <c r="X93" s="55">
        <f>_xll.EQNXTDZ($A$1,$B93,X$5,$B$1)</f>
        <v>2327.38</v>
      </c>
      <c r="Y93" s="55">
        <f>_xll.EQNXTDZ($A$1,$B93,Y$5,$B$1)</f>
        <v>0</v>
      </c>
      <c r="Z93" s="55">
        <f>_xll.EQNXTDZ($A$1,$B93,Z$5,$B$1)</f>
        <v>2532.21</v>
      </c>
      <c r="AA93" s="55">
        <f>_xll.EQNXTDZ($A$1,$B93,AA$5,$B$1)</f>
        <v>0</v>
      </c>
      <c r="AB93" s="55">
        <f>_xll.EQNXTDZ($A$1,$B93,AB$5,$B$1)</f>
        <v>3383.03</v>
      </c>
      <c r="AC93" s="55">
        <f>_xll.EQNXTDZ($A$1,$B93,AC$5,$B$1)</f>
        <v>0</v>
      </c>
      <c r="AD93" s="55">
        <f>_xll.EQNXTDZ($A$1,$B93,AD$5,$B$1)</f>
        <v>3198.68</v>
      </c>
      <c r="AE93" s="55">
        <f>_xll.EQNXTDZ($A$1,$B93,AE$5,$B$1)</f>
        <v>0</v>
      </c>
      <c r="AF93" s="55">
        <f>_xll.EQNXTDZ($A$1,$B93,AF$5,$B$1)</f>
        <v>3589.26</v>
      </c>
      <c r="AG93" s="55">
        <f>_xll.EQNXTDZ($A$1,$B93,AG$5,$B$1)</f>
        <v>0</v>
      </c>
      <c r="AH93" s="55">
        <f>_xll.EQNXTDZ($A$1,$B93,AH$5,$B$1)</f>
        <v>3307.93</v>
      </c>
      <c r="AI93" s="55">
        <f>_xll.EQNXTDZ($A$1,$B93,AI$5,$B$1)</f>
        <v>0</v>
      </c>
      <c r="AJ93" s="55">
        <f>_xll.EQNXTDZ($A$1,$B93,AJ$5,$B$1)</f>
        <v>2866.48</v>
      </c>
      <c r="AK93" s="55">
        <f>_xll.EQNXTDZ($A$1,$B93,AK$5,$B$1)</f>
        <v>0</v>
      </c>
      <c r="AL93" s="55">
        <f>_xll.EQNXTDZ($A$1,$B93,AL$5,$B$1)</f>
        <v>3571.13</v>
      </c>
      <c r="AM93" s="55">
        <f>_xll.EQNXTDZ($A$1,$B93,AM$5,$B$1)</f>
        <v>0</v>
      </c>
      <c r="AN93" s="55">
        <f>_xll.EQNXTDZ($A$1,$B93,AN$5,$B$1)</f>
        <v>4241.2</v>
      </c>
      <c r="AO93" s="55">
        <f>_xll.EQNXTDZ($A$1,$B93,AO$5,$B$1)</f>
        <v>0</v>
      </c>
      <c r="AP93" s="55">
        <f>_xll.EQNXTDZ($A$1,$B93,AP$5,$B$1)</f>
        <v>4440.3100000000004</v>
      </c>
      <c r="AQ93" s="55">
        <f>_xll.EQNXTDZ($A$1,$B93,AQ$5,$B$1)</f>
        <v>0</v>
      </c>
      <c r="AR93" s="55">
        <f>_xll.EQNXTDZ($A$1,$B93,AR$5,$B$1)</f>
        <v>4990.0200000000004</v>
      </c>
      <c r="AS93" s="55">
        <f>_xll.EQNXTDZ($A$1,$B93,AS$5,$B$1)</f>
        <v>0</v>
      </c>
      <c r="AT93" s="55">
        <f>_xll.EQNXTDZ($A$1,$B93,AT$5,$B$1)</f>
        <v>4916.6000000000004</v>
      </c>
      <c r="AU93" s="55">
        <f>_xll.EQNXTDZ($A$1,$B93,AU$5,$B$1)</f>
        <v>0</v>
      </c>
      <c r="AV93" s="55">
        <f>_xll.EQNXTDZ($A$1,$B93,AV$5,$B$1)</f>
        <v>5190.2700000000004</v>
      </c>
      <c r="AW93" s="55">
        <f>_xll.EQNXTDZ($A$1,$B93,AW$5,$B$1)</f>
        <v>0</v>
      </c>
      <c r="AX93" s="55">
        <f>_xll.EQNXTDZ($A$1,$B93,AX$5,$B$1)</f>
        <v>5480.77</v>
      </c>
      <c r="AY93" s="55">
        <f>_xll.EQNXTDZ($A$1,$B93,AY$5,$B$1)</f>
        <v>0</v>
      </c>
      <c r="AZ93" s="55">
        <f>_xll.EQNXTDZ($A$1,$B93,AZ$5,$B$1)</f>
        <v>5751.98</v>
      </c>
      <c r="BA93" s="55">
        <f>_xll.EQNXTDZ($A$1,$B93,BA$5,$B$1)</f>
        <v>0</v>
      </c>
      <c r="BB93" s="55">
        <f>_xll.EQNXTDZ($A$1,$B93,BB$5,$B$1)</f>
        <v>5429.93</v>
      </c>
      <c r="BC93" s="55">
        <f>_xll.EQNXTDZ($A$1,$B93,BC$5,$B$1)</f>
        <v>0</v>
      </c>
      <c r="BD93" s="55">
        <f>_xll.EQNXTDZ($A$1,$B93,BD$5,$B$1)</f>
        <v>5533.8</v>
      </c>
      <c r="BE93" s="55">
        <f>_xll.EQNXTDZ($A$1,$B93,BE$5,$B$1)</f>
        <v>0</v>
      </c>
      <c r="BF93" s="55">
        <f>_xll.EQNXTDZ($A$1,$B93,BF$5,$B$1)</f>
        <v>6522.84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113.32</v>
      </c>
      <c r="E94" s="55">
        <f>_xll.EQNXTDZ($A$1,$B94,E$5,$B$1)</f>
        <v>0</v>
      </c>
      <c r="F94" s="55">
        <f>_xll.EQNXTDZ($A$1,$B94,F$5,$B$1)</f>
        <v>259.01</v>
      </c>
      <c r="G94" s="55">
        <f>_xll.EQNXTDZ($A$1,$B94,G$5,$B$1)</f>
        <v>0</v>
      </c>
      <c r="H94" s="55">
        <f>_xll.EQNXTDZ($A$1,$B94,H$5,$B$1)</f>
        <v>269.49</v>
      </c>
      <c r="I94" s="55">
        <f>_xll.EQNXTDZ($A$1,$B94,I$5,$B$1)</f>
        <v>0</v>
      </c>
      <c r="J94" s="55">
        <f>_xll.EQNXTDZ($A$1,$B94,J$5,$B$1)</f>
        <v>318</v>
      </c>
      <c r="K94" s="55">
        <f>_xll.EQNXTDZ($A$1,$B94,K$5,$B$1)</f>
        <v>0</v>
      </c>
      <c r="L94" s="55">
        <f>_xll.EQNXTDZ($A$1,$B94,L$5,$B$1)</f>
        <v>480.05</v>
      </c>
      <c r="M94" s="55">
        <f>_xll.EQNXTDZ($A$1,$B94,M$5,$B$1)</f>
        <v>0</v>
      </c>
      <c r="N94" s="55">
        <f>_xll.EQNXTDZ($A$1,$B94,N$5,$B$1)</f>
        <v>322.99</v>
      </c>
      <c r="O94" s="55">
        <f>_xll.EQNXTDZ($A$1,$B94,O$5,$B$1)</f>
        <v>0</v>
      </c>
      <c r="P94" s="55">
        <f>_xll.EQNXTDZ($A$1,$B94,P$5,$B$1)</f>
        <v>49.840000000000103</v>
      </c>
      <c r="Q94" s="55">
        <f>_xll.EQNXTDZ($A$1,$B94,Q$5,$B$1)</f>
        <v>0</v>
      </c>
      <c r="R94" s="55">
        <f>_xll.EQNXTDZ($A$1,$B94,R$5,$B$1)</f>
        <v>562.47</v>
      </c>
      <c r="S94" s="55">
        <f>_xll.EQNXTDZ($A$1,$B94,S$5,$B$1)</f>
        <v>0</v>
      </c>
      <c r="T94" s="55">
        <f>_xll.EQNXTDZ($A$1,$B94,T$5,$B$1)</f>
        <v>302.35000000000002</v>
      </c>
      <c r="U94" s="55">
        <f>_xll.EQNXTDZ($A$1,$B94,U$5,$B$1)</f>
        <v>0</v>
      </c>
      <c r="V94" s="55">
        <f>_xll.EQNXTDZ($A$1,$B94,V$5,$B$1)</f>
        <v>69.249999999999602</v>
      </c>
      <c r="W94" s="55">
        <f>_xll.EQNXTDZ($A$1,$B94,W$5,$B$1)</f>
        <v>0</v>
      </c>
      <c r="X94" s="55">
        <f>_xll.EQNXTDZ($A$1,$B94,X$5,$B$1)</f>
        <v>109.8</v>
      </c>
      <c r="Y94" s="55">
        <f>_xll.EQNXTDZ($A$1,$B94,Y$5,$B$1)</f>
        <v>0</v>
      </c>
      <c r="Z94" s="55">
        <f>_xll.EQNXTDZ($A$1,$B94,Z$5,$B$1)</f>
        <v>-106.32</v>
      </c>
      <c r="AA94" s="55">
        <f>_xll.EQNXTDZ($A$1,$B94,AA$5,$B$1)</f>
        <v>0</v>
      </c>
      <c r="AB94" s="55">
        <f>_xll.EQNXTDZ($A$1,$B94,AB$5,$B$1)</f>
        <v>-157.61000000000101</v>
      </c>
      <c r="AC94" s="55">
        <f>_xll.EQNXTDZ($A$1,$B94,AC$5,$B$1)</f>
        <v>0</v>
      </c>
      <c r="AD94" s="55">
        <f>_xll.EQNXTDZ($A$1,$B94,AD$5,$B$1)</f>
        <v>-26.389999999999802</v>
      </c>
      <c r="AE94" s="55">
        <f>_xll.EQNXTDZ($A$1,$B94,AE$5,$B$1)</f>
        <v>0</v>
      </c>
      <c r="AF94" s="55">
        <f>_xll.EQNXTDZ($A$1,$B94,AF$5,$B$1)</f>
        <v>-448.45</v>
      </c>
      <c r="AG94" s="55">
        <f>_xll.EQNXTDZ($A$1,$B94,AG$5,$B$1)</f>
        <v>0</v>
      </c>
      <c r="AH94" s="55">
        <f>_xll.EQNXTDZ($A$1,$B94,AH$5,$B$1)</f>
        <v>-413.57</v>
      </c>
      <c r="AI94" s="55">
        <f>_xll.EQNXTDZ($A$1,$B94,AI$5,$B$1)</f>
        <v>0</v>
      </c>
      <c r="AJ94" s="55">
        <f>_xll.EQNXTDZ($A$1,$B94,AJ$5,$B$1)</f>
        <v>433.52</v>
      </c>
      <c r="AK94" s="55">
        <f>_xll.EQNXTDZ($A$1,$B94,AK$5,$B$1)</f>
        <v>0</v>
      </c>
      <c r="AL94" s="55">
        <f>_xll.EQNXTDZ($A$1,$B94,AL$5,$B$1)</f>
        <v>367.79</v>
      </c>
      <c r="AM94" s="55">
        <f>_xll.EQNXTDZ($A$1,$B94,AM$5,$B$1)</f>
        <v>0</v>
      </c>
      <c r="AN94" s="55">
        <f>_xll.EQNXTDZ($A$1,$B94,AN$5,$B$1)</f>
        <v>337.01</v>
      </c>
      <c r="AO94" s="55">
        <f>_xll.EQNXTDZ($A$1,$B94,AO$5,$B$1)</f>
        <v>0</v>
      </c>
      <c r="AP94" s="55">
        <f>_xll.EQNXTDZ($A$1,$B94,AP$5,$B$1)</f>
        <v>811.00999999999897</v>
      </c>
      <c r="AQ94" s="55">
        <f>_xll.EQNXTDZ($A$1,$B94,AQ$5,$B$1)</f>
        <v>0</v>
      </c>
      <c r="AR94" s="55">
        <f>_xll.EQNXTDZ($A$1,$B94,AR$5,$B$1)</f>
        <v>574.36000000000104</v>
      </c>
      <c r="AS94" s="55">
        <f>_xll.EQNXTDZ($A$1,$B94,AS$5,$B$1)</f>
        <v>0</v>
      </c>
      <c r="AT94" s="55">
        <f>_xll.EQNXTDZ($A$1,$B94,AT$5,$B$1)</f>
        <v>858.35</v>
      </c>
      <c r="AU94" s="55">
        <f>_xll.EQNXTDZ($A$1,$B94,AU$5,$B$1)</f>
        <v>0</v>
      </c>
      <c r="AV94" s="55">
        <f>_xll.EQNXTDZ($A$1,$B94,AV$5,$B$1)</f>
        <v>333.69</v>
      </c>
      <c r="AW94" s="55">
        <f>_xll.EQNXTDZ($A$1,$B94,AW$5,$B$1)</f>
        <v>0</v>
      </c>
      <c r="AX94" s="55">
        <f>_xll.EQNXTDZ($A$1,$B94,AX$5,$B$1)</f>
        <v>168.52</v>
      </c>
      <c r="AY94" s="55">
        <f>_xll.EQNXTDZ($A$1,$B94,AY$5,$B$1)</f>
        <v>0</v>
      </c>
      <c r="AZ94" s="55">
        <f>_xll.EQNXTDZ($A$1,$B94,AZ$5,$B$1)</f>
        <v>193.159999999999</v>
      </c>
      <c r="BA94" s="55">
        <f>_xll.EQNXTDZ($A$1,$B94,BA$5,$B$1)</f>
        <v>0</v>
      </c>
      <c r="BB94" s="55">
        <f>_xll.EQNXTDZ($A$1,$B94,BB$5,$B$1)</f>
        <v>699.62000000000103</v>
      </c>
      <c r="BC94" s="55">
        <f>_xll.EQNXTDZ($A$1,$B94,BC$5,$B$1)</f>
        <v>0</v>
      </c>
      <c r="BD94" s="55">
        <f>_xll.EQNXTDZ($A$1,$B94,BD$5,$B$1)</f>
        <v>614.71000000000095</v>
      </c>
      <c r="BE94" s="55">
        <f>_xll.EQNXTDZ($A$1,$B94,BE$5,$B$1)</f>
        <v>0</v>
      </c>
      <c r="BF94" s="55">
        <f>_xll.EQNXTDZ($A$1,$B94,BF$5,$B$1)</f>
        <v>674.770000000001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-224.69</v>
      </c>
      <c r="E96" s="55">
        <f>_xll.EQNXTDZ($A$1,$B96,E$5,$B$1)</f>
        <v>0</v>
      </c>
      <c r="F96" s="55">
        <f>_xll.EQNXTDZ($A$1,$B96,F$5,$B$1)</f>
        <v>-250.29</v>
      </c>
      <c r="G96" s="55">
        <f>_xll.EQNXTDZ($A$1,$B96,G$5,$B$1)</f>
        <v>0</v>
      </c>
      <c r="H96" s="55">
        <f>_xll.EQNXTDZ($A$1,$B96,H$5,$B$1)</f>
        <v>-252.45</v>
      </c>
      <c r="I96" s="55">
        <f>_xll.EQNXTDZ($A$1,$B96,I$5,$B$1)</f>
        <v>0</v>
      </c>
      <c r="J96" s="55">
        <f>_xll.EQNXTDZ($A$1,$B96,J$5,$B$1)</f>
        <v>-275.17</v>
      </c>
      <c r="K96" s="55">
        <f>_xll.EQNXTDZ($A$1,$B96,K$5,$B$1)</f>
        <v>0</v>
      </c>
      <c r="L96" s="55">
        <f>_xll.EQNXTDZ($A$1,$B96,L$5,$B$1)</f>
        <v>-300.89</v>
      </c>
      <c r="M96" s="55">
        <f>_xll.EQNXTDZ($A$1,$B96,M$5,$B$1)</f>
        <v>0</v>
      </c>
      <c r="N96" s="55">
        <f>_xll.EQNXTDZ($A$1,$B96,N$5,$B$1)</f>
        <v>-338.58</v>
      </c>
      <c r="O96" s="55">
        <f>_xll.EQNXTDZ($A$1,$B96,O$5,$B$1)</f>
        <v>0</v>
      </c>
      <c r="P96" s="55">
        <f>_xll.EQNXTDZ($A$1,$B96,P$5,$B$1)</f>
        <v>-374.51</v>
      </c>
      <c r="Q96" s="55">
        <f>_xll.EQNXTDZ($A$1,$B96,Q$5,$B$1)</f>
        <v>0</v>
      </c>
      <c r="R96" s="55">
        <f>_xll.EQNXTDZ($A$1,$B96,R$5,$B$1)</f>
        <v>-252.33</v>
      </c>
      <c r="S96" s="55">
        <f>_xll.EQNXTDZ($A$1,$B96,S$5,$B$1)</f>
        <v>0</v>
      </c>
      <c r="T96" s="55">
        <f>_xll.EQNXTDZ($A$1,$B96,T$5,$B$1)</f>
        <v>-323.5</v>
      </c>
      <c r="U96" s="55">
        <f>_xll.EQNXTDZ($A$1,$B96,U$5,$B$1)</f>
        <v>0</v>
      </c>
      <c r="V96" s="55">
        <f>_xll.EQNXTDZ($A$1,$B96,V$5,$B$1)</f>
        <v>-284</v>
      </c>
      <c r="W96" s="55">
        <f>_xll.EQNXTDZ($A$1,$B96,W$5,$B$1)</f>
        <v>0</v>
      </c>
      <c r="X96" s="55">
        <f>_xll.EQNXTDZ($A$1,$B96,X$5,$B$1)</f>
        <v>-275.39</v>
      </c>
      <c r="Y96" s="55">
        <f>_xll.EQNXTDZ($A$1,$B96,Y$5,$B$1)</f>
        <v>0</v>
      </c>
      <c r="Z96" s="55">
        <f>_xll.EQNXTDZ($A$1,$B96,Z$5,$B$1)</f>
        <v>-291.38</v>
      </c>
      <c r="AA96" s="55">
        <f>_xll.EQNXTDZ($A$1,$B96,AA$5,$B$1)</f>
        <v>0</v>
      </c>
      <c r="AB96" s="55">
        <f>_xll.EQNXTDZ($A$1,$B96,AB$5,$B$1)</f>
        <v>-289.57</v>
      </c>
      <c r="AC96" s="55">
        <f>_xll.EQNXTDZ($A$1,$B96,AC$5,$B$1)</f>
        <v>0</v>
      </c>
      <c r="AD96" s="55">
        <f>_xll.EQNXTDZ($A$1,$B96,AD$5,$B$1)</f>
        <v>-341.98</v>
      </c>
      <c r="AE96" s="55">
        <f>_xll.EQNXTDZ($A$1,$B96,AE$5,$B$1)</f>
        <v>0</v>
      </c>
      <c r="AF96" s="55">
        <f>_xll.EQNXTDZ($A$1,$B96,AF$5,$B$1)</f>
        <v>-338.8</v>
      </c>
      <c r="AG96" s="55">
        <f>_xll.EQNXTDZ($A$1,$B96,AG$5,$B$1)</f>
        <v>0</v>
      </c>
      <c r="AH96" s="55">
        <f>_xll.EQNXTDZ($A$1,$B96,AH$5,$B$1)</f>
        <v>-161.24</v>
      </c>
      <c r="AI96" s="55">
        <f>_xll.EQNXTDZ($A$1,$B96,AI$5,$B$1)</f>
        <v>0</v>
      </c>
      <c r="AJ96" s="55">
        <f>_xll.EQNXTDZ($A$1,$B96,AJ$5,$B$1)</f>
        <v>-248.06</v>
      </c>
      <c r="AK96" s="55">
        <f>_xll.EQNXTDZ($A$1,$B96,AK$5,$B$1)</f>
        <v>0</v>
      </c>
      <c r="AL96" s="55">
        <f>_xll.EQNXTDZ($A$1,$B96,AL$5,$B$1)</f>
        <v>-368.02</v>
      </c>
      <c r="AM96" s="55">
        <f>_xll.EQNXTDZ($A$1,$B96,AM$5,$B$1)</f>
        <v>0</v>
      </c>
      <c r="AN96" s="55">
        <f>_xll.EQNXTDZ($A$1,$B96,AN$5,$B$1)</f>
        <v>-495.83</v>
      </c>
      <c r="AO96" s="55">
        <f>_xll.EQNXTDZ($A$1,$B96,AO$5,$B$1)</f>
        <v>0</v>
      </c>
      <c r="AP96" s="55">
        <f>_xll.EQNXTDZ($A$1,$B96,AP$5,$B$1)</f>
        <v>-665.86</v>
      </c>
      <c r="AQ96" s="55">
        <f>_xll.EQNXTDZ($A$1,$B96,AQ$5,$B$1)</f>
        <v>0</v>
      </c>
      <c r="AR96" s="55">
        <f>_xll.EQNXTDZ($A$1,$B96,AR$5,$B$1)</f>
        <v>-728.71</v>
      </c>
      <c r="AS96" s="55">
        <f>_xll.EQNXTDZ($A$1,$B96,AS$5,$B$1)</f>
        <v>0</v>
      </c>
      <c r="AT96" s="55">
        <f>_xll.EQNXTDZ($A$1,$B96,AT$5,$B$1)</f>
        <v>-790.57</v>
      </c>
      <c r="AU96" s="55">
        <f>_xll.EQNXTDZ($A$1,$B96,AU$5,$B$1)</f>
        <v>0</v>
      </c>
      <c r="AV96" s="55">
        <f>_xll.EQNXTDZ($A$1,$B96,AV$5,$B$1)</f>
        <v>-854.8</v>
      </c>
      <c r="AW96" s="55">
        <f>_xll.EQNXTDZ($A$1,$B96,AW$5,$B$1)</f>
        <v>0</v>
      </c>
      <c r="AX96" s="55">
        <f>_xll.EQNXTDZ($A$1,$B96,AX$5,$B$1)</f>
        <v>-911.16</v>
      </c>
      <c r="AY96" s="55">
        <f>_xll.EQNXTDZ($A$1,$B96,AY$5,$B$1)</f>
        <v>0</v>
      </c>
      <c r="AZ96" s="55">
        <f>_xll.EQNXTDZ($A$1,$B96,AZ$5,$B$1)</f>
        <v>-954.4</v>
      </c>
      <c r="BA96" s="55">
        <f>_xll.EQNXTDZ($A$1,$B96,BA$5,$B$1)</f>
        <v>0</v>
      </c>
      <c r="BB96" s="55">
        <f>_xll.EQNXTDZ($A$1,$B96,BB$5,$B$1)</f>
        <v>-1019.56</v>
      </c>
      <c r="BC96" s="55">
        <f>_xll.EQNXTDZ($A$1,$B96,BC$5,$B$1)</f>
        <v>0</v>
      </c>
      <c r="BD96" s="55">
        <f>_xll.EQNXTDZ($A$1,$B96,BD$5,$B$1)</f>
        <v>-1006.04</v>
      </c>
      <c r="BE96" s="55">
        <f>_xll.EQNXTDZ($A$1,$B96,BE$5,$B$1)</f>
        <v>0</v>
      </c>
      <c r="BF96" s="55">
        <f>_xll.EQNXTDZ($A$1,$B96,BF$5,$B$1)</f>
        <v>-984.75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2484.25</v>
      </c>
      <c r="E97" s="55">
        <f>_xll.EQNXTDZ($A$1,$B97,E$5,$B$1)</f>
        <v>0</v>
      </c>
      <c r="F97" s="55">
        <f>_xll.EQNXTDZ($A$1,$B97,F$5,$B$1)</f>
        <v>3082.09</v>
      </c>
      <c r="G97" s="55">
        <f>_xll.EQNXTDZ($A$1,$B97,G$5,$B$1)</f>
        <v>0</v>
      </c>
      <c r="H97" s="55">
        <f>_xll.EQNXTDZ($A$1,$B97,H$5,$B$1)</f>
        <v>2794.96</v>
      </c>
      <c r="I97" s="55">
        <f>_xll.EQNXTDZ($A$1,$B97,I$5,$B$1)</f>
        <v>0</v>
      </c>
      <c r="J97" s="55">
        <f>_xll.EQNXTDZ($A$1,$B97,J$5,$B$1)</f>
        <v>3796.46</v>
      </c>
      <c r="K97" s="55">
        <f>_xll.EQNXTDZ($A$1,$B97,K$5,$B$1)</f>
        <v>0</v>
      </c>
      <c r="L97" s="55">
        <f>_xll.EQNXTDZ($A$1,$B97,L$5,$B$1)</f>
        <v>3284.29</v>
      </c>
      <c r="M97" s="55">
        <f>_xll.EQNXTDZ($A$1,$B97,M$5,$B$1)</f>
        <v>0</v>
      </c>
      <c r="N97" s="55">
        <f>_xll.EQNXTDZ($A$1,$B97,N$5,$B$1)</f>
        <v>4151.22</v>
      </c>
      <c r="O97" s="55">
        <f>_xll.EQNXTDZ($A$1,$B97,O$5,$B$1)</f>
        <v>0</v>
      </c>
      <c r="P97" s="55">
        <f>_xll.EQNXTDZ($A$1,$B97,P$5,$B$1)</f>
        <v>3999.58</v>
      </c>
      <c r="Q97" s="55">
        <f>_xll.EQNXTDZ($A$1,$B97,Q$5,$B$1)</f>
        <v>0</v>
      </c>
      <c r="R97" s="55">
        <f>_xll.EQNXTDZ($A$1,$B97,R$5,$B$1)</f>
        <v>4750.43</v>
      </c>
      <c r="S97" s="55">
        <f>_xll.EQNXTDZ($A$1,$B97,S$5,$B$1)</f>
        <v>0</v>
      </c>
      <c r="T97" s="55">
        <f>_xll.EQNXTDZ($A$1,$B97,T$5,$B$1)</f>
        <v>4567.71</v>
      </c>
      <c r="U97" s="55">
        <f>_xll.EQNXTDZ($A$1,$B97,U$5,$B$1)</f>
        <v>0</v>
      </c>
      <c r="V97" s="55">
        <f>_xll.EQNXTDZ($A$1,$B97,V$5,$B$1)</f>
        <v>4674.1400000000003</v>
      </c>
      <c r="W97" s="55">
        <f>_xll.EQNXTDZ($A$1,$B97,W$5,$B$1)</f>
        <v>0</v>
      </c>
      <c r="X97" s="55">
        <f>_xll.EQNXTDZ($A$1,$B97,X$5,$B$1)</f>
        <v>5226.5600000000004</v>
      </c>
      <c r="Y97" s="55">
        <f>_xll.EQNXTDZ($A$1,$B97,Y$5,$B$1)</f>
        <v>0</v>
      </c>
      <c r="Z97" s="55">
        <f>_xll.EQNXTDZ($A$1,$B97,Z$5,$B$1)</f>
        <v>5539.42</v>
      </c>
      <c r="AA97" s="55">
        <f>_xll.EQNXTDZ($A$1,$B97,AA$5,$B$1)</f>
        <v>0</v>
      </c>
      <c r="AB97" s="55">
        <f>_xll.EQNXTDZ($A$1,$B97,AB$5,$B$1)</f>
        <v>5915.3</v>
      </c>
      <c r="AC97" s="55">
        <f>_xll.EQNXTDZ($A$1,$B97,AC$5,$B$1)</f>
        <v>0</v>
      </c>
      <c r="AD97" s="55">
        <f>_xll.EQNXTDZ($A$1,$B97,AD$5,$B$1)</f>
        <v>6347.24</v>
      </c>
      <c r="AE97" s="55">
        <f>_xll.EQNXTDZ($A$1,$B97,AE$5,$B$1)</f>
        <v>0</v>
      </c>
      <c r="AF97" s="55">
        <f>_xll.EQNXTDZ($A$1,$B97,AF$5,$B$1)</f>
        <v>6448.49</v>
      </c>
      <c r="AG97" s="55">
        <f>_xll.EQNXTDZ($A$1,$B97,AG$5,$B$1)</f>
        <v>0</v>
      </c>
      <c r="AH97" s="55">
        <f>_xll.EQNXTDZ($A$1,$B97,AH$5,$B$1)</f>
        <v>7393.33</v>
      </c>
      <c r="AI97" s="55">
        <f>_xll.EQNXTDZ($A$1,$B97,AI$5,$B$1)</f>
        <v>0</v>
      </c>
      <c r="AJ97" s="55">
        <f>_xll.EQNXTDZ($A$1,$B97,AJ$5,$B$1)</f>
        <v>8379.4500000000007</v>
      </c>
      <c r="AK97" s="55">
        <f>_xll.EQNXTDZ($A$1,$B97,AK$5,$B$1)</f>
        <v>0</v>
      </c>
      <c r="AL97" s="55">
        <f>_xll.EQNXTDZ($A$1,$B97,AL$5,$B$1)</f>
        <v>8972.1200000000008</v>
      </c>
      <c r="AM97" s="55">
        <f>_xll.EQNXTDZ($A$1,$B97,AM$5,$B$1)</f>
        <v>0</v>
      </c>
      <c r="AN97" s="55">
        <f>_xll.EQNXTDZ($A$1,$B97,AN$5,$B$1)</f>
        <v>9263.74</v>
      </c>
      <c r="AO97" s="55">
        <f>_xll.EQNXTDZ($A$1,$B97,AO$5,$B$1)</f>
        <v>0</v>
      </c>
      <c r="AP97" s="55">
        <f>_xll.EQNXTDZ($A$1,$B97,AP$5,$B$1)</f>
        <v>10658.84</v>
      </c>
      <c r="AQ97" s="55">
        <f>_xll.EQNXTDZ($A$1,$B97,AQ$5,$B$1)</f>
        <v>0</v>
      </c>
      <c r="AR97" s="55">
        <f>_xll.EQNXTDZ($A$1,$B97,AR$5,$B$1)</f>
        <v>11318.68</v>
      </c>
      <c r="AS97" s="55">
        <f>_xll.EQNXTDZ($A$1,$B97,AS$5,$B$1)</f>
        <v>0</v>
      </c>
      <c r="AT97" s="55">
        <f>_xll.EQNXTDZ($A$1,$B97,AT$5,$B$1)</f>
        <v>13028.7</v>
      </c>
      <c r="AU97" s="55">
        <f>_xll.EQNXTDZ($A$1,$B97,AU$5,$B$1)</f>
        <v>0</v>
      </c>
      <c r="AV97" s="55">
        <f>_xll.EQNXTDZ($A$1,$B97,AV$5,$B$1)</f>
        <v>13588.68</v>
      </c>
      <c r="AW97" s="55">
        <f>_xll.EQNXTDZ($A$1,$B97,AW$5,$B$1)</f>
        <v>0</v>
      </c>
      <c r="AX97" s="55">
        <f>_xll.EQNXTDZ($A$1,$B97,AX$5,$B$1)</f>
        <v>14062.45</v>
      </c>
      <c r="AY97" s="55">
        <f>_xll.EQNXTDZ($A$1,$B97,AY$5,$B$1)</f>
        <v>0</v>
      </c>
      <c r="AZ97" s="55">
        <f>_xll.EQNXTDZ($A$1,$B97,AZ$5,$B$1)</f>
        <v>14335.32</v>
      </c>
      <c r="BA97" s="55">
        <f>_xll.EQNXTDZ($A$1,$B97,BA$5,$B$1)</f>
        <v>0</v>
      </c>
      <c r="BB97" s="55">
        <f>_xll.EQNXTDZ($A$1,$B97,BB$5,$B$1)</f>
        <v>15071.9</v>
      </c>
      <c r="BC97" s="55">
        <f>_xll.EQNXTDZ($A$1,$B97,BC$5,$B$1)</f>
        <v>0</v>
      </c>
      <c r="BD97" s="55">
        <f>_xll.EQNXTDZ($A$1,$B97,BD$5,$B$1)</f>
        <v>15682.97</v>
      </c>
      <c r="BE97" s="55">
        <f>_xll.EQNXTDZ($A$1,$B97,BE$5,$B$1)</f>
        <v>0</v>
      </c>
      <c r="BF97" s="55">
        <f>_xll.EQNXTDZ($A$1,$B97,BF$5,$B$1)</f>
        <v>16589.009999999998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103806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SRF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815.95240000000001</v>
      </c>
      <c r="D6" s="100">
        <f>_xll.EQNXTDZ($A$1,$B6,D$1,$B$1)</f>
        <v>971.02829999999994</v>
      </c>
      <c r="E6" s="100">
        <f>_xll.EQNXTDZ($A$1,$B6,E$1,$B$1)</f>
        <v>1121.5823</v>
      </c>
      <c r="F6" s="100">
        <f>_xll.EQNXTDZ($A$1,$B6,F$1,$B$1)</f>
        <v>1021.1653</v>
      </c>
      <c r="G6" s="100">
        <f>_xll.EQNXTDZ($A$1,$B6,G$1,$B$1)</f>
        <v>1249.6859999999999</v>
      </c>
      <c r="H6" s="100">
        <f>_xll.EQNXTDZ($A$1,$B6,H$1,$B$1)</f>
        <v>1513.7455</v>
      </c>
      <c r="I6" s="100">
        <f>_xll.EQNXTDZ($A$1,$B6,I$1,$B$1)</f>
        <v>2047.4395</v>
      </c>
      <c r="J6" s="100">
        <f>_xll.EQNXTDZ($A$1,$B6,J$1,$B$1)</f>
        <v>1853.2281</v>
      </c>
      <c r="K6" s="100">
        <f>_xll.EQNXTDZ($A$1,$B6,K$1,$B$1)</f>
        <v>2180.8802000000001</v>
      </c>
      <c r="L6" s="100">
        <f>_xll.EQNXTDZ($A$1,$B6,L$1,$B$1)</f>
        <v>2661.9231</v>
      </c>
      <c r="M6" s="100">
        <f>_xll.EQNXTDZ($A$1,$B6,M$1,$B$1)</f>
        <v>3754.8382999999999</v>
      </c>
      <c r="N6" s="100">
        <f>_xll.EQNXTDZ($A$1,$B6,N$1,$B$1)</f>
        <v>4261.4804999999997</v>
      </c>
      <c r="O6" s="100">
        <f>_xll.EQNXTDZ($A$1,$B6,O$1,$B$1)</f>
        <v>4065.7584000000002</v>
      </c>
      <c r="P6" s="100">
        <f>_xll.EQNXTDZ($A$1,$B6,P$1,$B$1)</f>
        <v>4319.8558999999996</v>
      </c>
      <c r="Q6" s="100">
        <f>_xll.EQNXTDZ($A$1,$B6,Q$1,$B$1)</f>
        <v>4866.58</v>
      </c>
      <c r="R6" s="100">
        <f>_xll.EQNXTDZ($A$1,$B6,R$1,$B$1)</f>
        <v>4898.2700000000004</v>
      </c>
      <c r="S6" s="100">
        <f>_xll.EQNXTDZ($A$1,$B6,S$1,$B$1)</f>
        <v>5136.59</v>
      </c>
      <c r="T6" s="100">
        <f>_xll.EQNXTDZ($A$1,$B6,T$1,$B$1)</f>
        <v>5791.15</v>
      </c>
      <c r="U6" s="100">
        <f>_xll.EQNXTDZ($A$1,$B6,U$1,$B$1)</f>
        <v>6969.72</v>
      </c>
      <c r="V6" s="100">
        <f>_xll.EQNXTDZ($A$1,$B6,V$1,$B$1)</f>
        <v>7309.88</v>
      </c>
      <c r="W6" s="100">
        <f>_xll.EQNXTDZ($A$1,$B6,W$1,$B$1)</f>
        <v>8543.34</v>
      </c>
      <c r="X6" s="100">
        <f>_xll.EQNXTDZ($A$1,$B6,X$1,$B$1)</f>
        <v>12542.01</v>
      </c>
      <c r="Y6" s="100">
        <f>_xll.EQNXTDZ($A$1,$B6,Y$1,$B$1)</f>
        <v>15072.56</v>
      </c>
      <c r="Z6" s="100">
        <f>_xll.EQNXTDZ($A$1,$B6,Z$1,$B$1)</f>
        <v>13431.32</v>
      </c>
      <c r="AA6" s="100">
        <f>_xll.EQNXTDZ($A$1,$B6,AA$1,$B$1)</f>
        <v>14931.71</v>
      </c>
      <c r="AB6" s="100">
        <f>_xll.EQNXTDZ($A$1,$B6,AB$1,$B$1)</f>
        <v>16079.36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106.28</v>
      </c>
      <c r="U8" s="100">
        <f>_xll.EQNXTDZ($A$1,$B8,U$1,$B$1)</f>
        <v>-129.87</v>
      </c>
      <c r="V8" s="100">
        <f>_xll.EQNXTDZ($A$1,$B8,V$1,$B$1)</f>
        <v>100.47</v>
      </c>
      <c r="W8" s="100">
        <f>_xll.EQNXTDZ($A$1,$B8,W$1,$B$1)</f>
        <v>143.30000000000001</v>
      </c>
      <c r="X8" s="100">
        <f>_xll.EQNXTDZ($A$1,$B8,X$1,$B$1)</f>
        <v>108.35</v>
      </c>
      <c r="Y8" s="100">
        <f>_xll.EQNXTDZ($A$1,$B8,Y$1,$B$1)</f>
        <v>202.31</v>
      </c>
      <c r="Z8" s="100">
        <f>_xll.EQNXTDZ($A$1,$B8,Z$1,$B$1)</f>
        <v>292.8</v>
      </c>
      <c r="AA8" s="100">
        <f>_xll.EQNXTDZ($A$1,$B8,AA$1,$B$1)</f>
        <v>238.64</v>
      </c>
      <c r="AB8" s="100">
        <f>_xll.EQNXTDZ($A$1,$B8,AB$1,$B$1)</f>
        <v>292.85000000000002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123.0879</v>
      </c>
      <c r="D9" s="100">
        <f>_xll.EQNXTDZ($A$1,$B9,D$1,$B$1)</f>
        <v>266.10579999999999</v>
      </c>
      <c r="E9" s="100">
        <f>_xll.EQNXTDZ($A$1,$B9,E$1,$B$1)</f>
        <v>317.27379999999999</v>
      </c>
      <c r="F9" s="100">
        <f>_xll.EQNXTDZ($A$1,$B9,F$1,$B$1)</f>
        <v>115.0732</v>
      </c>
      <c r="G9" s="100">
        <f>_xll.EQNXTDZ($A$1,$B9,G$1,$B$1)</f>
        <v>103.29559999999999</v>
      </c>
      <c r="H9" s="100">
        <f>_xll.EQNXTDZ($A$1,$B9,H$1,$B$1)</f>
        <v>141.0401</v>
      </c>
      <c r="I9" s="100">
        <f>_xll.EQNXTDZ($A$1,$B9,I$1,$B$1)</f>
        <v>160.9247</v>
      </c>
      <c r="J9" s="100">
        <f>_xll.EQNXTDZ($A$1,$B9,J$1,$B$1)</f>
        <v>169.7004</v>
      </c>
      <c r="K9" s="100">
        <f>_xll.EQNXTDZ($A$1,$B9,K$1,$B$1)</f>
        <v>157.87479999999999</v>
      </c>
      <c r="L9" s="100">
        <f>_xll.EQNXTDZ($A$1,$B9,L$1,$B$1)</f>
        <v>163.2448</v>
      </c>
      <c r="M9" s="100">
        <f>_xll.EQNXTDZ($A$1,$B9,M$1,$B$1)</f>
        <v>281.29640000000001</v>
      </c>
      <c r="N9" s="100">
        <f>_xll.EQNXTDZ($A$1,$B9,N$1,$B$1)</f>
        <v>260.47699999999998</v>
      </c>
      <c r="O9" s="100">
        <f>_xll.EQNXTDZ($A$1,$B9,O$1,$B$1)</f>
        <v>282.81330000000003</v>
      </c>
      <c r="P9" s="100">
        <f>_xll.EQNXTDZ($A$1,$B9,P$1,$B$1)</f>
        <v>301.79559999999998</v>
      </c>
      <c r="Q9" s="100">
        <f>_xll.EQNXTDZ($A$1,$B9,Q$1,$B$1)</f>
        <v>326.73</v>
      </c>
      <c r="R9" s="100">
        <f>_xll.EQNXTDZ($A$1,$B9,R$1,$B$1)</f>
        <v>305.55</v>
      </c>
      <c r="S9" s="100">
        <f>_xll.EQNXTDZ($A$1,$B9,S$1,$B$1)</f>
        <v>314.79000000000002</v>
      </c>
      <c r="T9" s="100">
        <f>_xll.EQNXTDZ($A$1,$B9,T$1,$B$1)</f>
        <v>95.83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692.86450000000002</v>
      </c>
      <c r="D10" s="100">
        <f>_xll.EQNXTDZ($A$1,$B10,D$1,$B$1)</f>
        <v>704.92250000000001</v>
      </c>
      <c r="E10" s="100">
        <f>_xll.EQNXTDZ($A$1,$B10,E$1,$B$1)</f>
        <v>804.30849999999998</v>
      </c>
      <c r="F10" s="100">
        <f>_xll.EQNXTDZ($A$1,$B10,F$1,$B$1)</f>
        <v>906.09209999999996</v>
      </c>
      <c r="G10" s="100">
        <f>_xll.EQNXTDZ($A$1,$B10,G$1,$B$1)</f>
        <v>1146.3904</v>
      </c>
      <c r="H10" s="100">
        <f>_xll.EQNXTDZ($A$1,$B10,H$1,$B$1)</f>
        <v>1372.7054000000001</v>
      </c>
      <c r="I10" s="100">
        <f>_xll.EQNXTDZ($A$1,$B10,I$1,$B$1)</f>
        <v>1886.5147999999999</v>
      </c>
      <c r="J10" s="100">
        <f>_xll.EQNXTDZ($A$1,$B10,J$1,$B$1)</f>
        <v>1683.5277000000001</v>
      </c>
      <c r="K10" s="100">
        <f>_xll.EQNXTDZ($A$1,$B10,K$1,$B$1)</f>
        <v>2023.0054</v>
      </c>
      <c r="L10" s="100">
        <f>_xll.EQNXTDZ($A$1,$B10,L$1,$B$1)</f>
        <v>2498.6783</v>
      </c>
      <c r="M10" s="100">
        <f>_xll.EQNXTDZ($A$1,$B10,M$1,$B$1)</f>
        <v>3473.5419000000002</v>
      </c>
      <c r="N10" s="100">
        <f>_xll.EQNXTDZ($A$1,$B10,N$1,$B$1)</f>
        <v>4001.0034999999998</v>
      </c>
      <c r="O10" s="100">
        <f>_xll.EQNXTDZ($A$1,$B10,O$1,$B$1)</f>
        <v>3782.9450999999999</v>
      </c>
      <c r="P10" s="100">
        <f>_xll.EQNXTDZ($A$1,$B10,P$1,$B$1)</f>
        <v>4018.0603000000001</v>
      </c>
      <c r="Q10" s="100">
        <f>_xll.EQNXTDZ($A$1,$B10,Q$1,$B$1)</f>
        <v>4539.8500000000004</v>
      </c>
      <c r="R10" s="100">
        <f>_xll.EQNXTDZ($A$1,$B10,R$1,$B$1)</f>
        <v>4592.72</v>
      </c>
      <c r="S10" s="100">
        <f>_xll.EQNXTDZ($A$1,$B10,S$1,$B$1)</f>
        <v>4821.8</v>
      </c>
      <c r="T10" s="100">
        <f>_xll.EQNXTDZ($A$1,$B10,T$1,$B$1)</f>
        <v>5589.04</v>
      </c>
      <c r="U10" s="100">
        <f>_xll.EQNXTDZ($A$1,$B10,U$1,$B$1)</f>
        <v>7099.59</v>
      </c>
      <c r="V10" s="100">
        <f>_xll.EQNXTDZ($A$1,$B10,V$1,$B$1)</f>
        <v>7209.41</v>
      </c>
      <c r="W10" s="100">
        <f>_xll.EQNXTDZ($A$1,$B10,W$1,$B$1)</f>
        <v>8400.0400000000009</v>
      </c>
      <c r="X10" s="100">
        <f>_xll.EQNXTDZ($A$1,$B10,X$1,$B$1)</f>
        <v>12433.66</v>
      </c>
      <c r="Y10" s="100">
        <f>_xll.EQNXTDZ($A$1,$B10,Y$1,$B$1)</f>
        <v>14870.25</v>
      </c>
      <c r="Z10" s="100">
        <f>_xll.EQNXTDZ($A$1,$B10,Z$1,$B$1)</f>
        <v>13138.52</v>
      </c>
      <c r="AA10" s="100">
        <f>_xll.EQNXTDZ($A$1,$B10,AA$1,$B$1)</f>
        <v>14693.07</v>
      </c>
      <c r="AB10" s="100">
        <f>_xll.EQNXTDZ($A$1,$B10,AB$1,$B$1)</f>
        <v>15786.51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-8.6134000000000004</v>
      </c>
      <c r="D11" s="100">
        <f>_xll.EQNXTDZ($A$1,$B11,D$1,$B$1)</f>
        <v>12.988899999999999</v>
      </c>
      <c r="E11" s="100">
        <f>_xll.EQNXTDZ($A$1,$B11,E$1,$B$1)</f>
        <v>-1.1620999999999999</v>
      </c>
      <c r="F11" s="100">
        <f>_xll.EQNXTDZ($A$1,$B11,F$1,$B$1)</f>
        <v>-3.3908</v>
      </c>
      <c r="G11" s="100">
        <f>_xll.EQNXTDZ($A$1,$B11,G$1,$B$1)</f>
        <v>-24.242100000000001</v>
      </c>
      <c r="H11" s="100">
        <f>_xll.EQNXTDZ($A$1,$B11,H$1,$B$1)</f>
        <v>-14.3361</v>
      </c>
      <c r="I11" s="100">
        <f>_xll.EQNXTDZ($A$1,$B11,I$1,$B$1)</f>
        <v>-20.2498</v>
      </c>
      <c r="J11" s="100">
        <f>_xll.EQNXTDZ($A$1,$B11,J$1,$B$1)</f>
        <v>8.6723999999999997</v>
      </c>
      <c r="K11" s="100">
        <f>_xll.EQNXTDZ($A$1,$B11,K$1,$B$1)</f>
        <v>24.953299999999999</v>
      </c>
      <c r="L11" s="100">
        <f>_xll.EQNXTDZ($A$1,$B11,L$1,$B$1)</f>
        <v>-17.666799999999999</v>
      </c>
      <c r="M11" s="100">
        <f>_xll.EQNXTDZ($A$1,$B11,M$1,$B$1)</f>
        <v>-52.7864</v>
      </c>
      <c r="N11" s="100">
        <f>_xll.EQNXTDZ($A$1,$B11,N$1,$B$1)</f>
        <v>7.0000000000000001E-3</v>
      </c>
      <c r="O11" s="100">
        <f>_xll.EQNXTDZ($A$1,$B11,O$1,$B$1)</f>
        <v>-20.306899999999999</v>
      </c>
      <c r="P11" s="100">
        <f>_xll.EQNXTDZ($A$1,$B11,P$1,$B$1)</f>
        <v>-42.068600000000004</v>
      </c>
      <c r="Q11" s="100">
        <f>_xll.EQNXTDZ($A$1,$B11,Q$1,$B$1)</f>
        <v>-26.6</v>
      </c>
      <c r="R11" s="100">
        <f>_xll.EQNXTDZ($A$1,$B11,R$1,$B$1)</f>
        <v>16.82</v>
      </c>
      <c r="S11" s="100">
        <f>_xll.EQNXTDZ($A$1,$B11,S$1,$B$1)</f>
        <v>-21.43</v>
      </c>
      <c r="T11" s="100">
        <f>_xll.EQNXTDZ($A$1,$B11,T$1,$B$1)</f>
        <v>-31.1</v>
      </c>
      <c r="U11" s="100">
        <f>_xll.EQNXTDZ($A$1,$B11,U$1,$B$1)</f>
        <v>-74.03</v>
      </c>
      <c r="V11" s="100">
        <f>_xll.EQNXTDZ($A$1,$B11,V$1,$B$1)</f>
        <v>-91.82</v>
      </c>
      <c r="W11" s="100">
        <f>_xll.EQNXTDZ($A$1,$B11,W$1,$B$1)</f>
        <v>-71.66</v>
      </c>
      <c r="X11" s="100">
        <f>_xll.EQNXTDZ($A$1,$B11,X$1,$B$1)</f>
        <v>-279.75</v>
      </c>
      <c r="Y11" s="100">
        <f>_xll.EQNXTDZ($A$1,$B11,Y$1,$B$1)</f>
        <v>-8.92</v>
      </c>
      <c r="Z11" s="100">
        <f>_xll.EQNXTDZ($A$1,$B11,Z$1,$B$1)</f>
        <v>-105.38</v>
      </c>
      <c r="AA11" s="100">
        <f>_xll.EQNXTDZ($A$1,$B11,AA$1,$B$1)</f>
        <v>0.1</v>
      </c>
      <c r="AB11" s="100">
        <f>_xll.EQNXTDZ($A$1,$B11,AB$1,$B$1)</f>
        <v>-326.12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342.29450000000003</v>
      </c>
      <c r="D12" s="100">
        <f>_xll.EQNXTDZ($A$1,$B12,D$1,$B$1)</f>
        <v>346.5197</v>
      </c>
      <c r="E12" s="100">
        <f>_xll.EQNXTDZ($A$1,$B12,E$1,$B$1)</f>
        <v>424.05650000000003</v>
      </c>
      <c r="F12" s="100">
        <f>_xll.EQNXTDZ($A$1,$B12,F$1,$B$1)</f>
        <v>553.29190000000006</v>
      </c>
      <c r="G12" s="100">
        <f>_xll.EQNXTDZ($A$1,$B12,G$1,$B$1)</f>
        <v>757.08</v>
      </c>
      <c r="H12" s="100">
        <f>_xll.EQNXTDZ($A$1,$B12,H$1,$B$1)</f>
        <v>809.57830000000001</v>
      </c>
      <c r="I12" s="100">
        <f>_xll.EQNXTDZ($A$1,$B12,I$1,$B$1)</f>
        <v>928.23</v>
      </c>
      <c r="J12" s="100">
        <f>_xll.EQNXTDZ($A$1,$B12,J$1,$B$1)</f>
        <v>947.67909999999995</v>
      </c>
      <c r="K12" s="100">
        <f>_xll.EQNXTDZ($A$1,$B12,K$1,$B$1)</f>
        <v>1066.7484999999999</v>
      </c>
      <c r="L12" s="100">
        <f>_xll.EQNXTDZ($A$1,$B12,L$1,$B$1)</f>
        <v>1312.4267</v>
      </c>
      <c r="M12" s="100">
        <f>_xll.EQNXTDZ($A$1,$B12,M$1,$B$1)</f>
        <v>1884.5532000000001</v>
      </c>
      <c r="N12" s="100">
        <f>_xll.EQNXTDZ($A$1,$B12,N$1,$B$1)</f>
        <v>2312.7761999999998</v>
      </c>
      <c r="O12" s="100">
        <f>_xll.EQNXTDZ($A$1,$B12,O$1,$B$1)</f>
        <v>2179.9121</v>
      </c>
      <c r="P12" s="100">
        <f>_xll.EQNXTDZ($A$1,$B12,P$1,$B$1)</f>
        <v>2436.9025999999999</v>
      </c>
      <c r="Q12" s="100">
        <f>_xll.EQNXTDZ($A$1,$B12,Q$1,$B$1)</f>
        <v>2574.71</v>
      </c>
      <c r="R12" s="100">
        <f>_xll.EQNXTDZ($A$1,$B12,R$1,$B$1)</f>
        <v>2313.52</v>
      </c>
      <c r="S12" s="100">
        <f>_xll.EQNXTDZ($A$1,$B12,S$1,$B$1)</f>
        <v>2440.2399999999998</v>
      </c>
      <c r="T12" s="100">
        <f>_xll.EQNXTDZ($A$1,$B12,T$1,$B$1)</f>
        <v>3063.1</v>
      </c>
      <c r="U12" s="100">
        <f>_xll.EQNXTDZ($A$1,$B12,U$1,$B$1)</f>
        <v>4041.16</v>
      </c>
      <c r="V12" s="100">
        <f>_xll.EQNXTDZ($A$1,$B12,V$1,$B$1)</f>
        <v>3778.79</v>
      </c>
      <c r="W12" s="100">
        <f>_xll.EQNXTDZ($A$1,$B12,W$1,$B$1)</f>
        <v>4090.6</v>
      </c>
      <c r="X12" s="100">
        <f>_xll.EQNXTDZ($A$1,$B12,X$1,$B$1)</f>
        <v>6346.69</v>
      </c>
      <c r="Y12" s="100">
        <f>_xll.EQNXTDZ($A$1,$B12,Y$1,$B$1)</f>
        <v>7402.43</v>
      </c>
      <c r="Z12" s="100">
        <f>_xll.EQNXTDZ($A$1,$B12,Z$1,$B$1)</f>
        <v>6814.16</v>
      </c>
      <c r="AA12" s="100">
        <f>_xll.EQNXTDZ($A$1,$B12,AA$1,$B$1)</f>
        <v>7699.06</v>
      </c>
      <c r="AB12" s="100">
        <f>_xll.EQNXTDZ($A$1,$B12,AB$1,$B$1)</f>
        <v>8123.79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68.247399999999999</v>
      </c>
      <c r="D13" s="100">
        <f>_xll.EQNXTDZ($A$1,$B13,D$1,$B$1)</f>
        <v>71.586399999999998</v>
      </c>
      <c r="E13" s="100">
        <f>_xll.EQNXTDZ($A$1,$B13,E$1,$B$1)</f>
        <v>81.763400000000004</v>
      </c>
      <c r="F13" s="100">
        <f>_xll.EQNXTDZ($A$1,$B13,F$1,$B$1)</f>
        <v>79.645499999999998</v>
      </c>
      <c r="G13" s="100">
        <f>_xll.EQNXTDZ($A$1,$B13,G$1,$B$1)</f>
        <v>101.8212</v>
      </c>
      <c r="H13" s="100">
        <f>_xll.EQNXTDZ($A$1,$B13,H$1,$B$1)</f>
        <v>125.73090000000001</v>
      </c>
      <c r="I13" s="100">
        <f>_xll.EQNXTDZ($A$1,$B13,I$1,$B$1)</f>
        <v>150.39580000000001</v>
      </c>
      <c r="J13" s="100">
        <f>_xll.EQNXTDZ($A$1,$B13,J$1,$B$1)</f>
        <v>147.04519999999999</v>
      </c>
      <c r="K13" s="100">
        <f>_xll.EQNXTDZ($A$1,$B13,K$1,$B$1)</f>
        <v>167.08799999999999</v>
      </c>
      <c r="L13" s="100">
        <f>_xll.EQNXTDZ($A$1,$B13,L$1,$B$1)</f>
        <v>207.6645</v>
      </c>
      <c r="M13" s="100">
        <f>_xll.EQNXTDZ($A$1,$B13,M$1,$B$1)</f>
        <v>260.38049999999998</v>
      </c>
      <c r="N13" s="100">
        <f>_xll.EQNXTDZ($A$1,$B13,N$1,$B$1)</f>
        <v>314.18490000000003</v>
      </c>
      <c r="O13" s="100">
        <f>_xll.EQNXTDZ($A$1,$B13,O$1,$B$1)</f>
        <v>388.5915</v>
      </c>
      <c r="P13" s="100">
        <f>_xll.EQNXTDZ($A$1,$B13,P$1,$B$1)</f>
        <v>418.85239999999999</v>
      </c>
      <c r="Q13" s="100">
        <f>_xll.EQNXTDZ($A$1,$B13,Q$1,$B$1)</f>
        <v>434.15</v>
      </c>
      <c r="R13" s="100">
        <f>_xll.EQNXTDZ($A$1,$B13,R$1,$B$1)</f>
        <v>398.07</v>
      </c>
      <c r="S13" s="100">
        <f>_xll.EQNXTDZ($A$1,$B13,S$1,$B$1)</f>
        <v>417.8</v>
      </c>
      <c r="T13" s="100">
        <f>_xll.EQNXTDZ($A$1,$B13,T$1,$B$1)</f>
        <v>500.79</v>
      </c>
      <c r="U13" s="100">
        <f>_xll.EQNXTDZ($A$1,$B13,U$1,$B$1)</f>
        <v>585.09</v>
      </c>
      <c r="V13" s="100">
        <f>_xll.EQNXTDZ($A$1,$B13,V$1,$B$1)</f>
        <v>672.55</v>
      </c>
      <c r="W13" s="100">
        <f>_xll.EQNXTDZ($A$1,$B13,W$1,$B$1)</f>
        <v>717.34</v>
      </c>
      <c r="X13" s="100">
        <f>_xll.EQNXTDZ($A$1,$B13,X$1,$B$1)</f>
        <v>1135.56</v>
      </c>
      <c r="Y13" s="100">
        <f>_xll.EQNXTDZ($A$1,$B13,Y$1,$B$1)</f>
        <v>1472.25</v>
      </c>
      <c r="Z13" s="100">
        <f>_xll.EQNXTDZ($A$1,$B13,Z$1,$B$1)</f>
        <v>1344.81</v>
      </c>
      <c r="AA13" s="100">
        <f>_xll.EQNXTDZ($A$1,$B13,AA$1,$B$1)</f>
        <v>1351.87</v>
      </c>
      <c r="AB13" s="100">
        <f>_xll.EQNXTDZ($A$1,$B13,AB$1,$B$1)</f>
        <v>1377.67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35.497599999999998</v>
      </c>
      <c r="D14" s="100">
        <f>_xll.EQNXTDZ($A$1,$B14,D$1,$B$1)</f>
        <v>49.945300000000003</v>
      </c>
      <c r="E14" s="100">
        <f>_xll.EQNXTDZ($A$1,$B14,E$1,$B$1)</f>
        <v>53.6556</v>
      </c>
      <c r="F14" s="100">
        <f>_xll.EQNXTDZ($A$1,$B14,F$1,$B$1)</f>
        <v>55.288800000000002</v>
      </c>
      <c r="G14" s="100">
        <f>_xll.EQNXTDZ($A$1,$B14,G$1,$B$1)</f>
        <v>52.038800000000002</v>
      </c>
      <c r="H14" s="100">
        <f>_xll.EQNXTDZ($A$1,$B14,H$1,$B$1)</f>
        <v>58.886299999999999</v>
      </c>
      <c r="I14" s="100">
        <f>_xll.EQNXTDZ($A$1,$B14,I$1,$B$1)</f>
        <v>72.462100000000007</v>
      </c>
      <c r="J14" s="100">
        <f>_xll.EQNXTDZ($A$1,$B14,J$1,$B$1)</f>
        <v>81.683199999999999</v>
      </c>
      <c r="K14" s="100">
        <f>_xll.EQNXTDZ($A$1,$B14,K$1,$B$1)</f>
        <v>117.9953</v>
      </c>
      <c r="L14" s="100">
        <f>_xll.EQNXTDZ($A$1,$B14,L$1,$B$1)</f>
        <v>154.6748</v>
      </c>
      <c r="M14" s="100">
        <f>_xll.EQNXTDZ($A$1,$B14,M$1,$B$1)</f>
        <v>194.4385</v>
      </c>
      <c r="N14" s="100">
        <f>_xll.EQNXTDZ($A$1,$B14,N$1,$B$1)</f>
        <v>210.37729999999999</v>
      </c>
      <c r="O14" s="100">
        <f>_xll.EQNXTDZ($A$1,$B14,O$1,$B$1)</f>
        <v>255.5839</v>
      </c>
      <c r="P14" s="100">
        <f>_xll.EQNXTDZ($A$1,$B14,P$1,$B$1)</f>
        <v>299.28230000000002</v>
      </c>
      <c r="Q14" s="100">
        <f>_xll.EQNXTDZ($A$1,$B14,Q$1,$B$1)</f>
        <v>343.93</v>
      </c>
      <c r="R14" s="100">
        <f>_xll.EQNXTDZ($A$1,$B14,R$1,$B$1)</f>
        <v>373.11</v>
      </c>
      <c r="S14" s="100">
        <f>_xll.EQNXTDZ($A$1,$B14,S$1,$B$1)</f>
        <v>418.66</v>
      </c>
      <c r="T14" s="100">
        <f>_xll.EQNXTDZ($A$1,$B14,T$1,$B$1)</f>
        <v>458.16</v>
      </c>
      <c r="U14" s="100">
        <f>_xll.EQNXTDZ($A$1,$B14,U$1,$B$1)</f>
        <v>442.48</v>
      </c>
      <c r="V14" s="100">
        <f>_xll.EQNXTDZ($A$1,$B14,V$1,$B$1)</f>
        <v>518.05999999999995</v>
      </c>
      <c r="W14" s="100">
        <f>_xll.EQNXTDZ($A$1,$B14,W$1,$B$1)</f>
        <v>593.75</v>
      </c>
      <c r="X14" s="100">
        <f>_xll.EQNXTDZ($A$1,$B14,X$1,$B$1)</f>
        <v>741.78</v>
      </c>
      <c r="Y14" s="100">
        <f>_xll.EQNXTDZ($A$1,$B14,Y$1,$B$1)</f>
        <v>769.17</v>
      </c>
      <c r="Z14" s="100">
        <f>_xll.EQNXTDZ($A$1,$B14,Z$1,$B$1)</f>
        <v>893.08</v>
      </c>
      <c r="AA14" s="100">
        <f>_xll.EQNXTDZ($A$1,$B14,AA$1,$B$1)</f>
        <v>999.71</v>
      </c>
      <c r="AB14" s="100">
        <f>_xll.EQNXTDZ($A$1,$B14,AB$1,$B$1)</f>
        <v>1100.79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70.367599999999996</v>
      </c>
      <c r="D15" s="100">
        <f>_xll.EQNXTDZ($A$1,$B15,D$1,$B$1)</f>
        <v>59.824800000000003</v>
      </c>
      <c r="E15" s="100">
        <f>_xll.EQNXTDZ($A$1,$B15,E$1,$B$1)</f>
        <v>56.5931</v>
      </c>
      <c r="F15" s="100">
        <f>_xll.EQNXTDZ($A$1,$B15,F$1,$B$1)</f>
        <v>46.371699999999997</v>
      </c>
      <c r="G15" s="100">
        <f>_xll.EQNXTDZ($A$1,$B15,G$1,$B$1)</f>
        <v>57.621600000000001</v>
      </c>
      <c r="H15" s="100">
        <f>_xll.EQNXTDZ($A$1,$B15,H$1,$B$1)</f>
        <v>68.174300000000002</v>
      </c>
      <c r="I15" s="100">
        <f>_xll.EQNXTDZ($A$1,$B15,I$1,$B$1)</f>
        <v>83.157700000000006</v>
      </c>
      <c r="J15" s="100">
        <f>_xll.EQNXTDZ($A$1,$B15,J$1,$B$1)</f>
        <v>86.070400000000006</v>
      </c>
      <c r="K15" s="100">
        <f>_xll.EQNXTDZ($A$1,$B15,K$1,$B$1)</f>
        <v>97.070099999999996</v>
      </c>
      <c r="L15" s="100">
        <f>_xll.EQNXTDZ($A$1,$B15,L$1,$B$1)</f>
        <v>113.7303</v>
      </c>
      <c r="M15" s="100">
        <f>_xll.EQNXTDZ($A$1,$B15,M$1,$B$1)</f>
        <v>153.1335</v>
      </c>
      <c r="N15" s="100">
        <f>_xll.EQNXTDZ($A$1,$B15,N$1,$B$1)</f>
        <v>172.67519999999999</v>
      </c>
      <c r="O15" s="100">
        <f>_xll.EQNXTDZ($A$1,$B15,O$1,$B$1)</f>
        <v>209.6104</v>
      </c>
      <c r="P15" s="100">
        <f>_xll.EQNXTDZ($A$1,$B15,P$1,$B$1)</f>
        <v>228.02500000000001</v>
      </c>
      <c r="Q15" s="100">
        <f>_xll.EQNXTDZ($A$1,$B15,Q$1,$B$1)</f>
        <v>297.42</v>
      </c>
      <c r="R15" s="100">
        <f>_xll.EQNXTDZ($A$1,$B15,R$1,$B$1)</f>
        <v>316.75</v>
      </c>
      <c r="S15" s="100">
        <f>_xll.EQNXTDZ($A$1,$B15,S$1,$B$1)</f>
        <v>363.92</v>
      </c>
      <c r="T15" s="100">
        <f>_xll.EQNXTDZ($A$1,$B15,T$1,$B$1)</f>
        <v>485.06</v>
      </c>
      <c r="U15" s="100">
        <f>_xll.EQNXTDZ($A$1,$B15,U$1,$B$1)</f>
        <v>534.71</v>
      </c>
      <c r="V15" s="100">
        <f>_xll.EQNXTDZ($A$1,$B15,V$1,$B$1)</f>
        <v>615.96</v>
      </c>
      <c r="W15" s="100">
        <f>_xll.EQNXTDZ($A$1,$B15,W$1,$B$1)</f>
        <v>703.28</v>
      </c>
      <c r="X15" s="100">
        <f>_xll.EQNXTDZ($A$1,$B15,X$1,$B$1)</f>
        <v>1076.07</v>
      </c>
      <c r="Y15" s="100">
        <f>_xll.EQNXTDZ($A$1,$B15,Y$1,$B$1)</f>
        <v>1232.5</v>
      </c>
      <c r="Z15" s="100">
        <f>_xll.EQNXTDZ($A$1,$B15,Z$1,$B$1)</f>
        <v>1098.8699999999999</v>
      </c>
      <c r="AA15" s="100">
        <f>_xll.EQNXTDZ($A$1,$B15,AA$1,$B$1)</f>
        <v>1320.39</v>
      </c>
      <c r="AB15" s="100">
        <f>_xll.EQNXTDZ($A$1,$B15,AB$1,$B$1)</f>
        <v>1385.75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16.6128</v>
      </c>
      <c r="D17" s="100">
        <f>_xll.EQNXTDZ($A$1,$B17,D$1,$B$1)</f>
        <v>18.180399999999999</v>
      </c>
      <c r="E17" s="100">
        <f>_xll.EQNXTDZ($A$1,$B17,E$1,$B$1)</f>
        <v>20.683700000000002</v>
      </c>
      <c r="F17" s="100">
        <f>_xll.EQNXTDZ($A$1,$B17,F$1,$B$1)</f>
        <v>20.004000000000001</v>
      </c>
      <c r="G17" s="100">
        <f>_xll.EQNXTDZ($A$1,$B17,G$1,$B$1)</f>
        <v>19.176200000000001</v>
      </c>
      <c r="H17" s="100">
        <f>_xll.EQNXTDZ($A$1,$B17,H$1,$B$1)</f>
        <v>20.112100000000002</v>
      </c>
      <c r="I17" s="100">
        <f>_xll.EQNXTDZ($A$1,$B17,I$1,$B$1)</f>
        <v>75.113100000000003</v>
      </c>
      <c r="J17" s="100">
        <f>_xll.EQNXTDZ($A$1,$B17,J$1,$B$1)</f>
        <v>40.708399999999997</v>
      </c>
      <c r="K17" s="100">
        <f>_xll.EQNXTDZ($A$1,$B17,K$1,$B$1)</f>
        <v>57.795200000000001</v>
      </c>
      <c r="L17" s="100">
        <f>_xll.EQNXTDZ($A$1,$B17,L$1,$B$1)</f>
        <v>67.5822</v>
      </c>
      <c r="M17" s="100">
        <f>_xll.EQNXTDZ($A$1,$B17,M$1,$B$1)</f>
        <v>64.904899999999998</v>
      </c>
      <c r="N17" s="100">
        <f>_xll.EQNXTDZ($A$1,$B17,N$1,$B$1)</f>
        <v>83.447699999999998</v>
      </c>
      <c r="O17" s="100">
        <f>_xll.EQNXTDZ($A$1,$B17,O$1,$B$1)</f>
        <v>80.533900000000003</v>
      </c>
      <c r="P17" s="100">
        <f>_xll.EQNXTDZ($A$1,$B17,P$1,$B$1)</f>
        <v>81.910499999999999</v>
      </c>
      <c r="Q17" s="100">
        <f>_xll.EQNXTDZ($A$1,$B17,Q$1,$B$1)</f>
        <v>94.33</v>
      </c>
      <c r="R17" s="100">
        <f>_xll.EQNXTDZ($A$1,$B17,R$1,$B$1)</f>
        <v>95.35</v>
      </c>
      <c r="S17" s="100">
        <f>_xll.EQNXTDZ($A$1,$B17,S$1,$B$1)</f>
        <v>124.48</v>
      </c>
      <c r="T17" s="100">
        <f>_xll.EQNXTDZ($A$1,$B17,T$1,$B$1)</f>
        <v>129.69999999999999</v>
      </c>
      <c r="U17" s="100">
        <f>_xll.EQNXTDZ($A$1,$B17,U$1,$B$1)</f>
        <v>158.69999999999999</v>
      </c>
      <c r="V17" s="100">
        <f>_xll.EQNXTDZ($A$1,$B17,V$1,$B$1)</f>
        <v>169.77</v>
      </c>
      <c r="W17" s="100">
        <f>_xll.EQNXTDZ($A$1,$B17,W$1,$B$1)</f>
        <v>137.12</v>
      </c>
      <c r="X17" s="100">
        <f>_xll.EQNXTDZ($A$1,$B17,X$1,$B$1)</f>
        <v>192.94</v>
      </c>
      <c r="Y17" s="100">
        <f>_xll.EQNXTDZ($A$1,$B17,Y$1,$B$1)</f>
        <v>229.21</v>
      </c>
      <c r="Z17" s="100">
        <f>_xll.EQNXTDZ($A$1,$B17,Z$1,$B$1)</f>
        <v>265.08999999999997</v>
      </c>
      <c r="AA17" s="100">
        <f>_xll.EQNXTDZ($A$1,$B17,AA$1,$B$1)</f>
        <v>288.04000000000002</v>
      </c>
      <c r="AB17" s="100">
        <f>_xll.EQNXTDZ($A$1,$B17,AB$1,$B$1)</f>
        <v>320.83999999999997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1.0275000000000001</v>
      </c>
      <c r="D18" s="100">
        <f>_xll.EQNXTDZ($A$1,$B18,D$1,$B$1)</f>
        <v>1.7694000000000001</v>
      </c>
      <c r="E18" s="100">
        <f>_xll.EQNXTDZ($A$1,$B18,E$1,$B$1)</f>
        <v>1.5404</v>
      </c>
      <c r="F18" s="100">
        <f>_xll.EQNXTDZ($A$1,$B18,F$1,$B$1)</f>
        <v>1.7347999999999999</v>
      </c>
      <c r="G18" s="100">
        <f>_xll.EQNXTDZ($A$1,$B18,G$1,$B$1)</f>
        <v>4.5400999999999998</v>
      </c>
      <c r="H18" s="100">
        <f>_xll.EQNXTDZ($A$1,$B18,H$1,$B$1)</f>
        <v>5.0076999999999998</v>
      </c>
      <c r="I18" s="100">
        <f>_xll.EQNXTDZ($A$1,$B18,I$1,$B$1)</f>
        <v>4.7609000000000004</v>
      </c>
      <c r="J18" s="100">
        <f>_xll.EQNXTDZ($A$1,$B18,J$1,$B$1)</f>
        <v>5.2694999999999999</v>
      </c>
      <c r="K18" s="100">
        <f>_xll.EQNXTDZ($A$1,$B18,K$1,$B$1)</f>
        <v>5.5910000000000002</v>
      </c>
      <c r="L18" s="100">
        <f>_xll.EQNXTDZ($A$1,$B18,L$1,$B$1)</f>
        <v>6.4485999999999999</v>
      </c>
      <c r="M18" s="100">
        <f>_xll.EQNXTDZ($A$1,$B18,M$1,$B$1)</f>
        <v>11.943300000000001</v>
      </c>
      <c r="N18" s="100">
        <f>_xll.EQNXTDZ($A$1,$B18,N$1,$B$1)</f>
        <v>11.891</v>
      </c>
      <c r="O18" s="100">
        <f>_xll.EQNXTDZ($A$1,$B18,O$1,$B$1)</f>
        <v>9.7426999999999992</v>
      </c>
      <c r="P18" s="100">
        <f>_xll.EQNXTDZ($A$1,$B18,P$1,$B$1)</f>
        <v>8.9341000000000008</v>
      </c>
      <c r="Q18" s="100">
        <f>_xll.EQNXTDZ($A$1,$B18,Q$1,$B$1)</f>
        <v>12.62</v>
      </c>
      <c r="R18" s="100">
        <f>_xll.EQNXTDZ($A$1,$B18,R$1,$B$1)</f>
        <v>10.61</v>
      </c>
      <c r="S18" s="100">
        <f>_xll.EQNXTDZ($A$1,$B18,S$1,$B$1)</f>
        <v>9.74</v>
      </c>
      <c r="T18" s="100">
        <f>_xll.EQNXTDZ($A$1,$B18,T$1,$B$1)</f>
        <v>12.56</v>
      </c>
      <c r="U18" s="100">
        <f>_xll.EQNXTDZ($A$1,$B18,U$1,$B$1)</f>
        <v>24.01</v>
      </c>
      <c r="V18" s="100">
        <f>_xll.EQNXTDZ($A$1,$B18,V$1,$B$1)</f>
        <v>21.02</v>
      </c>
      <c r="W18" s="100">
        <f>_xll.EQNXTDZ($A$1,$B18,W$1,$B$1)</f>
        <v>26.83</v>
      </c>
      <c r="X18" s="100">
        <f>_xll.EQNXTDZ($A$1,$B18,X$1,$B$1)</f>
        <v>35.729999999999997</v>
      </c>
      <c r="Y18" s="100">
        <f>_xll.EQNXTDZ($A$1,$B18,Y$1,$B$1)</f>
        <v>41.28</v>
      </c>
      <c r="Z18" s="100">
        <f>_xll.EQNXTDZ($A$1,$B18,Z$1,$B$1)</f>
        <v>35.24</v>
      </c>
      <c r="AA18" s="100">
        <f>_xll.EQNXTDZ($A$1,$B18,AA$1,$B$1)</f>
        <v>43.27</v>
      </c>
      <c r="AB18" s="100">
        <f>_xll.EQNXTDZ($A$1,$B18,AB$1,$B$1)</f>
        <v>55.7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27.732099999999999</v>
      </c>
      <c r="D19" s="100">
        <f>_xll.EQNXTDZ($A$1,$B19,D$1,$B$1)</f>
        <v>53.301600000000001</v>
      </c>
      <c r="E19" s="100">
        <f>_xll.EQNXTDZ($A$1,$B19,E$1,$B$1)</f>
        <v>28.011199999999999</v>
      </c>
      <c r="F19" s="100">
        <f>_xll.EQNXTDZ($A$1,$B19,F$1,$B$1)</f>
        <v>28.5623</v>
      </c>
      <c r="G19" s="100">
        <f>_xll.EQNXTDZ($A$1,$B19,G$1,$B$1)</f>
        <v>31.936900000000001</v>
      </c>
      <c r="H19" s="100">
        <f>_xll.EQNXTDZ($A$1,$B19,H$1,$B$1)</f>
        <v>44.066400000000002</v>
      </c>
      <c r="I19" s="100">
        <f>_xll.EQNXTDZ($A$1,$B19,I$1,$B$1)</f>
        <v>42.1252</v>
      </c>
      <c r="J19" s="100">
        <f>_xll.EQNXTDZ($A$1,$B19,J$1,$B$1)</f>
        <v>46.4818</v>
      </c>
      <c r="K19" s="100">
        <f>_xll.EQNXTDZ($A$1,$B19,K$1,$B$1)</f>
        <v>114.4906</v>
      </c>
      <c r="L19" s="100">
        <f>_xll.EQNXTDZ($A$1,$B19,L$1,$B$1)</f>
        <v>35.1646</v>
      </c>
      <c r="M19" s="100">
        <f>_xll.EQNXTDZ($A$1,$B19,M$1,$B$1)</f>
        <v>56.069899999999997</v>
      </c>
      <c r="N19" s="100">
        <f>_xll.EQNXTDZ($A$1,$B19,N$1,$B$1)</f>
        <v>64.221699999999998</v>
      </c>
      <c r="O19" s="100">
        <f>_xll.EQNXTDZ($A$1,$B19,O$1,$B$1)</f>
        <v>65.020600000000002</v>
      </c>
      <c r="P19" s="100">
        <f>_xll.EQNXTDZ($A$1,$B19,P$1,$B$1)</f>
        <v>80.931200000000004</v>
      </c>
      <c r="Q19" s="100">
        <f>_xll.EQNXTDZ($A$1,$B19,Q$1,$B$1)</f>
        <v>91.83</v>
      </c>
      <c r="R19" s="100">
        <f>_xll.EQNXTDZ($A$1,$B19,R$1,$B$1)</f>
        <v>105.97</v>
      </c>
      <c r="S19" s="100">
        <f>_xll.EQNXTDZ($A$1,$B19,S$1,$B$1)</f>
        <v>99.4</v>
      </c>
      <c r="T19" s="100">
        <f>_xll.EQNXTDZ($A$1,$B19,T$1,$B$1)</f>
        <v>64.53</v>
      </c>
      <c r="U19" s="100">
        <f>_xll.EQNXTDZ($A$1,$B19,U$1,$B$1)</f>
        <v>90.47</v>
      </c>
      <c r="V19" s="100">
        <f>_xll.EQNXTDZ($A$1,$B19,V$1,$B$1)</f>
        <v>70.14</v>
      </c>
      <c r="W19" s="100">
        <f>_xll.EQNXTDZ($A$1,$B19,W$1,$B$1)</f>
        <v>69.45</v>
      </c>
      <c r="X19" s="100">
        <f>_xll.EQNXTDZ($A$1,$B19,X$1,$B$1)</f>
        <v>81.44</v>
      </c>
      <c r="Y19" s="100">
        <f>_xll.EQNXTDZ($A$1,$B19,Y$1,$B$1)</f>
        <v>203.13</v>
      </c>
      <c r="Z19" s="100">
        <f>_xll.EQNXTDZ($A$1,$B19,Z$1,$B$1)</f>
        <v>208.54</v>
      </c>
      <c r="AA19" s="100">
        <f>_xll.EQNXTDZ($A$1,$B19,AA$1,$B$1)</f>
        <v>272.19</v>
      </c>
      <c r="AB19" s="100">
        <f>_xll.EQNXTDZ($A$1,$B19,AB$1,$B$1)</f>
        <v>338.45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553.16610000000003</v>
      </c>
      <c r="D21" s="100">
        <f>_xll.EQNXTDZ($A$1,$B21,D$1,$B$1)</f>
        <v>614.11649999999997</v>
      </c>
      <c r="E21" s="100">
        <f>_xll.EQNXTDZ($A$1,$B21,E$1,$B$1)</f>
        <v>665.14179999999999</v>
      </c>
      <c r="F21" s="100">
        <f>_xll.EQNXTDZ($A$1,$B21,F$1,$B$1)</f>
        <v>781.50819999999999</v>
      </c>
      <c r="G21" s="100">
        <f>_xll.EQNXTDZ($A$1,$B21,G$1,$B$1)</f>
        <v>999.97270000000003</v>
      </c>
      <c r="H21" s="100">
        <f>_xll.EQNXTDZ($A$1,$B21,H$1,$B$1)</f>
        <v>1117.2199000000001</v>
      </c>
      <c r="I21" s="100">
        <f>_xll.EQNXTDZ($A$1,$B21,I$1,$B$1)</f>
        <v>1335.9949999999999</v>
      </c>
      <c r="J21" s="100">
        <f>_xll.EQNXTDZ($A$1,$B21,J$1,$B$1)</f>
        <v>1363.61</v>
      </c>
      <c r="K21" s="100">
        <f>_xll.EQNXTDZ($A$1,$B21,K$1,$B$1)</f>
        <v>1651.732</v>
      </c>
      <c r="L21" s="100">
        <f>_xll.EQNXTDZ($A$1,$B21,L$1,$B$1)</f>
        <v>1880.0248999999999</v>
      </c>
      <c r="M21" s="100">
        <f>_xll.EQNXTDZ($A$1,$B21,M$1,$B$1)</f>
        <v>2572.6374000000001</v>
      </c>
      <c r="N21" s="100">
        <f>_xll.EQNXTDZ($A$1,$B21,N$1,$B$1)</f>
        <v>3169.5810000000001</v>
      </c>
      <c r="O21" s="100">
        <f>_xll.EQNXTDZ($A$1,$B21,O$1,$B$1)</f>
        <v>3168.6882000000001</v>
      </c>
      <c r="P21" s="100">
        <f>_xll.EQNXTDZ($A$1,$B21,P$1,$B$1)</f>
        <v>3512.7694999999999</v>
      </c>
      <c r="Q21" s="100">
        <f>_xll.EQNXTDZ($A$1,$B21,Q$1,$B$1)</f>
        <v>3822.39</v>
      </c>
      <c r="R21" s="100">
        <f>_xll.EQNXTDZ($A$1,$B21,R$1,$B$1)</f>
        <v>3630.2</v>
      </c>
      <c r="S21" s="100">
        <f>_xll.EQNXTDZ($A$1,$B21,S$1,$B$1)</f>
        <v>3852.81</v>
      </c>
      <c r="T21" s="100">
        <f>_xll.EQNXTDZ($A$1,$B21,T$1,$B$1)</f>
        <v>4682.8</v>
      </c>
      <c r="U21" s="100">
        <f>_xll.EQNXTDZ($A$1,$B21,U$1,$B$1)</f>
        <v>5802.59</v>
      </c>
      <c r="V21" s="100">
        <f>_xll.EQNXTDZ($A$1,$B21,V$1,$B$1)</f>
        <v>5754.47</v>
      </c>
      <c r="W21" s="100">
        <f>_xll.EQNXTDZ($A$1,$B21,W$1,$B$1)</f>
        <v>6266.71</v>
      </c>
      <c r="X21" s="100">
        <f>_xll.EQNXTDZ($A$1,$B21,X$1,$B$1)</f>
        <v>9330.4599999999991</v>
      </c>
      <c r="Y21" s="100">
        <f>_xll.EQNXTDZ($A$1,$B21,Y$1,$B$1)</f>
        <v>11341.05</v>
      </c>
      <c r="Z21" s="100">
        <f>_xll.EQNXTDZ($A$1,$B21,Z$1,$B$1)</f>
        <v>10554.41</v>
      </c>
      <c r="AA21" s="100">
        <f>_xll.EQNXTDZ($A$1,$B21,AA$1,$B$1)</f>
        <v>11974.63</v>
      </c>
      <c r="AB21" s="100">
        <f>_xll.EQNXTDZ($A$1,$B21,AB$1,$B$1)</f>
        <v>12376.87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139.69839999999999</v>
      </c>
      <c r="D22" s="100">
        <f>_xll.EQNXTDZ($A$1,$B22,D$1,$B$1)</f>
        <v>90.805999999999997</v>
      </c>
      <c r="E22" s="100">
        <f>_xll.EQNXTDZ($A$1,$B22,E$1,$B$1)</f>
        <v>139.16669999999999</v>
      </c>
      <c r="F22" s="100">
        <f>_xll.EQNXTDZ($A$1,$B22,F$1,$B$1)</f>
        <v>124.5839</v>
      </c>
      <c r="G22" s="100">
        <f>_xll.EQNXTDZ($A$1,$B22,G$1,$B$1)</f>
        <v>146.4177</v>
      </c>
      <c r="H22" s="100">
        <f>_xll.EQNXTDZ($A$1,$B22,H$1,$B$1)</f>
        <v>255.4855</v>
      </c>
      <c r="I22" s="100">
        <f>_xll.EQNXTDZ($A$1,$B22,I$1,$B$1)</f>
        <v>550.51980000000003</v>
      </c>
      <c r="J22" s="100">
        <f>_xll.EQNXTDZ($A$1,$B22,J$1,$B$1)</f>
        <v>319.91770000000002</v>
      </c>
      <c r="K22" s="100">
        <f>_xll.EQNXTDZ($A$1,$B22,K$1,$B$1)</f>
        <v>371.27339999999998</v>
      </c>
      <c r="L22" s="100">
        <f>_xll.EQNXTDZ($A$1,$B22,L$1,$B$1)</f>
        <v>618.65340000000003</v>
      </c>
      <c r="M22" s="100">
        <f>_xll.EQNXTDZ($A$1,$B22,M$1,$B$1)</f>
        <v>900.90449999999998</v>
      </c>
      <c r="N22" s="100">
        <f>_xll.EQNXTDZ($A$1,$B22,N$1,$B$1)</f>
        <v>831.42250000000001</v>
      </c>
      <c r="O22" s="100">
        <f>_xll.EQNXTDZ($A$1,$B22,O$1,$B$1)</f>
        <v>614.25689999999997</v>
      </c>
      <c r="P22" s="100">
        <f>_xll.EQNXTDZ($A$1,$B22,P$1,$B$1)</f>
        <v>505.29079999999999</v>
      </c>
      <c r="Q22" s="100">
        <f>_xll.EQNXTDZ($A$1,$B22,Q$1,$B$1)</f>
        <v>717.46</v>
      </c>
      <c r="R22" s="100">
        <f>_xll.EQNXTDZ($A$1,$B22,R$1,$B$1)</f>
        <v>962.52</v>
      </c>
      <c r="S22" s="100">
        <f>_xll.EQNXTDZ($A$1,$B22,S$1,$B$1)</f>
        <v>968.99</v>
      </c>
      <c r="T22" s="100">
        <f>_xll.EQNXTDZ($A$1,$B22,T$1,$B$1)</f>
        <v>906.24</v>
      </c>
      <c r="U22" s="100">
        <f>_xll.EQNXTDZ($A$1,$B22,U$1,$B$1)</f>
        <v>1297</v>
      </c>
      <c r="V22" s="100">
        <f>_xll.EQNXTDZ($A$1,$B22,V$1,$B$1)</f>
        <v>1454.94</v>
      </c>
      <c r="W22" s="100">
        <f>_xll.EQNXTDZ($A$1,$B22,W$1,$B$1)</f>
        <v>2133.33</v>
      </c>
      <c r="X22" s="100">
        <f>_xll.EQNXTDZ($A$1,$B22,X$1,$B$1)</f>
        <v>3103.2</v>
      </c>
      <c r="Y22" s="100">
        <f>_xll.EQNXTDZ($A$1,$B22,Y$1,$B$1)</f>
        <v>3529.2</v>
      </c>
      <c r="Z22" s="100">
        <f>_xll.EQNXTDZ($A$1,$B22,Z$1,$B$1)</f>
        <v>2584.11</v>
      </c>
      <c r="AA22" s="100">
        <f>_xll.EQNXTDZ($A$1,$B22,AA$1,$B$1)</f>
        <v>2718.44</v>
      </c>
      <c r="AB22" s="100">
        <f>_xll.EQNXTDZ($A$1,$B22,AB$1,$B$1)</f>
        <v>3409.64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17.414000000000001</v>
      </c>
      <c r="D23" s="100">
        <f>_xll.EQNXTDZ($A$1,$B23,D$1,$B$1)</f>
        <v>62.099600000000002</v>
      </c>
      <c r="E23" s="100">
        <f>_xll.EQNXTDZ($A$1,$B23,E$1,$B$1)</f>
        <v>15.2415</v>
      </c>
      <c r="F23" s="100">
        <f>_xll.EQNXTDZ($A$1,$B23,F$1,$B$1)</f>
        <v>26.406400000000001</v>
      </c>
      <c r="G23" s="100">
        <f>_xll.EQNXTDZ($A$1,$B23,G$1,$B$1)</f>
        <v>23.800599999999999</v>
      </c>
      <c r="H23" s="100">
        <f>_xll.EQNXTDZ($A$1,$B23,H$1,$B$1)</f>
        <v>12.3857</v>
      </c>
      <c r="I23" s="100">
        <f>_xll.EQNXTDZ($A$1,$B23,I$1,$B$1)</f>
        <v>15.1739</v>
      </c>
      <c r="J23" s="100">
        <f>_xll.EQNXTDZ($A$1,$B23,J$1,$B$1)</f>
        <v>21.057500000000001</v>
      </c>
      <c r="K23" s="100">
        <f>_xll.EQNXTDZ($A$1,$B23,K$1,$B$1)</f>
        <v>21.560700000000001</v>
      </c>
      <c r="L23" s="100">
        <f>_xll.EQNXTDZ($A$1,$B23,L$1,$B$1)</f>
        <v>80.646900000000002</v>
      </c>
      <c r="M23" s="100">
        <f>_xll.EQNXTDZ($A$1,$B23,M$1,$B$1)</f>
        <v>45.8705</v>
      </c>
      <c r="N23" s="100">
        <f>_xll.EQNXTDZ($A$1,$B23,N$1,$B$1)</f>
        <v>31.153099999999998</v>
      </c>
      <c r="O23" s="100">
        <f>_xll.EQNXTDZ($A$1,$B23,O$1,$B$1)</f>
        <v>41.998699999999999</v>
      </c>
      <c r="P23" s="100">
        <f>_xll.EQNXTDZ($A$1,$B23,P$1,$B$1)</f>
        <v>23.546399999999998</v>
      </c>
      <c r="Q23" s="100">
        <f>_xll.EQNXTDZ($A$1,$B23,Q$1,$B$1)</f>
        <v>64.58</v>
      </c>
      <c r="R23" s="100">
        <f>_xll.EQNXTDZ($A$1,$B23,R$1,$B$1)</f>
        <v>27.84</v>
      </c>
      <c r="S23" s="100">
        <f>_xll.EQNXTDZ($A$1,$B23,S$1,$B$1)</f>
        <v>73.41</v>
      </c>
      <c r="T23" s="100">
        <f>_xll.EQNXTDZ($A$1,$B23,T$1,$B$1)</f>
        <v>115.12</v>
      </c>
      <c r="U23" s="100">
        <f>_xll.EQNXTDZ($A$1,$B23,U$1,$B$1)</f>
        <v>27.97</v>
      </c>
      <c r="V23" s="100">
        <f>_xll.EQNXTDZ($A$1,$B23,V$1,$B$1)</f>
        <v>49.05</v>
      </c>
      <c r="W23" s="100">
        <f>_xll.EQNXTDZ($A$1,$B23,W$1,$B$1)</f>
        <v>66.349999999999994</v>
      </c>
      <c r="X23" s="100">
        <f>_xll.EQNXTDZ($A$1,$B23,X$1,$B$1)</f>
        <v>115.51</v>
      </c>
      <c r="Y23" s="100">
        <f>_xll.EQNXTDZ($A$1,$B23,Y$1,$B$1)</f>
        <v>74.930000000000007</v>
      </c>
      <c r="Z23" s="100">
        <f>_xll.EQNXTDZ($A$1,$B23,Z$1,$B$1)</f>
        <v>83.02</v>
      </c>
      <c r="AA23" s="100">
        <f>_xll.EQNXTDZ($A$1,$B23,AA$1,$B$1)</f>
        <v>132.72</v>
      </c>
      <c r="AB23" s="100">
        <f>_xll.EQNXTDZ($A$1,$B23,AB$1,$B$1)</f>
        <v>107.06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157.11240000000001</v>
      </c>
      <c r="D24" s="100">
        <f>_xll.EQNXTDZ($A$1,$B24,D$1,$B$1)</f>
        <v>152.90559999999999</v>
      </c>
      <c r="E24" s="100">
        <f>_xll.EQNXTDZ($A$1,$B24,E$1,$B$1)</f>
        <v>154.40819999999999</v>
      </c>
      <c r="F24" s="100">
        <f>_xll.EQNXTDZ($A$1,$B24,F$1,$B$1)</f>
        <v>150.99029999999999</v>
      </c>
      <c r="G24" s="100">
        <f>_xll.EQNXTDZ($A$1,$B24,G$1,$B$1)</f>
        <v>170.2183</v>
      </c>
      <c r="H24" s="100">
        <f>_xll.EQNXTDZ($A$1,$B24,H$1,$B$1)</f>
        <v>267.87119999999999</v>
      </c>
      <c r="I24" s="100">
        <f>_xll.EQNXTDZ($A$1,$B24,I$1,$B$1)</f>
        <v>565.69370000000004</v>
      </c>
      <c r="J24" s="100">
        <f>_xll.EQNXTDZ($A$1,$B24,J$1,$B$1)</f>
        <v>340.97519999999997</v>
      </c>
      <c r="K24" s="100">
        <f>_xll.EQNXTDZ($A$1,$B24,K$1,$B$1)</f>
        <v>392.83409999999998</v>
      </c>
      <c r="L24" s="100">
        <f>_xll.EQNXTDZ($A$1,$B24,L$1,$B$1)</f>
        <v>699.30029999999999</v>
      </c>
      <c r="M24" s="100">
        <f>_xll.EQNXTDZ($A$1,$B24,M$1,$B$1)</f>
        <v>946.77499999999998</v>
      </c>
      <c r="N24" s="100">
        <f>_xll.EQNXTDZ($A$1,$B24,N$1,$B$1)</f>
        <v>862.57560000000001</v>
      </c>
      <c r="O24" s="100">
        <f>_xll.EQNXTDZ($A$1,$B24,O$1,$B$1)</f>
        <v>656.25559999999996</v>
      </c>
      <c r="P24" s="100">
        <f>_xll.EQNXTDZ($A$1,$B24,P$1,$B$1)</f>
        <v>528.83720000000005</v>
      </c>
      <c r="Q24" s="100">
        <f>_xll.EQNXTDZ($A$1,$B24,Q$1,$B$1)</f>
        <v>782.04</v>
      </c>
      <c r="R24" s="100">
        <f>_xll.EQNXTDZ($A$1,$B24,R$1,$B$1)</f>
        <v>990.36</v>
      </c>
      <c r="S24" s="100">
        <f>_xll.EQNXTDZ($A$1,$B24,S$1,$B$1)</f>
        <v>1042.4000000000001</v>
      </c>
      <c r="T24" s="100">
        <f>_xll.EQNXTDZ($A$1,$B24,T$1,$B$1)</f>
        <v>1021.36</v>
      </c>
      <c r="U24" s="100">
        <f>_xll.EQNXTDZ($A$1,$B24,U$1,$B$1)</f>
        <v>1324.97</v>
      </c>
      <c r="V24" s="100">
        <f>_xll.EQNXTDZ($A$1,$B24,V$1,$B$1)</f>
        <v>1503.99</v>
      </c>
      <c r="W24" s="100">
        <f>_xll.EQNXTDZ($A$1,$B24,W$1,$B$1)</f>
        <v>2199.6799999999998</v>
      </c>
      <c r="X24" s="100">
        <f>_xll.EQNXTDZ($A$1,$B24,X$1,$B$1)</f>
        <v>3218.71</v>
      </c>
      <c r="Y24" s="100">
        <f>_xll.EQNXTDZ($A$1,$B24,Y$1,$B$1)</f>
        <v>3604.13</v>
      </c>
      <c r="Z24" s="100">
        <f>_xll.EQNXTDZ($A$1,$B24,Z$1,$B$1)</f>
        <v>2667.13</v>
      </c>
      <c r="AA24" s="100">
        <f>_xll.EQNXTDZ($A$1,$B24,AA$1,$B$1)</f>
        <v>2851.16</v>
      </c>
      <c r="AB24" s="100">
        <f>_xll.EQNXTDZ($A$1,$B24,AB$1,$B$1)</f>
        <v>3516.7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75.040400000000005</v>
      </c>
      <c r="D25" s="100">
        <f>_xll.EQNXTDZ($A$1,$B25,D$1,$B$1)</f>
        <v>59.0946</v>
      </c>
      <c r="E25" s="100">
        <f>_xll.EQNXTDZ($A$1,$B25,E$1,$B$1)</f>
        <v>44.634900000000002</v>
      </c>
      <c r="F25" s="100">
        <f>_xll.EQNXTDZ($A$1,$B25,F$1,$B$1)</f>
        <v>24.832599999999999</v>
      </c>
      <c r="G25" s="100">
        <f>_xll.EQNXTDZ($A$1,$B25,G$1,$B$1)</f>
        <v>26.9727</v>
      </c>
      <c r="H25" s="100">
        <f>_xll.EQNXTDZ($A$1,$B25,H$1,$B$1)</f>
        <v>40.936999999999998</v>
      </c>
      <c r="I25" s="100">
        <f>_xll.EQNXTDZ($A$1,$B25,I$1,$B$1)</f>
        <v>38.528199999999998</v>
      </c>
      <c r="J25" s="100">
        <f>_xll.EQNXTDZ($A$1,$B25,J$1,$B$1)</f>
        <v>37.980699999999999</v>
      </c>
      <c r="K25" s="100">
        <f>_xll.EQNXTDZ($A$1,$B25,K$1,$B$1)</f>
        <v>59.8093</v>
      </c>
      <c r="L25" s="100">
        <f>_xll.EQNXTDZ($A$1,$B25,L$1,$B$1)</f>
        <v>77.724599999999995</v>
      </c>
      <c r="M25" s="100">
        <f>_xll.EQNXTDZ($A$1,$B25,M$1,$B$1)</f>
        <v>89.721599999999995</v>
      </c>
      <c r="N25" s="100">
        <f>_xll.EQNXTDZ($A$1,$B25,N$1,$B$1)</f>
        <v>117.1651</v>
      </c>
      <c r="O25" s="100">
        <f>_xll.EQNXTDZ($A$1,$B25,O$1,$B$1)</f>
        <v>99.802999999999997</v>
      </c>
      <c r="P25" s="100">
        <f>_xll.EQNXTDZ($A$1,$B25,P$1,$B$1)</f>
        <v>96.118200000000002</v>
      </c>
      <c r="Q25" s="100">
        <f>_xll.EQNXTDZ($A$1,$B25,Q$1,$B$1)</f>
        <v>137.58000000000001</v>
      </c>
      <c r="R25" s="100">
        <f>_xll.EQNXTDZ($A$1,$B25,R$1,$B$1)</f>
        <v>130.46</v>
      </c>
      <c r="S25" s="100">
        <f>_xll.EQNXTDZ($A$1,$B25,S$1,$B$1)</f>
        <v>101.77</v>
      </c>
      <c r="T25" s="100">
        <f>_xll.EQNXTDZ($A$1,$B25,T$1,$B$1)</f>
        <v>123.89</v>
      </c>
      <c r="U25" s="100">
        <f>_xll.EQNXTDZ($A$1,$B25,U$1,$B$1)</f>
        <v>198.37</v>
      </c>
      <c r="V25" s="100">
        <f>_xll.EQNXTDZ($A$1,$B25,V$1,$B$1)</f>
        <v>200.68</v>
      </c>
      <c r="W25" s="100">
        <f>_xll.EQNXTDZ($A$1,$B25,W$1,$B$1)</f>
        <v>133.94999999999999</v>
      </c>
      <c r="X25" s="100">
        <f>_xll.EQNXTDZ($A$1,$B25,X$1,$B$1)</f>
        <v>115.93</v>
      </c>
      <c r="Y25" s="100">
        <f>_xll.EQNXTDZ($A$1,$B25,Y$1,$B$1)</f>
        <v>204.82</v>
      </c>
      <c r="Z25" s="100">
        <f>_xll.EQNXTDZ($A$1,$B25,Z$1,$B$1)</f>
        <v>302.29000000000002</v>
      </c>
      <c r="AA25" s="100">
        <f>_xll.EQNXTDZ($A$1,$B25,AA$1,$B$1)</f>
        <v>375.96</v>
      </c>
      <c r="AB25" s="100">
        <f>_xll.EQNXTDZ($A$1,$B25,AB$1,$B$1)</f>
        <v>278.04000000000002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82.072000000000003</v>
      </c>
      <c r="D26" s="100">
        <f>_xll.EQNXTDZ($A$1,$B26,D$1,$B$1)</f>
        <v>93.811000000000007</v>
      </c>
      <c r="E26" s="100">
        <f>_xll.EQNXTDZ($A$1,$B26,E$1,$B$1)</f>
        <v>109.77330000000001</v>
      </c>
      <c r="F26" s="100">
        <f>_xll.EQNXTDZ($A$1,$B26,F$1,$B$1)</f>
        <v>126.15770000000001</v>
      </c>
      <c r="G26" s="100">
        <f>_xll.EQNXTDZ($A$1,$B26,G$1,$B$1)</f>
        <v>143.2456</v>
      </c>
      <c r="H26" s="100">
        <f>_xll.EQNXTDZ($A$1,$B26,H$1,$B$1)</f>
        <v>226.9342</v>
      </c>
      <c r="I26" s="100">
        <f>_xll.EQNXTDZ($A$1,$B26,I$1,$B$1)</f>
        <v>527.16549999999995</v>
      </c>
      <c r="J26" s="100">
        <f>_xll.EQNXTDZ($A$1,$B26,J$1,$B$1)</f>
        <v>302.99450000000002</v>
      </c>
      <c r="K26" s="100">
        <f>_xll.EQNXTDZ($A$1,$B26,K$1,$B$1)</f>
        <v>333.02480000000003</v>
      </c>
      <c r="L26" s="100">
        <f>_xll.EQNXTDZ($A$1,$B26,L$1,$B$1)</f>
        <v>621.57569999999998</v>
      </c>
      <c r="M26" s="100">
        <f>_xll.EQNXTDZ($A$1,$B26,M$1,$B$1)</f>
        <v>857.05340000000001</v>
      </c>
      <c r="N26" s="100">
        <f>_xll.EQNXTDZ($A$1,$B26,N$1,$B$1)</f>
        <v>745.41049999999996</v>
      </c>
      <c r="O26" s="100">
        <f>_xll.EQNXTDZ($A$1,$B26,O$1,$B$1)</f>
        <v>556.45259999999996</v>
      </c>
      <c r="P26" s="100">
        <f>_xll.EQNXTDZ($A$1,$B26,P$1,$B$1)</f>
        <v>432.71899999999999</v>
      </c>
      <c r="Q26" s="100">
        <f>_xll.EQNXTDZ($A$1,$B26,Q$1,$B$1)</f>
        <v>644.46</v>
      </c>
      <c r="R26" s="100">
        <f>_xll.EQNXTDZ($A$1,$B26,R$1,$B$1)</f>
        <v>859.9</v>
      </c>
      <c r="S26" s="100">
        <f>_xll.EQNXTDZ($A$1,$B26,S$1,$B$1)</f>
        <v>940.63</v>
      </c>
      <c r="T26" s="100">
        <f>_xll.EQNXTDZ($A$1,$B26,T$1,$B$1)</f>
        <v>897.47</v>
      </c>
      <c r="U26" s="100">
        <f>_xll.EQNXTDZ($A$1,$B26,U$1,$B$1)</f>
        <v>1126.5999999999999</v>
      </c>
      <c r="V26" s="100">
        <f>_xll.EQNXTDZ($A$1,$B26,V$1,$B$1)</f>
        <v>1303.31</v>
      </c>
      <c r="W26" s="100">
        <f>_xll.EQNXTDZ($A$1,$B26,W$1,$B$1)</f>
        <v>2065.73</v>
      </c>
      <c r="X26" s="100">
        <f>_xll.EQNXTDZ($A$1,$B26,X$1,$B$1)</f>
        <v>3102.78</v>
      </c>
      <c r="Y26" s="100">
        <f>_xll.EQNXTDZ($A$1,$B26,Y$1,$B$1)</f>
        <v>3399.31</v>
      </c>
      <c r="Z26" s="100">
        <f>_xll.EQNXTDZ($A$1,$B26,Z$1,$B$1)</f>
        <v>2364.84</v>
      </c>
      <c r="AA26" s="100">
        <f>_xll.EQNXTDZ($A$1,$B26,AA$1,$B$1)</f>
        <v>2475.1999999999998</v>
      </c>
      <c r="AB26" s="100">
        <f>_xll.EQNXTDZ($A$1,$B26,AB$1,$B$1)</f>
        <v>3238.66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39.595100000000002</v>
      </c>
      <c r="D27" s="100">
        <f>_xll.EQNXTDZ($A$1,$B27,D$1,$B$1)</f>
        <v>57.0167</v>
      </c>
      <c r="E27" s="100">
        <f>_xll.EQNXTDZ($A$1,$B27,E$1,$B$1)</f>
        <v>58.274900000000002</v>
      </c>
      <c r="F27" s="100">
        <f>_xll.EQNXTDZ($A$1,$B27,F$1,$B$1)</f>
        <v>56.622500000000002</v>
      </c>
      <c r="G27" s="100">
        <f>_xll.EQNXTDZ($A$1,$B27,G$1,$B$1)</f>
        <v>59.5762</v>
      </c>
      <c r="H27" s="100">
        <f>_xll.EQNXTDZ($A$1,$B27,H$1,$B$1)</f>
        <v>70.594499999999996</v>
      </c>
      <c r="I27" s="100">
        <f>_xll.EQNXTDZ($A$1,$B27,I$1,$B$1)</f>
        <v>84.598699999999994</v>
      </c>
      <c r="J27" s="100">
        <f>_xll.EQNXTDZ($A$1,$B27,J$1,$B$1)</f>
        <v>104.5488</v>
      </c>
      <c r="K27" s="100">
        <f>_xll.EQNXTDZ($A$1,$B27,K$1,$B$1)</f>
        <v>115.357</v>
      </c>
      <c r="L27" s="100">
        <f>_xll.EQNXTDZ($A$1,$B27,L$1,$B$1)</f>
        <v>144.76339999999999</v>
      </c>
      <c r="M27" s="100">
        <f>_xll.EQNXTDZ($A$1,$B27,M$1,$B$1)</f>
        <v>170.0985</v>
      </c>
      <c r="N27" s="100">
        <f>_xll.EQNXTDZ($A$1,$B27,N$1,$B$1)</f>
        <v>183.6832</v>
      </c>
      <c r="O27" s="100">
        <f>_xll.EQNXTDZ($A$1,$B27,O$1,$B$1)</f>
        <v>208.87530000000001</v>
      </c>
      <c r="P27" s="100">
        <f>_xll.EQNXTDZ($A$1,$B27,P$1,$B$1)</f>
        <v>224.74619999999999</v>
      </c>
      <c r="Q27" s="100">
        <f>_xll.EQNXTDZ($A$1,$B27,Q$1,$B$1)</f>
        <v>245.03</v>
      </c>
      <c r="R27" s="100">
        <f>_xll.EQNXTDZ($A$1,$B27,R$1,$B$1)</f>
        <v>274.95999999999998</v>
      </c>
      <c r="S27" s="100">
        <f>_xll.EQNXTDZ($A$1,$B27,S$1,$B$1)</f>
        <v>283.44</v>
      </c>
      <c r="T27" s="100">
        <f>_xll.EQNXTDZ($A$1,$B27,T$1,$B$1)</f>
        <v>315.8</v>
      </c>
      <c r="U27" s="100">
        <f>_xll.EQNXTDZ($A$1,$B27,U$1,$B$1)</f>
        <v>358.17</v>
      </c>
      <c r="V27" s="100">
        <f>_xll.EQNXTDZ($A$1,$B27,V$1,$B$1)</f>
        <v>388.61</v>
      </c>
      <c r="W27" s="100">
        <f>_xll.EQNXTDZ($A$1,$B27,W$1,$B$1)</f>
        <v>453.08</v>
      </c>
      <c r="X27" s="100">
        <f>_xll.EQNXTDZ($A$1,$B27,X$1,$B$1)</f>
        <v>517.23</v>
      </c>
      <c r="Y27" s="100">
        <f>_xll.EQNXTDZ($A$1,$B27,Y$1,$B$1)</f>
        <v>575.32000000000005</v>
      </c>
      <c r="Z27" s="100">
        <f>_xll.EQNXTDZ($A$1,$B27,Z$1,$B$1)</f>
        <v>672.62</v>
      </c>
      <c r="AA27" s="100">
        <f>_xll.EQNXTDZ($A$1,$B27,AA$1,$B$1)</f>
        <v>771.5</v>
      </c>
      <c r="AB27" s="100">
        <f>_xll.EQNXTDZ($A$1,$B27,AB$1,$B$1)</f>
        <v>852.07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-84.95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2.2902</v>
      </c>
      <c r="D30" s="100">
        <f>_xll.EQNXTDZ($A$1,$B30,D$1,$B$1)</f>
        <v>9.9373000000000005</v>
      </c>
      <c r="E30" s="100">
        <f>_xll.EQNXTDZ($A$1,$B30,E$1,$B$1)</f>
        <v>23.0776</v>
      </c>
      <c r="F30" s="100">
        <f>_xll.EQNXTDZ($A$1,$B30,F$1,$B$1)</f>
        <v>30.926100000000002</v>
      </c>
      <c r="G30" s="100">
        <f>_xll.EQNXTDZ($A$1,$B30,G$1,$B$1)</f>
        <v>24.310099999999998</v>
      </c>
      <c r="H30" s="100">
        <f>_xll.EQNXTDZ($A$1,$B30,H$1,$B$1)</f>
        <v>53.673999999999999</v>
      </c>
      <c r="I30" s="100">
        <f>_xll.EQNXTDZ($A$1,$B30,I$1,$B$1)</f>
        <v>154.22499999999999</v>
      </c>
      <c r="J30" s="100">
        <f>_xll.EQNXTDZ($A$1,$B30,J$1,$B$1)</f>
        <v>63.788400000000003</v>
      </c>
      <c r="K30" s="100">
        <f>_xll.EQNXTDZ($A$1,$B30,K$1,$B$1)</f>
        <v>77.860399999999998</v>
      </c>
      <c r="L30" s="100">
        <f>_xll.EQNXTDZ($A$1,$B30,L$1,$B$1)</f>
        <v>152.39709999999999</v>
      </c>
      <c r="M30" s="100">
        <f>_xll.EQNXTDZ($A$1,$B30,M$1,$B$1)</f>
        <v>202.71719999999999</v>
      </c>
      <c r="N30" s="100">
        <f>_xll.EQNXTDZ($A$1,$B30,N$1,$B$1)</f>
        <v>182.90940000000001</v>
      </c>
      <c r="O30" s="100">
        <f>_xll.EQNXTDZ($A$1,$B30,O$1,$B$1)</f>
        <v>94.625699999999995</v>
      </c>
      <c r="P30" s="100">
        <f>_xll.EQNXTDZ($A$1,$B30,P$1,$B$1)</f>
        <v>45.514200000000002</v>
      </c>
      <c r="Q30" s="100">
        <f>_xll.EQNXTDZ($A$1,$B30,Q$1,$B$1)</f>
        <v>96.62</v>
      </c>
      <c r="R30" s="100">
        <f>_xll.EQNXTDZ($A$1,$B30,R$1,$B$1)</f>
        <v>155.05000000000001</v>
      </c>
      <c r="S30" s="100">
        <f>_xll.EQNXTDZ($A$1,$B30,S$1,$B$1)</f>
        <v>142.19999999999999</v>
      </c>
      <c r="T30" s="100">
        <f>_xll.EQNXTDZ($A$1,$B30,T$1,$B$1)</f>
        <v>119.96</v>
      </c>
      <c r="U30" s="100">
        <f>_xll.EQNXTDZ($A$1,$B30,U$1,$B$1)</f>
        <v>176.85</v>
      </c>
      <c r="V30" s="100">
        <f>_xll.EQNXTDZ($A$1,$B30,V$1,$B$1)</f>
        <v>-1.2</v>
      </c>
      <c r="W30" s="100">
        <f>_xll.EQNXTDZ($A$1,$B30,W$1,$B$1)</f>
        <v>414.4</v>
      </c>
      <c r="X30" s="100">
        <f>_xll.EQNXTDZ($A$1,$B30,X$1,$B$1)</f>
        <v>696.63</v>
      </c>
      <c r="Y30" s="100">
        <f>_xll.EQNXTDZ($A$1,$B30,Y$1,$B$1)</f>
        <v>661.65</v>
      </c>
      <c r="Z30" s="100">
        <f>_xll.EQNXTDZ($A$1,$B30,Z$1,$B$1)</f>
        <v>356.51</v>
      </c>
      <c r="AA30" s="100">
        <f>_xll.EQNXTDZ($A$1,$B30,AA$1,$B$1)</f>
        <v>452.92</v>
      </c>
      <c r="AB30" s="100">
        <f>_xll.EQNXTDZ($A$1,$B30,AB$1,$B$1)</f>
        <v>466.46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40.186700000000002</v>
      </c>
      <c r="D35" s="100">
        <f>_xll.EQNXTDZ($A$1,$B35,D$1,$B$1)</f>
        <v>26.856999999999999</v>
      </c>
      <c r="E35" s="100">
        <f>_xll.EQNXTDZ($A$1,$B35,E$1,$B$1)</f>
        <v>28.4208</v>
      </c>
      <c r="F35" s="100">
        <f>_xll.EQNXTDZ($A$1,$B35,F$1,$B$1)</f>
        <v>38.609099999999998</v>
      </c>
      <c r="G35" s="100">
        <f>_xll.EQNXTDZ($A$1,$B35,G$1,$B$1)</f>
        <v>59.359299999999998</v>
      </c>
      <c r="H35" s="100">
        <f>_xll.EQNXTDZ($A$1,$B35,H$1,$B$1)</f>
        <v>102.6657</v>
      </c>
      <c r="I35" s="100">
        <f>_xll.EQNXTDZ($A$1,$B35,I$1,$B$1)</f>
        <v>288.34179999999998</v>
      </c>
      <c r="J35" s="100">
        <f>_xll.EQNXTDZ($A$1,$B35,J$1,$B$1)</f>
        <v>134.65729999999999</v>
      </c>
      <c r="K35" s="100">
        <f>_xll.EQNXTDZ($A$1,$B35,K$1,$B$1)</f>
        <v>139.8074</v>
      </c>
      <c r="L35" s="100">
        <f>_xll.EQNXTDZ($A$1,$B35,L$1,$B$1)</f>
        <v>324.41520000000003</v>
      </c>
      <c r="M35" s="100">
        <f>_xll.EQNXTDZ($A$1,$B35,M$1,$B$1)</f>
        <v>484.23770000000002</v>
      </c>
      <c r="N35" s="100">
        <f>_xll.EQNXTDZ($A$1,$B35,N$1,$B$1)</f>
        <v>378.81790000000001</v>
      </c>
      <c r="O35" s="100">
        <f>_xll.EQNXTDZ($A$1,$B35,O$1,$B$1)</f>
        <v>252.95160000000001</v>
      </c>
      <c r="P35" s="100">
        <f>_xll.EQNXTDZ($A$1,$B35,P$1,$B$1)</f>
        <v>162.45859999999999</v>
      </c>
      <c r="Q35" s="100">
        <f>_xll.EQNXTDZ($A$1,$B35,Q$1,$B$1)</f>
        <v>302.81</v>
      </c>
      <c r="R35" s="100">
        <f>_xll.EQNXTDZ($A$1,$B35,R$1,$B$1)</f>
        <v>429.89</v>
      </c>
      <c r="S35" s="100">
        <f>_xll.EQNXTDZ($A$1,$B35,S$1,$B$1)</f>
        <v>514.99</v>
      </c>
      <c r="T35" s="100">
        <f>_xll.EQNXTDZ($A$1,$B35,T$1,$B$1)</f>
        <v>461.71</v>
      </c>
      <c r="U35" s="100">
        <f>_xll.EQNXTDZ($A$1,$B35,U$1,$B$1)</f>
        <v>641.63</v>
      </c>
      <c r="V35" s="100">
        <f>_xll.EQNXTDZ($A$1,$B35,V$1,$B$1)</f>
        <v>1019.09</v>
      </c>
      <c r="W35" s="100">
        <f>_xll.EQNXTDZ($A$1,$B35,W$1,$B$1)</f>
        <v>1197.94</v>
      </c>
      <c r="X35" s="100">
        <f>_xll.EQNXTDZ($A$1,$B35,X$1,$B$1)</f>
        <v>1888.92</v>
      </c>
      <c r="Y35" s="100">
        <f>_xll.EQNXTDZ($A$1,$B35,Y$1,$B$1)</f>
        <v>2162.34</v>
      </c>
      <c r="Z35" s="100">
        <f>_xll.EQNXTDZ($A$1,$B35,Z$1,$B$1)</f>
        <v>1335.71</v>
      </c>
      <c r="AA35" s="100">
        <f>_xll.EQNXTDZ($A$1,$B35,AA$1,$B$1)</f>
        <v>1250.78</v>
      </c>
      <c r="AB35" s="100">
        <f>_xll.EQNXTDZ($A$1,$B35,AB$1,$B$1)</f>
        <v>1835.18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50.05</v>
      </c>
      <c r="V36" s="100">
        <f>_xll.EQNXTDZ($A$1,$B36,V$1,$B$1)</f>
        <v>103.19</v>
      </c>
      <c r="W36" s="100">
        <f>_xll.EQNXTDZ($A$1,$B36,W$1,$B$1)</f>
        <v>-0.31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65.538899999999998</v>
      </c>
      <c r="D41" s="55">
        <f>_xll.EQNXTDZ($A$1,$B41,D$1,$B$1)</f>
        <v>65.539400000000001</v>
      </c>
      <c r="E41" s="55">
        <f>_xll.EQNXTDZ($A$1,$B41,E$1,$B$1)</f>
        <v>65.541200000000003</v>
      </c>
      <c r="F41" s="55">
        <f>_xll.EQNXTDZ($A$1,$B41,F$1,$B$1)</f>
        <v>65.541200000000003</v>
      </c>
      <c r="G41" s="55">
        <f>_xll.EQNXTDZ($A$1,$B41,G$1,$B$1)</f>
        <v>65.541200000000003</v>
      </c>
      <c r="H41" s="55">
        <f>_xll.EQNXTDZ($A$1,$B41,H$1,$B$1)</f>
        <v>65.541200000000003</v>
      </c>
      <c r="I41" s="55">
        <f>_xll.EQNXTDZ($A$1,$B41,I$1,$B$1)</f>
        <v>68.900099999999995</v>
      </c>
      <c r="J41" s="55">
        <f>_xll.EQNXTDZ($A$1,$B41,J$1,$B$1)</f>
        <v>68.900099999999995</v>
      </c>
      <c r="K41" s="55">
        <f>_xll.EQNXTDZ($A$1,$B41,K$1,$B$1)</f>
        <v>61.700099999999999</v>
      </c>
      <c r="L41" s="55">
        <f>_xll.EQNXTDZ($A$1,$B41,L$1,$B$1)</f>
        <v>61.518700000000003</v>
      </c>
      <c r="M41" s="55">
        <f>_xll.EQNXTDZ($A$1,$B41,M$1,$B$1)</f>
        <v>61.518700000000003</v>
      </c>
      <c r="N41" s="55">
        <f>_xll.EQNXTDZ($A$1,$B41,N$1,$B$1)</f>
        <v>58.435600000000001</v>
      </c>
      <c r="O41" s="55">
        <f>_xll.EQNXTDZ($A$1,$B41,O$1,$B$1)</f>
        <v>58.435600000000001</v>
      </c>
      <c r="P41" s="55">
        <f>_xll.EQNXTDZ($A$1,$B41,P$1,$B$1)</f>
        <v>58.435600000000001</v>
      </c>
      <c r="Q41" s="55">
        <f>_xll.EQNXTDZ($A$1,$B41,Q$1,$B$1)</f>
        <v>58.44</v>
      </c>
      <c r="R41" s="55">
        <f>_xll.EQNXTDZ($A$1,$B41,R$1,$B$1)</f>
        <v>58.44</v>
      </c>
      <c r="S41" s="55">
        <f>_xll.EQNXTDZ($A$1,$B41,S$1,$B$1)</f>
        <v>58.44</v>
      </c>
      <c r="T41" s="55">
        <f>_xll.EQNXTDZ($A$1,$B41,T$1,$B$1)</f>
        <v>58.44</v>
      </c>
      <c r="U41" s="55">
        <f>_xll.EQNXTDZ($A$1,$B41,U$1,$B$1)</f>
        <v>58.5</v>
      </c>
      <c r="V41" s="55">
        <f>_xll.EQNXTDZ($A$1,$B41,V$1,$B$1)</f>
        <v>58.5</v>
      </c>
      <c r="W41" s="55">
        <f>_xll.EQNXTDZ($A$1,$B41,W$1,$B$1)</f>
        <v>60.26</v>
      </c>
      <c r="X41" s="55">
        <f>_xll.EQNXTDZ($A$1,$B41,X$1,$B$1)</f>
        <v>297.44</v>
      </c>
      <c r="Y41" s="55">
        <f>_xll.EQNXTDZ($A$1,$B41,Y$1,$B$1)</f>
        <v>297.44</v>
      </c>
      <c r="Z41" s="55">
        <f>_xll.EQNXTDZ($A$1,$B41,Z$1,$B$1)</f>
        <v>297.44</v>
      </c>
      <c r="AA41" s="55">
        <f>_xll.EQNXTDZ($A$1,$B41,AA$1,$B$1)</f>
        <v>297.44</v>
      </c>
      <c r="AB41" s="55">
        <f>_xll.EQNXTDZ($A$1,$B41,AB$1,$B$1)</f>
        <v>297.44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5.4000000000000003E-3</v>
      </c>
      <c r="D42" s="55">
        <f>_xll.EQNXTDZ($A$1,$B42,D$1,$B$1)</f>
        <v>5.4000000000000003E-3</v>
      </c>
      <c r="E42" s="55">
        <f>_xll.EQNXTDZ($A$1,$B42,E$1,$B$1)</f>
        <v>5.4000000000000003E-3</v>
      </c>
      <c r="F42" s="55">
        <f>_xll.EQNXTDZ($A$1,$B42,F$1,$B$1)</f>
        <v>5.4000000000000003E-3</v>
      </c>
      <c r="G42" s="55">
        <f>_xll.EQNXTDZ($A$1,$B42,G$1,$B$1)</f>
        <v>5.4000000000000003E-3</v>
      </c>
      <c r="H42" s="55">
        <f>_xll.EQNXTDZ($A$1,$B42,H$1,$B$1)</f>
        <v>2.8742000000000001</v>
      </c>
      <c r="I42" s="55">
        <f>_xll.EQNXTDZ($A$1,$B42,I$1,$B$1)</f>
        <v>5.4000000000000003E-3</v>
      </c>
      <c r="J42" s="55">
        <f>_xll.EQNXTDZ($A$1,$B42,J$1,$B$1)</f>
        <v>5.4000000000000003E-3</v>
      </c>
      <c r="K42" s="55">
        <f>_xll.EQNXTDZ($A$1,$B42,K$1,$B$1)</f>
        <v>5.4000000000000003E-3</v>
      </c>
      <c r="L42" s="55">
        <f>_xll.EQNXTDZ($A$1,$B42,L$1,$B$1)</f>
        <v>5.4000000000000003E-3</v>
      </c>
      <c r="M42" s="55">
        <f>_xll.EQNXTDZ($A$1,$B42,M$1,$B$1)</f>
        <v>5.4000000000000003E-3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0.57999999999999996</v>
      </c>
      <c r="V42" s="55">
        <f>_xll.EQNXTDZ($A$1,$B42,V$1,$B$1)</f>
        <v>1.56</v>
      </c>
      <c r="W42" s="55">
        <f>_xll.EQNXTDZ($A$1,$B42,W$1,$B$1)</f>
        <v>2.52</v>
      </c>
      <c r="X42" s="55">
        <f>_xll.EQNXTDZ($A$1,$B42,X$1,$B$1)</f>
        <v>3.22</v>
      </c>
      <c r="Y42" s="55">
        <f>_xll.EQNXTDZ($A$1,$B42,Y$1,$B$1)</f>
        <v>11.63</v>
      </c>
      <c r="Z42" s="55">
        <f>_xll.EQNXTDZ($A$1,$B42,Z$1,$B$1)</f>
        <v>20.190000000000001</v>
      </c>
      <c r="AA42" s="55">
        <f>_xll.EQNXTDZ($A$1,$B42,AA$1,$B$1)</f>
        <v>28.11</v>
      </c>
      <c r="AB42" s="55">
        <f>_xll.EQNXTDZ($A$1,$B42,AB$1,$B$1)</f>
        <v>36.31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431.80500000000001</v>
      </c>
      <c r="D43" s="55">
        <f>_xll.EQNXTDZ($A$1,$B43,D$1,$B$1)</f>
        <v>272.74799999999999</v>
      </c>
      <c r="E43" s="55">
        <f>_xll.EQNXTDZ($A$1,$B43,E$1,$B$1)</f>
        <v>290.4341</v>
      </c>
      <c r="F43" s="55">
        <f>_xll.EQNXTDZ($A$1,$B43,F$1,$B$1)</f>
        <v>339.15699999999998</v>
      </c>
      <c r="G43" s="55">
        <f>_xll.EQNXTDZ($A$1,$B43,G$1,$B$1)</f>
        <v>386.3433</v>
      </c>
      <c r="H43" s="55">
        <f>_xll.EQNXTDZ($A$1,$B43,H$1,$B$1)</f>
        <v>492.39429999999999</v>
      </c>
      <c r="I43" s="55">
        <f>_xll.EQNXTDZ($A$1,$B43,I$1,$B$1)</f>
        <v>765.90260000000001</v>
      </c>
      <c r="J43" s="55">
        <f>_xll.EQNXTDZ($A$1,$B43,J$1,$B$1)</f>
        <v>858.77179999999998</v>
      </c>
      <c r="K43" s="55">
        <f>_xll.EQNXTDZ($A$1,$B43,K$1,$B$1)</f>
        <v>913.54880000000003</v>
      </c>
      <c r="L43" s="55">
        <f>_xll.EQNXTDZ($A$1,$B43,L$1,$B$1)</f>
        <v>1212.3352</v>
      </c>
      <c r="M43" s="55">
        <f>_xll.EQNXTDZ($A$1,$B43,M$1,$B$1)</f>
        <v>1636.4522999999999</v>
      </c>
      <c r="N43" s="55">
        <f>_xll.EQNXTDZ($A$1,$B43,N$1,$B$1)</f>
        <v>1793.0952</v>
      </c>
      <c r="O43" s="55">
        <f>_xll.EQNXTDZ($A$1,$B43,O$1,$B$1)</f>
        <v>1910.4916000000001</v>
      </c>
      <c r="P43" s="55">
        <f>_xll.EQNXTDZ($A$1,$B43,P$1,$B$1)</f>
        <v>2008.2177999999999</v>
      </c>
      <c r="Q43" s="55">
        <f>_xll.EQNXTDZ($A$1,$B43,Q$1,$B$1)</f>
        <v>2237.9</v>
      </c>
      <c r="R43" s="55">
        <f>_xll.EQNXTDZ($A$1,$B43,R$1,$B$1)</f>
        <v>2704.54</v>
      </c>
      <c r="S43" s="55">
        <f>_xll.EQNXTDZ($A$1,$B43,S$1,$B$1)</f>
        <v>3124.22</v>
      </c>
      <c r="T43" s="55">
        <f>_xll.EQNXTDZ($A$1,$B43,T$1,$B$1)</f>
        <v>3506.09</v>
      </c>
      <c r="U43" s="55">
        <f>_xll.EQNXTDZ($A$1,$B43,U$1,$B$1)</f>
        <v>4070.19</v>
      </c>
      <c r="V43" s="55">
        <f>_xll.EQNXTDZ($A$1,$B43,V$1,$B$1)</f>
        <v>4873.26</v>
      </c>
      <c r="W43" s="55">
        <f>_xll.EQNXTDZ($A$1,$B43,W$1,$B$1)</f>
        <v>6793.64</v>
      </c>
      <c r="X43" s="55">
        <f>_xll.EQNXTDZ($A$1,$B43,X$1,$B$1)</f>
        <v>8264.7000000000007</v>
      </c>
      <c r="Y43" s="55">
        <f>_xll.EQNXTDZ($A$1,$B43,Y$1,$B$1)</f>
        <v>10017.98</v>
      </c>
      <c r="Z43" s="55">
        <f>_xll.EQNXTDZ($A$1,$B43,Z$1,$B$1)</f>
        <v>11161.39</v>
      </c>
      <c r="AA43" s="55">
        <f>_xll.EQNXTDZ($A$1,$B43,AA$1,$B$1)</f>
        <v>12300.65</v>
      </c>
      <c r="AB43" s="55">
        <f>_xll.EQNXTDZ($A$1,$B43,AB$1,$B$1)</f>
        <v>13709.01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497.34930000000003</v>
      </c>
      <c r="D44" s="55">
        <f>_xll.EQNXTDZ($A$1,$B44,D$1,$B$1)</f>
        <v>338.2928</v>
      </c>
      <c r="E44" s="55">
        <f>_xll.EQNXTDZ($A$1,$B44,E$1,$B$1)</f>
        <v>355.98070000000001</v>
      </c>
      <c r="F44" s="55">
        <f>_xll.EQNXTDZ($A$1,$B44,F$1,$B$1)</f>
        <v>404.70359999999999</v>
      </c>
      <c r="G44" s="55">
        <f>_xll.EQNXTDZ($A$1,$B44,G$1,$B$1)</f>
        <v>451.88990000000001</v>
      </c>
      <c r="H44" s="55">
        <f>_xll.EQNXTDZ($A$1,$B44,H$1,$B$1)</f>
        <v>560.80970000000002</v>
      </c>
      <c r="I44" s="55">
        <f>_xll.EQNXTDZ($A$1,$B44,I$1,$B$1)</f>
        <v>834.80809999999997</v>
      </c>
      <c r="J44" s="55">
        <f>_xll.EQNXTDZ($A$1,$B44,J$1,$B$1)</f>
        <v>927.67729999999995</v>
      </c>
      <c r="K44" s="55">
        <f>_xll.EQNXTDZ($A$1,$B44,K$1,$B$1)</f>
        <v>975.25429999999994</v>
      </c>
      <c r="L44" s="55">
        <f>_xll.EQNXTDZ($A$1,$B44,L$1,$B$1)</f>
        <v>1273.8593000000001</v>
      </c>
      <c r="M44" s="55">
        <f>_xll.EQNXTDZ($A$1,$B44,M$1,$B$1)</f>
        <v>1697.9764</v>
      </c>
      <c r="N44" s="55">
        <f>_xll.EQNXTDZ($A$1,$B44,N$1,$B$1)</f>
        <v>1851.5308</v>
      </c>
      <c r="O44" s="55">
        <f>_xll.EQNXTDZ($A$1,$B44,O$1,$B$1)</f>
        <v>1968.9272000000001</v>
      </c>
      <c r="P44" s="55">
        <f>_xll.EQNXTDZ($A$1,$B44,P$1,$B$1)</f>
        <v>2066.6534000000001</v>
      </c>
      <c r="Q44" s="55">
        <f>_xll.EQNXTDZ($A$1,$B44,Q$1,$B$1)</f>
        <v>2296.34</v>
      </c>
      <c r="R44" s="55">
        <f>_xll.EQNXTDZ($A$1,$B44,R$1,$B$1)</f>
        <v>2762.98</v>
      </c>
      <c r="S44" s="55">
        <f>_xll.EQNXTDZ($A$1,$B44,S$1,$B$1)</f>
        <v>3182.66</v>
      </c>
      <c r="T44" s="55">
        <f>_xll.EQNXTDZ($A$1,$B44,T$1,$B$1)</f>
        <v>3564.53</v>
      </c>
      <c r="U44" s="55">
        <f>_xll.EQNXTDZ($A$1,$B44,U$1,$B$1)</f>
        <v>4129.2700000000004</v>
      </c>
      <c r="V44" s="55">
        <f>_xll.EQNXTDZ($A$1,$B44,V$1,$B$1)</f>
        <v>4933.32</v>
      </c>
      <c r="W44" s="55">
        <f>_xll.EQNXTDZ($A$1,$B44,W$1,$B$1)</f>
        <v>6856.42</v>
      </c>
      <c r="X44" s="55">
        <f>_xll.EQNXTDZ($A$1,$B44,X$1,$B$1)</f>
        <v>8565.36</v>
      </c>
      <c r="Y44" s="55">
        <f>_xll.EQNXTDZ($A$1,$B44,Y$1,$B$1)</f>
        <v>10327.049999999999</v>
      </c>
      <c r="Z44" s="55">
        <f>_xll.EQNXTDZ($A$1,$B44,Z$1,$B$1)</f>
        <v>11479.02</v>
      </c>
      <c r="AA44" s="55">
        <f>_xll.EQNXTDZ($A$1,$B44,AA$1,$B$1)</f>
        <v>12626.2</v>
      </c>
      <c r="AB44" s="55">
        <f>_xll.EQNXTDZ($A$1,$B44,AB$1,$B$1)</f>
        <v>14042.76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6.1000000000000004E-3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368.09140000000002</v>
      </c>
      <c r="D47" s="55">
        <f>_xll.EQNXTDZ($A$1,$B47,D$1,$B$1)</f>
        <v>346.92720000000003</v>
      </c>
      <c r="E47" s="55">
        <f>_xll.EQNXTDZ($A$1,$B47,E$1,$B$1)</f>
        <v>273.4905</v>
      </c>
      <c r="F47" s="55">
        <f>_xll.EQNXTDZ($A$1,$B47,F$1,$B$1)</f>
        <v>242.45140000000001</v>
      </c>
      <c r="G47" s="55">
        <f>_xll.EQNXTDZ($A$1,$B47,G$1,$B$1)</f>
        <v>431.00369999999998</v>
      </c>
      <c r="H47" s="55">
        <f>_xll.EQNXTDZ($A$1,$B47,H$1,$B$1)</f>
        <v>613.88400000000001</v>
      </c>
      <c r="I47" s="55">
        <f>_xll.EQNXTDZ($A$1,$B47,I$1,$B$1)</f>
        <v>489.07150000000001</v>
      </c>
      <c r="J47" s="55">
        <f>_xll.EQNXTDZ($A$1,$B47,J$1,$B$1)</f>
        <v>444.16980000000001</v>
      </c>
      <c r="K47" s="55">
        <f>_xll.EQNXTDZ($A$1,$B47,K$1,$B$1)</f>
        <v>919.45929999999998</v>
      </c>
      <c r="L47" s="55">
        <f>_xll.EQNXTDZ($A$1,$B47,L$1,$B$1)</f>
        <v>838.50220000000002</v>
      </c>
      <c r="M47" s="55">
        <f>_xll.EQNXTDZ($A$1,$B47,M$1,$B$1)</f>
        <v>480.3082</v>
      </c>
      <c r="N47" s="55">
        <f>_xll.EQNXTDZ($A$1,$B47,N$1,$B$1)</f>
        <v>465.35219999999998</v>
      </c>
      <c r="O47" s="55">
        <f>_xll.EQNXTDZ($A$1,$B47,O$1,$B$1)</f>
        <v>756.17579999999998</v>
      </c>
      <c r="P47" s="55">
        <f>_xll.EQNXTDZ($A$1,$B47,P$1,$B$1)</f>
        <v>1337.3568</v>
      </c>
      <c r="Q47" s="55">
        <f>_xll.EQNXTDZ($A$1,$B47,Q$1,$B$1)</f>
        <v>1538.31</v>
      </c>
      <c r="R47" s="55">
        <f>_xll.EQNXTDZ($A$1,$B47,R$1,$B$1)</f>
        <v>1902.8</v>
      </c>
      <c r="S47" s="55">
        <f>_xll.EQNXTDZ($A$1,$B47,S$1,$B$1)</f>
        <v>1406.89</v>
      </c>
      <c r="T47" s="55">
        <f>_xll.EQNXTDZ($A$1,$B47,T$1,$B$1)</f>
        <v>1894.52</v>
      </c>
      <c r="U47" s="55">
        <f>_xll.EQNXTDZ($A$1,$B47,U$1,$B$1)</f>
        <v>1750.19</v>
      </c>
      <c r="V47" s="55">
        <f>_xll.EQNXTDZ($A$1,$B47,V$1,$B$1)</f>
        <v>1692.7</v>
      </c>
      <c r="W47" s="55">
        <f>_xll.EQNXTDZ($A$1,$B47,W$1,$B$1)</f>
        <v>1965.01</v>
      </c>
      <c r="X47" s="55">
        <f>_xll.EQNXTDZ($A$1,$B47,X$1,$B$1)</f>
        <v>1753.3</v>
      </c>
      <c r="Y47" s="55">
        <f>_xll.EQNXTDZ($A$1,$B47,Y$1,$B$1)</f>
        <v>2311.52</v>
      </c>
      <c r="Z47" s="55">
        <f>_xll.EQNXTDZ($A$1,$B47,Z$1,$B$1)</f>
        <v>1975.23</v>
      </c>
      <c r="AA47" s="55">
        <f>_xll.EQNXTDZ($A$1,$B47,AA$1,$B$1)</f>
        <v>1796.27</v>
      </c>
      <c r="AB47" s="55">
        <f>_xll.EQNXTDZ($A$1,$B47,AB$1,$B$1)</f>
        <v>1397.83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32.465299999999999</v>
      </c>
      <c r="D48" s="55">
        <f>_xll.EQNXTDZ($A$1,$B48,D$1,$B$1)</f>
        <v>35.395899999999997</v>
      </c>
      <c r="E48" s="55">
        <f>_xll.EQNXTDZ($A$1,$B48,E$1,$B$1)</f>
        <v>20.842500000000001</v>
      </c>
      <c r="F48" s="55">
        <f>_xll.EQNXTDZ($A$1,$B48,F$1,$B$1)</f>
        <v>13.515499999999999</v>
      </c>
      <c r="G48" s="55">
        <f>_xll.EQNXTDZ($A$1,$B48,G$1,$B$1)</f>
        <v>23.3812</v>
      </c>
      <c r="H48" s="55">
        <f>_xll.EQNXTDZ($A$1,$B48,H$1,$B$1)</f>
        <v>1.3768</v>
      </c>
      <c r="I48" s="55">
        <f>_xll.EQNXTDZ($A$1,$B48,I$1,$B$1)</f>
        <v>0.22720000000000001</v>
      </c>
      <c r="J48" s="55">
        <f>_xll.EQNXTDZ($A$1,$B48,J$1,$B$1)</f>
        <v>73.138000000000005</v>
      </c>
      <c r="K48" s="55">
        <f>_xll.EQNXTDZ($A$1,$B48,K$1,$B$1)</f>
        <v>134.71340000000001</v>
      </c>
      <c r="L48" s="55">
        <f>_xll.EQNXTDZ($A$1,$B48,L$1,$B$1)</f>
        <v>193.26499999999999</v>
      </c>
      <c r="M48" s="55">
        <f>_xll.EQNXTDZ($A$1,$B48,M$1,$B$1)</f>
        <v>89.18</v>
      </c>
      <c r="N48" s="55">
        <f>_xll.EQNXTDZ($A$1,$B48,N$1,$B$1)</f>
        <v>251.74</v>
      </c>
      <c r="O48" s="55">
        <f>_xll.EQNXTDZ($A$1,$B48,O$1,$B$1)</f>
        <v>339.9665</v>
      </c>
      <c r="P48" s="55">
        <f>_xll.EQNXTDZ($A$1,$B48,P$1,$B$1)</f>
        <v>375.25959999999998</v>
      </c>
      <c r="Q48" s="55">
        <f>_xll.EQNXTDZ($A$1,$B48,Q$1,$B$1)</f>
        <v>249.88</v>
      </c>
      <c r="R48" s="55">
        <f>_xll.EQNXTDZ($A$1,$B48,R$1,$B$1)</f>
        <v>37.67</v>
      </c>
      <c r="S48" s="55">
        <f>_xll.EQNXTDZ($A$1,$B48,S$1,$B$1)</f>
        <v>24.97</v>
      </c>
      <c r="T48" s="55">
        <f>_xll.EQNXTDZ($A$1,$B48,T$1,$B$1)</f>
        <v>12.74</v>
      </c>
      <c r="U48" s="55">
        <f>_xll.EQNXTDZ($A$1,$B48,U$1,$B$1)</f>
        <v>411.15</v>
      </c>
      <c r="V48" s="55">
        <f>_xll.EQNXTDZ($A$1,$B48,V$1,$B$1)</f>
        <v>618.92999999999995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275.91000000000003</v>
      </c>
      <c r="AA48" s="55">
        <f>_xll.EQNXTDZ($A$1,$B48,AA$1,$B$1)</f>
        <v>185.06</v>
      </c>
      <c r="AB48" s="55">
        <f>_xll.EQNXTDZ($A$1,$B48,AB$1,$B$1)</f>
        <v>555.47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44.605899999999998</v>
      </c>
      <c r="E49" s="55">
        <f>_xll.EQNXTDZ($A$1,$B49,E$1,$B$1)</f>
        <v>63.9133</v>
      </c>
      <c r="F49" s="55">
        <f>_xll.EQNXTDZ($A$1,$B49,F$1,$B$1)</f>
        <v>89.590500000000006</v>
      </c>
      <c r="G49" s="55">
        <f>_xll.EQNXTDZ($A$1,$B49,G$1,$B$1)</f>
        <v>101.8036</v>
      </c>
      <c r="H49" s="55">
        <f>_xll.EQNXTDZ($A$1,$B49,H$1,$B$1)</f>
        <v>108.05410000000001</v>
      </c>
      <c r="I49" s="55">
        <f>_xll.EQNXTDZ($A$1,$B49,I$1,$B$1)</f>
        <v>127.2257</v>
      </c>
      <c r="J49" s="55">
        <f>_xll.EQNXTDZ($A$1,$B49,J$1,$B$1)</f>
        <v>148.4357</v>
      </c>
      <c r="K49" s="55">
        <f>_xll.EQNXTDZ($A$1,$B49,K$1,$B$1)</f>
        <v>151.25399999999999</v>
      </c>
      <c r="L49" s="55">
        <f>_xll.EQNXTDZ($A$1,$B49,L$1,$B$1)</f>
        <v>191.26439999999999</v>
      </c>
      <c r="M49" s="55">
        <f>_xll.EQNXTDZ($A$1,$B49,M$1,$B$1)</f>
        <v>200.70670000000001</v>
      </c>
      <c r="N49" s="55">
        <f>_xll.EQNXTDZ($A$1,$B49,N$1,$B$1)</f>
        <v>212.77099999999999</v>
      </c>
      <c r="O49" s="55">
        <f>_xll.EQNXTDZ($A$1,$B49,O$1,$B$1)</f>
        <v>250.28809999999999</v>
      </c>
      <c r="P49" s="55">
        <f>_xll.EQNXTDZ($A$1,$B49,P$1,$B$1)</f>
        <v>275.1755</v>
      </c>
      <c r="Q49" s="55">
        <f>_xll.EQNXTDZ($A$1,$B49,Q$1,$B$1)</f>
        <v>338.58</v>
      </c>
      <c r="R49" s="55">
        <f>_xll.EQNXTDZ($A$1,$B49,R$1,$B$1)</f>
        <v>252.33</v>
      </c>
      <c r="S49" s="55">
        <f>_xll.EQNXTDZ($A$1,$B49,S$1,$B$1)</f>
        <v>284</v>
      </c>
      <c r="T49" s="55">
        <f>_xll.EQNXTDZ($A$1,$B49,T$1,$B$1)</f>
        <v>291.38</v>
      </c>
      <c r="U49" s="55">
        <f>_xll.EQNXTDZ($A$1,$B49,U$1,$B$1)</f>
        <v>341.98</v>
      </c>
      <c r="V49" s="55">
        <f>_xll.EQNXTDZ($A$1,$B49,V$1,$B$1)</f>
        <v>161.24</v>
      </c>
      <c r="W49" s="55">
        <f>_xll.EQNXTDZ($A$1,$B49,W$1,$B$1)</f>
        <v>368.02</v>
      </c>
      <c r="X49" s="55">
        <f>_xll.EQNXTDZ($A$1,$B49,X$1,$B$1)</f>
        <v>665.86</v>
      </c>
      <c r="Y49" s="55">
        <f>_xll.EQNXTDZ($A$1,$B49,Y$1,$B$1)</f>
        <v>790.57</v>
      </c>
      <c r="Z49" s="55">
        <f>_xll.EQNXTDZ($A$1,$B49,Z$1,$B$1)</f>
        <v>911.16</v>
      </c>
      <c r="AA49" s="55">
        <f>_xll.EQNXTDZ($A$1,$B49,AA$1,$B$1)</f>
        <v>1019.56</v>
      </c>
      <c r="AB49" s="55">
        <f>_xll.EQNXTDZ($A$1,$B49,AB$1,$B$1)</f>
        <v>984.75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49.98</v>
      </c>
      <c r="R50" s="55">
        <f>_xll.EQNXTDZ($A$1,$B50,R$1,$B$1)</f>
        <v>21.84</v>
      </c>
      <c r="S50" s="55">
        <f>_xll.EQNXTDZ($A$1,$B50,S$1,$B$1)</f>
        <v>29.92</v>
      </c>
      <c r="T50" s="55">
        <f>_xll.EQNXTDZ($A$1,$B50,T$1,$B$1)</f>
        <v>34.26</v>
      </c>
      <c r="U50" s="55">
        <f>_xll.EQNXTDZ($A$1,$B50,U$1,$B$1)</f>
        <v>18.53</v>
      </c>
      <c r="V50" s="55">
        <f>_xll.EQNXTDZ($A$1,$B50,V$1,$B$1)</f>
        <v>110.85</v>
      </c>
      <c r="W50" s="55">
        <f>_xll.EQNXTDZ($A$1,$B50,W$1,$B$1)</f>
        <v>107.14</v>
      </c>
      <c r="X50" s="55">
        <f>_xll.EQNXTDZ($A$1,$B50,X$1,$B$1)</f>
        <v>288.60000000000002</v>
      </c>
      <c r="Y50" s="55">
        <f>_xll.EQNXTDZ($A$1,$B50,Y$1,$B$1)</f>
        <v>329.33</v>
      </c>
      <c r="Z50" s="55">
        <f>_xll.EQNXTDZ($A$1,$B50,Z$1,$B$1)</f>
        <v>260.89999999999998</v>
      </c>
      <c r="AA50" s="55">
        <f>_xll.EQNXTDZ($A$1,$B50,AA$1,$B$1)</f>
        <v>381.77</v>
      </c>
      <c r="AB50" s="55">
        <f>_xll.EQNXTDZ($A$1,$B50,AB$1,$B$1)</f>
        <v>496.97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10.5693</v>
      </c>
      <c r="N52" s="55">
        <f>_xll.EQNXTDZ($A$1,$B52,N$1,$B$1)</f>
        <v>10.555899999999999</v>
      </c>
      <c r="O52" s="55">
        <f>_xll.EQNXTDZ($A$1,$B52,O$1,$B$1)</f>
        <v>17.027699999999999</v>
      </c>
      <c r="P52" s="55">
        <f>_xll.EQNXTDZ($A$1,$B52,P$1,$B$1)</f>
        <v>17.177299999999999</v>
      </c>
      <c r="Q52" s="55">
        <f>_xll.EQNXTDZ($A$1,$B52,Q$1,$B$1)</f>
        <v>16.71</v>
      </c>
      <c r="R52" s="55">
        <f>_xll.EQNXTDZ($A$1,$B52,R$1,$B$1)</f>
        <v>25.13</v>
      </c>
      <c r="S52" s="55">
        <f>_xll.EQNXTDZ($A$1,$B52,S$1,$B$1)</f>
        <v>29.7</v>
      </c>
      <c r="T52" s="55">
        <f>_xll.EQNXTDZ($A$1,$B52,T$1,$B$1)</f>
        <v>33.369999999999997</v>
      </c>
      <c r="U52" s="55">
        <f>_xll.EQNXTDZ($A$1,$B52,U$1,$B$1)</f>
        <v>38.1</v>
      </c>
      <c r="V52" s="55">
        <f>_xll.EQNXTDZ($A$1,$B52,V$1,$B$1)</f>
        <v>37.53</v>
      </c>
      <c r="W52" s="55">
        <f>_xll.EQNXTDZ($A$1,$B52,W$1,$B$1)</f>
        <v>43.55</v>
      </c>
      <c r="X52" s="55">
        <f>_xll.EQNXTDZ($A$1,$B52,X$1,$B$1)</f>
        <v>51.58</v>
      </c>
      <c r="Y52" s="55">
        <f>_xll.EQNXTDZ($A$1,$B52,Y$1,$B$1)</f>
        <v>60.8</v>
      </c>
      <c r="Z52" s="55">
        <f>_xll.EQNXTDZ($A$1,$B52,Z$1,$B$1)</f>
        <v>71.39</v>
      </c>
      <c r="AA52" s="55">
        <f>_xll.EQNXTDZ($A$1,$B52,AA$1,$B$1)</f>
        <v>82.6</v>
      </c>
      <c r="AB52" s="55">
        <f>_xll.EQNXTDZ($A$1,$B52,AB$1,$B$1)</f>
        <v>95.98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400.55669999999998</v>
      </c>
      <c r="D53" s="55">
        <f>_xll.EQNXTDZ($A$1,$B53,D$1,$B$1)</f>
        <v>426.92899999999997</v>
      </c>
      <c r="E53" s="55">
        <f>_xll.EQNXTDZ($A$1,$B53,E$1,$B$1)</f>
        <v>358.24630000000002</v>
      </c>
      <c r="F53" s="55">
        <f>_xll.EQNXTDZ($A$1,$B53,F$1,$B$1)</f>
        <v>345.55739999999997</v>
      </c>
      <c r="G53" s="55">
        <f>_xll.EQNXTDZ($A$1,$B53,G$1,$B$1)</f>
        <v>556.18849999999998</v>
      </c>
      <c r="H53" s="55">
        <f>_xll.EQNXTDZ($A$1,$B53,H$1,$B$1)</f>
        <v>723.31489999999997</v>
      </c>
      <c r="I53" s="55">
        <f>_xll.EQNXTDZ($A$1,$B53,I$1,$B$1)</f>
        <v>616.52440000000001</v>
      </c>
      <c r="J53" s="55">
        <f>_xll.EQNXTDZ($A$1,$B53,J$1,$B$1)</f>
        <v>665.74350000000004</v>
      </c>
      <c r="K53" s="55">
        <f>_xll.EQNXTDZ($A$1,$B53,K$1,$B$1)</f>
        <v>1205.4267</v>
      </c>
      <c r="L53" s="55">
        <f>_xll.EQNXTDZ($A$1,$B53,L$1,$B$1)</f>
        <v>1223.0316</v>
      </c>
      <c r="M53" s="55">
        <f>_xll.EQNXTDZ($A$1,$B53,M$1,$B$1)</f>
        <v>780.76419999999996</v>
      </c>
      <c r="N53" s="55">
        <f>_xll.EQNXTDZ($A$1,$B53,N$1,$B$1)</f>
        <v>940.41909999999996</v>
      </c>
      <c r="O53" s="55">
        <f>_xll.EQNXTDZ($A$1,$B53,O$1,$B$1)</f>
        <v>1363.4581000000001</v>
      </c>
      <c r="P53" s="55">
        <f>_xll.EQNXTDZ($A$1,$B53,P$1,$B$1)</f>
        <v>2004.9692</v>
      </c>
      <c r="Q53" s="55">
        <f>_xll.EQNXTDZ($A$1,$B53,Q$1,$B$1)</f>
        <v>2193.46</v>
      </c>
      <c r="R53" s="55">
        <f>_xll.EQNXTDZ($A$1,$B53,R$1,$B$1)</f>
        <v>2239.77</v>
      </c>
      <c r="S53" s="55">
        <f>_xll.EQNXTDZ($A$1,$B53,S$1,$B$1)</f>
        <v>1775.48</v>
      </c>
      <c r="T53" s="55">
        <f>_xll.EQNXTDZ($A$1,$B53,T$1,$B$1)</f>
        <v>2266.27</v>
      </c>
      <c r="U53" s="55">
        <f>_xll.EQNXTDZ($A$1,$B53,U$1,$B$1)</f>
        <v>2559.9499999999998</v>
      </c>
      <c r="V53" s="55">
        <f>_xll.EQNXTDZ($A$1,$B53,V$1,$B$1)</f>
        <v>2621.25</v>
      </c>
      <c r="W53" s="55">
        <f>_xll.EQNXTDZ($A$1,$B53,W$1,$B$1)</f>
        <v>2483.7199999999998</v>
      </c>
      <c r="X53" s="55">
        <f>_xll.EQNXTDZ($A$1,$B53,X$1,$B$1)</f>
        <v>2759.34</v>
      </c>
      <c r="Y53" s="55">
        <f>_xll.EQNXTDZ($A$1,$B53,Y$1,$B$1)</f>
        <v>3492.22</v>
      </c>
      <c r="Z53" s="55">
        <f>_xll.EQNXTDZ($A$1,$B53,Z$1,$B$1)</f>
        <v>3494.59</v>
      </c>
      <c r="AA53" s="55">
        <f>_xll.EQNXTDZ($A$1,$B53,AA$1,$B$1)</f>
        <v>3465.26</v>
      </c>
      <c r="AB53" s="55">
        <f>_xll.EQNXTDZ($A$1,$B53,AB$1,$B$1)</f>
        <v>3531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130.06469999999999</v>
      </c>
      <c r="D54" s="55">
        <f>_xll.EQNXTDZ($A$1,$B54,D$1,$B$1)</f>
        <v>123.1009</v>
      </c>
      <c r="E54" s="55">
        <f>_xll.EQNXTDZ($A$1,$B54,E$1,$B$1)</f>
        <v>145.6377</v>
      </c>
      <c r="F54" s="55">
        <f>_xll.EQNXTDZ($A$1,$B54,F$1,$B$1)</f>
        <v>173.14449999999999</v>
      </c>
      <c r="G54" s="55">
        <f>_xll.EQNXTDZ($A$1,$B54,G$1,$B$1)</f>
        <v>224.3022</v>
      </c>
      <c r="H54" s="55">
        <f>_xll.EQNXTDZ($A$1,$B54,H$1,$B$1)</f>
        <v>218.4871</v>
      </c>
      <c r="I54" s="55">
        <f>_xll.EQNXTDZ($A$1,$B54,I$1,$B$1)</f>
        <v>231.7174</v>
      </c>
      <c r="J54" s="55">
        <f>_xll.EQNXTDZ($A$1,$B54,J$1,$B$1)</f>
        <v>303.23450000000003</v>
      </c>
      <c r="K54" s="55">
        <f>_xll.EQNXTDZ($A$1,$B54,K$1,$B$1)</f>
        <v>291.87029999999999</v>
      </c>
      <c r="L54" s="55">
        <f>_xll.EQNXTDZ($A$1,$B54,L$1,$B$1)</f>
        <v>425.90820000000002</v>
      </c>
      <c r="M54" s="55">
        <f>_xll.EQNXTDZ($A$1,$B54,M$1,$B$1)</f>
        <v>562.79600000000005</v>
      </c>
      <c r="N54" s="55">
        <f>_xll.EQNXTDZ($A$1,$B54,N$1,$B$1)</f>
        <v>531.60119999999995</v>
      </c>
      <c r="O54" s="55">
        <f>_xll.EQNXTDZ($A$1,$B54,O$1,$B$1)</f>
        <v>518.17970000000003</v>
      </c>
      <c r="P54" s="55">
        <f>_xll.EQNXTDZ($A$1,$B54,P$1,$B$1)</f>
        <v>788.60680000000002</v>
      </c>
      <c r="Q54" s="55">
        <f>_xll.EQNXTDZ($A$1,$B54,Q$1,$B$1)</f>
        <v>581.44000000000005</v>
      </c>
      <c r="R54" s="55">
        <f>_xll.EQNXTDZ($A$1,$B54,R$1,$B$1)</f>
        <v>714.56</v>
      </c>
      <c r="S54" s="55">
        <f>_xll.EQNXTDZ($A$1,$B54,S$1,$B$1)</f>
        <v>808.9</v>
      </c>
      <c r="T54" s="55">
        <f>_xll.EQNXTDZ($A$1,$B54,T$1,$B$1)</f>
        <v>1044.24</v>
      </c>
      <c r="U54" s="55">
        <f>_xll.EQNXTDZ($A$1,$B54,U$1,$B$1)</f>
        <v>1382.42</v>
      </c>
      <c r="V54" s="55">
        <f>_xll.EQNXTDZ($A$1,$B54,V$1,$B$1)</f>
        <v>1111.69</v>
      </c>
      <c r="W54" s="55">
        <f>_xll.EQNXTDZ($A$1,$B54,W$1,$B$1)</f>
        <v>1585.19</v>
      </c>
      <c r="X54" s="55">
        <f>_xll.EQNXTDZ($A$1,$B54,X$1,$B$1)</f>
        <v>2096.35</v>
      </c>
      <c r="Y54" s="55">
        <f>_xll.EQNXTDZ($A$1,$B54,Y$1,$B$1)</f>
        <v>2231.27</v>
      </c>
      <c r="Z54" s="55">
        <f>_xll.EQNXTDZ($A$1,$B54,Z$1,$B$1)</f>
        <v>2197.7600000000002</v>
      </c>
      <c r="AA54" s="55">
        <f>_xll.EQNXTDZ($A$1,$B54,AA$1,$B$1)</f>
        <v>2331.59</v>
      </c>
      <c r="AB54" s="55">
        <f>_xll.EQNXTDZ($A$1,$B54,AB$1,$B$1)</f>
        <v>2584.9699999999998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24.511900000000001</v>
      </c>
      <c r="D55" s="55">
        <f>_xll.EQNXTDZ($A$1,$B55,D$1,$B$1)</f>
        <v>8.6608000000000001</v>
      </c>
      <c r="E55" s="55">
        <f>_xll.EQNXTDZ($A$1,$B55,E$1,$B$1)</f>
        <v>7.8593000000000002</v>
      </c>
      <c r="F55" s="55">
        <f>_xll.EQNXTDZ($A$1,$B55,F$1,$B$1)</f>
        <v>6.1616999999999802</v>
      </c>
      <c r="G55" s="55">
        <f>_xll.EQNXTDZ($A$1,$B55,G$1,$B$1)</f>
        <v>7.8707000000000003</v>
      </c>
      <c r="H55" s="55">
        <f>_xll.EQNXTDZ($A$1,$B55,H$1,$B$1)</f>
        <v>8.5470999999999897</v>
      </c>
      <c r="I55" s="55">
        <f>_xll.EQNXTDZ($A$1,$B55,I$1,$B$1)</f>
        <v>9.1020000000000092</v>
      </c>
      <c r="J55" s="55">
        <f>_xll.EQNXTDZ($A$1,$B55,J$1,$B$1)</f>
        <v>9.7946999999999793</v>
      </c>
      <c r="K55" s="55">
        <f>_xll.EQNXTDZ($A$1,$B55,K$1,$B$1)</f>
        <v>52.994399999999999</v>
      </c>
      <c r="L55" s="55">
        <f>_xll.EQNXTDZ($A$1,$B55,L$1,$B$1)</f>
        <v>70.644300000000001</v>
      </c>
      <c r="M55" s="55">
        <f>_xll.EQNXTDZ($A$1,$B55,M$1,$B$1)</f>
        <v>354.56959999999998</v>
      </c>
      <c r="N55" s="55">
        <f>_xll.EQNXTDZ($A$1,$B55,N$1,$B$1)</f>
        <v>256.17619999999999</v>
      </c>
      <c r="O55" s="55">
        <f>_xll.EQNXTDZ($A$1,$B55,O$1,$B$1)</f>
        <v>471.13409999999999</v>
      </c>
      <c r="P55" s="55">
        <f>_xll.EQNXTDZ($A$1,$B55,P$1,$B$1)</f>
        <v>271.47719999999998</v>
      </c>
      <c r="Q55" s="55">
        <f>_xll.EQNXTDZ($A$1,$B55,Q$1,$B$1)</f>
        <v>564.09</v>
      </c>
      <c r="R55" s="55">
        <f>_xll.EQNXTDZ($A$1,$B55,R$1,$B$1)</f>
        <v>508.22</v>
      </c>
      <c r="S55" s="55">
        <f>_xll.EQNXTDZ($A$1,$B55,S$1,$B$1)</f>
        <v>635.88</v>
      </c>
      <c r="T55" s="55">
        <f>_xll.EQNXTDZ($A$1,$B55,T$1,$B$1)</f>
        <v>622.05999999999995</v>
      </c>
      <c r="U55" s="55">
        <f>_xll.EQNXTDZ($A$1,$B55,U$1,$B$1)</f>
        <v>673.08</v>
      </c>
      <c r="V55" s="55">
        <f>_xll.EQNXTDZ($A$1,$B55,V$1,$B$1)</f>
        <v>1224.43</v>
      </c>
      <c r="W55" s="55">
        <f>_xll.EQNXTDZ($A$1,$B55,W$1,$B$1)</f>
        <v>999.07</v>
      </c>
      <c r="X55" s="55">
        <f>_xll.EQNXTDZ($A$1,$B55,X$1,$B$1)</f>
        <v>1280.52</v>
      </c>
      <c r="Y55" s="55">
        <f>_xll.EQNXTDZ($A$1,$B55,Y$1,$B$1)</f>
        <v>1111.51</v>
      </c>
      <c r="Z55" s="55">
        <f>_xll.EQNXTDZ($A$1,$B55,Z$1,$B$1)</f>
        <v>1665.07</v>
      </c>
      <c r="AA55" s="55">
        <f>_xll.EQNXTDZ($A$1,$B55,AA$1,$B$1)</f>
        <v>1219.26</v>
      </c>
      <c r="AB55" s="55">
        <f>_xll.EQNXTDZ($A$1,$B55,AB$1,$B$1)</f>
        <v>1917.8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141.62450000000001</v>
      </c>
      <c r="N56" s="55">
        <f>_xll.EQNXTDZ($A$1,$B56,N$1,$B$1)</f>
        <v>373.5806</v>
      </c>
      <c r="O56" s="55">
        <f>_xll.EQNXTDZ($A$1,$B56,O$1,$B$1)</f>
        <v>242.54849999999999</v>
      </c>
      <c r="P56" s="55">
        <f>_xll.EQNXTDZ($A$1,$B56,P$1,$B$1)</f>
        <v>319.904</v>
      </c>
      <c r="Q56" s="55">
        <f>_xll.EQNXTDZ($A$1,$B56,Q$1,$B$1)</f>
        <v>236.23</v>
      </c>
      <c r="R56" s="55">
        <f>_xll.EQNXTDZ($A$1,$B56,R$1,$B$1)</f>
        <v>189.26</v>
      </c>
      <c r="S56" s="55">
        <f>_xll.EQNXTDZ($A$1,$B56,S$1,$B$1)</f>
        <v>545.57000000000005</v>
      </c>
      <c r="T56" s="55">
        <f>_xll.EQNXTDZ($A$1,$B56,T$1,$B$1)</f>
        <v>850.78</v>
      </c>
      <c r="U56" s="55">
        <f>_xll.EQNXTDZ($A$1,$B56,U$1,$B$1)</f>
        <v>1127.3900000000001</v>
      </c>
      <c r="V56" s="55">
        <f>_xll.EQNXTDZ($A$1,$B56,V$1,$B$1)</f>
        <v>955.44</v>
      </c>
      <c r="W56" s="55">
        <f>_xll.EQNXTDZ($A$1,$B56,W$1,$B$1)</f>
        <v>965.7</v>
      </c>
      <c r="X56" s="55">
        <f>_xll.EQNXTDZ($A$1,$B56,X$1,$B$1)</f>
        <v>1041.8599999999999</v>
      </c>
      <c r="Y56" s="55">
        <f>_xll.EQNXTDZ($A$1,$B56,Y$1,$B$1)</f>
        <v>1551.28</v>
      </c>
      <c r="Z56" s="55">
        <f>_xll.EQNXTDZ($A$1,$B56,Z$1,$B$1)</f>
        <v>1592.57</v>
      </c>
      <c r="AA56" s="55">
        <f>_xll.EQNXTDZ($A$1,$B56,AA$1,$B$1)</f>
        <v>1852.56</v>
      </c>
      <c r="AB56" s="55">
        <f>_xll.EQNXTDZ($A$1,$B56,AB$1,$B$1)</f>
        <v>1993.91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15.0631</v>
      </c>
      <c r="D57" s="55">
        <f>_xll.EQNXTDZ($A$1,$B57,D$1,$B$1)</f>
        <v>17.883299999999998</v>
      </c>
      <c r="E57" s="55">
        <f>_xll.EQNXTDZ($A$1,$B57,E$1,$B$1)</f>
        <v>17.058599999999998</v>
      </c>
      <c r="F57" s="55">
        <f>_xll.EQNXTDZ($A$1,$B57,F$1,$B$1)</f>
        <v>23.597300000000001</v>
      </c>
      <c r="G57" s="55">
        <f>_xll.EQNXTDZ($A$1,$B57,G$1,$B$1)</f>
        <v>37.681399999999996</v>
      </c>
      <c r="H57" s="55">
        <f>_xll.EQNXTDZ($A$1,$B57,H$1,$B$1)</f>
        <v>40.332000000000001</v>
      </c>
      <c r="I57" s="55">
        <f>_xll.EQNXTDZ($A$1,$B57,I$1,$B$1)</f>
        <v>46.275500000000001</v>
      </c>
      <c r="J57" s="55">
        <f>_xll.EQNXTDZ($A$1,$B57,J$1,$B$1)</f>
        <v>27.361000000000001</v>
      </c>
      <c r="K57" s="55">
        <f>_xll.EQNXTDZ($A$1,$B57,K$1,$B$1)</f>
        <v>18.6998</v>
      </c>
      <c r="L57" s="55">
        <f>_xll.EQNXTDZ($A$1,$B57,L$1,$B$1)</f>
        <v>30.190200000000001</v>
      </c>
      <c r="M57" s="55">
        <f>_xll.EQNXTDZ($A$1,$B57,M$1,$B$1)</f>
        <v>10.721500000000001</v>
      </c>
      <c r="N57" s="55">
        <f>_xll.EQNXTDZ($A$1,$B57,N$1,$B$1)</f>
        <v>14.7309</v>
      </c>
      <c r="O57" s="55">
        <f>_xll.EQNXTDZ($A$1,$B57,O$1,$B$1)</f>
        <v>10.2867</v>
      </c>
      <c r="P57" s="55">
        <f>_xll.EQNXTDZ($A$1,$B57,P$1,$B$1)</f>
        <v>17.135100000000001</v>
      </c>
      <c r="Q57" s="55">
        <f>_xll.EQNXTDZ($A$1,$B57,Q$1,$B$1)</f>
        <v>11.57</v>
      </c>
      <c r="R57" s="55">
        <f>_xll.EQNXTDZ($A$1,$B57,R$1,$B$1)</f>
        <v>9.15</v>
      </c>
      <c r="S57" s="55">
        <f>_xll.EQNXTDZ($A$1,$B57,S$1,$B$1)</f>
        <v>19.84</v>
      </c>
      <c r="T57" s="55">
        <f>_xll.EQNXTDZ($A$1,$B57,T$1,$B$1)</f>
        <v>15.13</v>
      </c>
      <c r="U57" s="55">
        <f>_xll.EQNXTDZ($A$1,$B57,U$1,$B$1)</f>
        <v>15.79</v>
      </c>
      <c r="V57" s="55">
        <f>_xll.EQNXTDZ($A$1,$B57,V$1,$B$1)</f>
        <v>16.37</v>
      </c>
      <c r="W57" s="55">
        <f>_xll.EQNXTDZ($A$1,$B57,W$1,$B$1)</f>
        <v>21.17</v>
      </c>
      <c r="X57" s="55">
        <f>_xll.EQNXTDZ($A$1,$B57,X$1,$B$1)</f>
        <v>21.58</v>
      </c>
      <c r="Y57" s="55">
        <f>_xll.EQNXTDZ($A$1,$B57,Y$1,$B$1)</f>
        <v>22.54</v>
      </c>
      <c r="Z57" s="55">
        <f>_xll.EQNXTDZ($A$1,$B57,Z$1,$B$1)</f>
        <v>25.37</v>
      </c>
      <c r="AA57" s="55">
        <f>_xll.EQNXTDZ($A$1,$B57,AA$1,$B$1)</f>
        <v>26.52</v>
      </c>
      <c r="AB57" s="55">
        <f>_xll.EQNXTDZ($A$1,$B57,AB$1,$B$1)</f>
        <v>26.16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169.6397</v>
      </c>
      <c r="D59" s="55">
        <f>_xll.EQNXTDZ($A$1,$B59,D$1,$B$1)</f>
        <v>149.64500000000001</v>
      </c>
      <c r="E59" s="55">
        <f>_xll.EQNXTDZ($A$1,$B59,E$1,$B$1)</f>
        <v>170.5556</v>
      </c>
      <c r="F59" s="55">
        <f>_xll.EQNXTDZ($A$1,$B59,F$1,$B$1)</f>
        <v>202.90350000000001</v>
      </c>
      <c r="G59" s="55">
        <f>_xll.EQNXTDZ($A$1,$B59,G$1,$B$1)</f>
        <v>269.85430000000002</v>
      </c>
      <c r="H59" s="55">
        <f>_xll.EQNXTDZ($A$1,$B59,H$1,$B$1)</f>
        <v>267.36619999999999</v>
      </c>
      <c r="I59" s="55">
        <f>_xll.EQNXTDZ($A$1,$B59,I$1,$B$1)</f>
        <v>287.0949</v>
      </c>
      <c r="J59" s="55">
        <f>_xll.EQNXTDZ($A$1,$B59,J$1,$B$1)</f>
        <v>340.39019999999999</v>
      </c>
      <c r="K59" s="55">
        <f>_xll.EQNXTDZ($A$1,$B59,K$1,$B$1)</f>
        <v>363.56450000000001</v>
      </c>
      <c r="L59" s="55">
        <f>_xll.EQNXTDZ($A$1,$B59,L$1,$B$1)</f>
        <v>526.74270000000001</v>
      </c>
      <c r="M59" s="55">
        <f>_xll.EQNXTDZ($A$1,$B59,M$1,$B$1)</f>
        <v>1069.7116000000001</v>
      </c>
      <c r="N59" s="55">
        <f>_xll.EQNXTDZ($A$1,$B59,N$1,$B$1)</f>
        <v>1176.0889</v>
      </c>
      <c r="O59" s="55">
        <f>_xll.EQNXTDZ($A$1,$B59,O$1,$B$1)</f>
        <v>1242.1489999999999</v>
      </c>
      <c r="P59" s="55">
        <f>_xll.EQNXTDZ($A$1,$B59,P$1,$B$1)</f>
        <v>1397.1231</v>
      </c>
      <c r="Q59" s="55">
        <f>_xll.EQNXTDZ($A$1,$B59,Q$1,$B$1)</f>
        <v>1393.33</v>
      </c>
      <c r="R59" s="55">
        <f>_xll.EQNXTDZ($A$1,$B59,R$1,$B$1)</f>
        <v>1421.19</v>
      </c>
      <c r="S59" s="55">
        <f>_xll.EQNXTDZ($A$1,$B59,S$1,$B$1)</f>
        <v>2010.19</v>
      </c>
      <c r="T59" s="55">
        <f>_xll.EQNXTDZ($A$1,$B59,T$1,$B$1)</f>
        <v>2532.21</v>
      </c>
      <c r="U59" s="55">
        <f>_xll.EQNXTDZ($A$1,$B59,U$1,$B$1)</f>
        <v>3198.68</v>
      </c>
      <c r="V59" s="55">
        <f>_xll.EQNXTDZ($A$1,$B59,V$1,$B$1)</f>
        <v>3307.93</v>
      </c>
      <c r="W59" s="55">
        <f>_xll.EQNXTDZ($A$1,$B59,W$1,$B$1)</f>
        <v>3571.13</v>
      </c>
      <c r="X59" s="55">
        <f>_xll.EQNXTDZ($A$1,$B59,X$1,$B$1)</f>
        <v>4440.3100000000004</v>
      </c>
      <c r="Y59" s="55">
        <f>_xll.EQNXTDZ($A$1,$B59,Y$1,$B$1)</f>
        <v>4916.6000000000004</v>
      </c>
      <c r="Z59" s="55">
        <f>_xll.EQNXTDZ($A$1,$B59,Z$1,$B$1)</f>
        <v>5480.77</v>
      </c>
      <c r="AA59" s="55">
        <f>_xll.EQNXTDZ($A$1,$B59,AA$1,$B$1)</f>
        <v>5429.93</v>
      </c>
      <c r="AB59" s="55">
        <f>_xll.EQNXTDZ($A$1,$B59,AB$1,$B$1)</f>
        <v>6522.84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1067.5456999999999</v>
      </c>
      <c r="D60" s="55">
        <f>_xll.EQNXTDZ($A$1,$B60,D$1,$B$1)</f>
        <v>914.86680000000001</v>
      </c>
      <c r="E60" s="55">
        <f>_xll.EQNXTDZ($A$1,$B60,E$1,$B$1)</f>
        <v>884.7826</v>
      </c>
      <c r="F60" s="55">
        <f>_xll.EQNXTDZ($A$1,$B60,F$1,$B$1)</f>
        <v>953.16449999999998</v>
      </c>
      <c r="G60" s="55">
        <f>_xll.EQNXTDZ($A$1,$B60,G$1,$B$1)</f>
        <v>1277.9327000000001</v>
      </c>
      <c r="H60" s="55">
        <f>_xll.EQNXTDZ($A$1,$B60,H$1,$B$1)</f>
        <v>1551.4908</v>
      </c>
      <c r="I60" s="55">
        <f>_xll.EQNXTDZ($A$1,$B60,I$1,$B$1)</f>
        <v>1738.4274</v>
      </c>
      <c r="J60" s="55">
        <f>_xll.EQNXTDZ($A$1,$B60,J$1,$B$1)</f>
        <v>1933.8109999999999</v>
      </c>
      <c r="K60" s="55">
        <f>_xll.EQNXTDZ($A$1,$B60,K$1,$B$1)</f>
        <v>2544.2455</v>
      </c>
      <c r="L60" s="55">
        <f>_xll.EQNXTDZ($A$1,$B60,L$1,$B$1)</f>
        <v>3023.6336000000001</v>
      </c>
      <c r="M60" s="55">
        <f>_xll.EQNXTDZ($A$1,$B60,M$1,$B$1)</f>
        <v>3548.4522000000002</v>
      </c>
      <c r="N60" s="55">
        <f>_xll.EQNXTDZ($A$1,$B60,N$1,$B$1)</f>
        <v>3968.0448999999999</v>
      </c>
      <c r="O60" s="55">
        <f>_xll.EQNXTDZ($A$1,$B60,O$1,$B$1)</f>
        <v>4574.5343000000003</v>
      </c>
      <c r="P60" s="55">
        <f>_xll.EQNXTDZ($A$1,$B60,P$1,$B$1)</f>
        <v>5468.7457000000004</v>
      </c>
      <c r="Q60" s="55">
        <f>_xll.EQNXTDZ($A$1,$B60,Q$1,$B$1)</f>
        <v>5883.13</v>
      </c>
      <c r="R60" s="55">
        <f>_xll.EQNXTDZ($A$1,$B60,R$1,$B$1)</f>
        <v>6423.94</v>
      </c>
      <c r="S60" s="55">
        <f>_xll.EQNXTDZ($A$1,$B60,S$1,$B$1)</f>
        <v>6968.33</v>
      </c>
      <c r="T60" s="55">
        <f>_xll.EQNXTDZ($A$1,$B60,T$1,$B$1)</f>
        <v>8363.01</v>
      </c>
      <c r="U60" s="55">
        <f>_xll.EQNXTDZ($A$1,$B60,U$1,$B$1)</f>
        <v>9887.9</v>
      </c>
      <c r="V60" s="55">
        <f>_xll.EQNXTDZ($A$1,$B60,V$1,$B$1)</f>
        <v>10862.5</v>
      </c>
      <c r="W60" s="55">
        <f>_xll.EQNXTDZ($A$1,$B60,W$1,$B$1)</f>
        <v>12911.27</v>
      </c>
      <c r="X60" s="55">
        <f>_xll.EQNXTDZ($A$1,$B60,X$1,$B$1)</f>
        <v>15765.01</v>
      </c>
      <c r="Y60" s="55">
        <f>_xll.EQNXTDZ($A$1,$B60,Y$1,$B$1)</f>
        <v>18735.87</v>
      </c>
      <c r="Z60" s="55">
        <f>_xll.EQNXTDZ($A$1,$B60,Z$1,$B$1)</f>
        <v>20454.38</v>
      </c>
      <c r="AA60" s="55">
        <f>_xll.EQNXTDZ($A$1,$B60,AA$1,$B$1)</f>
        <v>21521.39</v>
      </c>
      <c r="AB60" s="55">
        <f>_xll.EQNXTDZ($A$1,$B60,AB$1,$B$1)</f>
        <v>24096.6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852.42499999999995</v>
      </c>
      <c r="D62" s="55">
        <f>_xll.EQNXTDZ($A$1,$B62,D$1,$B$1)</f>
        <v>1038.6621</v>
      </c>
      <c r="E62" s="55">
        <f>_xll.EQNXTDZ($A$1,$B62,E$1,$B$1)</f>
        <v>1056.3925999999999</v>
      </c>
      <c r="F62" s="55">
        <f>_xll.EQNXTDZ($A$1,$B62,F$1,$B$1)</f>
        <v>1058.0618999999999</v>
      </c>
      <c r="G62" s="55">
        <f>_xll.EQNXTDZ($A$1,$B62,G$1,$B$1)</f>
        <v>1325.3696</v>
      </c>
      <c r="H62" s="55">
        <f>_xll.EQNXTDZ($A$1,$B62,H$1,$B$1)</f>
        <v>1510.3630000000001</v>
      </c>
      <c r="I62" s="55">
        <f>_xll.EQNXTDZ($A$1,$B62,I$1,$B$1)</f>
        <v>1783.8287</v>
      </c>
      <c r="J62" s="55">
        <f>_xll.EQNXTDZ($A$1,$B62,J$1,$B$1)</f>
        <v>1957.7474999999999</v>
      </c>
      <c r="K62" s="55">
        <f>_xll.EQNXTDZ($A$1,$B62,K$1,$B$1)</f>
        <v>2963.4830000000002</v>
      </c>
      <c r="L62" s="55">
        <f>_xll.EQNXTDZ($A$1,$B62,L$1,$B$1)</f>
        <v>3482.4405999999999</v>
      </c>
      <c r="M62" s="55">
        <f>_xll.EQNXTDZ($A$1,$B62,M$1,$B$1)</f>
        <v>3791.2075</v>
      </c>
      <c r="N62" s="55">
        <f>_xll.EQNXTDZ($A$1,$B62,N$1,$B$1)</f>
        <v>4149.2726000000002</v>
      </c>
      <c r="O62" s="55">
        <f>_xll.EQNXTDZ($A$1,$B62,O$1,$B$1)</f>
        <v>4759.5465000000004</v>
      </c>
      <c r="P62" s="55">
        <f>_xll.EQNXTDZ($A$1,$B62,P$1,$B$1)</f>
        <v>6116.4646000000002</v>
      </c>
      <c r="Q62" s="55">
        <f>_xll.EQNXTDZ($A$1,$B62,Q$1,$B$1)</f>
        <v>6680.8</v>
      </c>
      <c r="R62" s="55">
        <f>_xll.EQNXTDZ($A$1,$B62,R$1,$B$1)</f>
        <v>4385.67</v>
      </c>
      <c r="S62" s="55">
        <f>_xll.EQNXTDZ($A$1,$B62,S$1,$B$1)</f>
        <v>4963.0600000000004</v>
      </c>
      <c r="T62" s="55">
        <f>_xll.EQNXTDZ($A$1,$B62,T$1,$B$1)</f>
        <v>5992.75</v>
      </c>
      <c r="U62" s="55">
        <f>_xll.EQNXTDZ($A$1,$B62,U$1,$B$1)</f>
        <v>6837.08</v>
      </c>
      <c r="V62" s="55">
        <f>_xll.EQNXTDZ($A$1,$B62,V$1,$B$1)</f>
        <v>7941.18</v>
      </c>
      <c r="W62" s="55">
        <f>_xll.EQNXTDZ($A$1,$B62,W$1,$B$1)</f>
        <v>9855.7900000000009</v>
      </c>
      <c r="X62" s="55">
        <f>_xll.EQNXTDZ($A$1,$B62,X$1,$B$1)</f>
        <v>10899.73</v>
      </c>
      <c r="Y62" s="55">
        <f>_xll.EQNXTDZ($A$1,$B62,Y$1,$B$1)</f>
        <v>13062.61</v>
      </c>
      <c r="Z62" s="55">
        <f>_xll.EQNXTDZ($A$1,$B62,Z$1,$B$1)</f>
        <v>16864.13</v>
      </c>
      <c r="AA62" s="55">
        <f>_xll.EQNXTDZ($A$1,$B62,AA$1,$B$1)</f>
        <v>18125.98</v>
      </c>
      <c r="AB62" s="55">
        <f>_xll.EQNXTDZ($A$1,$B62,AB$1,$B$1)</f>
        <v>19228.96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354.97879999999998</v>
      </c>
      <c r="D63" s="55">
        <f>_xll.EQNXTDZ($A$1,$B63,D$1,$B$1)</f>
        <v>404.98410000000001</v>
      </c>
      <c r="E63" s="55">
        <f>_xll.EQNXTDZ($A$1,$B63,E$1,$B$1)</f>
        <v>468.17349999999999</v>
      </c>
      <c r="F63" s="55">
        <f>_xll.EQNXTDZ($A$1,$B63,F$1,$B$1)</f>
        <v>508.27460000000002</v>
      </c>
      <c r="G63" s="55">
        <f>_xll.EQNXTDZ($A$1,$B63,G$1,$B$1)</f>
        <v>570.31899999999996</v>
      </c>
      <c r="H63" s="55">
        <f>_xll.EQNXTDZ($A$1,$B63,H$1,$B$1)</f>
        <v>623.78279999999995</v>
      </c>
      <c r="I63" s="55">
        <f>_xll.EQNXTDZ($A$1,$B63,I$1,$B$1)</f>
        <v>708.71429999999998</v>
      </c>
      <c r="J63" s="55">
        <f>_xll.EQNXTDZ($A$1,$B63,J$1,$B$1)</f>
        <v>791.98159999999996</v>
      </c>
      <c r="K63" s="55">
        <f>_xll.EQNXTDZ($A$1,$B63,K$1,$B$1)</f>
        <v>1387.1898000000001</v>
      </c>
      <c r="L63" s="55">
        <f>_xll.EQNXTDZ($A$1,$B63,L$1,$B$1)</f>
        <v>1538.8963000000001</v>
      </c>
      <c r="M63" s="55">
        <f>_xll.EQNXTDZ($A$1,$B63,M$1,$B$1)</f>
        <v>1755.4342999999999</v>
      </c>
      <c r="N63" s="55">
        <f>_xll.EQNXTDZ($A$1,$B63,N$1,$B$1)</f>
        <v>2071.2918</v>
      </c>
      <c r="O63" s="55">
        <f>_xll.EQNXTDZ($A$1,$B63,O$1,$B$1)</f>
        <v>2419.7136</v>
      </c>
      <c r="P63" s="55">
        <f>_xll.EQNXTDZ($A$1,$B63,P$1,$B$1)</f>
        <v>2564.7928000000002</v>
      </c>
      <c r="Q63" s="55">
        <f>_xll.EQNXTDZ($A$1,$B63,Q$1,$B$1)</f>
        <v>2758.47</v>
      </c>
      <c r="R63" s="55">
        <f>_xll.EQNXTDZ($A$1,$B63,R$1,$B$1)</f>
        <v>273.14999999999998</v>
      </c>
      <c r="S63" s="55">
        <f>_xll.EQNXTDZ($A$1,$B63,S$1,$B$1)</f>
        <v>558.15</v>
      </c>
      <c r="T63" s="55">
        <f>_xll.EQNXTDZ($A$1,$B63,T$1,$B$1)</f>
        <v>871.16</v>
      </c>
      <c r="U63" s="55">
        <f>_xll.EQNXTDZ($A$1,$B63,U$1,$B$1)</f>
        <v>1227.69</v>
      </c>
      <c r="V63" s="55">
        <f>_xll.EQNXTDZ($A$1,$B63,V$1,$B$1)</f>
        <v>1573.59</v>
      </c>
      <c r="W63" s="55">
        <f>_xll.EQNXTDZ($A$1,$B63,W$1,$B$1)</f>
        <v>2028.83</v>
      </c>
      <c r="X63" s="55">
        <f>_xll.EQNXTDZ($A$1,$B63,X$1,$B$1)</f>
        <v>2474.44</v>
      </c>
      <c r="Y63" s="55">
        <f>_xll.EQNXTDZ($A$1,$B63,Y$1,$B$1)</f>
        <v>3012.81</v>
      </c>
      <c r="Z63" s="55">
        <f>_xll.EQNXTDZ($A$1,$B63,Z$1,$B$1)</f>
        <v>3622.51</v>
      </c>
      <c r="AA63" s="55">
        <f>_xll.EQNXTDZ($A$1,$B63,AA$1,$B$1)</f>
        <v>4406.1899999999996</v>
      </c>
      <c r="AB63" s="55">
        <f>_xll.EQNXTDZ($A$1,$B63,AB$1,$B$1)</f>
        <v>5303.31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0.91620000000000001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497.44619999999998</v>
      </c>
      <c r="D65" s="55">
        <f>_xll.EQNXTDZ($A$1,$B65,D$1,$B$1)</f>
        <v>633.678</v>
      </c>
      <c r="E65" s="55">
        <f>_xll.EQNXTDZ($A$1,$B65,E$1,$B$1)</f>
        <v>588.21910000000003</v>
      </c>
      <c r="F65" s="55">
        <f>_xll.EQNXTDZ($A$1,$B65,F$1,$B$1)</f>
        <v>549.78729999999996</v>
      </c>
      <c r="G65" s="55">
        <f>_xll.EQNXTDZ($A$1,$B65,G$1,$B$1)</f>
        <v>755.05060000000003</v>
      </c>
      <c r="H65" s="55">
        <f>_xll.EQNXTDZ($A$1,$B65,H$1,$B$1)</f>
        <v>886.58019999999999</v>
      </c>
      <c r="I65" s="55">
        <f>_xll.EQNXTDZ($A$1,$B65,I$1,$B$1)</f>
        <v>1075.1143999999999</v>
      </c>
      <c r="J65" s="55">
        <f>_xll.EQNXTDZ($A$1,$B65,J$1,$B$1)</f>
        <v>1165.7659000000001</v>
      </c>
      <c r="K65" s="55">
        <f>_xll.EQNXTDZ($A$1,$B65,K$1,$B$1)</f>
        <v>1576.2932000000001</v>
      </c>
      <c r="L65" s="55">
        <f>_xll.EQNXTDZ($A$1,$B65,L$1,$B$1)</f>
        <v>1943.5443</v>
      </c>
      <c r="M65" s="55">
        <f>_xll.EQNXTDZ($A$1,$B65,M$1,$B$1)</f>
        <v>2035.7732000000001</v>
      </c>
      <c r="N65" s="55">
        <f>_xll.EQNXTDZ($A$1,$B65,N$1,$B$1)</f>
        <v>2077.9807999999998</v>
      </c>
      <c r="O65" s="55">
        <f>_xll.EQNXTDZ($A$1,$B65,O$1,$B$1)</f>
        <v>2339.8328999999999</v>
      </c>
      <c r="P65" s="55">
        <f>_xll.EQNXTDZ($A$1,$B65,P$1,$B$1)</f>
        <v>3550.7556</v>
      </c>
      <c r="Q65" s="55">
        <f>_xll.EQNXTDZ($A$1,$B65,Q$1,$B$1)</f>
        <v>3922.33</v>
      </c>
      <c r="R65" s="55">
        <f>_xll.EQNXTDZ($A$1,$B65,R$1,$B$1)</f>
        <v>4112.5200000000004</v>
      </c>
      <c r="S65" s="55">
        <f>_xll.EQNXTDZ($A$1,$B65,S$1,$B$1)</f>
        <v>4404.91</v>
      </c>
      <c r="T65" s="55">
        <f>_xll.EQNXTDZ($A$1,$B65,T$1,$B$1)</f>
        <v>5121.59</v>
      </c>
      <c r="U65" s="55">
        <f>_xll.EQNXTDZ($A$1,$B65,U$1,$B$1)</f>
        <v>5609.39</v>
      </c>
      <c r="V65" s="55">
        <f>_xll.EQNXTDZ($A$1,$B65,V$1,$B$1)</f>
        <v>6367.59</v>
      </c>
      <c r="W65" s="55">
        <f>_xll.EQNXTDZ($A$1,$B65,W$1,$B$1)</f>
        <v>7826.96</v>
      </c>
      <c r="X65" s="55">
        <f>_xll.EQNXTDZ($A$1,$B65,X$1,$B$1)</f>
        <v>8425.2900000000009</v>
      </c>
      <c r="Y65" s="55">
        <f>_xll.EQNXTDZ($A$1,$B65,Y$1,$B$1)</f>
        <v>10049.799999999999</v>
      </c>
      <c r="Z65" s="55">
        <f>_xll.EQNXTDZ($A$1,$B65,Z$1,$B$1)</f>
        <v>13241.62</v>
      </c>
      <c r="AA65" s="55">
        <f>_xll.EQNXTDZ($A$1,$B65,AA$1,$B$1)</f>
        <v>13719.79</v>
      </c>
      <c r="AB65" s="55">
        <f>_xll.EQNXTDZ($A$1,$B65,AB$1,$B$1)</f>
        <v>13925.65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36.641399999999997</v>
      </c>
      <c r="D67" s="55">
        <f>_xll.EQNXTDZ($A$1,$B67,D$1,$B$1)</f>
        <v>4.2309000000000001</v>
      </c>
      <c r="E67" s="55">
        <f>_xll.EQNXTDZ($A$1,$B67,E$1,$B$1)</f>
        <v>2.9300999999999999</v>
      </c>
      <c r="F67" s="55">
        <f>_xll.EQNXTDZ($A$1,$B67,F$1,$B$1)</f>
        <v>67.551500000000004</v>
      </c>
      <c r="G67" s="55">
        <f>_xll.EQNXTDZ($A$1,$B67,G$1,$B$1)</f>
        <v>107.69540000000001</v>
      </c>
      <c r="H67" s="55">
        <f>_xll.EQNXTDZ($A$1,$B67,H$1,$B$1)</f>
        <v>245.50980000000001</v>
      </c>
      <c r="I67" s="55">
        <f>_xll.EQNXTDZ($A$1,$B67,I$1,$B$1)</f>
        <v>114.49850000000001</v>
      </c>
      <c r="J67" s="55">
        <f>_xll.EQNXTDZ($A$1,$B67,J$1,$B$1)</f>
        <v>89.348299999999995</v>
      </c>
      <c r="K67" s="55">
        <f>_xll.EQNXTDZ($A$1,$B67,K$1,$B$1)</f>
        <v>255.79929999999999</v>
      </c>
      <c r="L67" s="55">
        <f>_xll.EQNXTDZ($A$1,$B67,L$1,$B$1)</f>
        <v>125.9941</v>
      </c>
      <c r="M67" s="55">
        <f>_xll.EQNXTDZ($A$1,$B67,M$1,$B$1)</f>
        <v>92.853300000000004</v>
      </c>
      <c r="N67" s="55">
        <f>_xll.EQNXTDZ($A$1,$B67,N$1,$B$1)</f>
        <v>377.28160000000003</v>
      </c>
      <c r="O67" s="55">
        <f>_xll.EQNXTDZ($A$1,$B67,O$1,$B$1)</f>
        <v>500.74599999999998</v>
      </c>
      <c r="P67" s="55">
        <f>_xll.EQNXTDZ($A$1,$B67,P$1,$B$1)</f>
        <v>110.5063</v>
      </c>
      <c r="Q67" s="55">
        <f>_xll.EQNXTDZ($A$1,$B67,Q$1,$B$1)</f>
        <v>101.97</v>
      </c>
      <c r="R67" s="55">
        <f>_xll.EQNXTDZ($A$1,$B67,R$1,$B$1)</f>
        <v>113.23</v>
      </c>
      <c r="S67" s="55">
        <f>_xll.EQNXTDZ($A$1,$B67,S$1,$B$1)</f>
        <v>258.58</v>
      </c>
      <c r="T67" s="55">
        <f>_xll.EQNXTDZ($A$1,$B67,T$1,$B$1)</f>
        <v>558.80999999999995</v>
      </c>
      <c r="U67" s="55">
        <f>_xll.EQNXTDZ($A$1,$B67,U$1,$B$1)</f>
        <v>753.61</v>
      </c>
      <c r="V67" s="55">
        <f>_xll.EQNXTDZ($A$1,$B67,V$1,$B$1)</f>
        <v>1393.29</v>
      </c>
      <c r="W67" s="55">
        <f>_xll.EQNXTDZ($A$1,$B67,W$1,$B$1)</f>
        <v>772.26</v>
      </c>
      <c r="X67" s="55">
        <f>_xll.EQNXTDZ($A$1,$B67,X$1,$B$1)</f>
        <v>1671.63</v>
      </c>
      <c r="Y67" s="55">
        <f>_xll.EQNXTDZ($A$1,$B67,Y$1,$B$1)</f>
        <v>2405.54</v>
      </c>
      <c r="Z67" s="55">
        <f>_xll.EQNXTDZ($A$1,$B67,Z$1,$B$1)</f>
        <v>805.33</v>
      </c>
      <c r="AA67" s="55">
        <f>_xll.EQNXTDZ($A$1,$B67,AA$1,$B$1)</f>
        <v>811.02</v>
      </c>
      <c r="AB67" s="55">
        <f>_xll.EQNXTDZ($A$1,$B67,AB$1,$B$1)</f>
        <v>1889.41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7.5026999999999999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26.789300000000001</v>
      </c>
      <c r="L69" s="55">
        <f>_xll.EQNXTDZ($A$1,$B69,L$1,$B$1)</f>
        <v>6.5228000000000002</v>
      </c>
      <c r="M69" s="55">
        <f>_xll.EQNXTDZ($A$1,$B69,M$1,$B$1)</f>
        <v>20.217300000000002</v>
      </c>
      <c r="N69" s="55">
        <f>_xll.EQNXTDZ($A$1,$B69,N$1,$B$1)</f>
        <v>40.194400000000002</v>
      </c>
      <c r="O69" s="55">
        <f>_xll.EQNXTDZ($A$1,$B69,O$1,$B$1)</f>
        <v>64.632099999999994</v>
      </c>
      <c r="P69" s="55">
        <f>_xll.EQNXTDZ($A$1,$B69,P$1,$B$1)</f>
        <v>1.6105</v>
      </c>
      <c r="Q69" s="55">
        <f>_xll.EQNXTDZ($A$1,$B69,Q$1,$B$1)</f>
        <v>2.15</v>
      </c>
      <c r="R69" s="55">
        <f>_xll.EQNXTDZ($A$1,$B69,R$1,$B$1)</f>
        <v>4.21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171.4111</v>
      </c>
      <c r="D71" s="55">
        <f>_xll.EQNXTDZ($A$1,$B71,D$1,$B$1)</f>
        <v>11.9359</v>
      </c>
      <c r="E71" s="55">
        <f>_xll.EQNXTDZ($A$1,$B71,E$1,$B$1)</f>
        <v>4.3023999999999996</v>
      </c>
      <c r="F71" s="55">
        <f>_xll.EQNXTDZ($A$1,$B71,F$1,$B$1)</f>
        <v>15.8696</v>
      </c>
      <c r="G71" s="55">
        <f>_xll.EQNXTDZ($A$1,$B71,G$1,$B$1)</f>
        <v>10.371499999999999</v>
      </c>
      <c r="H71" s="55">
        <f>_xll.EQNXTDZ($A$1,$B71,H$1,$B$1)</f>
        <v>7.0670999999999999</v>
      </c>
      <c r="I71" s="55">
        <f>_xll.EQNXTDZ($A$1,$B71,I$1,$B$1)</f>
        <v>8.5464000000000002</v>
      </c>
      <c r="J71" s="55">
        <f>_xll.EQNXTDZ($A$1,$B71,J$1,$B$1)</f>
        <v>9.9608000000000008</v>
      </c>
      <c r="K71" s="55">
        <f>_xll.EQNXTDZ($A$1,$B71,K$1,$B$1)</f>
        <v>6.3011000000000097</v>
      </c>
      <c r="L71" s="55">
        <f>_xll.EQNXTDZ($A$1,$B71,L$1,$B$1)</f>
        <v>6.9668999999999999</v>
      </c>
      <c r="M71" s="55">
        <f>_xll.EQNXTDZ($A$1,$B71,M$1,$B$1)</f>
        <v>5.8013000000000003</v>
      </c>
      <c r="N71" s="55">
        <f>_xll.EQNXTDZ($A$1,$B71,N$1,$B$1)</f>
        <v>6.3013000000000003</v>
      </c>
      <c r="O71" s="55">
        <f>_xll.EQNXTDZ($A$1,$B71,O$1,$B$1)</f>
        <v>9.7652999999999999</v>
      </c>
      <c r="P71" s="55">
        <f>_xll.EQNXTDZ($A$1,$B71,P$1,$B$1)</f>
        <v>10.115399999999999</v>
      </c>
      <c r="Q71" s="55">
        <f>_xll.EQNXTDZ($A$1,$B71,Q$1,$B$1)</f>
        <v>0.05</v>
      </c>
      <c r="R71" s="55">
        <f>_xll.EQNXTDZ($A$1,$B71,R$1,$B$1)</f>
        <v>4.33</v>
      </c>
      <c r="S71" s="55">
        <f>_xll.EQNXTDZ($A$1,$B71,S$1,$B$1)</f>
        <v>25.12</v>
      </c>
      <c r="T71" s="55">
        <f>_xll.EQNXTDZ($A$1,$B71,T$1,$B$1)</f>
        <v>0.12</v>
      </c>
      <c r="U71" s="55">
        <f>_xll.EQNXTDZ($A$1,$B71,U$1,$B$1)</f>
        <v>0.11</v>
      </c>
      <c r="V71" s="55">
        <f>_xll.EQNXTDZ($A$1,$B71,V$1,$B$1)</f>
        <v>4.16</v>
      </c>
      <c r="W71" s="55">
        <f>_xll.EQNXTDZ($A$1,$B71,W$1,$B$1)</f>
        <v>4.16</v>
      </c>
      <c r="X71" s="55">
        <f>_xll.EQNXTDZ($A$1,$B71,X$1,$B$1)</f>
        <v>4.16</v>
      </c>
      <c r="Y71" s="55">
        <f>_xll.EQNXTDZ($A$1,$B71,Y$1,$B$1)</f>
        <v>4.16</v>
      </c>
      <c r="Z71" s="55">
        <f>_xll.EQNXTDZ($A$1,$B71,Z$1,$B$1)</f>
        <v>121.12</v>
      </c>
      <c r="AA71" s="55">
        <f>_xll.EQNXTDZ($A$1,$B71,AA$1,$B$1)</f>
        <v>122.76</v>
      </c>
      <c r="AB71" s="55">
        <f>_xll.EQNXTDZ($A$1,$B71,AB$1,$B$1)</f>
        <v>124.07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61.521299999999997</v>
      </c>
      <c r="N72" s="55">
        <f>_xll.EQNXTDZ($A$1,$B72,N$1,$B$1)</f>
        <v>124.2467</v>
      </c>
      <c r="O72" s="55">
        <f>_xll.EQNXTDZ($A$1,$B72,O$1,$B$1)</f>
        <v>149.191</v>
      </c>
      <c r="P72" s="55">
        <f>_xll.EQNXTDZ($A$1,$B72,P$1,$B$1)</f>
        <v>71.854200000000006</v>
      </c>
      <c r="Q72" s="55">
        <f>_xll.EQNXTDZ($A$1,$B72,Q$1,$B$1)</f>
        <v>130.97</v>
      </c>
      <c r="R72" s="55">
        <f>_xll.EQNXTDZ($A$1,$B72,R$1,$B$1)</f>
        <v>110</v>
      </c>
      <c r="S72" s="55">
        <f>_xll.EQNXTDZ($A$1,$B72,S$1,$B$1)</f>
        <v>100.72</v>
      </c>
      <c r="T72" s="55">
        <f>_xll.EQNXTDZ($A$1,$B72,T$1,$B$1)</f>
        <v>139.66999999999999</v>
      </c>
      <c r="U72" s="55">
        <f>_xll.EQNXTDZ($A$1,$B72,U$1,$B$1)</f>
        <v>196.11</v>
      </c>
      <c r="V72" s="55">
        <f>_xll.EQNXTDZ($A$1,$B72,V$1,$B$1)</f>
        <v>174.92</v>
      </c>
      <c r="W72" s="55">
        <f>_xll.EQNXTDZ($A$1,$B72,W$1,$B$1)</f>
        <v>323.91000000000003</v>
      </c>
      <c r="X72" s="55">
        <f>_xll.EQNXTDZ($A$1,$B72,X$1,$B$1)</f>
        <v>301.89999999999998</v>
      </c>
      <c r="Y72" s="55">
        <f>_xll.EQNXTDZ($A$1,$B72,Y$1,$B$1)</f>
        <v>484.64</v>
      </c>
      <c r="Z72" s="55">
        <f>_xll.EQNXTDZ($A$1,$B72,Z$1,$B$1)</f>
        <v>481.65</v>
      </c>
      <c r="AA72" s="55">
        <f>_xll.EQNXTDZ($A$1,$B72,AA$1,$B$1)</f>
        <v>496.54</v>
      </c>
      <c r="AB72" s="55">
        <f>_xll.EQNXTDZ($A$1,$B72,AB$1,$B$1)</f>
        <v>765.21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2.4841000000000002</v>
      </c>
      <c r="N73" s="55">
        <f>_xll.EQNXTDZ($A$1,$B73,N$1,$B$1)</f>
        <v>3.4649999999999999</v>
      </c>
      <c r="O73" s="55">
        <f>_xll.EQNXTDZ($A$1,$B73,O$1,$B$1)</f>
        <v>9.2013999999999996</v>
      </c>
      <c r="P73" s="55">
        <f>_xll.EQNXTDZ($A$1,$B73,P$1,$B$1)</f>
        <v>8.7935999999999996</v>
      </c>
      <c r="Q73" s="55">
        <f>_xll.EQNXTDZ($A$1,$B73,Q$1,$B$1)</f>
        <v>9.34</v>
      </c>
      <c r="R73" s="55">
        <f>_xll.EQNXTDZ($A$1,$B73,R$1,$B$1)</f>
        <v>96</v>
      </c>
      <c r="S73" s="55">
        <f>_xll.EQNXTDZ($A$1,$B73,S$1,$B$1)</f>
        <v>99.56</v>
      </c>
      <c r="T73" s="55">
        <f>_xll.EQNXTDZ($A$1,$B73,T$1,$B$1)</f>
        <v>116.93</v>
      </c>
      <c r="U73" s="55">
        <f>_xll.EQNXTDZ($A$1,$B73,U$1,$B$1)</f>
        <v>156.38999999999999</v>
      </c>
      <c r="V73" s="55">
        <f>_xll.EQNXTDZ($A$1,$B73,V$1,$B$1)</f>
        <v>16.34</v>
      </c>
      <c r="W73" s="55">
        <f>_xll.EQNXTDZ($A$1,$B73,W$1,$B$1)</f>
        <v>45.06</v>
      </c>
      <c r="X73" s="55">
        <f>_xll.EQNXTDZ($A$1,$B73,X$1,$B$1)</f>
        <v>107.71</v>
      </c>
      <c r="Y73" s="55">
        <f>_xll.EQNXTDZ($A$1,$B73,Y$1,$B$1)</f>
        <v>16.78</v>
      </c>
      <c r="Z73" s="55">
        <f>_xll.EQNXTDZ($A$1,$B73,Z$1,$B$1)</f>
        <v>155.37</v>
      </c>
      <c r="AA73" s="55">
        <f>_xll.EQNXTDZ($A$1,$B73,AA$1,$B$1)</f>
        <v>241.73</v>
      </c>
      <c r="AB73" s="55">
        <f>_xll.EQNXTDZ($A$1,$B73,AB$1,$B$1)</f>
        <v>194.65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705.49869999999999</v>
      </c>
      <c r="D74" s="55">
        <f>_xll.EQNXTDZ($A$1,$B74,D$1,$B$1)</f>
        <v>649.84479999999996</v>
      </c>
      <c r="E74" s="55">
        <f>_xll.EQNXTDZ($A$1,$B74,E$1,$B$1)</f>
        <v>595.45159999999998</v>
      </c>
      <c r="F74" s="55">
        <f>_xll.EQNXTDZ($A$1,$B74,F$1,$B$1)</f>
        <v>633.20839999999998</v>
      </c>
      <c r="G74" s="55">
        <f>_xll.EQNXTDZ($A$1,$B74,G$1,$B$1)</f>
        <v>880.62019999999995</v>
      </c>
      <c r="H74" s="55">
        <f>_xll.EQNXTDZ($A$1,$B74,H$1,$B$1)</f>
        <v>1139.1570999999999</v>
      </c>
      <c r="I74" s="55">
        <f>_xll.EQNXTDZ($A$1,$B74,I$1,$B$1)</f>
        <v>1198.1593</v>
      </c>
      <c r="J74" s="55">
        <f>_xll.EQNXTDZ($A$1,$B74,J$1,$B$1)</f>
        <v>1265.075</v>
      </c>
      <c r="K74" s="55">
        <f>_xll.EQNXTDZ($A$1,$B74,K$1,$B$1)</f>
        <v>1865.1829</v>
      </c>
      <c r="L74" s="55">
        <f>_xll.EQNXTDZ($A$1,$B74,L$1,$B$1)</f>
        <v>2083.0281</v>
      </c>
      <c r="M74" s="55">
        <f>_xll.EQNXTDZ($A$1,$B74,M$1,$B$1)</f>
        <v>2218.6505000000002</v>
      </c>
      <c r="N74" s="55">
        <f>_xll.EQNXTDZ($A$1,$B74,N$1,$B$1)</f>
        <v>2629.4697999999999</v>
      </c>
      <c r="O74" s="55">
        <f>_xll.EQNXTDZ($A$1,$B74,O$1,$B$1)</f>
        <v>3073.3687</v>
      </c>
      <c r="P74" s="55">
        <f>_xll.EQNXTDZ($A$1,$B74,P$1,$B$1)</f>
        <v>3753.6356000000001</v>
      </c>
      <c r="Q74" s="55">
        <f>_xll.EQNXTDZ($A$1,$B74,Q$1,$B$1)</f>
        <v>4166.8100000000004</v>
      </c>
      <c r="R74" s="55">
        <f>_xll.EQNXTDZ($A$1,$B74,R$1,$B$1)</f>
        <v>4440.29</v>
      </c>
      <c r="S74" s="55">
        <f>_xll.EQNXTDZ($A$1,$B74,S$1,$B$1)</f>
        <v>4888.8900000000003</v>
      </c>
      <c r="T74" s="55">
        <f>_xll.EQNXTDZ($A$1,$B74,T$1,$B$1)</f>
        <v>5937.12</v>
      </c>
      <c r="U74" s="55">
        <f>_xll.EQNXTDZ($A$1,$B74,U$1,$B$1)</f>
        <v>6715.61</v>
      </c>
      <c r="V74" s="55">
        <f>_xll.EQNXTDZ($A$1,$B74,V$1,$B$1)</f>
        <v>7956.3</v>
      </c>
      <c r="W74" s="55">
        <f>_xll.EQNXTDZ($A$1,$B74,W$1,$B$1)</f>
        <v>8972.35</v>
      </c>
      <c r="X74" s="55">
        <f>_xll.EQNXTDZ($A$1,$B74,X$1,$B$1)</f>
        <v>10510.69</v>
      </c>
      <c r="Y74" s="55">
        <f>_xll.EQNXTDZ($A$1,$B74,Y$1,$B$1)</f>
        <v>12960.92</v>
      </c>
      <c r="Z74" s="55">
        <f>_xll.EQNXTDZ($A$1,$B74,Z$1,$B$1)</f>
        <v>14805.09</v>
      </c>
      <c r="AA74" s="55">
        <f>_xll.EQNXTDZ($A$1,$B74,AA$1,$B$1)</f>
        <v>15391.84</v>
      </c>
      <c r="AB74" s="55">
        <f>_xll.EQNXTDZ($A$1,$B74,AB$1,$B$1)</f>
        <v>16898.990000000002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3.7233999999999998</v>
      </c>
      <c r="D75" s="55">
        <f>_xll.EQNXTDZ($A$1,$B75,D$1,$B$1)</f>
        <v>1.7887</v>
      </c>
      <c r="E75" s="55">
        <f>_xll.EQNXTDZ($A$1,$B75,E$1,$B$1)</f>
        <v>1.5281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0.14510000000000001</v>
      </c>
      <c r="J75" s="55">
        <f>_xll.EQNXTDZ($A$1,$B75,J$1,$B$1)</f>
        <v>47.151499999999999</v>
      </c>
      <c r="K75" s="55">
        <f>_xll.EQNXTDZ($A$1,$B75,K$1,$B$1)</f>
        <v>36.169899999999998</v>
      </c>
      <c r="L75" s="55">
        <f>_xll.EQNXTDZ($A$1,$B75,L$1,$B$1)</f>
        <v>0.15640000000000001</v>
      </c>
      <c r="M75" s="55">
        <f>_xll.EQNXTDZ($A$1,$B75,M$1,$B$1)</f>
        <v>110.3507</v>
      </c>
      <c r="N75" s="55">
        <f>_xll.EQNXTDZ($A$1,$B75,N$1,$B$1)</f>
        <v>134.2123</v>
      </c>
      <c r="O75" s="55">
        <f>_xll.EQNXTDZ($A$1,$B75,O$1,$B$1)</f>
        <v>141.4633</v>
      </c>
      <c r="P75" s="55">
        <f>_xll.EQNXTDZ($A$1,$B75,P$1,$B$1)</f>
        <v>26.4802</v>
      </c>
      <c r="Q75" s="55">
        <f>_xll.EQNXTDZ($A$1,$B75,Q$1,$B$1)</f>
        <v>94.22</v>
      </c>
      <c r="R75" s="55">
        <f>_xll.EQNXTDZ($A$1,$B75,R$1,$B$1)</f>
        <v>160.6</v>
      </c>
      <c r="S75" s="55">
        <f>_xll.EQNXTDZ($A$1,$B75,S$1,$B$1)</f>
        <v>170.76</v>
      </c>
      <c r="T75" s="55">
        <f>_xll.EQNXTDZ($A$1,$B75,T$1,$B$1)</f>
        <v>121.7</v>
      </c>
      <c r="U75" s="55">
        <f>_xll.EQNXTDZ($A$1,$B75,U$1,$B$1)</f>
        <v>100.49</v>
      </c>
      <c r="V75" s="55">
        <f>_xll.EQNXTDZ($A$1,$B75,V$1,$B$1)</f>
        <v>198.5</v>
      </c>
      <c r="W75" s="55">
        <f>_xll.EQNXTDZ($A$1,$B75,W$1,$B$1)</f>
        <v>412.52</v>
      </c>
      <c r="X75" s="55">
        <f>_xll.EQNXTDZ($A$1,$B75,X$1,$B$1)</f>
        <v>316.74</v>
      </c>
      <c r="Y75" s="55">
        <f>_xll.EQNXTDZ($A$1,$B75,Y$1,$B$1)</f>
        <v>490.05</v>
      </c>
      <c r="Z75" s="55">
        <f>_xll.EQNXTDZ($A$1,$B75,Z$1,$B$1)</f>
        <v>405.58</v>
      </c>
      <c r="AA75" s="55">
        <f>_xll.EQNXTDZ($A$1,$B75,AA$1,$B$1)</f>
        <v>704.53</v>
      </c>
      <c r="AB75" s="55">
        <f>_xll.EQNXTDZ($A$1,$B75,AB$1,$B$1)</f>
        <v>563.29999999999995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85.622299999999996</v>
      </c>
      <c r="D76" s="55">
        <f>_xll.EQNXTDZ($A$1,$B76,D$1,$B$1)</f>
        <v>93.287300000000002</v>
      </c>
      <c r="E76" s="55">
        <f>_xll.EQNXTDZ($A$1,$B76,E$1,$B$1)</f>
        <v>122.96210000000001</v>
      </c>
      <c r="F76" s="55">
        <f>_xll.EQNXTDZ($A$1,$B76,F$1,$B$1)</f>
        <v>106.9965</v>
      </c>
      <c r="G76" s="55">
        <f>_xll.EQNXTDZ($A$1,$B76,G$1,$B$1)</f>
        <v>201.3058</v>
      </c>
      <c r="H76" s="55">
        <f>_xll.EQNXTDZ($A$1,$B76,H$1,$B$1)</f>
        <v>175.714</v>
      </c>
      <c r="I76" s="55">
        <f>_xll.EQNXTDZ($A$1,$B76,I$1,$B$1)</f>
        <v>200.47710000000001</v>
      </c>
      <c r="J76" s="55">
        <f>_xll.EQNXTDZ($A$1,$B76,J$1,$B$1)</f>
        <v>250.5018</v>
      </c>
      <c r="K76" s="55">
        <f>_xll.EQNXTDZ($A$1,$B76,K$1,$B$1)</f>
        <v>248.68549999999999</v>
      </c>
      <c r="L76" s="55">
        <f>_xll.EQNXTDZ($A$1,$B76,L$1,$B$1)</f>
        <v>307.2758</v>
      </c>
      <c r="M76" s="55">
        <f>_xll.EQNXTDZ($A$1,$B76,M$1,$B$1)</f>
        <v>504.05720000000002</v>
      </c>
      <c r="N76" s="55">
        <f>_xll.EQNXTDZ($A$1,$B76,N$1,$B$1)</f>
        <v>487.65789999999998</v>
      </c>
      <c r="O76" s="55">
        <f>_xll.EQNXTDZ($A$1,$B76,O$1,$B$1)</f>
        <v>563.22550000000001</v>
      </c>
      <c r="P76" s="55">
        <f>_xll.EQNXTDZ($A$1,$B76,P$1,$B$1)</f>
        <v>746.40290000000005</v>
      </c>
      <c r="Q76" s="55">
        <f>_xll.EQNXTDZ($A$1,$B76,Q$1,$B$1)</f>
        <v>763.5</v>
      </c>
      <c r="R76" s="55">
        <f>_xll.EQNXTDZ($A$1,$B76,R$1,$B$1)</f>
        <v>671.05</v>
      </c>
      <c r="S76" s="55">
        <f>_xll.EQNXTDZ($A$1,$B76,S$1,$B$1)</f>
        <v>838.14</v>
      </c>
      <c r="T76" s="55">
        <f>_xll.EQNXTDZ($A$1,$B76,T$1,$B$1)</f>
        <v>958.18</v>
      </c>
      <c r="U76" s="55">
        <f>_xll.EQNXTDZ($A$1,$B76,U$1,$B$1)</f>
        <v>1224.74</v>
      </c>
      <c r="V76" s="55">
        <f>_xll.EQNXTDZ($A$1,$B76,V$1,$B$1)</f>
        <v>1201.23</v>
      </c>
      <c r="W76" s="55">
        <f>_xll.EQNXTDZ($A$1,$B76,W$1,$B$1)</f>
        <v>1465.82</v>
      </c>
      <c r="X76" s="55">
        <f>_xll.EQNXTDZ($A$1,$B76,X$1,$B$1)</f>
        <v>2138.4699999999998</v>
      </c>
      <c r="Y76" s="55">
        <f>_xll.EQNXTDZ($A$1,$B76,Y$1,$B$1)</f>
        <v>2274.29</v>
      </c>
      <c r="Z76" s="55">
        <f>_xll.EQNXTDZ($A$1,$B76,Z$1,$B$1)</f>
        <v>2326.4699999999998</v>
      </c>
      <c r="AA76" s="55">
        <f>_xll.EQNXTDZ($A$1,$B76,AA$1,$B$1)</f>
        <v>2348.9699999999998</v>
      </c>
      <c r="AB76" s="55">
        <f>_xll.EQNXTDZ($A$1,$B76,AB$1,$B$1)</f>
        <v>2788.64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90.807699999999997</v>
      </c>
      <c r="D77" s="55">
        <f>_xll.EQNXTDZ($A$1,$B77,D$1,$B$1)</f>
        <v>96.230199999999996</v>
      </c>
      <c r="E77" s="55">
        <f>_xll.EQNXTDZ($A$1,$B77,E$1,$B$1)</f>
        <v>84.2029</v>
      </c>
      <c r="F77" s="55">
        <f>_xll.EQNXTDZ($A$1,$B77,F$1,$B$1)</f>
        <v>102.47199999999999</v>
      </c>
      <c r="G77" s="55">
        <f>_xll.EQNXTDZ($A$1,$B77,G$1,$B$1)</f>
        <v>102.42319999999999</v>
      </c>
      <c r="H77" s="55">
        <f>_xll.EQNXTDZ($A$1,$B77,H$1,$B$1)</f>
        <v>128.9699</v>
      </c>
      <c r="I77" s="55">
        <f>_xll.EQNXTDZ($A$1,$B77,I$1,$B$1)</f>
        <v>215.54839999999999</v>
      </c>
      <c r="J77" s="55">
        <f>_xll.EQNXTDZ($A$1,$B77,J$1,$B$1)</f>
        <v>244.9922</v>
      </c>
      <c r="K77" s="55">
        <f>_xll.EQNXTDZ($A$1,$B77,K$1,$B$1)</f>
        <v>248.59610000000001</v>
      </c>
      <c r="L77" s="55">
        <f>_xll.EQNXTDZ($A$1,$B77,L$1,$B$1)</f>
        <v>360.95440000000002</v>
      </c>
      <c r="M77" s="55">
        <f>_xll.EQNXTDZ($A$1,$B77,M$1,$B$1)</f>
        <v>491.8313</v>
      </c>
      <c r="N77" s="55">
        <f>_xll.EQNXTDZ($A$1,$B77,N$1,$B$1)</f>
        <v>483.73180000000002</v>
      </c>
      <c r="O77" s="55">
        <f>_xll.EQNXTDZ($A$1,$B77,O$1,$B$1)</f>
        <v>508.6893</v>
      </c>
      <c r="P77" s="55">
        <f>_xll.EQNXTDZ($A$1,$B77,P$1,$B$1)</f>
        <v>691.49109999999996</v>
      </c>
      <c r="Q77" s="55">
        <f>_xll.EQNXTDZ($A$1,$B77,Q$1,$B$1)</f>
        <v>610.66</v>
      </c>
      <c r="R77" s="55">
        <f>_xll.EQNXTDZ($A$1,$B77,R$1,$B$1)</f>
        <v>514.48</v>
      </c>
      <c r="S77" s="55">
        <f>_xll.EQNXTDZ($A$1,$B77,S$1,$B$1)</f>
        <v>656.89</v>
      </c>
      <c r="T77" s="55">
        <f>_xll.EQNXTDZ($A$1,$B77,T$1,$B$1)</f>
        <v>680.65</v>
      </c>
      <c r="U77" s="55">
        <f>_xll.EQNXTDZ($A$1,$B77,U$1,$B$1)</f>
        <v>1028.75</v>
      </c>
      <c r="V77" s="55">
        <f>_xll.EQNXTDZ($A$1,$B77,V$1,$B$1)</f>
        <v>891.07</v>
      </c>
      <c r="W77" s="55">
        <f>_xll.EQNXTDZ($A$1,$B77,W$1,$B$1)</f>
        <v>1274.56</v>
      </c>
      <c r="X77" s="55">
        <f>_xll.EQNXTDZ($A$1,$B77,X$1,$B$1)</f>
        <v>1792.45</v>
      </c>
      <c r="Y77" s="55">
        <f>_xll.EQNXTDZ($A$1,$B77,Y$1,$B$1)</f>
        <v>1785.62</v>
      </c>
      <c r="Z77" s="55">
        <f>_xll.EQNXTDZ($A$1,$B77,Z$1,$B$1)</f>
        <v>1942.82</v>
      </c>
      <c r="AA77" s="55">
        <f>_xll.EQNXTDZ($A$1,$B77,AA$1,$B$1)</f>
        <v>2169.46</v>
      </c>
      <c r="AB77" s="55">
        <f>_xll.EQNXTDZ($A$1,$B77,AB$1,$B$1)</f>
        <v>2561.6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21.325299999999999</v>
      </c>
      <c r="D78" s="55">
        <f>_xll.EQNXTDZ($A$1,$B78,D$1,$B$1)</f>
        <v>21.5777</v>
      </c>
      <c r="E78" s="55">
        <f>_xll.EQNXTDZ($A$1,$B78,E$1,$B$1)</f>
        <v>30.645499999999998</v>
      </c>
      <c r="F78" s="55">
        <f>_xll.EQNXTDZ($A$1,$B78,F$1,$B$1)</f>
        <v>55.816499999999998</v>
      </c>
      <c r="G78" s="55">
        <f>_xll.EQNXTDZ($A$1,$B78,G$1,$B$1)</f>
        <v>10.8499</v>
      </c>
      <c r="H78" s="55">
        <f>_xll.EQNXTDZ($A$1,$B78,H$1,$B$1)</f>
        <v>10.149800000000001</v>
      </c>
      <c r="I78" s="55">
        <f>_xll.EQNXTDZ($A$1,$B78,I$1,$B$1)</f>
        <v>20.436699999999998</v>
      </c>
      <c r="J78" s="55">
        <f>_xll.EQNXTDZ($A$1,$B78,J$1,$B$1)</f>
        <v>22.5641</v>
      </c>
      <c r="K78" s="55">
        <f>_xll.EQNXTDZ($A$1,$B78,K$1,$B$1)</f>
        <v>8.9588999999999999</v>
      </c>
      <c r="L78" s="55">
        <f>_xll.EQNXTDZ($A$1,$B78,L$1,$B$1)</f>
        <v>90.402100000000004</v>
      </c>
      <c r="M78" s="55">
        <f>_xll.EQNXTDZ($A$1,$B78,M$1,$B$1)</f>
        <v>90.247299999999996</v>
      </c>
      <c r="N78" s="55">
        <f>_xll.EQNXTDZ($A$1,$B78,N$1,$B$1)</f>
        <v>140.07839999999999</v>
      </c>
      <c r="O78" s="55">
        <f>_xll.EQNXTDZ($A$1,$B78,O$1,$B$1)</f>
        <v>190.97460000000001</v>
      </c>
      <c r="P78" s="55">
        <f>_xll.EQNXTDZ($A$1,$B78,P$1,$B$1)</f>
        <v>82.458699999999993</v>
      </c>
      <c r="Q78" s="55">
        <f>_xll.EQNXTDZ($A$1,$B78,Q$1,$B$1)</f>
        <v>107.3</v>
      </c>
      <c r="R78" s="55">
        <f>_xll.EQNXTDZ($A$1,$B78,R$1,$B$1)</f>
        <v>389.23</v>
      </c>
      <c r="S78" s="55">
        <f>_xll.EQNXTDZ($A$1,$B78,S$1,$B$1)</f>
        <v>96.12</v>
      </c>
      <c r="T78" s="55">
        <f>_xll.EQNXTDZ($A$1,$B78,T$1,$B$1)</f>
        <v>96.74</v>
      </c>
      <c r="U78" s="55">
        <f>_xll.EQNXTDZ($A$1,$B78,U$1,$B$1)</f>
        <v>198.88</v>
      </c>
      <c r="V78" s="55">
        <f>_xll.EQNXTDZ($A$1,$B78,V$1,$B$1)</f>
        <v>125.47</v>
      </c>
      <c r="W78" s="55">
        <f>_xll.EQNXTDZ($A$1,$B78,W$1,$B$1)</f>
        <v>282</v>
      </c>
      <c r="X78" s="55">
        <f>_xll.EQNXTDZ($A$1,$B78,X$1,$B$1)</f>
        <v>459.35</v>
      </c>
      <c r="Y78" s="55">
        <f>_xll.EQNXTDZ($A$1,$B78,Y$1,$B$1)</f>
        <v>616.46</v>
      </c>
      <c r="Z78" s="55">
        <f>_xll.EQNXTDZ($A$1,$B78,Z$1,$B$1)</f>
        <v>407.54</v>
      </c>
      <c r="AA78" s="55">
        <f>_xll.EQNXTDZ($A$1,$B78,AA$1,$B$1)</f>
        <v>353.75</v>
      </c>
      <c r="AB78" s="55">
        <f>_xll.EQNXTDZ($A$1,$B78,AB$1,$B$1)</f>
        <v>610.96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2.0672000000000001</v>
      </c>
      <c r="D79" s="55">
        <f>_xll.EQNXTDZ($A$1,$B79,D$1,$B$1)</f>
        <v>2.6322000000000001</v>
      </c>
      <c r="E79" s="55">
        <f>_xll.EQNXTDZ($A$1,$B79,E$1,$B$1)</f>
        <v>3.3915000000000002</v>
      </c>
      <c r="F79" s="55">
        <f>_xll.EQNXTDZ($A$1,$B79,F$1,$B$1)</f>
        <v>1.7177</v>
      </c>
      <c r="G79" s="55">
        <f>_xll.EQNXTDZ($A$1,$B79,G$1,$B$1)</f>
        <v>2.0577999999999999</v>
      </c>
      <c r="H79" s="55">
        <f>_xll.EQNXTDZ($A$1,$B79,H$1,$B$1)</f>
        <v>8.5557999999999996</v>
      </c>
      <c r="I79" s="55">
        <f>_xll.EQNXTDZ($A$1,$B79,I$1,$B$1)</f>
        <v>2.1715</v>
      </c>
      <c r="J79" s="55">
        <f>_xll.EQNXTDZ($A$1,$B79,J$1,$B$1)</f>
        <v>8.5182000000000002</v>
      </c>
      <c r="K79" s="55">
        <f>_xll.EQNXTDZ($A$1,$B79,K$1,$B$1)</f>
        <v>11.565300000000001</v>
      </c>
      <c r="L79" s="55">
        <f>_xll.EQNXTDZ($A$1,$B79,L$1,$B$1)</f>
        <v>14.195499999999999</v>
      </c>
      <c r="M79" s="55">
        <f>_xll.EQNXTDZ($A$1,$B79,M$1,$B$1)</f>
        <v>25.216899999999999</v>
      </c>
      <c r="N79" s="55">
        <f>_xll.EQNXTDZ($A$1,$B79,N$1,$B$1)</f>
        <v>23.645299999999999</v>
      </c>
      <c r="O79" s="55">
        <f>_xll.EQNXTDZ($A$1,$B79,O$1,$B$1)</f>
        <v>33.823799999999999</v>
      </c>
      <c r="P79" s="55">
        <f>_xll.EQNXTDZ($A$1,$B79,P$1,$B$1)</f>
        <v>45.051200000000001</v>
      </c>
      <c r="Q79" s="55">
        <f>_xll.EQNXTDZ($A$1,$B79,Q$1,$B$1)</f>
        <v>32.950000000000003</v>
      </c>
      <c r="R79" s="55">
        <f>_xll.EQNXTDZ($A$1,$B79,R$1,$B$1)</f>
        <v>115.9</v>
      </c>
      <c r="S79" s="55">
        <f>_xll.EQNXTDZ($A$1,$B79,S$1,$B$1)</f>
        <v>139.26</v>
      </c>
      <c r="T79" s="55">
        <f>_xll.EQNXTDZ($A$1,$B79,T$1,$B$1)</f>
        <v>199.6</v>
      </c>
      <c r="U79" s="55">
        <f>_xll.EQNXTDZ($A$1,$B79,U$1,$B$1)</f>
        <v>248.92</v>
      </c>
      <c r="V79" s="55">
        <f>_xll.EQNXTDZ($A$1,$B79,V$1,$B$1)</f>
        <v>253.46</v>
      </c>
      <c r="W79" s="55">
        <f>_xll.EQNXTDZ($A$1,$B79,W$1,$B$1)</f>
        <v>290.18</v>
      </c>
      <c r="X79" s="55">
        <f>_xll.EQNXTDZ($A$1,$B79,X$1,$B$1)</f>
        <v>273.56</v>
      </c>
      <c r="Y79" s="55">
        <f>_xll.EQNXTDZ($A$1,$B79,Y$1,$B$1)</f>
        <v>290.67</v>
      </c>
      <c r="Z79" s="55">
        <f>_xll.EQNXTDZ($A$1,$B79,Z$1,$B$1)</f>
        <v>260.70999999999998</v>
      </c>
      <c r="AA79" s="55">
        <f>_xll.EQNXTDZ($A$1,$B79,AA$1,$B$1)</f>
        <v>175.7</v>
      </c>
      <c r="AB79" s="55">
        <f>_xll.EQNXTDZ($A$1,$B79,AB$1,$B$1)</f>
        <v>235.46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158.50110000000001</v>
      </c>
      <c r="D80" s="55">
        <f>_xll.EQNXTDZ($A$1,$B80,D$1,$B$1)</f>
        <v>47.938899999999997</v>
      </c>
      <c r="E80" s="55">
        <f>_xll.EQNXTDZ($A$1,$B80,E$1,$B$1)</f>
        <v>45.929299999999998</v>
      </c>
      <c r="F80" s="55">
        <f>_xll.EQNXTDZ($A$1,$B80,F$1,$B$1)</f>
        <v>52.953400000000002</v>
      </c>
      <c r="G80" s="55">
        <f>_xll.EQNXTDZ($A$1,$B80,G$1,$B$1)</f>
        <v>80.675799999999995</v>
      </c>
      <c r="H80" s="55">
        <f>_xll.EQNXTDZ($A$1,$B80,H$1,$B$1)</f>
        <v>88.944199999999995</v>
      </c>
      <c r="I80" s="55">
        <f>_xll.EQNXTDZ($A$1,$B80,I$1,$B$1)</f>
        <v>101.4893</v>
      </c>
      <c r="J80" s="55">
        <f>_xll.EQNXTDZ($A$1,$B80,J$1,$B$1)</f>
        <v>95.004099999999994</v>
      </c>
      <c r="K80" s="55">
        <f>_xll.EQNXTDZ($A$1,$B80,K$1,$B$1)</f>
        <v>125.0869</v>
      </c>
      <c r="L80" s="55">
        <f>_xll.EQNXTDZ($A$1,$B80,L$1,$B$1)</f>
        <v>167.62129999999999</v>
      </c>
      <c r="M80" s="55">
        <f>_xll.EQNXTDZ($A$1,$B80,M$1,$B$1)</f>
        <v>108.09829999999999</v>
      </c>
      <c r="N80" s="55">
        <f>_xll.EQNXTDZ($A$1,$B80,N$1,$B$1)</f>
        <v>69.249399999999994</v>
      </c>
      <c r="O80" s="55">
        <f>_xll.EQNXTDZ($A$1,$B80,O$1,$B$1)</f>
        <v>62.989100000000001</v>
      </c>
      <c r="P80" s="55">
        <f>_xll.EQNXTDZ($A$1,$B80,P$1,$B$1)</f>
        <v>123.226</v>
      </c>
      <c r="Q80" s="55">
        <f>_xll.EQNXTDZ($A$1,$B80,Q$1,$B$1)</f>
        <v>107.69</v>
      </c>
      <c r="R80" s="55">
        <f>_xll.EQNXTDZ($A$1,$B80,R$1,$B$1)</f>
        <v>132.38999999999999</v>
      </c>
      <c r="S80" s="55">
        <f>_xll.EQNXTDZ($A$1,$B80,S$1,$B$1)</f>
        <v>178.27</v>
      </c>
      <c r="T80" s="55">
        <f>_xll.EQNXTDZ($A$1,$B80,T$1,$B$1)</f>
        <v>369.02</v>
      </c>
      <c r="U80" s="55">
        <f>_xll.EQNXTDZ($A$1,$B80,U$1,$B$1)</f>
        <v>370.51</v>
      </c>
      <c r="V80" s="55">
        <f>_xll.EQNXTDZ($A$1,$B80,V$1,$B$1)</f>
        <v>224.63</v>
      </c>
      <c r="W80" s="55">
        <f>_xll.EQNXTDZ($A$1,$B80,W$1,$B$1)</f>
        <v>213.84</v>
      </c>
      <c r="X80" s="55">
        <f>_xll.EQNXTDZ($A$1,$B80,X$1,$B$1)</f>
        <v>270.75</v>
      </c>
      <c r="Y80" s="55">
        <f>_xll.EQNXTDZ($A$1,$B80,Y$1,$B$1)</f>
        <v>317.86</v>
      </c>
      <c r="Z80" s="55">
        <f>_xll.EQNXTDZ($A$1,$B80,Z$1,$B$1)</f>
        <v>306.17</v>
      </c>
      <c r="AA80" s="55">
        <f>_xll.EQNXTDZ($A$1,$B80,AA$1,$B$1)</f>
        <v>377.14</v>
      </c>
      <c r="AB80" s="55">
        <f>_xll.EQNXTDZ($A$1,$B80,AB$1,$B$1)</f>
        <v>437.65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11.84</v>
      </c>
      <c r="W81" s="55">
        <f>_xll.EQNXTDZ($A$1,$B81,W$1,$B$1)</f>
        <v>0</v>
      </c>
      <c r="X81" s="55">
        <f>_xll.EQNXTDZ($A$1,$B81,X$1,$B$1)</f>
        <v>3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362.04700000000003</v>
      </c>
      <c r="D82" s="55">
        <f>_xll.EQNXTDZ($A$1,$B82,D$1,$B$1)</f>
        <v>263.45499999999998</v>
      </c>
      <c r="E82" s="55">
        <f>_xll.EQNXTDZ($A$1,$B82,E$1,$B$1)</f>
        <v>288.65940000000001</v>
      </c>
      <c r="F82" s="55">
        <f>_xll.EQNXTDZ($A$1,$B82,F$1,$B$1)</f>
        <v>319.95609999999999</v>
      </c>
      <c r="G82" s="55">
        <f>_xll.EQNXTDZ($A$1,$B82,G$1,$B$1)</f>
        <v>397.3125</v>
      </c>
      <c r="H82" s="55">
        <f>_xll.EQNXTDZ($A$1,$B82,H$1,$B$1)</f>
        <v>412.33370000000002</v>
      </c>
      <c r="I82" s="55">
        <f>_xll.EQNXTDZ($A$1,$B82,I$1,$B$1)</f>
        <v>540.2681</v>
      </c>
      <c r="J82" s="55">
        <f>_xll.EQNXTDZ($A$1,$B82,J$1,$B$1)</f>
        <v>668.7319</v>
      </c>
      <c r="K82" s="55">
        <f>_xll.EQNXTDZ($A$1,$B82,K$1,$B$1)</f>
        <v>679.06259999999997</v>
      </c>
      <c r="L82" s="55">
        <f>_xll.EQNXTDZ($A$1,$B82,L$1,$B$1)</f>
        <v>940.60550000000001</v>
      </c>
      <c r="M82" s="55">
        <f>_xll.EQNXTDZ($A$1,$B82,M$1,$B$1)</f>
        <v>1329.8017</v>
      </c>
      <c r="N82" s="55">
        <f>_xll.EQNXTDZ($A$1,$B82,N$1,$B$1)</f>
        <v>1338.5751</v>
      </c>
      <c r="O82" s="55">
        <f>_xll.EQNXTDZ($A$1,$B82,O$1,$B$1)</f>
        <v>1501.1656</v>
      </c>
      <c r="P82" s="55">
        <f>_xll.EQNXTDZ($A$1,$B82,P$1,$B$1)</f>
        <v>1715.1101000000001</v>
      </c>
      <c r="Q82" s="55">
        <f>_xll.EQNXTDZ($A$1,$B82,Q$1,$B$1)</f>
        <v>1716.32</v>
      </c>
      <c r="R82" s="55">
        <f>_xll.EQNXTDZ($A$1,$B82,R$1,$B$1)</f>
        <v>1983.65</v>
      </c>
      <c r="S82" s="55">
        <f>_xll.EQNXTDZ($A$1,$B82,S$1,$B$1)</f>
        <v>2079.44</v>
      </c>
      <c r="T82" s="55">
        <f>_xll.EQNXTDZ($A$1,$B82,T$1,$B$1)</f>
        <v>2425.89</v>
      </c>
      <c r="U82" s="55">
        <f>_xll.EQNXTDZ($A$1,$B82,U$1,$B$1)</f>
        <v>3172.29</v>
      </c>
      <c r="V82" s="55">
        <f>_xll.EQNXTDZ($A$1,$B82,V$1,$B$1)</f>
        <v>2894.36</v>
      </c>
      <c r="W82" s="55">
        <f>_xll.EQNXTDZ($A$1,$B82,W$1,$B$1)</f>
        <v>3938.92</v>
      </c>
      <c r="X82" s="55">
        <f>_xll.EQNXTDZ($A$1,$B82,X$1,$B$1)</f>
        <v>5251.32</v>
      </c>
      <c r="Y82" s="55">
        <f>_xll.EQNXTDZ($A$1,$B82,Y$1,$B$1)</f>
        <v>5774.95</v>
      </c>
      <c r="Z82" s="55">
        <f>_xll.EQNXTDZ($A$1,$B82,Z$1,$B$1)</f>
        <v>5649.29</v>
      </c>
      <c r="AA82" s="55">
        <f>_xll.EQNXTDZ($A$1,$B82,AA$1,$B$1)</f>
        <v>6129.55</v>
      </c>
      <c r="AB82" s="55">
        <f>_xll.EQNXTDZ($A$1,$B82,AB$1,$B$1)</f>
        <v>7197.61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1.5669999999999999</v>
      </c>
      <c r="E83" s="55">
        <f>_xll.EQNXTDZ($A$1,$B83,E$1,$B$1)</f>
        <v>0.67159999999999997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4.1000000000000003E-3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1067.5456999999999</v>
      </c>
      <c r="D84" s="55">
        <f>_xll.EQNXTDZ($A$1,$B84,D$1,$B$1)</f>
        <v>914.86680000000001</v>
      </c>
      <c r="E84" s="55">
        <f>_xll.EQNXTDZ($A$1,$B84,E$1,$B$1)</f>
        <v>884.7826</v>
      </c>
      <c r="F84" s="55">
        <f>_xll.EQNXTDZ($A$1,$B84,F$1,$B$1)</f>
        <v>953.16449999999998</v>
      </c>
      <c r="G84" s="55">
        <f>_xll.EQNXTDZ($A$1,$B84,G$1,$B$1)</f>
        <v>1277.9327000000001</v>
      </c>
      <c r="H84" s="55">
        <f>_xll.EQNXTDZ($A$1,$B84,H$1,$B$1)</f>
        <v>1551.4908</v>
      </c>
      <c r="I84" s="55">
        <f>_xll.EQNXTDZ($A$1,$B84,I$1,$B$1)</f>
        <v>1738.4274</v>
      </c>
      <c r="J84" s="55">
        <f>_xll.EQNXTDZ($A$1,$B84,J$1,$B$1)</f>
        <v>1933.8109999999999</v>
      </c>
      <c r="K84" s="55">
        <f>_xll.EQNXTDZ($A$1,$B84,K$1,$B$1)</f>
        <v>2544.2455</v>
      </c>
      <c r="L84" s="55">
        <f>_xll.EQNXTDZ($A$1,$B84,L$1,$B$1)</f>
        <v>3023.6336000000001</v>
      </c>
      <c r="M84" s="55">
        <f>_xll.EQNXTDZ($A$1,$B84,M$1,$B$1)</f>
        <v>3548.4522000000002</v>
      </c>
      <c r="N84" s="55">
        <f>_xll.EQNXTDZ($A$1,$B84,N$1,$B$1)</f>
        <v>3968.0448999999999</v>
      </c>
      <c r="O84" s="55">
        <f>_xll.EQNXTDZ($A$1,$B84,O$1,$B$1)</f>
        <v>4574.5343000000003</v>
      </c>
      <c r="P84" s="55">
        <f>_xll.EQNXTDZ($A$1,$B84,P$1,$B$1)</f>
        <v>5468.7457000000004</v>
      </c>
      <c r="Q84" s="55">
        <f>_xll.EQNXTDZ($A$1,$B84,Q$1,$B$1)</f>
        <v>5883.13</v>
      </c>
      <c r="R84" s="55">
        <f>_xll.EQNXTDZ($A$1,$B84,R$1,$B$1)</f>
        <v>6423.94</v>
      </c>
      <c r="S84" s="55">
        <f>_xll.EQNXTDZ($A$1,$B84,S$1,$B$1)</f>
        <v>6968.33</v>
      </c>
      <c r="T84" s="55">
        <f>_xll.EQNXTDZ($A$1,$B84,T$1,$B$1)</f>
        <v>8363.01</v>
      </c>
      <c r="U84" s="55">
        <f>_xll.EQNXTDZ($A$1,$B84,U$1,$B$1)</f>
        <v>9887.9</v>
      </c>
      <c r="V84" s="55">
        <f>_xll.EQNXTDZ($A$1,$B84,V$1,$B$1)</f>
        <v>10862.5</v>
      </c>
      <c r="W84" s="55">
        <f>_xll.EQNXTDZ($A$1,$B84,W$1,$B$1)</f>
        <v>12911.27</v>
      </c>
      <c r="X84" s="55">
        <f>_xll.EQNXTDZ($A$1,$B84,X$1,$B$1)</f>
        <v>15765.01</v>
      </c>
      <c r="Y84" s="55">
        <f>_xll.EQNXTDZ($A$1,$B84,Y$1,$B$1)</f>
        <v>18735.87</v>
      </c>
      <c r="Z84" s="55">
        <f>_xll.EQNXTDZ($A$1,$B84,Z$1,$B$1)</f>
        <v>20454.38</v>
      </c>
      <c r="AA84" s="55">
        <f>_xll.EQNXTDZ($A$1,$B84,AA$1,$B$1)</f>
        <v>21521.39</v>
      </c>
      <c r="AB84" s="55">
        <f>_xll.EQNXTDZ($A$1,$B84,AB$1,$B$1)</f>
        <v>24096.6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161.3663</v>
      </c>
      <c r="D85" s="55">
        <f>_xll.EQNXTDZ($A$1,$B85,D$1,$B$1)</f>
        <v>127.7633</v>
      </c>
      <c r="E85" s="55">
        <f>_xll.EQNXTDZ($A$1,$B85,E$1,$B$1)</f>
        <v>123.52760000000001</v>
      </c>
      <c r="F85" s="55">
        <f>_xll.EQNXTDZ($A$1,$B85,F$1,$B$1)</f>
        <v>111.3031</v>
      </c>
      <c r="G85" s="55">
        <f>_xll.EQNXTDZ($A$1,$B85,G$1,$B$1)</f>
        <v>168.58840000000001</v>
      </c>
      <c r="H85" s="55">
        <f>_xll.EQNXTDZ($A$1,$B85,H$1,$B$1)</f>
        <v>197.66139999999999</v>
      </c>
      <c r="I85" s="55">
        <f>_xll.EQNXTDZ($A$1,$B85,I$1,$B$1)</f>
        <v>138.04179999999999</v>
      </c>
      <c r="J85" s="55">
        <f>_xll.EQNXTDZ($A$1,$B85,J$1,$B$1)</f>
        <v>115.2988</v>
      </c>
      <c r="K85" s="55">
        <f>_xll.EQNXTDZ($A$1,$B85,K$1,$B$1)</f>
        <v>114.29940000000001</v>
      </c>
      <c r="L85" s="55">
        <f>_xll.EQNXTDZ($A$1,$B85,L$1,$B$1)</f>
        <v>114.06910000000001</v>
      </c>
      <c r="M85" s="55">
        <f>_xll.EQNXTDZ($A$1,$B85,M$1,$B$1)</f>
        <v>123.2415</v>
      </c>
      <c r="N85" s="55">
        <f>_xll.EQNXTDZ($A$1,$B85,N$1,$B$1)</f>
        <v>130.43690000000001</v>
      </c>
      <c r="O85" s="55">
        <f>_xll.EQNXTDZ($A$1,$B85,O$1,$B$1)</f>
        <v>217.8862</v>
      </c>
      <c r="P85" s="55">
        <f>_xll.EQNXTDZ($A$1,$B85,P$1,$B$1)</f>
        <v>333.58350000000002</v>
      </c>
      <c r="Q85" s="55">
        <f>_xll.EQNXTDZ($A$1,$B85,Q$1,$B$1)</f>
        <v>360.27</v>
      </c>
      <c r="R85" s="55">
        <f>_xll.EQNXTDZ($A$1,$B85,R$1,$B$1)</f>
        <v>471.35</v>
      </c>
      <c r="S85" s="55">
        <f>_xll.EQNXTDZ($A$1,$B85,S$1,$B$1)</f>
        <v>782.74</v>
      </c>
      <c r="T85" s="55">
        <f>_xll.EQNXTDZ($A$1,$B85,T$1,$B$1)</f>
        <v>147.97999999999999</v>
      </c>
      <c r="U85" s="55">
        <f>_xll.EQNXTDZ($A$1,$B85,U$1,$B$1)</f>
        <v>107.16</v>
      </c>
      <c r="V85" s="55">
        <f>_xll.EQNXTDZ($A$1,$B85,V$1,$B$1)</f>
        <v>58.05</v>
      </c>
      <c r="W85" s="55">
        <f>_xll.EQNXTDZ($A$1,$B85,W$1,$B$1)</f>
        <v>60.42</v>
      </c>
      <c r="X85" s="55">
        <f>_xll.EQNXTDZ($A$1,$B85,X$1,$B$1)</f>
        <v>79.95</v>
      </c>
      <c r="Y85" s="55">
        <f>_xll.EQNXTDZ($A$1,$B85,Y$1,$B$1)</f>
        <v>280.58999999999997</v>
      </c>
      <c r="Z85" s="55">
        <f>_xll.EQNXTDZ($A$1,$B85,Z$1,$B$1)</f>
        <v>292.38</v>
      </c>
      <c r="AA85" s="55">
        <f>_xll.EQNXTDZ($A$1,$B85,AA$1,$B$1)</f>
        <v>466.35</v>
      </c>
      <c r="AB85" s="55">
        <f>_xll.EQNXTDZ($A$1,$B85,AB$1,$B$1)</f>
        <v>235.73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5.8155999999999999</v>
      </c>
      <c r="E86" s="55">
        <f>_xll.EQNXTDZ($A$1,$B86,E$1,$B$1)</f>
        <v>5.8155999999999999</v>
      </c>
      <c r="F86" s="55">
        <f>_xll.EQNXTDZ($A$1,$B86,F$1,$B$1)</f>
        <v>5.8155999999999999</v>
      </c>
      <c r="G86" s="55">
        <f>_xll.EQNXTDZ($A$1,$B86,G$1,$B$1)</f>
        <v>5.8155999999999999</v>
      </c>
      <c r="H86" s="55">
        <f>_xll.EQNXTDZ($A$1,$B86,H$1,$B$1)</f>
        <v>5.8155999999999999</v>
      </c>
      <c r="I86" s="55">
        <f>_xll.EQNXTDZ($A$1,$B86,I$1,$B$1)</f>
        <v>5.8155999999999999</v>
      </c>
      <c r="J86" s="55">
        <f>_xll.EQNXTDZ($A$1,$B86,J$1,$B$1)</f>
        <v>5.8155999999999999</v>
      </c>
      <c r="K86" s="55">
        <f>_xll.EQNXTDZ($A$1,$B86,K$1,$B$1)</f>
        <v>13.0044</v>
      </c>
      <c r="L86" s="55">
        <f>_xll.EQNXTDZ($A$1,$B86,L$1,$B$1)</f>
        <v>12.6355</v>
      </c>
      <c r="M86" s="55">
        <f>_xll.EQNXTDZ($A$1,$B86,M$1,$B$1)</f>
        <v>12.2666</v>
      </c>
      <c r="N86" s="55">
        <f>_xll.EQNXTDZ($A$1,$B86,N$1,$B$1)</f>
        <v>11.897399999999999</v>
      </c>
      <c r="O86" s="55">
        <f>_xll.EQNXTDZ($A$1,$B86,O$1,$B$1)</f>
        <v>11.528499999999999</v>
      </c>
      <c r="P86" s="55">
        <f>_xll.EQNXTDZ($A$1,$B86,P$1,$B$1)</f>
        <v>11.093999999999999</v>
      </c>
      <c r="Q86" s="55">
        <f>_xll.EQNXTDZ($A$1,$B86,Q$1,$B$1)</f>
        <v>4.91</v>
      </c>
      <c r="R86" s="55">
        <f>_xll.EQNXTDZ($A$1,$B86,R$1,$B$1)</f>
        <v>4.91</v>
      </c>
      <c r="S86" s="55">
        <f>_xll.EQNXTDZ($A$1,$B86,S$1,$B$1)</f>
        <v>4.91</v>
      </c>
      <c r="T86" s="55">
        <f>_xll.EQNXTDZ($A$1,$B86,T$1,$B$1)</f>
        <v>4.08</v>
      </c>
      <c r="U86" s="55">
        <f>_xll.EQNXTDZ($A$1,$B86,U$1,$B$1)</f>
        <v>4.08</v>
      </c>
      <c r="V86" s="55">
        <f>_xll.EQNXTDZ($A$1,$B86,V$1,$B$1)</f>
        <v>0.62</v>
      </c>
      <c r="W86" s="55">
        <f>_xll.EQNXTDZ($A$1,$B86,W$1,$B$1)</f>
        <v>0.62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150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262.02100000000002</v>
      </c>
      <c r="N88" s="55">
        <f>_xll.EQNXTDZ($A$1,$B88,N$1,$B$1)</f>
        <v>137.74600000000001</v>
      </c>
      <c r="O88" s="55">
        <f>_xll.EQNXTDZ($A$1,$B88,O$1,$B$1)</f>
        <v>215.3134</v>
      </c>
      <c r="P88" s="55">
        <f>_xll.EQNXTDZ($A$1,$B88,P$1,$B$1)</f>
        <v>142.80289999999999</v>
      </c>
      <c r="Q88" s="55">
        <f>_xll.EQNXTDZ($A$1,$B88,Q$1,$B$1)</f>
        <v>410.47</v>
      </c>
      <c r="R88" s="55">
        <f>_xll.EQNXTDZ($A$1,$B88,R$1,$B$1)</f>
        <v>385.52</v>
      </c>
      <c r="S88" s="55">
        <f>_xll.EQNXTDZ($A$1,$B88,S$1,$B$1)</f>
        <v>418.78</v>
      </c>
      <c r="T88" s="55">
        <f>_xll.EQNXTDZ($A$1,$B88,T$1,$B$1)</f>
        <v>383.8</v>
      </c>
      <c r="U88" s="55">
        <f>_xll.EQNXTDZ($A$1,$B88,U$1,$B$1)</f>
        <v>441.46</v>
      </c>
      <c r="V88" s="55">
        <f>_xll.EQNXTDZ($A$1,$B88,V$1,$B$1)</f>
        <v>779.75</v>
      </c>
      <c r="W88" s="55">
        <f>_xll.EQNXTDZ($A$1,$B88,W$1,$B$1)</f>
        <v>460.25</v>
      </c>
      <c r="X88" s="55">
        <f>_xll.EQNXTDZ($A$1,$B88,X$1,$B$1)</f>
        <v>744.19</v>
      </c>
      <c r="Y88" s="55">
        <f>_xll.EQNXTDZ($A$1,$B88,Y$1,$B$1)</f>
        <v>491.26</v>
      </c>
      <c r="Z88" s="55">
        <f>_xll.EQNXTDZ($A$1,$B88,Z$1,$B$1)</f>
        <v>1076.53</v>
      </c>
      <c r="AA88" s="55">
        <f>_xll.EQNXTDZ($A$1,$B88,AA$1,$B$1)</f>
        <v>807.35</v>
      </c>
      <c r="AB88" s="55">
        <f>_xll.EQNXTDZ($A$1,$B88,AB$1,$B$1)</f>
        <v>1057.1199999999999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5.8155999999999999</v>
      </c>
      <c r="E91" s="55">
        <f>_xll.EQNXTDZ($A$1,$B91,E$1,$B$1)</f>
        <v>5.8155999999999999</v>
      </c>
      <c r="F91" s="55">
        <f>_xll.EQNXTDZ($A$1,$B91,F$1,$B$1)</f>
        <v>5.8155999999999999</v>
      </c>
      <c r="G91" s="55">
        <f>_xll.EQNXTDZ($A$1,$B91,G$1,$B$1)</f>
        <v>5.8155999999999999</v>
      </c>
      <c r="H91" s="55">
        <f>_xll.EQNXTDZ($A$1,$B91,H$1,$B$1)</f>
        <v>5.8155999999999999</v>
      </c>
      <c r="I91" s="55">
        <f>_xll.EQNXTDZ($A$1,$B91,I$1,$B$1)</f>
        <v>5.8155999999999999</v>
      </c>
      <c r="J91" s="55">
        <f>_xll.EQNXTDZ($A$1,$B91,J$1,$B$1)</f>
        <v>5.8155999999999999</v>
      </c>
      <c r="K91" s="55">
        <f>_xll.EQNXTDZ($A$1,$B91,K$1,$B$1)</f>
        <v>13.0044</v>
      </c>
      <c r="L91" s="55">
        <f>_xll.EQNXTDZ($A$1,$B91,L$1,$B$1)</f>
        <v>13.0044</v>
      </c>
      <c r="M91" s="55">
        <f>_xll.EQNXTDZ($A$1,$B91,M$1,$B$1)</f>
        <v>13.0044</v>
      </c>
      <c r="N91" s="55">
        <f>_xll.EQNXTDZ($A$1,$B91,N$1,$B$1)</f>
        <v>13.0044</v>
      </c>
      <c r="O91" s="55">
        <f>_xll.EQNXTDZ($A$1,$B91,O$1,$B$1)</f>
        <v>13.0044</v>
      </c>
      <c r="P91" s="55">
        <f>_xll.EQNXTDZ($A$1,$B91,P$1,$B$1)</f>
        <v>13.0044</v>
      </c>
      <c r="Q91" s="55">
        <f>_xll.EQNXTDZ($A$1,$B91,Q$1,$B$1)</f>
        <v>7.19</v>
      </c>
      <c r="R91" s="55">
        <f>_xll.EQNXTDZ($A$1,$B91,R$1,$B$1)</f>
        <v>4.91</v>
      </c>
      <c r="S91" s="55">
        <f>_xll.EQNXTDZ($A$1,$B91,S$1,$B$1)</f>
        <v>4.91</v>
      </c>
      <c r="T91" s="55">
        <f>_xll.EQNXTDZ($A$1,$B91,T$1,$B$1)</f>
        <v>4.91</v>
      </c>
      <c r="U91" s="55">
        <f>_xll.EQNXTDZ($A$1,$B91,U$1,$B$1)</f>
        <v>4.91</v>
      </c>
      <c r="V91" s="55">
        <f>_xll.EQNXTDZ($A$1,$B91,V$1,$B$1)</f>
        <v>4.12</v>
      </c>
      <c r="W91" s="55">
        <f>_xll.EQNXTDZ($A$1,$B91,W$1,$B$1)</f>
        <v>4.12</v>
      </c>
      <c r="X91" s="55">
        <f>_xll.EQNXTDZ($A$1,$B91,X$1,$B$1)</f>
        <v>4.12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0.36890000000000001</v>
      </c>
      <c r="M92" s="55">
        <f>_xll.EQNXTDZ($A$1,$B92,M$1,$B$1)</f>
        <v>0.73780000000000001</v>
      </c>
      <c r="N92" s="55">
        <f>_xll.EQNXTDZ($A$1,$B92,N$1,$B$1)</f>
        <v>1.107</v>
      </c>
      <c r="O92" s="55">
        <f>_xll.EQNXTDZ($A$1,$B92,O$1,$B$1)</f>
        <v>1.4759</v>
      </c>
      <c r="P92" s="55">
        <f>_xll.EQNXTDZ($A$1,$B92,P$1,$B$1)</f>
        <v>1.9104000000000001</v>
      </c>
      <c r="Q92" s="55">
        <f>_xll.EQNXTDZ($A$1,$B92,Q$1,$B$1)</f>
        <v>2.2799999999999998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0.83</v>
      </c>
      <c r="U92" s="55">
        <f>_xll.EQNXTDZ($A$1,$B92,U$1,$B$1)</f>
        <v>0.83</v>
      </c>
      <c r="V92" s="55">
        <f>_xll.EQNXTDZ($A$1,$B92,V$1,$B$1)</f>
        <v>3.5</v>
      </c>
      <c r="W92" s="55">
        <f>_xll.EQNXTDZ($A$1,$B92,W$1,$B$1)</f>
        <v>3.5</v>
      </c>
      <c r="X92" s="55">
        <f>_xll.EQNXTDZ($A$1,$B92,X$1,$B$1)</f>
        <v>4.12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43.895299999999999</v>
      </c>
      <c r="D93" s="55">
        <f>_xll.EQNXTDZ($A$1,$B93,D$1,$B$1)</f>
        <v>10.0419</v>
      </c>
      <c r="E93" s="55">
        <f>_xll.EQNXTDZ($A$1,$B93,E$1,$B$1)</f>
        <v>32.984200000000001</v>
      </c>
      <c r="F93" s="55">
        <f>_xll.EQNXTDZ($A$1,$B93,F$1,$B$1)</f>
        <v>42.176099999999998</v>
      </c>
      <c r="G93" s="55">
        <f>_xll.EQNXTDZ($A$1,$B93,G$1,$B$1)</f>
        <v>37.152299999999997</v>
      </c>
      <c r="H93" s="55">
        <f>_xll.EQNXTDZ($A$1,$B93,H$1,$B$1)</f>
        <v>71.305199999999999</v>
      </c>
      <c r="I93" s="55">
        <f>_xll.EQNXTDZ($A$1,$B93,I$1,$B$1)</f>
        <v>71.708399999999997</v>
      </c>
      <c r="J93" s="55">
        <f>_xll.EQNXTDZ($A$1,$B93,J$1,$B$1)</f>
        <v>70.249899999999997</v>
      </c>
      <c r="K93" s="55">
        <f>_xll.EQNXTDZ($A$1,$B93,K$1,$B$1)</f>
        <v>101.6439</v>
      </c>
      <c r="L93" s="55">
        <f>_xll.EQNXTDZ($A$1,$B93,L$1,$B$1)</f>
        <v>103.07129999999999</v>
      </c>
      <c r="M93" s="55">
        <f>_xll.EQNXTDZ($A$1,$B93,M$1,$B$1)</f>
        <v>108.1925</v>
      </c>
      <c r="N93" s="55">
        <f>_xll.EQNXTDZ($A$1,$B93,N$1,$B$1)</f>
        <v>109.343</v>
      </c>
      <c r="O93" s="55">
        <f>_xll.EQNXTDZ($A$1,$B93,O$1,$B$1)</f>
        <v>203.96260000000001</v>
      </c>
      <c r="P93" s="55">
        <f>_xll.EQNXTDZ($A$1,$B93,P$1,$B$1)</f>
        <v>322.38909999999998</v>
      </c>
      <c r="Q93" s="55">
        <f>_xll.EQNXTDZ($A$1,$B93,Q$1,$B$1)</f>
        <v>253.17</v>
      </c>
      <c r="R93" s="55">
        <f>_xll.EQNXTDZ($A$1,$B93,R$1,$B$1)</f>
        <v>272.64</v>
      </c>
      <c r="S93" s="55">
        <f>_xll.EQNXTDZ($A$1,$B93,S$1,$B$1)</f>
        <v>256.08</v>
      </c>
      <c r="T93" s="55">
        <f>_xll.EQNXTDZ($A$1,$B93,T$1,$B$1)</f>
        <v>147.97999999999999</v>
      </c>
      <c r="U93" s="55">
        <f>_xll.EQNXTDZ($A$1,$B93,U$1,$B$1)</f>
        <v>107.16</v>
      </c>
      <c r="V93" s="55">
        <f>_xll.EQNXTDZ($A$1,$B93,V$1,$B$1)</f>
        <v>58.05</v>
      </c>
      <c r="W93" s="55">
        <f>_xll.EQNXTDZ($A$1,$B93,W$1,$B$1)</f>
        <v>60.42</v>
      </c>
      <c r="X93" s="55">
        <f>_xll.EQNXTDZ($A$1,$B93,X$1,$B$1)</f>
        <v>79.95</v>
      </c>
      <c r="Y93" s="55">
        <f>_xll.EQNXTDZ($A$1,$B93,Y$1,$B$1)</f>
        <v>280.58999999999997</v>
      </c>
      <c r="Z93" s="55">
        <f>_xll.EQNXTDZ($A$1,$B93,Z$1,$B$1)</f>
        <v>292.38</v>
      </c>
      <c r="AA93" s="55">
        <f>_xll.EQNXTDZ($A$1,$B93,AA$1,$B$1)</f>
        <v>466.35</v>
      </c>
      <c r="AB93" s="55">
        <f>_xll.EQNXTDZ($A$1,$B93,AB$1,$B$1)</f>
        <v>235.73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17.576000000000001</v>
      </c>
      <c r="D95" s="55">
        <f>_xll.EQNXTDZ($A$1,$B95,D$1,$B$1)</f>
        <v>8.25</v>
      </c>
      <c r="E95" s="55">
        <f>_xll.EQNXTDZ($A$1,$B95,E$1,$B$1)</f>
        <v>8.25</v>
      </c>
      <c r="F95" s="55">
        <f>_xll.EQNXTDZ($A$1,$B95,F$1,$B$1)</f>
        <v>8.25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9.9629999999999992</v>
      </c>
      <c r="L95" s="55">
        <f>_xll.EQNXTDZ($A$1,$B95,L$1,$B$1)</f>
        <v>10.9978</v>
      </c>
      <c r="M95" s="55">
        <f>_xll.EQNXTDZ($A$1,$B95,M$1,$B$1)</f>
        <v>15.048999999999999</v>
      </c>
      <c r="N95" s="55">
        <f>_xll.EQNXTDZ($A$1,$B95,N$1,$B$1)</f>
        <v>19.212299999999999</v>
      </c>
      <c r="O95" s="55">
        <f>_xll.EQNXTDZ($A$1,$B95,O$1,$B$1)</f>
        <v>13.9236</v>
      </c>
      <c r="P95" s="55">
        <f>_xll.EQNXTDZ($A$1,$B95,P$1,$B$1)</f>
        <v>11.1944</v>
      </c>
      <c r="Q95" s="55">
        <f>_xll.EQNXTDZ($A$1,$B95,Q$1,$B$1)</f>
        <v>11.86</v>
      </c>
      <c r="R95" s="55">
        <f>_xll.EQNXTDZ($A$1,$B95,R$1,$B$1)</f>
        <v>13.25</v>
      </c>
      <c r="S95" s="55">
        <f>_xll.EQNXTDZ($A$1,$B95,S$1,$B$1)</f>
        <v>125.85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36.640900000000002</v>
      </c>
      <c r="G97" s="55">
        <f>_xll.EQNXTDZ($A$1,$B97,G$1,$B$1)</f>
        <v>107.2</v>
      </c>
      <c r="H97" s="55">
        <f>_xll.EQNXTDZ($A$1,$B97,H$1,$B$1)</f>
        <v>105.75</v>
      </c>
      <c r="I97" s="55">
        <f>_xll.EQNXTDZ($A$1,$B97,I$1,$B$1)</f>
        <v>62.11</v>
      </c>
      <c r="J97" s="55">
        <f>_xll.EQNXTDZ($A$1,$B97,J$1,$B$1)</f>
        <v>41.673499999999997</v>
      </c>
      <c r="K97" s="55">
        <f>_xll.EQNXTDZ($A$1,$B97,K$1,$B$1)</f>
        <v>2.6924999999999999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1.8815999999999999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99.894999999999996</v>
      </c>
      <c r="D98" s="55">
        <f>_xll.EQNXTDZ($A$1,$B98,D$1,$B$1)</f>
        <v>109.4714</v>
      </c>
      <c r="E98" s="55">
        <f>_xll.EQNXTDZ($A$1,$B98,E$1,$B$1)</f>
        <v>82.293400000000005</v>
      </c>
      <c r="F98" s="55">
        <f>_xll.EQNXTDZ($A$1,$B98,F$1,$B$1)</f>
        <v>24.2361</v>
      </c>
      <c r="G98" s="55">
        <f>_xll.EQNXTDZ($A$1,$B98,G$1,$B$1)</f>
        <v>24.2361</v>
      </c>
      <c r="H98" s="55">
        <f>_xll.EQNXTDZ($A$1,$B98,H$1,$B$1)</f>
        <v>20.606200000000001</v>
      </c>
      <c r="I98" s="55">
        <f>_xll.EQNXTDZ($A$1,$B98,I$1,$B$1)</f>
        <v>4.2233999999999998</v>
      </c>
      <c r="J98" s="55">
        <f>_xll.EQNXTDZ($A$1,$B98,J$1,$B$1)</f>
        <v>3.3754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95.24</v>
      </c>
      <c r="R98" s="55">
        <f>_xll.EQNXTDZ($A$1,$B98,R$1,$B$1)</f>
        <v>185.46</v>
      </c>
      <c r="S98" s="55">
        <f>_xll.EQNXTDZ($A$1,$B98,S$1,$B$1)</f>
        <v>400.81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64.523799999999994</v>
      </c>
      <c r="D104" s="55">
        <f>_xll.EQNXTDZ($A$1,$B104,D$1,$B$1)</f>
        <v>64.524299999999997</v>
      </c>
      <c r="E104" s="55">
        <f>_xll.EQNXTDZ($A$1,$B104,E$1,$B$1)</f>
        <v>64.5261</v>
      </c>
      <c r="F104" s="55">
        <f>_xll.EQNXTDZ($A$1,$B104,F$1,$B$1)</f>
        <v>64.5261</v>
      </c>
      <c r="G104" s="55">
        <f>_xll.EQNXTDZ($A$1,$B104,G$1,$B$1)</f>
        <v>64.5261</v>
      </c>
      <c r="H104" s="55">
        <f>_xll.EQNXTDZ($A$1,$B104,H$1,$B$1)</f>
        <v>64.5261</v>
      </c>
      <c r="I104" s="55">
        <f>_xll.EQNXTDZ($A$1,$B104,I$1,$B$1)</f>
        <v>67.885000000000005</v>
      </c>
      <c r="J104" s="55">
        <f>_xll.EQNXTDZ($A$1,$B104,J$1,$B$1)</f>
        <v>67.885000000000005</v>
      </c>
      <c r="K104" s="55">
        <f>_xll.EQNXTDZ($A$1,$B104,K$1,$B$1)</f>
        <v>60.685000000000002</v>
      </c>
      <c r="L104" s="55">
        <f>_xll.EQNXTDZ($A$1,$B104,L$1,$B$1)</f>
        <v>60.503599999999999</v>
      </c>
      <c r="M104" s="55">
        <f>_xll.EQNXTDZ($A$1,$B104,M$1,$B$1)</f>
        <v>60.503599999999999</v>
      </c>
      <c r="N104" s="55">
        <f>_xll.EQNXTDZ($A$1,$B104,N$1,$B$1)</f>
        <v>57.420499999999997</v>
      </c>
      <c r="O104" s="55">
        <f>_xll.EQNXTDZ($A$1,$B104,O$1,$B$1)</f>
        <v>57.420499999999997</v>
      </c>
      <c r="P104" s="55">
        <f>_xll.EQNXTDZ($A$1,$B104,P$1,$B$1)</f>
        <v>57.420499999999997</v>
      </c>
      <c r="Q104" s="55">
        <f>_xll.EQNXTDZ($A$1,$B104,Q$1,$B$1)</f>
        <v>57.42</v>
      </c>
      <c r="R104" s="55">
        <f>_xll.EQNXTDZ($A$1,$B104,R$1,$B$1)</f>
        <v>57.42</v>
      </c>
      <c r="S104" s="55">
        <f>_xll.EQNXTDZ($A$1,$B104,S$1,$B$1)</f>
        <v>57.42</v>
      </c>
      <c r="T104" s="55">
        <f>_xll.EQNXTDZ($A$1,$B104,T$1,$B$1)</f>
        <v>57.42</v>
      </c>
      <c r="U104" s="55">
        <f>_xll.EQNXTDZ($A$1,$B104,U$1,$B$1)</f>
        <v>57.48</v>
      </c>
      <c r="V104" s="55">
        <f>_xll.EQNXTDZ($A$1,$B104,V$1,$B$1)</f>
        <v>57.48</v>
      </c>
      <c r="W104" s="55">
        <f>_xll.EQNXTDZ($A$1,$B104,W$1,$B$1)</f>
        <v>59.24</v>
      </c>
      <c r="X104" s="55">
        <f>_xll.EQNXTDZ($A$1,$B104,X$1,$B$1)</f>
        <v>296.42</v>
      </c>
      <c r="Y104" s="55">
        <f>_xll.EQNXTDZ($A$1,$B104,Y$1,$B$1)</f>
        <v>296.42</v>
      </c>
      <c r="Z104" s="55">
        <f>_xll.EQNXTDZ($A$1,$B104,Z$1,$B$1)</f>
        <v>296.42</v>
      </c>
      <c r="AA104" s="55">
        <f>_xll.EQNXTDZ($A$1,$B104,AA$1,$B$1)</f>
        <v>296.42</v>
      </c>
      <c r="AB104" s="55">
        <f>_xll.EQNXTDZ($A$1,$B104,AB$1,$B$1)</f>
        <v>296.42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3.13</v>
      </c>
      <c r="D106" s="55">
        <f>_xll.EQNXTDZ($A$1,$B106,D$1,$B$1)</f>
        <v>3.53</v>
      </c>
      <c r="E106" s="55">
        <f>_xll.EQNXTDZ($A$1,$B106,E$1,$B$1)</f>
        <v>4.2</v>
      </c>
      <c r="F106" s="55">
        <f>_xll.EQNXTDZ($A$1,$B106,F$1,$B$1)</f>
        <v>7.01</v>
      </c>
      <c r="G106" s="55">
        <f>_xll.EQNXTDZ($A$1,$B106,G$1,$B$1)</f>
        <v>17.78</v>
      </c>
      <c r="H106" s="55">
        <f>_xll.EQNXTDZ($A$1,$B106,H$1,$B$1)</f>
        <v>66.239999999999995</v>
      </c>
      <c r="I106" s="55">
        <f>_xll.EQNXTDZ($A$1,$B106,I$1,$B$1)</f>
        <v>24.23</v>
      </c>
      <c r="J106" s="55">
        <f>_xll.EQNXTDZ($A$1,$B106,J$1,$B$1)</f>
        <v>20.16</v>
      </c>
      <c r="K106" s="55">
        <f>_xll.EQNXTDZ($A$1,$B106,K$1,$B$1)</f>
        <v>14.9</v>
      </c>
      <c r="L106" s="55">
        <f>_xll.EQNXTDZ($A$1,$B106,L$1,$B$1)</f>
        <v>39.47</v>
      </c>
      <c r="M106" s="55">
        <f>_xll.EQNXTDZ($A$1,$B106,M$1,$B$1)</f>
        <v>63.66</v>
      </c>
      <c r="N106" s="55">
        <f>_xll.EQNXTDZ($A$1,$B106,N$1,$B$1)</f>
        <v>49.74</v>
      </c>
      <c r="O106" s="55">
        <f>_xll.EQNXTDZ($A$1,$B106,O$1,$B$1)</f>
        <v>33.79</v>
      </c>
      <c r="P106" s="55">
        <f>_xll.EQNXTDZ($A$1,$B106,P$1,$B$1)</f>
        <v>72.03</v>
      </c>
      <c r="Q106" s="55">
        <f>_xll.EQNXTDZ($A$1,$B106,Q$1,$B$1)</f>
        <v>198</v>
      </c>
      <c r="R106" s="55">
        <f>_xll.EQNXTDZ($A$1,$B106,R$1,$B$1)</f>
        <v>261.17</v>
      </c>
      <c r="S106" s="55">
        <f>_xll.EQNXTDZ($A$1,$B106,S$1,$B$1)</f>
        <v>325.19</v>
      </c>
      <c r="T106" s="55">
        <f>_xll.EQNXTDZ($A$1,$B106,T$1,$B$1)</f>
        <v>391.56</v>
      </c>
      <c r="U106" s="55">
        <f>_xll.EQNXTDZ($A$1,$B106,U$1,$B$1)</f>
        <v>480.82</v>
      </c>
      <c r="V106" s="55">
        <f>_xll.EQNXTDZ($A$1,$B106,V$1,$B$1)</f>
        <v>555.86</v>
      </c>
      <c r="W106" s="55">
        <f>_xll.EQNXTDZ($A$1,$B106,W$1,$B$1)</f>
        <v>1081.3</v>
      </c>
      <c r="X106" s="55">
        <f>_xll.EQNXTDZ($A$1,$B106,X$1,$B$1)</f>
        <v>2678.45</v>
      </c>
      <c r="Y106" s="55">
        <f>_xll.EQNXTDZ($A$1,$B106,Y$1,$B$1)</f>
        <v>2406.1999999999998</v>
      </c>
      <c r="Z106" s="55">
        <f>_xll.EQNXTDZ($A$1,$B106,Z$1,$B$1)</f>
        <v>2557.5500000000002</v>
      </c>
      <c r="AA106" s="55">
        <f>_xll.EQNXTDZ($A$1,$B106,AA$1,$B$1)</f>
        <v>2939.35</v>
      </c>
      <c r="AB106" s="55">
        <f>_xll.EQNXTDZ($A$1,$B106,AB$1,$B$1)</f>
        <v>2437.1999999999998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8.58</v>
      </c>
      <c r="D107" s="55">
        <f>_xll.EQNXTDZ($A$1,$B107,D$1,$B$1)</f>
        <v>4.34</v>
      </c>
      <c r="E107" s="55">
        <f>_xll.EQNXTDZ($A$1,$B107,E$1,$B$1)</f>
        <v>6.23</v>
      </c>
      <c r="F107" s="55">
        <f>_xll.EQNXTDZ($A$1,$B107,F$1,$B$1)</f>
        <v>12.9</v>
      </c>
      <c r="G107" s="55">
        <f>_xll.EQNXTDZ($A$1,$B107,G$1,$B$1)</f>
        <v>19.989999999999998</v>
      </c>
      <c r="H107" s="55">
        <f>_xll.EQNXTDZ($A$1,$B107,H$1,$B$1)</f>
        <v>70.8</v>
      </c>
      <c r="I107" s="55">
        <f>_xll.EQNXTDZ($A$1,$B107,I$1,$B$1)</f>
        <v>74.599999999999994</v>
      </c>
      <c r="J107" s="55">
        <f>_xll.EQNXTDZ($A$1,$B107,J$1,$B$1)</f>
        <v>41.48</v>
      </c>
      <c r="K107" s="55">
        <f>_xll.EQNXTDZ($A$1,$B107,K$1,$B$1)</f>
        <v>30.49</v>
      </c>
      <c r="L107" s="55">
        <f>_xll.EQNXTDZ($A$1,$B107,L$1,$B$1)</f>
        <v>44.91</v>
      </c>
      <c r="M107" s="55">
        <f>_xll.EQNXTDZ($A$1,$B107,M$1,$B$1)</f>
        <v>88.86</v>
      </c>
      <c r="N107" s="55">
        <f>_xll.EQNXTDZ($A$1,$B107,N$1,$B$1)</f>
        <v>73.599999999999994</v>
      </c>
      <c r="O107" s="55">
        <f>_xll.EQNXTDZ($A$1,$B107,O$1,$B$1)</f>
        <v>51.2</v>
      </c>
      <c r="P107" s="55">
        <f>_xll.EQNXTDZ($A$1,$B107,P$1,$B$1)</f>
        <v>74.2</v>
      </c>
      <c r="Q107" s="55">
        <f>_xll.EQNXTDZ($A$1,$B107,Q$1,$B$1)</f>
        <v>204.86</v>
      </c>
      <c r="R107" s="55">
        <f>_xll.EQNXTDZ($A$1,$B107,R$1,$B$1)</f>
        <v>299.11</v>
      </c>
      <c r="S107" s="55">
        <f>_xll.EQNXTDZ($A$1,$B107,S$1,$B$1)</f>
        <v>393.9</v>
      </c>
      <c r="T107" s="55">
        <f>_xll.EQNXTDZ($A$1,$B107,T$1,$B$1)</f>
        <v>409</v>
      </c>
      <c r="U107" s="55">
        <f>_xll.EQNXTDZ($A$1,$B107,U$1,$B$1)</f>
        <v>495.28</v>
      </c>
      <c r="V107" s="55">
        <f>_xll.EQNXTDZ($A$1,$B107,V$1,$B$1)</f>
        <v>851.78</v>
      </c>
      <c r="W107" s="55">
        <f>_xll.EQNXTDZ($A$1,$B107,W$1,$B$1)</f>
        <v>1215</v>
      </c>
      <c r="X107" s="55">
        <f>_xll.EQNXTDZ($A$1,$B107,X$1,$B$1)</f>
        <v>2734</v>
      </c>
      <c r="Y107" s="55">
        <f>_xll.EQNXTDZ($A$1,$B107,Y$1,$B$1)</f>
        <v>2864.35</v>
      </c>
      <c r="Z107" s="55">
        <f>_xll.EQNXTDZ($A$1,$B107,Z$1,$B$1)</f>
        <v>2636.65</v>
      </c>
      <c r="AA107" s="55">
        <f>_xll.EQNXTDZ($A$1,$B107,AA$1,$B$1)</f>
        <v>3074.95</v>
      </c>
      <c r="AB107" s="55">
        <f>_xll.EQNXTDZ($A$1,$B107,AB$1,$B$1)</f>
        <v>3319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3.07</v>
      </c>
      <c r="D108" s="55">
        <f>_xll.EQNXTDZ($A$1,$B108,D$1,$B$1)</f>
        <v>2.6</v>
      </c>
      <c r="E108" s="55">
        <f>_xll.EQNXTDZ($A$1,$B108,E$1,$B$1)</f>
        <v>3.45</v>
      </c>
      <c r="F108" s="55">
        <f>_xll.EQNXTDZ($A$1,$B108,F$1,$B$1)</f>
        <v>4.2</v>
      </c>
      <c r="G108" s="55">
        <f>_xll.EQNXTDZ($A$1,$B108,G$1,$B$1)</f>
        <v>6.37</v>
      </c>
      <c r="H108" s="55">
        <f>_xll.EQNXTDZ($A$1,$B108,H$1,$B$1)</f>
        <v>17.48</v>
      </c>
      <c r="I108" s="55">
        <f>_xll.EQNXTDZ($A$1,$B108,I$1,$B$1)</f>
        <v>22</v>
      </c>
      <c r="J108" s="55">
        <f>_xll.EQNXTDZ($A$1,$B108,J$1,$B$1)</f>
        <v>18.100000000000001</v>
      </c>
      <c r="K108" s="55">
        <f>_xll.EQNXTDZ($A$1,$B108,K$1,$B$1)</f>
        <v>12.43</v>
      </c>
      <c r="L108" s="55">
        <f>_xll.EQNXTDZ($A$1,$B108,L$1,$B$1)</f>
        <v>14.68</v>
      </c>
      <c r="M108" s="55">
        <f>_xll.EQNXTDZ($A$1,$B108,M$1,$B$1)</f>
        <v>38.61</v>
      </c>
      <c r="N108" s="55">
        <f>_xll.EQNXTDZ($A$1,$B108,N$1,$B$1)</f>
        <v>46.05</v>
      </c>
      <c r="O108" s="55">
        <f>_xll.EQNXTDZ($A$1,$B108,O$1,$B$1)</f>
        <v>32.72</v>
      </c>
      <c r="P108" s="55">
        <f>_xll.EQNXTDZ($A$1,$B108,P$1,$B$1)</f>
        <v>25.11</v>
      </c>
      <c r="Q108" s="55">
        <f>_xll.EQNXTDZ($A$1,$B108,Q$1,$B$1)</f>
        <v>65.22</v>
      </c>
      <c r="R108" s="55">
        <f>_xll.EQNXTDZ($A$1,$B108,R$1,$B$1)</f>
        <v>179.81</v>
      </c>
      <c r="S108" s="55">
        <f>_xll.EQNXTDZ($A$1,$B108,S$1,$B$1)</f>
        <v>233.1</v>
      </c>
      <c r="T108" s="55">
        <f>_xll.EQNXTDZ($A$1,$B108,T$1,$B$1)</f>
        <v>284</v>
      </c>
      <c r="U108" s="55">
        <f>_xll.EQNXTDZ($A$1,$B108,U$1,$B$1)</f>
        <v>306.2</v>
      </c>
      <c r="V108" s="55">
        <f>_xll.EQNXTDZ($A$1,$B108,V$1,$B$1)</f>
        <v>440.2</v>
      </c>
      <c r="W108" s="55">
        <f>_xll.EQNXTDZ($A$1,$B108,W$1,$B$1)</f>
        <v>513.16</v>
      </c>
      <c r="X108" s="55">
        <f>_xll.EQNXTDZ($A$1,$B108,X$1,$B$1)</f>
        <v>1082</v>
      </c>
      <c r="Y108" s="55">
        <f>_xll.EQNXTDZ($A$1,$B108,Y$1,$B$1)</f>
        <v>2002.5</v>
      </c>
      <c r="Z108" s="55">
        <f>_xll.EQNXTDZ($A$1,$B108,Z$1,$B$1)</f>
        <v>2050</v>
      </c>
      <c r="AA108" s="55">
        <f>_xll.EQNXTDZ($A$1,$B108,AA$1,$B$1)</f>
        <v>2088.5500000000002</v>
      </c>
      <c r="AB108" s="55">
        <f>_xll.EQNXTDZ($A$1,$B108,AB$1,$B$1)</f>
        <v>2313.75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100.979747</v>
      </c>
      <c r="D109" s="55">
        <f>_xll.EQNXTDZ($A$1,$B109,D$1,$B$1)</f>
        <v>113.8853895</v>
      </c>
      <c r="E109" s="55">
        <f>_xll.EQNXTDZ($A$1,$B109,E$1,$B$1)</f>
        <v>135.50480999999999</v>
      </c>
      <c r="F109" s="55">
        <f>_xll.EQNXTDZ($A$1,$B109,F$1,$B$1)</f>
        <v>226.16398050000001</v>
      </c>
      <c r="G109" s="55">
        <f>_xll.EQNXTDZ($A$1,$B109,G$1,$B$1)</f>
        <v>573.63702899999998</v>
      </c>
      <c r="H109" s="55">
        <f>_xll.EQNXTDZ($A$1,$B109,H$1,$B$1)</f>
        <v>2137.1044320000001</v>
      </c>
      <c r="I109" s="55">
        <f>_xll.EQNXTDZ($A$1,$B109,I$1,$B$1)</f>
        <v>822.42677500000002</v>
      </c>
      <c r="J109" s="55">
        <f>_xll.EQNXTDZ($A$1,$B109,J$1,$B$1)</f>
        <v>684.2808</v>
      </c>
      <c r="K109" s="55">
        <f>_xll.EQNXTDZ($A$1,$B109,K$1,$B$1)</f>
        <v>452.10325</v>
      </c>
      <c r="L109" s="55">
        <f>_xll.EQNXTDZ($A$1,$B109,L$1,$B$1)</f>
        <v>1194.038546</v>
      </c>
      <c r="M109" s="55">
        <f>_xll.EQNXTDZ($A$1,$B109,M$1,$B$1)</f>
        <v>1925.8295880000001</v>
      </c>
      <c r="N109" s="55">
        <f>_xll.EQNXTDZ($A$1,$B109,N$1,$B$1)</f>
        <v>1428.0478350000001</v>
      </c>
      <c r="O109" s="55">
        <f>_xll.EQNXTDZ($A$1,$B109,O$1,$B$1)</f>
        <v>970.1193475</v>
      </c>
      <c r="P109" s="55">
        <f>_xll.EQNXTDZ($A$1,$B109,P$1,$B$1)</f>
        <v>2067.9993075000002</v>
      </c>
      <c r="Q109" s="55">
        <f>_xll.EQNXTDZ($A$1,$B109,Q$1,$B$1)</f>
        <v>5684.58</v>
      </c>
      <c r="R109" s="55">
        <f>_xll.EQNXTDZ($A$1,$B109,R$1,$B$1)</f>
        <v>7498.1907000000001</v>
      </c>
      <c r="S109" s="55">
        <f>_xll.EQNXTDZ($A$1,$B109,S$1,$B$1)</f>
        <v>9336.2049000000006</v>
      </c>
      <c r="T109" s="55">
        <f>_xll.EQNXTDZ($A$1,$B109,T$1,$B$1)</f>
        <v>11241.687599999999</v>
      </c>
      <c r="U109" s="55">
        <f>_xll.EQNXTDZ($A$1,$B109,U$1,$B$1)</f>
        <v>13818.766799999999</v>
      </c>
      <c r="V109" s="55">
        <f>_xll.EQNXTDZ($A$1,$B109,V$1,$B$1)</f>
        <v>15975.4164</v>
      </c>
      <c r="W109" s="55">
        <f>_xll.EQNXTDZ($A$1,$B109,W$1,$B$1)</f>
        <v>32028.106</v>
      </c>
      <c r="X109" s="55">
        <f>_xll.EQNXTDZ($A$1,$B109,X$1,$B$1)</f>
        <v>79394.6149</v>
      </c>
      <c r="Y109" s="55">
        <f>_xll.EQNXTDZ($A$1,$B109,Y$1,$B$1)</f>
        <v>71324.580400000006</v>
      </c>
      <c r="Z109" s="55">
        <f>_xll.EQNXTDZ($A$1,$B109,Z$1,$B$1)</f>
        <v>75810.897100000002</v>
      </c>
      <c r="AA109" s="55">
        <f>_xll.EQNXTDZ($A$1,$B109,AA$1,$B$1)</f>
        <v>87128.212700000004</v>
      </c>
      <c r="AB109" s="55">
        <f>_xll.EQNXTDZ($A$1,$B109,AB$1,$B$1)</f>
        <v>72243.482399999994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0.4</v>
      </c>
      <c r="D110" s="55">
        <f>_xll.EQNXTDZ($A$1,$B110,D$1,$B$1)</f>
        <v>0.4</v>
      </c>
      <c r="E110" s="55">
        <f>_xll.EQNXTDZ($A$1,$B110,E$1,$B$1)</f>
        <v>0.4</v>
      </c>
      <c r="F110" s="55">
        <f>_xll.EQNXTDZ($A$1,$B110,F$1,$B$1)</f>
        <v>0.5</v>
      </c>
      <c r="G110" s="55">
        <f>_xll.EQNXTDZ($A$1,$B110,G$1,$B$1)</f>
        <v>0.5</v>
      </c>
      <c r="H110" s="55">
        <f>_xll.EQNXTDZ($A$1,$B110,H$1,$B$1)</f>
        <v>0.6</v>
      </c>
      <c r="I110" s="55">
        <f>_xll.EQNXTDZ($A$1,$B110,I$1,$B$1)</f>
        <v>1.2</v>
      </c>
      <c r="J110" s="55">
        <f>_xll.EQNXTDZ($A$1,$B110,J$1,$B$1)</f>
        <v>1</v>
      </c>
      <c r="K110" s="55">
        <f>_xll.EQNXTDZ($A$1,$B110,K$1,$B$1)</f>
        <v>2.06</v>
      </c>
      <c r="L110" s="55">
        <f>_xll.EQNXTDZ($A$1,$B110,L$1,$B$1)</f>
        <v>2.8</v>
      </c>
      <c r="M110" s="55">
        <f>_xll.EQNXTDZ($A$1,$B110,M$1,$B$1)</f>
        <v>2.8</v>
      </c>
      <c r="N110" s="55">
        <f>_xll.EQNXTDZ($A$1,$B110,N$1,$B$1)</f>
        <v>2.8</v>
      </c>
      <c r="O110" s="55">
        <f>_xll.EQNXTDZ($A$1,$B110,O$1,$B$1)</f>
        <v>2</v>
      </c>
      <c r="P110" s="55">
        <f>_xll.EQNXTDZ($A$1,$B110,P$1,$B$1)</f>
        <v>2</v>
      </c>
      <c r="Q110" s="55">
        <f>_xll.EQNXTDZ($A$1,$B110,Q$1,$B$1)</f>
        <v>2</v>
      </c>
      <c r="R110" s="55">
        <f>_xll.EQNXTDZ($A$1,$B110,R$1,$B$1)</f>
        <v>2</v>
      </c>
      <c r="S110" s="55">
        <f>_xll.EQNXTDZ($A$1,$B110,S$1,$B$1)</f>
        <v>2.4</v>
      </c>
      <c r="T110" s="55">
        <f>_xll.EQNXTDZ($A$1,$B110,T$1,$B$1)</f>
        <v>2.4</v>
      </c>
      <c r="U110" s="55">
        <f>_xll.EQNXTDZ($A$1,$B110,U$1,$B$1)</f>
        <v>2.4</v>
      </c>
      <c r="V110" s="55">
        <f>_xll.EQNXTDZ($A$1,$B110,V$1,$B$1)</f>
        <v>2.8</v>
      </c>
      <c r="W110" s="55">
        <f>_xll.EQNXTDZ($A$1,$B110,W$1,$B$1)</f>
        <v>4.8</v>
      </c>
      <c r="X110" s="55">
        <f>_xll.EQNXTDZ($A$1,$B110,X$1,$B$1)</f>
        <v>16.75</v>
      </c>
      <c r="Y110" s="55">
        <f>_xll.EQNXTDZ($A$1,$B110,Y$1,$B$1)</f>
        <v>7.2</v>
      </c>
      <c r="Z110" s="55">
        <f>_xll.EQNXTDZ($A$1,$B110,Z$1,$B$1)</f>
        <v>7.2</v>
      </c>
      <c r="AA110" s="55">
        <f>_xll.EQNXTDZ($A$1,$B110,AA$1,$B$1)</f>
        <v>7.2</v>
      </c>
      <c r="AB110" s="55">
        <f>_xll.EQNXTDZ($A$1,$B110,AB$1,$B$1)</f>
        <v>9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0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201103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26.43</v>
      </c>
      <c r="D112" s="56">
        <f>_xll.EQNXTDZ($A$1,$B112,D$5)</f>
        <v>23.89</v>
      </c>
      <c r="E112" s="56">
        <f>_xll.EQNXTDZ($A$1,$B112,E$5)</f>
        <v>31.65</v>
      </c>
      <c r="F112" s="56">
        <f>_xll.EQNXTDZ($A$1,$B112,F$5)</f>
        <v>0</v>
      </c>
      <c r="G112" s="56">
        <f>_xll.EQNXTDZ($A$1,$B112,G$5)</f>
        <v>37.049999999999997</v>
      </c>
      <c r="H112" s="56">
        <f>_xll.EQNXTDZ($A$1,$B112,H$5)</f>
        <v>39.4</v>
      </c>
      <c r="I112" s="56">
        <f>_xll.EQNXTDZ($A$1,$B112,I$5)</f>
        <v>42.42</v>
      </c>
      <c r="J112" s="56">
        <f>_xll.EQNXTDZ($A$1,$B112,J$5)</f>
        <v>42.39</v>
      </c>
      <c r="K112" s="56">
        <f>_xll.EQNXTDZ($A$1,$B112,K$5)</f>
        <v>46.2</v>
      </c>
      <c r="L112" s="56">
        <f>_xll.EQNXTDZ($A$1,$B112,L$5)</f>
        <v>47.25</v>
      </c>
      <c r="M112" s="56">
        <f>_xll.EQNXTDZ($A$1,$B112,M$5)</f>
        <v>47.44</v>
      </c>
      <c r="N112" s="56">
        <f>_xll.EQNXTDZ($A$1,$B112,N$5)</f>
        <v>49.95</v>
      </c>
      <c r="O112" s="56">
        <f>_xll.EQNXTDZ($A$1,$B112,O$5)</f>
        <v>50.71</v>
      </c>
      <c r="P112" s="56">
        <f>_xll.EQNXTDZ($A$1,$B112,P$5)</f>
        <v>52.38</v>
      </c>
      <c r="Q112" s="56">
        <f>_xll.EQNXTDZ($A$1,$B112,Q$5)</f>
        <v>52.38</v>
      </c>
      <c r="R112" s="56">
        <f>_xll.EQNXTDZ($A$1,$B112,R$5)</f>
        <v>52.38</v>
      </c>
      <c r="S112" s="56">
        <f>_xll.EQNXTDZ($A$1,$B112,S$5)</f>
        <v>52.38</v>
      </c>
      <c r="T112" s="56">
        <f>_xll.EQNXTDZ($A$1,$B112,T$5)</f>
        <v>52.38</v>
      </c>
      <c r="U112" s="56">
        <f>_xll.EQNXTDZ($A$1,$B112,U$5)</f>
        <v>52.32</v>
      </c>
      <c r="V112" s="56">
        <f>_xll.EQNXTDZ($A$1,$B112,V$5)</f>
        <v>52.32</v>
      </c>
      <c r="W112" s="56">
        <f>_xll.EQNXTDZ($A$1,$B112,W$5)</f>
        <v>50.77</v>
      </c>
      <c r="X112" s="56">
        <f>_xll.EQNXTDZ($A$1,$B112,X$5)</f>
        <v>50.73</v>
      </c>
      <c r="Y112" s="56">
        <f>_xll.EQNXTDZ($A$1,$B112,Y$5)</f>
        <v>50.53</v>
      </c>
      <c r="Z112" s="56">
        <f>_xll.EQNXTDZ($A$1,$B112,Z$5)</f>
        <v>50.3</v>
      </c>
      <c r="AA112" s="56">
        <f>_xll.EQNXTDZ($A$1,$B112,AA$5)</f>
        <v>50.26</v>
      </c>
      <c r="AB112" s="56">
        <f>_xll.EQNXTDZ($A$1,$B112,AB$5)</f>
        <v>50.26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75.62</v>
      </c>
      <c r="L113" s="56">
        <f>_xll.EQNXTDZ($A$1,$B113,L$5)</f>
        <v>18.190000000000001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103806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77">
        <v>45901</v>
      </c>
      <c r="FG2" s="177">
        <f>+EOMONTH(FF2,1)</f>
        <v>45961</v>
      </c>
      <c r="FH2" s="177">
        <f t="shared" ref="FH2:HH2" si="0">+EOMONTH(FG2,1)</f>
        <v>45991</v>
      </c>
      <c r="FI2" s="177">
        <f t="shared" si="0"/>
        <v>46022</v>
      </c>
      <c r="FJ2" s="177">
        <f t="shared" si="0"/>
        <v>46053</v>
      </c>
      <c r="FK2" s="177">
        <f t="shared" si="0"/>
        <v>46081</v>
      </c>
      <c r="FL2" s="177">
        <f t="shared" si="0"/>
        <v>46112</v>
      </c>
      <c r="FM2" s="177">
        <f t="shared" si="0"/>
        <v>46142</v>
      </c>
      <c r="FN2" s="177">
        <f t="shared" si="0"/>
        <v>46173</v>
      </c>
      <c r="FO2" s="177">
        <f t="shared" si="0"/>
        <v>46203</v>
      </c>
      <c r="FP2" s="177">
        <f t="shared" si="0"/>
        <v>46234</v>
      </c>
      <c r="FQ2" s="177">
        <f t="shared" si="0"/>
        <v>46265</v>
      </c>
      <c r="FR2" s="177">
        <f t="shared" si="0"/>
        <v>46295</v>
      </c>
      <c r="FS2" s="177">
        <f t="shared" si="0"/>
        <v>46326</v>
      </c>
      <c r="FT2" s="177">
        <f t="shared" si="0"/>
        <v>46356</v>
      </c>
      <c r="FU2" s="177">
        <f t="shared" si="0"/>
        <v>46387</v>
      </c>
      <c r="FV2" s="177">
        <f t="shared" si="0"/>
        <v>46418</v>
      </c>
      <c r="FW2" s="177">
        <f t="shared" si="0"/>
        <v>46446</v>
      </c>
      <c r="FX2" s="177">
        <f t="shared" si="0"/>
        <v>46477</v>
      </c>
      <c r="FY2" s="177">
        <f t="shared" si="0"/>
        <v>46507</v>
      </c>
      <c r="FZ2" s="177">
        <f t="shared" si="0"/>
        <v>46538</v>
      </c>
      <c r="GA2" s="177">
        <f t="shared" si="0"/>
        <v>46568</v>
      </c>
      <c r="GB2" s="177">
        <f t="shared" si="0"/>
        <v>46599</v>
      </c>
      <c r="GC2" s="177">
        <f t="shared" si="0"/>
        <v>46630</v>
      </c>
      <c r="GD2" s="177">
        <f t="shared" si="0"/>
        <v>46660</v>
      </c>
      <c r="GE2" s="177">
        <f t="shared" si="0"/>
        <v>46691</v>
      </c>
      <c r="GF2" s="177">
        <f t="shared" si="0"/>
        <v>46721</v>
      </c>
      <c r="GG2" s="177">
        <f t="shared" si="0"/>
        <v>46752</v>
      </c>
      <c r="GH2" s="177">
        <f t="shared" si="0"/>
        <v>46783</v>
      </c>
      <c r="GI2" s="177">
        <f t="shared" si="0"/>
        <v>46812</v>
      </c>
      <c r="GJ2" s="177">
        <f t="shared" si="0"/>
        <v>46843</v>
      </c>
      <c r="GK2" s="177">
        <f t="shared" si="0"/>
        <v>46873</v>
      </c>
      <c r="GL2" s="177">
        <f t="shared" si="0"/>
        <v>46904</v>
      </c>
      <c r="GM2" s="177">
        <f t="shared" si="0"/>
        <v>46934</v>
      </c>
      <c r="GN2" s="177">
        <f t="shared" si="0"/>
        <v>46965</v>
      </c>
      <c r="GO2" s="177">
        <f t="shared" si="0"/>
        <v>46996</v>
      </c>
      <c r="GP2" s="177">
        <f t="shared" si="0"/>
        <v>47026</v>
      </c>
      <c r="GQ2" s="177">
        <f t="shared" si="0"/>
        <v>47057</v>
      </c>
      <c r="GR2" s="177">
        <f t="shared" si="0"/>
        <v>47087</v>
      </c>
      <c r="GS2" s="177">
        <f t="shared" si="0"/>
        <v>47118</v>
      </c>
      <c r="GT2" s="177">
        <f t="shared" si="0"/>
        <v>47149</v>
      </c>
      <c r="GU2" s="177">
        <f t="shared" si="0"/>
        <v>47177</v>
      </c>
      <c r="GV2" s="177">
        <f t="shared" si="0"/>
        <v>47208</v>
      </c>
      <c r="GW2" s="177">
        <f t="shared" si="0"/>
        <v>47238</v>
      </c>
      <c r="GX2" s="177">
        <f t="shared" si="0"/>
        <v>47269</v>
      </c>
      <c r="GY2" s="177">
        <f t="shared" si="0"/>
        <v>47299</v>
      </c>
      <c r="GZ2" s="177">
        <f t="shared" si="0"/>
        <v>47330</v>
      </c>
      <c r="HA2" s="177">
        <f t="shared" si="0"/>
        <v>47361</v>
      </c>
      <c r="HB2" s="177">
        <f t="shared" si="0"/>
        <v>47391</v>
      </c>
      <c r="HC2" s="177">
        <f t="shared" si="0"/>
        <v>47422</v>
      </c>
      <c r="HD2" s="177">
        <f t="shared" si="0"/>
        <v>47452</v>
      </c>
      <c r="HE2" s="177">
        <f t="shared" si="0"/>
        <v>47483</v>
      </c>
      <c r="HF2" s="177">
        <f t="shared" si="0"/>
        <v>47514</v>
      </c>
      <c r="HG2" s="177">
        <f t="shared" si="0"/>
        <v>47542</v>
      </c>
      <c r="HH2" s="177">
        <f t="shared" si="0"/>
        <v>47573</v>
      </c>
      <c r="HI2" s="177"/>
      <c r="HJ2" s="177"/>
      <c r="HK2" s="177"/>
      <c r="HL2" s="177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42</v>
      </c>
      <c r="D6" cm="1">
        <f t="array" ref="D6">_xll.EQNXTDZ($A$1,$B6,D$1)</f>
        <v>41.6</v>
      </c>
      <c r="E6" cm="1">
        <f t="array" ref="E6">_xll.EQNXTDZ($A$1,$B6,E$1)</f>
        <v>40.380000000000003</v>
      </c>
      <c r="F6" cm="1">
        <f t="array" ref="F6">_xll.EQNXTDZ($A$1,$B6,F$1)</f>
        <v>43</v>
      </c>
      <c r="G6" cm="1">
        <f t="array" ref="G6">_xll.EQNXTDZ($A$1,$B6,G$1)</f>
        <v>44.8</v>
      </c>
      <c r="H6" cm="1">
        <f t="array" ref="H6">_xll.EQNXTDZ($A$1,$B6,H$1)</f>
        <v>44.45</v>
      </c>
      <c r="I6" cm="1">
        <f t="array" ref="I6">_xll.EQNXTDZ($A$1,$B6,I$1)</f>
        <v>41.4</v>
      </c>
      <c r="J6" cm="1">
        <f t="array" ref="J6">_xll.EQNXTDZ($A$1,$B6,J$1)</f>
        <v>40.4</v>
      </c>
      <c r="K6" cm="1">
        <f t="array" ref="K6">_xll.EQNXTDZ($A$1,$B6,K$1)</f>
        <v>39.340000000000003</v>
      </c>
      <c r="L6" cm="1">
        <f t="array" ref="L6">_xll.EQNXTDZ($A$1,$B6,L$1)</f>
        <v>37.6</v>
      </c>
      <c r="M6" cm="1">
        <f t="array" ref="M6">_xll.EQNXTDZ($A$1,$B6,M$1)</f>
        <v>34.1</v>
      </c>
      <c r="N6" cm="1">
        <f t="array" ref="N6">_xll.EQNXTDZ($A$1,$B6,N$1)</f>
        <v>34.44</v>
      </c>
      <c r="O6" cm="1">
        <f t="array" ref="O6">_xll.EQNXTDZ($A$1,$B6,O$1)</f>
        <v>32.26</v>
      </c>
      <c r="P6" cm="1">
        <f t="array" ref="P6">_xll.EQNXTDZ($A$1,$B6,P$1)</f>
        <v>30</v>
      </c>
      <c r="Q6" cm="1">
        <f t="array" ref="Q6">_xll.EQNXTDZ($A$1,$B6,Q$1)</f>
        <v>26.4</v>
      </c>
      <c r="R6" cm="1">
        <f t="array" ref="R6">_xll.EQNXTDZ($A$1,$B6,R$1)</f>
        <v>27.99</v>
      </c>
      <c r="S6" cm="1">
        <f t="array" ref="S6">_xll.EQNXTDZ($A$1,$B6,S$1)</f>
        <v>34.25</v>
      </c>
      <c r="T6" cm="1">
        <f t="array" ref="T6">_xll.EQNXTDZ($A$1,$B6,T$1)</f>
        <v>33</v>
      </c>
      <c r="U6" cm="1">
        <f t="array" ref="U6">_xll.EQNXTDZ($A$1,$B6,U$1)</f>
        <v>42.76</v>
      </c>
      <c r="V6" cm="1">
        <f t="array" ref="V6">_xll.EQNXTDZ($A$1,$B6,V$1)</f>
        <v>43.7</v>
      </c>
      <c r="W6" cm="1">
        <f t="array" ref="W6">_xll.EQNXTDZ($A$1,$B6,W$1)</f>
        <v>41.92</v>
      </c>
      <c r="X6" cm="1">
        <f t="array" ref="X6">_xll.EQNXTDZ($A$1,$B6,X$1)</f>
        <v>42.81</v>
      </c>
      <c r="Y6" cm="1">
        <f t="array" ref="Y6">_xll.EQNXTDZ($A$1,$B6,Y$1)</f>
        <v>71.88</v>
      </c>
      <c r="Z6" cm="1">
        <f t="array" ref="Z6">_xll.EQNXTDZ($A$1,$B6,Z$1)</f>
        <v>78.05</v>
      </c>
      <c r="AA6" cm="1">
        <f t="array" ref="AA6">_xll.EQNXTDZ($A$1,$B6,AA$1)</f>
        <v>90.34</v>
      </c>
      <c r="AB6" cm="1">
        <f t="array" ref="AB6">_xll.EQNXTDZ($A$1,$B6,AB$1)</f>
        <v>120.18</v>
      </c>
      <c r="AC6" cm="1">
        <f t="array" ref="AC6">_xll.EQNXTDZ($A$1,$B6,AC$1)</f>
        <v>116</v>
      </c>
      <c r="AD6" cm="1">
        <f t="array" ref="AD6">_xll.EQNXTDZ($A$1,$B6,AD$1)</f>
        <v>136.44999999999999</v>
      </c>
      <c r="AE6" cm="1">
        <f t="array" ref="AE6">_xll.EQNXTDZ($A$1,$B6,AE$1)</f>
        <v>152.41</v>
      </c>
      <c r="AF6" cm="1">
        <f t="array" ref="AF6">_xll.EQNXTDZ($A$1,$B6,AF$1)</f>
        <v>168</v>
      </c>
      <c r="AG6" cm="1">
        <f t="array" ref="AG6">_xll.EQNXTDZ($A$1,$B6,AG$1)</f>
        <v>177.01</v>
      </c>
      <c r="AH6" cm="1">
        <f t="array" ref="AH6">_xll.EQNXTDZ($A$1,$B6,AH$1)</f>
        <v>175.4</v>
      </c>
      <c r="AI6" cm="1">
        <f t="array" ref="AI6">_xll.EQNXTDZ($A$1,$B6,AI$1)</f>
        <v>189.4</v>
      </c>
      <c r="AJ6" cm="1">
        <f t="array" ref="AJ6">_xll.EQNXTDZ($A$1,$B6,AJ$1)</f>
        <v>187.01</v>
      </c>
      <c r="AK6" cm="1">
        <f t="array" ref="AK6">_xll.EQNXTDZ($A$1,$B6,AK$1)</f>
        <v>197.02</v>
      </c>
      <c r="AL6" cm="1">
        <f t="array" ref="AL6">_xll.EQNXTDZ($A$1,$B6,AL$1)</f>
        <v>198.2</v>
      </c>
      <c r="AM6" cm="1">
        <f t="array" ref="AM6">_xll.EQNXTDZ($A$1,$B6,AM$1)</f>
        <v>223.2</v>
      </c>
      <c r="AN6" cm="1">
        <f t="array" ref="AN6">_xll.EQNXTDZ($A$1,$B6,AN$1)</f>
        <v>246.4</v>
      </c>
      <c r="AO6" cm="1">
        <f t="array" ref="AO6">_xll.EQNXTDZ($A$1,$B6,AO$1)</f>
        <v>273.94</v>
      </c>
      <c r="AP6" cm="1">
        <f t="array" ref="AP6">_xll.EQNXTDZ($A$1,$B6,AP$1)</f>
        <v>230.2</v>
      </c>
      <c r="AQ6" cm="1">
        <f t="array" ref="AQ6">_xll.EQNXTDZ($A$1,$B6,AQ$1)</f>
        <v>228</v>
      </c>
      <c r="AR6" cm="1">
        <f t="array" ref="AR6">_xll.EQNXTDZ($A$1,$B6,AR$1)</f>
        <v>266.45</v>
      </c>
      <c r="AS6" cm="1">
        <f t="array" ref="AS6">_xll.EQNXTDZ($A$1,$B6,AS$1)</f>
        <v>255</v>
      </c>
      <c r="AT6" cm="1">
        <f t="array" ref="AT6">_xll.EQNXTDZ($A$1,$B6,AT$1)</f>
        <v>253.15</v>
      </c>
      <c r="AU6" cm="1">
        <f t="array" ref="AU6">_xll.EQNXTDZ($A$1,$B6,AU$1)</f>
        <v>233.31</v>
      </c>
      <c r="AV6" cm="1">
        <f t="array" ref="AV6">_xll.EQNXTDZ($A$1,$B6,AV$1)</f>
        <v>211.4</v>
      </c>
      <c r="AW6" cm="1">
        <f t="array" ref="AW6">_xll.EQNXTDZ($A$1,$B6,AW$1)</f>
        <v>259</v>
      </c>
      <c r="AX6" cm="1">
        <f t="array" ref="AX6">_xll.EQNXTDZ($A$1,$B6,AX$1)</f>
        <v>272.04000000000002</v>
      </c>
      <c r="AY6" cm="1">
        <f t="array" ref="AY6">_xll.EQNXTDZ($A$1,$B6,AY$1)</f>
        <v>260</v>
      </c>
      <c r="AZ6" cm="1">
        <f t="array" ref="AZ6">_xll.EQNXTDZ($A$1,$B6,AZ$1)</f>
        <v>262.60000000000002</v>
      </c>
      <c r="BA6" cm="1">
        <f t="array" ref="BA6">_xll.EQNXTDZ($A$1,$B6,BA$1)</f>
        <v>294.05</v>
      </c>
      <c r="BB6" cm="1">
        <f t="array" ref="BB6">_xll.EQNXTDZ($A$1,$B6,BB$1)</f>
        <v>345.98</v>
      </c>
      <c r="BC6" cm="1">
        <f t="array" ref="BC6">_xll.EQNXTDZ($A$1,$B6,BC$1)</f>
        <v>358</v>
      </c>
      <c r="BD6" cm="1">
        <f t="array" ref="BD6">_xll.EQNXTDZ($A$1,$B6,BD$1)</f>
        <v>367.14</v>
      </c>
      <c r="BE6" cm="1">
        <f t="array" ref="BE6">_xll.EQNXTDZ($A$1,$B6,BE$1)</f>
        <v>316.27999999999997</v>
      </c>
      <c r="BF6" cm="1">
        <f t="array" ref="BF6">_xll.EQNXTDZ($A$1,$B6,BF$1)</f>
        <v>310</v>
      </c>
      <c r="BG6" cm="1">
        <f t="array" ref="BG6">_xll.EQNXTDZ($A$1,$B6,BG$1)</f>
        <v>345.79</v>
      </c>
      <c r="BH6" cm="1">
        <f t="array" ref="BH6">_xll.EQNXTDZ($A$1,$B6,BH$1)</f>
        <v>311.39</v>
      </c>
      <c r="BI6" cm="1">
        <f t="array" ref="BI6">_xll.EQNXTDZ($A$1,$B6,BI$1)</f>
        <v>326.38</v>
      </c>
      <c r="BJ6" cm="1">
        <f t="array" ref="BJ6">_xll.EQNXTDZ($A$1,$B6,BJ$1)</f>
        <v>356.18</v>
      </c>
      <c r="BK6" cm="1">
        <f t="array" ref="BK6">_xll.EQNXTDZ($A$1,$B6,BK$1)</f>
        <v>327.39999999999998</v>
      </c>
      <c r="BL6" cm="1">
        <f t="array" ref="BL6">_xll.EQNXTDZ($A$1,$B6,BL$1)</f>
        <v>308.33</v>
      </c>
      <c r="BM6" cm="1">
        <f t="array" ref="BM6">_xll.EQNXTDZ($A$1,$B6,BM$1)</f>
        <v>305.77999999999997</v>
      </c>
      <c r="BN6" cm="1">
        <f t="array" ref="BN6">_xll.EQNXTDZ($A$1,$B6,BN$1)</f>
        <v>309.58999999999997</v>
      </c>
      <c r="BO6" cm="1">
        <f t="array" ref="BO6">_xll.EQNXTDZ($A$1,$B6,BO$1)</f>
        <v>309.2</v>
      </c>
      <c r="BP6" cm="1">
        <f t="array" ref="BP6">_xll.EQNXTDZ($A$1,$B6,BP$1)</f>
        <v>340</v>
      </c>
      <c r="BQ6" cm="1">
        <f t="array" ref="BQ6">_xll.EQNXTDZ($A$1,$B6,BQ$1)</f>
        <v>365.6</v>
      </c>
      <c r="BR6" cm="1">
        <f t="array" ref="BR6">_xll.EQNXTDZ($A$1,$B6,BR$1)</f>
        <v>396.4</v>
      </c>
      <c r="BS6" cm="1">
        <f t="array" ref="BS6">_xll.EQNXTDZ($A$1,$B6,BS$1)</f>
        <v>356.8</v>
      </c>
      <c r="BT6" cm="1">
        <f t="array" ref="BT6">_xll.EQNXTDZ($A$1,$B6,BT$1)</f>
        <v>379.39</v>
      </c>
      <c r="BU6" cm="1">
        <f t="array" ref="BU6">_xll.EQNXTDZ($A$1,$B6,BU$1)</f>
        <v>394.94</v>
      </c>
      <c r="BV6" cm="1">
        <f t="array" ref="BV6">_xll.EQNXTDZ($A$1,$B6,BV$1)</f>
        <v>481.8</v>
      </c>
      <c r="BW6" cm="1">
        <f t="array" ref="BW6">_xll.EQNXTDZ($A$1,$B6,BW$1)</f>
        <v>386</v>
      </c>
      <c r="BX6" cm="1">
        <f t="array" ref="BX6">_xll.EQNXTDZ($A$1,$B6,BX$1)</f>
        <v>342</v>
      </c>
      <c r="BY6" cm="1">
        <f t="array" ref="BY6">_xll.EQNXTDZ($A$1,$B6,BY$1)</f>
        <v>344.02</v>
      </c>
      <c r="BZ6" cm="1">
        <f t="array" ref="BZ6">_xll.EQNXTDZ($A$1,$B6,BZ$1)</f>
        <v>406.2</v>
      </c>
      <c r="CA6" cm="1">
        <f t="array" ref="CA6">_xll.EQNXTDZ($A$1,$B6,CA$1)</f>
        <v>343.93</v>
      </c>
      <c r="CB6" cm="1">
        <f t="array" ref="CB6">_xll.EQNXTDZ($A$1,$B6,CB$1)</f>
        <v>386</v>
      </c>
      <c r="CC6" cm="1">
        <f t="array" ref="CC6">_xll.EQNXTDZ($A$1,$B6,CC$1)</f>
        <v>433</v>
      </c>
      <c r="CD6" cm="1">
        <f t="array" ref="CD6">_xll.EQNXTDZ($A$1,$B6,CD$1)</f>
        <v>400</v>
      </c>
      <c r="CE6" cm="1">
        <f t="array" ref="CE6">_xll.EQNXTDZ($A$1,$B6,CE$1)</f>
        <v>403.4</v>
      </c>
      <c r="CF6" cm="1">
        <f t="array" ref="CF6">_xll.EQNXTDZ($A$1,$B6,CF$1)</f>
        <v>460</v>
      </c>
      <c r="CG6" cm="1">
        <f t="array" ref="CG6">_xll.EQNXTDZ($A$1,$B6,CG$1)</f>
        <v>460</v>
      </c>
      <c r="CH6" cm="1">
        <f t="array" ref="CH6">_xll.EQNXTDZ($A$1,$B6,CH$1)</f>
        <v>512</v>
      </c>
      <c r="CI6" cm="1">
        <f t="array" ref="CI6">_xll.EQNXTDZ($A$1,$B6,CI$1)</f>
        <v>569.11</v>
      </c>
      <c r="CJ6" cm="1">
        <f t="array" ref="CJ6">_xll.EQNXTDZ($A$1,$B6,CJ$1)</f>
        <v>613.79999999999995</v>
      </c>
      <c r="CK6" cm="1">
        <f t="array" ref="CK6">_xll.EQNXTDZ($A$1,$B6,CK$1)</f>
        <v>537.22</v>
      </c>
      <c r="CL6" cm="1">
        <f t="array" ref="CL6">_xll.EQNXTDZ($A$1,$B6,CL$1)</f>
        <v>554</v>
      </c>
      <c r="CM6" cm="1">
        <f t="array" ref="CM6">_xll.EQNXTDZ($A$1,$B6,CM$1)</f>
        <v>549</v>
      </c>
      <c r="CN6" cm="1">
        <f t="array" ref="CN6">_xll.EQNXTDZ($A$1,$B6,CN$1)</f>
        <v>579.11</v>
      </c>
      <c r="CO6" cm="1">
        <f t="array" ref="CO6">_xll.EQNXTDZ($A$1,$B6,CO$1)</f>
        <v>640.20000000000005</v>
      </c>
      <c r="CP6" cm="1">
        <f t="array" ref="CP6">_xll.EQNXTDZ($A$1,$B6,CP$1)</f>
        <v>686.3</v>
      </c>
      <c r="CQ6" cm="1">
        <f t="array" ref="CQ6">_xll.EQNXTDZ($A$1,$B6,CQ$1)</f>
        <v>755.2</v>
      </c>
      <c r="CR6" cm="1">
        <f t="array" ref="CR6">_xll.EQNXTDZ($A$1,$B6,CR$1)</f>
        <v>800</v>
      </c>
      <c r="CS6" cm="1">
        <f t="array" ref="CS6">_xll.EQNXTDZ($A$1,$B6,CS$1)</f>
        <v>560.13</v>
      </c>
      <c r="CT6" cm="1">
        <f t="array" ref="CT6">_xll.EQNXTDZ($A$1,$B6,CT$1)</f>
        <v>730</v>
      </c>
      <c r="CU6" cm="1">
        <f t="array" ref="CU6">_xll.EQNXTDZ($A$1,$B6,CU$1)</f>
        <v>704</v>
      </c>
      <c r="CV6" cm="1">
        <f t="array" ref="CV6">_xll.EQNXTDZ($A$1,$B6,CV$1)</f>
        <v>721.4</v>
      </c>
      <c r="CW6" cm="1">
        <f t="array" ref="CW6">_xll.EQNXTDZ($A$1,$B6,CW$1)</f>
        <v>757</v>
      </c>
      <c r="CX6" cm="1">
        <f t="array" ref="CX6">_xll.EQNXTDZ($A$1,$B6,CX$1)</f>
        <v>813</v>
      </c>
      <c r="CY6" cm="1">
        <f t="array" ref="CY6">_xll.EQNXTDZ($A$1,$B6,CY$1)</f>
        <v>831.92</v>
      </c>
      <c r="CZ6" cm="1">
        <f t="array" ref="CZ6">_xll.EQNXTDZ($A$1,$B6,CZ$1)</f>
        <v>883.36</v>
      </c>
      <c r="DA6" cm="1">
        <f t="array" ref="DA6">_xll.EQNXTDZ($A$1,$B6,DA$1)</f>
        <v>1035.9000000000001</v>
      </c>
      <c r="DB6" cm="1">
        <f t="array" ref="DB6">_xll.EQNXTDZ($A$1,$B6,DB$1)</f>
        <v>1110</v>
      </c>
      <c r="DC6" cm="1">
        <f t="array" ref="DC6">_xll.EQNXTDZ($A$1,$B6,DC$1)</f>
        <v>1078</v>
      </c>
      <c r="DD6" cm="1">
        <f t="array" ref="DD6">_xll.EQNXTDZ($A$1,$B6,DD$1)</f>
        <v>1087.5999999999999</v>
      </c>
      <c r="DE6" cm="1">
        <f t="array" ref="DE6">_xll.EQNXTDZ($A$1,$B6,DE$1)</f>
        <v>1089.9000000000001</v>
      </c>
      <c r="DF6" cm="1">
        <f t="array" ref="DF6">_xll.EQNXTDZ($A$1,$B6,DF$1)</f>
        <v>1286</v>
      </c>
      <c r="DG6" cm="1">
        <f t="array" ref="DG6">_xll.EQNXTDZ($A$1,$B6,DG$1)</f>
        <v>1311.2</v>
      </c>
      <c r="DH6" cm="1">
        <f t="array" ref="DH6">_xll.EQNXTDZ($A$1,$B6,DH$1)</f>
        <v>1465</v>
      </c>
      <c r="DI6" cm="1">
        <f t="array" ref="DI6">_xll.EQNXTDZ($A$1,$B6,DI$1)</f>
        <v>1732</v>
      </c>
      <c r="DJ6" cm="1">
        <f t="array" ref="DJ6">_xll.EQNXTDZ($A$1,$B6,DJ$1)</f>
        <v>2060</v>
      </c>
      <c r="DK6" cm="1">
        <f t="array" ref="DK6">_xll.EQNXTDZ($A$1,$B6,DK$1)</f>
        <v>2265</v>
      </c>
      <c r="DL6" cm="1">
        <f t="array" ref="DL6">_xll.EQNXTDZ($A$1,$B6,DL$1)</f>
        <v>2130</v>
      </c>
      <c r="DM6" cm="1">
        <f t="array" ref="DM6">_xll.EQNXTDZ($A$1,$B6,DM$1)</f>
        <v>2032.55</v>
      </c>
      <c r="DN6" cm="1">
        <f t="array" ref="DN6">_xll.EQNXTDZ($A$1,$B6,DN$1)</f>
        <v>2420.1</v>
      </c>
      <c r="DO6" cm="1">
        <f t="array" ref="DO6">_xll.EQNXTDZ($A$1,$B6,DO$1)</f>
        <v>2424.0500000000002</v>
      </c>
      <c r="DP6" cm="1">
        <f t="array" ref="DP6">_xll.EQNXTDZ($A$1,$B6,DP$1)</f>
        <v>2379</v>
      </c>
      <c r="DQ6" cm="1">
        <f t="array" ref="DQ6">_xll.EQNXTDZ($A$1,$B6,DQ$1)</f>
        <v>2690</v>
      </c>
      <c r="DR6" cm="1">
        <f t="array" ref="DR6">_xll.EQNXTDZ($A$1,$B6,DR$1)</f>
        <v>2484.9499999999998</v>
      </c>
      <c r="DS6" cm="1">
        <f t="array" ref="DS6">_xll.EQNXTDZ($A$1,$B6,DS$1)</f>
        <v>2457</v>
      </c>
      <c r="DT6" cm="1">
        <f t="array" ref="DT6">_xll.EQNXTDZ($A$1,$B6,DT$1)</f>
        <v>2230</v>
      </c>
      <c r="DU6" cm="1">
        <f t="array" ref="DU6">_xll.EQNXTDZ($A$1,$B6,DU$1)</f>
        <v>2439</v>
      </c>
      <c r="DV6" cm="1">
        <f t="array" ref="DV6">_xll.EQNXTDZ($A$1,$B6,DV$1)</f>
        <v>2514.65</v>
      </c>
      <c r="DW6" cm="1">
        <f t="array" ref="DW6">_xll.EQNXTDZ($A$1,$B6,DW$1)</f>
        <v>2505</v>
      </c>
      <c r="DX6" cm="1">
        <f t="array" ref="DX6">_xll.EQNXTDZ($A$1,$B6,DX$1)</f>
        <v>2565</v>
      </c>
      <c r="DY6" cm="1">
        <f t="array" ref="DY6">_xll.EQNXTDZ($A$1,$B6,DY$1)</f>
        <v>2370.9499999999998</v>
      </c>
      <c r="DZ6" cm="1">
        <f t="array" ref="DZ6">_xll.EQNXTDZ($A$1,$B6,DZ$1)</f>
        <v>2294.6</v>
      </c>
      <c r="EA6" cm="1">
        <f t="array" ref="EA6">_xll.EQNXTDZ($A$1,$B6,EA$1)</f>
        <v>2200</v>
      </c>
      <c r="EB6" cm="1">
        <f t="array" ref="EB6">_xll.EQNXTDZ($A$1,$B6,EB$1)</f>
        <v>2184.0500000000002</v>
      </c>
      <c r="EC6" cm="1">
        <f t="array" ref="EC6">_xll.EQNXTDZ($A$1,$B6,EC$1)</f>
        <v>2428.1999999999998</v>
      </c>
      <c r="ED6" cm="1">
        <f t="array" ref="ED6">_xll.EQNXTDZ($A$1,$B6,ED$1)</f>
        <v>2544</v>
      </c>
      <c r="EE6" cm="1">
        <f t="array" ref="EE6">_xll.EQNXTDZ($A$1,$B6,EE$1)</f>
        <v>2503</v>
      </c>
      <c r="EF6" cm="1">
        <f t="array" ref="EF6">_xll.EQNXTDZ($A$1,$B6,EF$1)</f>
        <v>2300</v>
      </c>
      <c r="EG6" cm="1">
        <f t="array" ref="EG6">_xll.EQNXTDZ($A$1,$B6,EG$1)</f>
        <v>2183</v>
      </c>
      <c r="EH6" cm="1">
        <f t="array" ref="EH6">_xll.EQNXTDZ($A$1,$B6,EH$1)</f>
        <v>2356.1999999999998</v>
      </c>
      <c r="EI6" cm="1">
        <f t="array" ref="EI6">_xll.EQNXTDZ($A$1,$B6,EI$1)</f>
        <v>2258</v>
      </c>
      <c r="EJ6" cm="1">
        <f t="array" ref="EJ6">_xll.EQNXTDZ($A$1,$B6,EJ$1)</f>
        <v>2190</v>
      </c>
      <c r="EK6" cm="1">
        <f t="array" ref="EK6">_xll.EQNXTDZ($A$1,$B6,EK$1)</f>
        <v>2364.8000000000002</v>
      </c>
      <c r="EL6" cm="1">
        <f t="array" ref="EL6">_xll.EQNXTDZ($A$1,$B6,EL$1)</f>
        <v>2488.75</v>
      </c>
      <c r="EM6" cm="1">
        <f t="array" ref="EM6">_xll.EQNXTDZ($A$1,$B6,EM$1)</f>
        <v>2320</v>
      </c>
      <c r="EN6" cm="1">
        <f t="array" ref="EN6">_xll.EQNXTDZ($A$1,$B6,EN$1)</f>
        <v>2389.65</v>
      </c>
      <c r="EO6" cm="1">
        <f t="array" ref="EO6">_xll.EQNXTDZ($A$1,$B6,EO$1)</f>
        <v>2559.9</v>
      </c>
      <c r="EP6" cm="1">
        <f t="array" ref="EP6">_xll.EQNXTDZ($A$1,$B6,EP$1)</f>
        <v>2621.0500000000002</v>
      </c>
      <c r="EQ6" cm="1">
        <f t="array" ref="EQ6">_xll.EQNXTDZ($A$1,$B6,EQ$1)</f>
        <v>2251.6</v>
      </c>
      <c r="ER6" cm="1">
        <f t="array" ref="ER6">_xll.EQNXTDZ($A$1,$B6,ER$1)</f>
        <v>2426.0500000000002</v>
      </c>
      <c r="ES6" cm="1">
        <f t="array" ref="ES6">_xll.EQNXTDZ($A$1,$B6,ES$1)</f>
        <v>2631.5</v>
      </c>
      <c r="ET6" cm="1">
        <f t="array" ref="ET6">_xll.EQNXTDZ($A$1,$B6,ET$1)</f>
        <v>2579.9</v>
      </c>
      <c r="EU6" cm="1">
        <f t="array" ref="EU6">_xll.EQNXTDZ($A$1,$B6,EU$1)</f>
        <v>2494</v>
      </c>
      <c r="EV6" cm="1">
        <f t="array" ref="EV6">_xll.EQNXTDZ($A$1,$B6,EV$1)</f>
        <v>2243.15</v>
      </c>
      <c r="EW6" cm="1">
        <f t="array" ref="EW6">_xll.EQNXTDZ($A$1,$B6,EW$1)</f>
        <v>2264.9499999999998</v>
      </c>
      <c r="EX6" cm="1">
        <f t="array" ref="EX6">_xll.EQNXTDZ($A$1,$B6,EX$1)</f>
        <v>2237</v>
      </c>
      <c r="EY6" cm="1">
        <f t="array" ref="EY6">_xll.EQNXTDZ($A$1,$B6,EY$1)</f>
        <v>2820</v>
      </c>
      <c r="EZ6" cm="1">
        <f t="array" ref="EZ6">_xll.EQNXTDZ($A$1,$B6,EZ$1)</f>
        <v>2790.1</v>
      </c>
      <c r="FA6" cm="1">
        <f t="array" ref="FA6">_xll.EQNXTDZ($A$1,$B6,FA$1)</f>
        <v>2931</v>
      </c>
      <c r="FB6" cm="1">
        <f t="array" ref="FB6">_xll.EQNXTDZ($A$1,$B6,FB$1)</f>
        <v>3009</v>
      </c>
      <c r="FC6" cm="1">
        <f t="array" ref="FC6">_xll.EQNXTDZ($A$1,$B6,FC$1)</f>
        <v>2825.1</v>
      </c>
      <c r="FD6" cm="1">
        <f t="array" ref="FD6">_xll.EQNXTDZ($A$1,$B6,FD$1)</f>
        <v>3250</v>
      </c>
      <c r="FE6" cm="1">
        <f t="array" ref="FE6">_xll.EQNXTDZ($A$1,$B6,FE$1)</f>
        <v>3036</v>
      </c>
      <c r="FF6" cm="1">
        <f t="array" ref="FF6">_xll.EQNXTDZ($A$1,$B6,FF$1)</f>
        <v>2849</v>
      </c>
      <c r="FG6" cm="1">
        <f t="array" ref="FG6">_xll.EQNXTDZ($A$1,$B6,FG$1)</f>
        <v>2823.5</v>
      </c>
      <c r="FH6" cm="1">
        <f t="array" ref="FH6">_xll.EQNXTDZ($A$1,$B6,FH$1)</f>
        <v>2910</v>
      </c>
      <c r="FI6" cm="1">
        <f t="array" ref="FI6">_xll.EQNXTDZ($A$1,$B6,FI$1)</f>
        <v>2927.3</v>
      </c>
      <c r="FJ6" cm="1">
        <f t="array" ref="FJ6">_xll.EQNXTDZ($A$1,$B6,FJ$1)</f>
        <v>3077.9</v>
      </c>
      <c r="FK6" cm="1">
        <f t="array" ref="FK6">_xll.EQNXTDZ($A$1,$B6,FK$1)</f>
        <v>2792.3</v>
      </c>
      <c r="FL6" cm="1">
        <f t="array" ref="FL6">_xll.EQNXTDZ($A$1,$B6,FL$1)</f>
        <v>2474.9</v>
      </c>
      <c r="FM6" cm="1">
        <f t="array" ref="FM6">_xll.EQNXTDZ($A$1,$B6,FM$1)</f>
        <v>2500.4</v>
      </c>
      <c r="FN6" cm="1">
        <f t="array" ref="FN6">_xll.EQNXTDZ($A$1,$B6,FN$1)</f>
        <v>2520.4</v>
      </c>
      <c r="FO6" cm="1">
        <f t="array" ref="FO6">_xll.EQNXTDZ($A$1,$B6,FO$1)</f>
        <v>2719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43</v>
      </c>
      <c r="D7" s="116" cm="1">
        <f t="array" ref="D7">_xll.EQNXTDZ($A$1,$B7,D$1)</f>
        <v>49.96</v>
      </c>
      <c r="E7" s="116" cm="1">
        <f t="array" ref="E7">_xll.EQNXTDZ($A$1,$B7,E$1)</f>
        <v>43.89</v>
      </c>
      <c r="F7" s="116" cm="1">
        <f t="array" ref="F7">_xll.EQNXTDZ($A$1,$B7,F$1)</f>
        <v>46.96</v>
      </c>
      <c r="G7" s="116" cm="1">
        <f t="array" ref="G7">_xll.EQNXTDZ($A$1,$B7,G$1)</f>
        <v>48.08</v>
      </c>
      <c r="H7" s="116" cm="1">
        <f t="array" ref="H7">_xll.EQNXTDZ($A$1,$B7,H$1)</f>
        <v>47.32</v>
      </c>
      <c r="I7" s="116" cm="1">
        <f t="array" ref="I7">_xll.EQNXTDZ($A$1,$B7,I$1)</f>
        <v>44.48</v>
      </c>
      <c r="J7" s="116" cm="1">
        <f t="array" ref="J7">_xll.EQNXTDZ($A$1,$B7,J$1)</f>
        <v>42.98</v>
      </c>
      <c r="K7" s="116" cm="1">
        <f t="array" ref="K7">_xll.EQNXTDZ($A$1,$B7,K$1)</f>
        <v>40.85</v>
      </c>
      <c r="L7" s="116" cm="1">
        <f t="array" ref="L7">_xll.EQNXTDZ($A$1,$B7,L$1)</f>
        <v>38.58</v>
      </c>
      <c r="M7" s="116" cm="1">
        <f t="array" ref="M7">_xll.EQNXTDZ($A$1,$B7,M$1)</f>
        <v>37.409999999999997</v>
      </c>
      <c r="N7" s="116" cm="1">
        <f t="array" ref="N7">_xll.EQNXTDZ($A$1,$B7,N$1)</f>
        <v>35.79</v>
      </c>
      <c r="O7" s="116" cm="1">
        <f t="array" ref="O7">_xll.EQNXTDZ($A$1,$B7,O$1)</f>
        <v>33.21</v>
      </c>
      <c r="P7" s="116" cm="1">
        <f t="array" ref="P7">_xll.EQNXTDZ($A$1,$B7,P$1)</f>
        <v>31.6</v>
      </c>
      <c r="Q7" s="116" cm="1">
        <f t="array" ref="Q7">_xll.EQNXTDZ($A$1,$B7,Q$1)</f>
        <v>32.54</v>
      </c>
      <c r="R7" s="116" cm="1">
        <f t="array" ref="R7">_xll.EQNXTDZ($A$1,$B7,R$1)</f>
        <v>34.200000000000003</v>
      </c>
      <c r="S7" s="116" cm="1">
        <f t="array" ref="S7">_xll.EQNXTDZ($A$1,$B7,S$1)</f>
        <v>35.6</v>
      </c>
      <c r="T7" s="116" cm="1">
        <f t="array" ref="T7">_xll.EQNXTDZ($A$1,$B7,T$1)</f>
        <v>41.36</v>
      </c>
      <c r="U7" s="116" cm="1">
        <f t="array" ref="U7">_xll.EQNXTDZ($A$1,$B7,U$1)</f>
        <v>47.74</v>
      </c>
      <c r="V7" s="116" cm="1">
        <f t="array" ref="V7">_xll.EQNXTDZ($A$1,$B7,V$1)</f>
        <v>46.12</v>
      </c>
      <c r="W7" s="116" cm="1">
        <f t="array" ref="W7">_xll.EQNXTDZ($A$1,$B7,W$1)</f>
        <v>45.4</v>
      </c>
      <c r="X7" s="116" cm="1">
        <f t="array" ref="X7">_xll.EQNXTDZ($A$1,$B7,X$1)</f>
        <v>74.319999999999993</v>
      </c>
      <c r="Y7" s="116" cm="1">
        <f t="array" ref="Y7">_xll.EQNXTDZ($A$1,$B7,Y$1)</f>
        <v>84.58</v>
      </c>
      <c r="Z7" s="116" cm="1">
        <f t="array" ref="Z7">_xll.EQNXTDZ($A$1,$B7,Z$1)</f>
        <v>91.98</v>
      </c>
      <c r="AA7" s="116" cm="1">
        <f t="array" ref="AA7">_xll.EQNXTDZ($A$1,$B7,AA$1)</f>
        <v>120.76</v>
      </c>
      <c r="AB7" s="116" cm="1">
        <f t="array" ref="AB7">_xll.EQNXTDZ($A$1,$B7,AB$1)</f>
        <v>121.72</v>
      </c>
      <c r="AC7" s="116" cm="1">
        <f t="array" ref="AC7">_xll.EQNXTDZ($A$1,$B7,AC$1)</f>
        <v>141.09</v>
      </c>
      <c r="AD7" s="116" cm="1">
        <f t="array" ref="AD7">_xll.EQNXTDZ($A$1,$B7,AD$1)</f>
        <v>155</v>
      </c>
      <c r="AE7" s="116" cm="1">
        <f t="array" ref="AE7">_xll.EQNXTDZ($A$1,$B7,AE$1)</f>
        <v>184.4</v>
      </c>
      <c r="AF7" s="116" cm="1">
        <f t="array" ref="AF7">_xll.EQNXTDZ($A$1,$B7,AF$1)</f>
        <v>191.76</v>
      </c>
      <c r="AG7" s="116" cm="1">
        <f t="array" ref="AG7">_xll.EQNXTDZ($A$1,$B7,AG$1)</f>
        <v>184.58</v>
      </c>
      <c r="AH7" s="116" cm="1">
        <f t="array" ref="AH7">_xll.EQNXTDZ($A$1,$B7,AH$1)</f>
        <v>199.6</v>
      </c>
      <c r="AI7" s="116" cm="1">
        <f t="array" ref="AI7">_xll.EQNXTDZ($A$1,$B7,AI$1)</f>
        <v>205</v>
      </c>
      <c r="AJ7" s="116" cm="1">
        <f t="array" ref="AJ7">_xll.EQNXTDZ($A$1,$B7,AJ$1)</f>
        <v>204.4</v>
      </c>
      <c r="AK7" s="116" cm="1">
        <f t="array" ref="AK7">_xll.EQNXTDZ($A$1,$B7,AK$1)</f>
        <v>225.4</v>
      </c>
      <c r="AL7" s="116" cm="1">
        <f t="array" ref="AL7">_xll.EQNXTDZ($A$1,$B7,AL$1)</f>
        <v>227.54</v>
      </c>
      <c r="AM7" s="116" cm="1">
        <f t="array" ref="AM7">_xll.EQNXTDZ($A$1,$B7,AM$1)</f>
        <v>250.2</v>
      </c>
      <c r="AN7" s="116" cm="1">
        <f t="array" ref="AN7">_xll.EQNXTDZ($A$1,$B7,AN$1)</f>
        <v>284.7</v>
      </c>
      <c r="AO7" s="116" cm="1">
        <f t="array" ref="AO7">_xll.EQNXTDZ($A$1,$B7,AO$1)</f>
        <v>299.77</v>
      </c>
      <c r="AP7" s="116" cm="1">
        <f t="array" ref="AP7">_xll.EQNXTDZ($A$1,$B7,AP$1)</f>
        <v>239.6</v>
      </c>
      <c r="AQ7" s="116" cm="1">
        <f t="array" ref="AQ7">_xll.EQNXTDZ($A$1,$B7,AQ$1)</f>
        <v>278.44</v>
      </c>
      <c r="AR7" s="116" cm="1">
        <f t="array" ref="AR7">_xll.EQNXTDZ($A$1,$B7,AR$1)</f>
        <v>269.74</v>
      </c>
      <c r="AS7" s="116" cm="1">
        <f t="array" ref="AS7">_xll.EQNXTDZ($A$1,$B7,AS$1)</f>
        <v>258.95</v>
      </c>
      <c r="AT7" s="116" cm="1">
        <f t="array" ref="AT7">_xll.EQNXTDZ($A$1,$B7,AT$1)</f>
        <v>272.39999999999998</v>
      </c>
      <c r="AU7" s="116" cm="1">
        <f t="array" ref="AU7">_xll.EQNXTDZ($A$1,$B7,AU$1)</f>
        <v>237.11</v>
      </c>
      <c r="AV7" s="116" cm="1">
        <f t="array" ref="AV7">_xll.EQNXTDZ($A$1,$B7,AV$1)</f>
        <v>266.77</v>
      </c>
      <c r="AW7" s="116" cm="1">
        <f t="array" ref="AW7">_xll.EQNXTDZ($A$1,$B7,AW$1)</f>
        <v>283.2</v>
      </c>
      <c r="AX7" s="116" cm="1">
        <f t="array" ref="AX7">_xll.EQNXTDZ($A$1,$B7,AX$1)</f>
        <v>293.76</v>
      </c>
      <c r="AY7" s="116" cm="1">
        <f t="array" ref="AY7">_xll.EQNXTDZ($A$1,$B7,AY$1)</f>
        <v>264.94</v>
      </c>
      <c r="AZ7" s="116" cm="1">
        <f t="array" ref="AZ7">_xll.EQNXTDZ($A$1,$B7,AZ$1)</f>
        <v>294.48</v>
      </c>
      <c r="BA7" s="116" cm="1">
        <f t="array" ref="BA7">_xll.EQNXTDZ($A$1,$B7,BA$1)</f>
        <v>346</v>
      </c>
      <c r="BB7" s="116" cm="1">
        <f t="array" ref="BB7">_xll.EQNXTDZ($A$1,$B7,BB$1)</f>
        <v>364.96</v>
      </c>
      <c r="BC7" s="116" cm="1">
        <f t="array" ref="BC7">_xll.EQNXTDZ($A$1,$B7,BC$1)</f>
        <v>394</v>
      </c>
      <c r="BD7" s="116" cm="1">
        <f t="array" ref="BD7">_xll.EQNXTDZ($A$1,$B7,BD$1)</f>
        <v>370</v>
      </c>
      <c r="BE7" s="116" cm="1">
        <f t="array" ref="BE7">_xll.EQNXTDZ($A$1,$B7,BE$1)</f>
        <v>318.32</v>
      </c>
      <c r="BF7" s="116" cm="1">
        <f t="array" ref="BF7">_xll.EQNXTDZ($A$1,$B7,BF$1)</f>
        <v>352</v>
      </c>
      <c r="BG7" s="116" cm="1">
        <f t="array" ref="BG7">_xll.EQNXTDZ($A$1,$B7,BG$1)</f>
        <v>356.72</v>
      </c>
      <c r="BH7" s="116" cm="1">
        <f t="array" ref="BH7">_xll.EQNXTDZ($A$1,$B7,BH$1)</f>
        <v>329.28</v>
      </c>
      <c r="BI7" s="116" cm="1">
        <f t="array" ref="BI7">_xll.EQNXTDZ($A$1,$B7,BI$1)</f>
        <v>364.99</v>
      </c>
      <c r="BJ7" s="116" cm="1">
        <f t="array" ref="BJ7">_xll.EQNXTDZ($A$1,$B7,BJ$1)</f>
        <v>371.8</v>
      </c>
      <c r="BK7" s="116" cm="1">
        <f t="array" ref="BK7">_xll.EQNXTDZ($A$1,$B7,BK$1)</f>
        <v>339.47</v>
      </c>
      <c r="BL7" s="116" cm="1">
        <f t="array" ref="BL7">_xll.EQNXTDZ($A$1,$B7,BL$1)</f>
        <v>317.42</v>
      </c>
      <c r="BM7" s="116" cm="1">
        <f t="array" ref="BM7">_xll.EQNXTDZ($A$1,$B7,BM$1)</f>
        <v>317.58</v>
      </c>
      <c r="BN7" s="116" cm="1">
        <f t="array" ref="BN7">_xll.EQNXTDZ($A$1,$B7,BN$1)</f>
        <v>328.7</v>
      </c>
      <c r="BO7" s="116" cm="1">
        <f t="array" ref="BO7">_xll.EQNXTDZ($A$1,$B7,BO$1)</f>
        <v>358.78</v>
      </c>
      <c r="BP7" s="116" cm="1">
        <f t="array" ref="BP7">_xll.EQNXTDZ($A$1,$B7,BP$1)</f>
        <v>381.98</v>
      </c>
      <c r="BQ7" s="116" cm="1">
        <f t="array" ref="BQ7">_xll.EQNXTDZ($A$1,$B7,BQ$1)</f>
        <v>399.91</v>
      </c>
      <c r="BR7" s="116" cm="1">
        <f t="array" ref="BR7">_xll.EQNXTDZ($A$1,$B7,BR$1)</f>
        <v>409.69</v>
      </c>
      <c r="BS7" s="116" cm="1">
        <f t="array" ref="BS7">_xll.EQNXTDZ($A$1,$B7,BS$1)</f>
        <v>392.2</v>
      </c>
      <c r="BT7" s="116" cm="1">
        <f t="array" ref="BT7">_xll.EQNXTDZ($A$1,$B7,BT$1)</f>
        <v>402.8</v>
      </c>
      <c r="BU7" s="116" cm="1">
        <f t="array" ref="BU7">_xll.EQNXTDZ($A$1,$B7,BU$1)</f>
        <v>489.32</v>
      </c>
      <c r="BV7" s="116" cm="1">
        <f t="array" ref="BV7">_xll.EQNXTDZ($A$1,$B7,BV$1)</f>
        <v>482.7</v>
      </c>
      <c r="BW7" s="116" cm="1">
        <f t="array" ref="BW7">_xll.EQNXTDZ($A$1,$B7,BW$1)</f>
        <v>388.99</v>
      </c>
      <c r="BX7" s="116" cm="1">
        <f t="array" ref="BX7">_xll.EQNXTDZ($A$1,$B7,BX$1)</f>
        <v>355.5</v>
      </c>
      <c r="BY7" s="116" cm="1">
        <f t="array" ref="BY7">_xll.EQNXTDZ($A$1,$B7,BY$1)</f>
        <v>416.9</v>
      </c>
      <c r="BZ7" s="116" cm="1">
        <f t="array" ref="BZ7">_xll.EQNXTDZ($A$1,$B7,BZ$1)</f>
        <v>412</v>
      </c>
      <c r="CA7" s="116" cm="1">
        <f t="array" ref="CA7">_xll.EQNXTDZ($A$1,$B7,CA$1)</f>
        <v>389.4</v>
      </c>
      <c r="CB7" s="116" cm="1">
        <f t="array" ref="CB7">_xll.EQNXTDZ($A$1,$B7,CB$1)</f>
        <v>435.79</v>
      </c>
      <c r="CC7" s="116" cm="1">
        <f t="array" ref="CC7">_xll.EQNXTDZ($A$1,$B7,CC$1)</f>
        <v>455.39</v>
      </c>
      <c r="CD7" s="116" cm="1">
        <f t="array" ref="CD7">_xll.EQNXTDZ($A$1,$B7,CD$1)</f>
        <v>427.6</v>
      </c>
      <c r="CE7" s="116" cm="1">
        <f t="array" ref="CE7">_xll.EQNXTDZ($A$1,$B7,CE$1)</f>
        <v>461.6</v>
      </c>
      <c r="CF7" s="116" cm="1">
        <f t="array" ref="CF7">_xll.EQNXTDZ($A$1,$B7,CF$1)</f>
        <v>495.6</v>
      </c>
      <c r="CG7" s="116" cm="1">
        <f t="array" ref="CG7">_xll.EQNXTDZ($A$1,$B7,CG$1)</f>
        <v>516.49</v>
      </c>
      <c r="CH7" s="116" cm="1">
        <f t="array" ref="CH7">_xll.EQNXTDZ($A$1,$B7,CH$1)</f>
        <v>596.58000000000004</v>
      </c>
      <c r="CI7" s="116" cm="1">
        <f t="array" ref="CI7">_xll.EQNXTDZ($A$1,$B7,CI$1)</f>
        <v>615.4</v>
      </c>
      <c r="CJ7" s="116" cm="1">
        <f t="array" ref="CJ7">_xll.EQNXTDZ($A$1,$B7,CJ$1)</f>
        <v>617.22</v>
      </c>
      <c r="CK7" s="116" cm="1">
        <f t="array" ref="CK7">_xll.EQNXTDZ($A$1,$B7,CK$1)</f>
        <v>609.96</v>
      </c>
      <c r="CL7" s="116" cm="1">
        <f t="array" ref="CL7">_xll.EQNXTDZ($A$1,$B7,CL$1)</f>
        <v>600.6</v>
      </c>
      <c r="CM7" s="116" cm="1">
        <f t="array" ref="CM7">_xll.EQNXTDZ($A$1,$B7,CM$1)</f>
        <v>589.6</v>
      </c>
      <c r="CN7" s="116" cm="1">
        <f t="array" ref="CN7">_xll.EQNXTDZ($A$1,$B7,CN$1)</f>
        <v>654.58000000000004</v>
      </c>
      <c r="CO7" s="116" cm="1">
        <f t="array" ref="CO7">_xll.EQNXTDZ($A$1,$B7,CO$1)</f>
        <v>691.29</v>
      </c>
      <c r="CP7" s="116" cm="1">
        <f t="array" ref="CP7">_xll.EQNXTDZ($A$1,$B7,CP$1)</f>
        <v>772.2</v>
      </c>
      <c r="CQ7" s="116" cm="1">
        <f t="array" ref="CQ7">_xll.EQNXTDZ($A$1,$B7,CQ$1)</f>
        <v>852</v>
      </c>
      <c r="CR7" s="116" cm="1">
        <f t="array" ref="CR7">_xll.EQNXTDZ($A$1,$B7,CR$1)</f>
        <v>803.8</v>
      </c>
      <c r="CS7" s="116" cm="1">
        <f t="array" ref="CS7">_xll.EQNXTDZ($A$1,$B7,CS$1)</f>
        <v>754.4</v>
      </c>
      <c r="CT7" s="116" cm="1">
        <f t="array" ref="CT7">_xll.EQNXTDZ($A$1,$B7,CT$1)</f>
        <v>745.8</v>
      </c>
      <c r="CU7" s="116" cm="1">
        <f t="array" ref="CU7">_xll.EQNXTDZ($A$1,$B7,CU$1)</f>
        <v>768.9</v>
      </c>
      <c r="CV7" s="116" cm="1">
        <f t="array" ref="CV7">_xll.EQNXTDZ($A$1,$B7,CV$1)</f>
        <v>808.71</v>
      </c>
      <c r="CW7" s="116" cm="1">
        <f t="array" ref="CW7">_xll.EQNXTDZ($A$1,$B7,CW$1)</f>
        <v>887.83</v>
      </c>
      <c r="CX7" s="116" cm="1">
        <f t="array" ref="CX7">_xll.EQNXTDZ($A$1,$B7,CX$1)</f>
        <v>895</v>
      </c>
      <c r="CY7" s="116" cm="1">
        <f t="array" ref="CY7">_xll.EQNXTDZ($A$1,$B7,CY$1)</f>
        <v>911.46</v>
      </c>
      <c r="CZ7" s="116" cm="1">
        <f t="array" ref="CZ7">_xll.EQNXTDZ($A$1,$B7,CZ$1)</f>
        <v>1073.44</v>
      </c>
      <c r="DA7" s="116" cm="1">
        <f t="array" ref="DA7">_xll.EQNXTDZ($A$1,$B7,DA$1)</f>
        <v>1128.75</v>
      </c>
      <c r="DB7" s="116" cm="1">
        <f t="array" ref="DB7">_xll.EQNXTDZ($A$1,$B7,DB$1)</f>
        <v>1214.0999999999999</v>
      </c>
      <c r="DC7" s="116" cm="1">
        <f t="array" ref="DC7">_xll.EQNXTDZ($A$1,$B7,DC$1)</f>
        <v>1168.5</v>
      </c>
      <c r="DD7" s="116" cm="1">
        <f t="array" ref="DD7">_xll.EQNXTDZ($A$1,$B7,DD$1)</f>
        <v>1164.0999999999999</v>
      </c>
      <c r="DE7" s="116" cm="1">
        <f t="array" ref="DE7">_xll.EQNXTDZ($A$1,$B7,DE$1)</f>
        <v>1318</v>
      </c>
      <c r="DF7" s="116" cm="1">
        <f t="array" ref="DF7">_xll.EQNXTDZ($A$1,$B7,DF$1)</f>
        <v>1399.8</v>
      </c>
      <c r="DG7" s="116" cm="1">
        <f t="array" ref="DG7">_xll.EQNXTDZ($A$1,$B7,DG$1)</f>
        <v>1462</v>
      </c>
      <c r="DH7" s="116" cm="1">
        <f t="array" ref="DH7">_xll.EQNXTDZ($A$1,$B7,DH$1)</f>
        <v>1744.96</v>
      </c>
      <c r="DI7" s="116" cm="1">
        <f t="array" ref="DI7">_xll.EQNXTDZ($A$1,$B7,DI$1)</f>
        <v>2069</v>
      </c>
      <c r="DJ7" s="116" cm="1">
        <f t="array" ref="DJ7">_xll.EQNXTDZ($A$1,$B7,DJ$1)</f>
        <v>2275.64</v>
      </c>
      <c r="DK7" s="116" cm="1">
        <f t="array" ref="DK7">_xll.EQNXTDZ($A$1,$B7,DK$1)</f>
        <v>2538</v>
      </c>
      <c r="DL7" s="116" cm="1">
        <f t="array" ref="DL7">_xll.EQNXTDZ($A$1,$B7,DL$1)</f>
        <v>2249.9499999999998</v>
      </c>
      <c r="DM7" s="116" cm="1">
        <f t="array" ref="DM7">_xll.EQNXTDZ($A$1,$B7,DM$1)</f>
        <v>2428.15</v>
      </c>
      <c r="DN7" s="116" cm="1">
        <f t="array" ref="DN7">_xll.EQNXTDZ($A$1,$B7,DN$1)</f>
        <v>2680</v>
      </c>
      <c r="DO7" s="116" cm="1">
        <f t="array" ref="DO7">_xll.EQNXTDZ($A$1,$B7,DO$1)</f>
        <v>2611.85</v>
      </c>
      <c r="DP7" s="116" cm="1">
        <f t="array" ref="DP7">_xll.EQNXTDZ($A$1,$B7,DP$1)</f>
        <v>2734.6</v>
      </c>
      <c r="DQ7" s="116" cm="1">
        <f t="array" ref="DQ7">_xll.EQNXTDZ($A$1,$B7,DQ$1)</f>
        <v>2773.35</v>
      </c>
      <c r="DR7" s="116" cm="1">
        <f t="array" ref="DR7">_xll.EQNXTDZ($A$1,$B7,DR$1)</f>
        <v>2521.9</v>
      </c>
      <c r="DS7" s="116" cm="1">
        <f t="array" ref="DS7">_xll.EQNXTDZ($A$1,$B7,DS$1)</f>
        <v>2493</v>
      </c>
      <c r="DT7" s="116" cm="1">
        <f t="array" ref="DT7">_xll.EQNXTDZ($A$1,$B7,DT$1)</f>
        <v>2448.9</v>
      </c>
      <c r="DU7" s="116" cm="1">
        <f t="array" ref="DU7">_xll.EQNXTDZ($A$1,$B7,DU$1)</f>
        <v>2555</v>
      </c>
      <c r="DV7" s="116" cm="1">
        <f t="array" ref="DV7">_xll.EQNXTDZ($A$1,$B7,DV$1)</f>
        <v>2865</v>
      </c>
      <c r="DW7" s="116" cm="1">
        <f t="array" ref="DW7">_xll.EQNXTDZ($A$1,$B7,DW$1)</f>
        <v>2613</v>
      </c>
      <c r="DX7" s="116" cm="1">
        <f t="array" ref="DX7">_xll.EQNXTDZ($A$1,$B7,DX$1)</f>
        <v>2639.7</v>
      </c>
      <c r="DY7" s="116" cm="1">
        <f t="array" ref="DY7">_xll.EQNXTDZ($A$1,$B7,DY$1)</f>
        <v>2460</v>
      </c>
      <c r="DZ7" s="116" cm="1">
        <f t="array" ref="DZ7">_xll.EQNXTDZ($A$1,$B7,DZ$1)</f>
        <v>2312</v>
      </c>
      <c r="EA7" s="116" cm="1">
        <f t="array" ref="EA7">_xll.EQNXTDZ($A$1,$B7,EA$1)</f>
        <v>2355</v>
      </c>
      <c r="EB7" s="116" cm="1">
        <f t="array" ref="EB7">_xll.EQNXTDZ($A$1,$B7,EB$1)</f>
        <v>2433.4</v>
      </c>
      <c r="EC7" s="116" cm="1">
        <f t="array" ref="EC7">_xll.EQNXTDZ($A$1,$B7,EC$1)</f>
        <v>2545</v>
      </c>
      <c r="ED7" s="116" cm="1">
        <f t="array" ref="ED7">_xll.EQNXTDZ($A$1,$B7,ED$1)</f>
        <v>2636</v>
      </c>
      <c r="EE7" s="116" cm="1">
        <f t="array" ref="EE7">_xll.EQNXTDZ($A$1,$B7,EE$1)</f>
        <v>2576.9499999999998</v>
      </c>
      <c r="EF7" s="116" cm="1">
        <f t="array" ref="EF7">_xll.EQNXTDZ($A$1,$B7,EF$1)</f>
        <v>2307.85</v>
      </c>
      <c r="EG7" s="116" cm="1">
        <f t="array" ref="EG7">_xll.EQNXTDZ($A$1,$B7,EG$1)</f>
        <v>2387</v>
      </c>
      <c r="EH7" s="116" cm="1">
        <f t="array" ref="EH7">_xll.EQNXTDZ($A$1,$B7,EH$1)</f>
        <v>2475.5</v>
      </c>
      <c r="EI7" s="116" cm="1">
        <f t="array" ref="EI7">_xll.EQNXTDZ($A$1,$B7,EI$1)</f>
        <v>2301.1999999999998</v>
      </c>
      <c r="EJ7" s="116" cm="1">
        <f t="array" ref="EJ7">_xll.EQNXTDZ($A$1,$B7,EJ$1)</f>
        <v>2383.25</v>
      </c>
      <c r="EK7" s="116" cm="1">
        <f t="array" ref="EK7">_xll.EQNXTDZ($A$1,$B7,EK$1)</f>
        <v>2529</v>
      </c>
      <c r="EL7" s="116" cm="1">
        <f t="array" ref="EL7">_xll.EQNXTDZ($A$1,$B7,EL$1)</f>
        <v>2525</v>
      </c>
      <c r="EM7" s="116" cm="1">
        <f t="array" ref="EM7">_xll.EQNXTDZ($A$1,$B7,EM$1)</f>
        <v>2429.5500000000002</v>
      </c>
      <c r="EN7" s="116" cm="1">
        <f t="array" ref="EN7">_xll.EQNXTDZ($A$1,$B7,EN$1)</f>
        <v>2600</v>
      </c>
      <c r="EO7" s="116" cm="1">
        <f t="array" ref="EO7">_xll.EQNXTDZ($A$1,$B7,EO$1)</f>
        <v>2687.5</v>
      </c>
      <c r="EP7" s="116" cm="1">
        <f t="array" ref="EP7">_xll.EQNXTDZ($A$1,$B7,EP$1)</f>
        <v>2693.95</v>
      </c>
      <c r="EQ7" s="116" cm="1">
        <f t="array" ref="EQ7">_xll.EQNXTDZ($A$1,$B7,EQ$1)</f>
        <v>2520.1999999999998</v>
      </c>
      <c r="ER7" s="116" cm="1">
        <f t="array" ref="ER7">_xll.EQNXTDZ($A$1,$B7,ER$1)</f>
        <v>2659</v>
      </c>
      <c r="ES7" s="116" cm="1">
        <f t="array" ref="ES7">_xll.EQNXTDZ($A$1,$B7,ES$1)</f>
        <v>2653.55</v>
      </c>
      <c r="ET7" s="116" cm="1">
        <f t="array" ref="ET7">_xll.EQNXTDZ($A$1,$B7,ET$1)</f>
        <v>2649</v>
      </c>
      <c r="EU7" s="116" cm="1">
        <f t="array" ref="EU7">_xll.EQNXTDZ($A$1,$B7,EU$1)</f>
        <v>2499.5</v>
      </c>
      <c r="EV7" s="116" cm="1">
        <f t="array" ref="EV7">_xll.EQNXTDZ($A$1,$B7,EV$1)</f>
        <v>2389</v>
      </c>
      <c r="EW7" s="116" cm="1">
        <f t="array" ref="EW7">_xll.EQNXTDZ($A$1,$B7,EW$1)</f>
        <v>2369.9</v>
      </c>
      <c r="EX7" s="116" cm="1">
        <f t="array" ref="EX7">_xll.EQNXTDZ($A$1,$B7,EX$1)</f>
        <v>2895</v>
      </c>
      <c r="EY7" s="116" cm="1">
        <f t="array" ref="EY7">_xll.EQNXTDZ($A$1,$B7,EY$1)</f>
        <v>2983.9</v>
      </c>
      <c r="EZ7" s="116" cm="1">
        <f t="array" ref="EZ7">_xll.EQNXTDZ($A$1,$B7,EZ$1)</f>
        <v>3054.9</v>
      </c>
      <c r="FA7" s="116" cm="1">
        <f t="array" ref="FA7">_xll.EQNXTDZ($A$1,$B7,FA$1)</f>
        <v>3085</v>
      </c>
      <c r="FB7" s="116" cm="1">
        <f t="array" ref="FB7">_xll.EQNXTDZ($A$1,$B7,FB$1)</f>
        <v>3098.5</v>
      </c>
      <c r="FC7" s="116" cm="1">
        <f t="array" ref="FC7">_xll.EQNXTDZ($A$1,$B7,FC$1)</f>
        <v>3251.8</v>
      </c>
      <c r="FD7" s="116" cm="1">
        <f t="array" ref="FD7">_xll.EQNXTDZ($A$1,$B7,FD$1)</f>
        <v>3325</v>
      </c>
      <c r="FE7" s="116" cm="1">
        <f t="array" ref="FE7">_xll.EQNXTDZ($A$1,$B7,FE$1)</f>
        <v>3095.4</v>
      </c>
      <c r="FF7" s="116" cm="1">
        <f t="array" ref="FF7">_xll.EQNXTDZ($A$1,$B7,FF$1)</f>
        <v>3008.7</v>
      </c>
      <c r="FG7" s="116" cm="1">
        <f t="array" ref="FG7">_xll.EQNXTDZ($A$1,$B7,FG$1)</f>
        <v>3210</v>
      </c>
      <c r="FH7" s="116" cm="1">
        <f t="array" ref="FH7">_xll.EQNXTDZ($A$1,$B7,FH$1)</f>
        <v>2983.8</v>
      </c>
      <c r="FI7" s="116" cm="1">
        <f t="array" ref="FI7">_xll.EQNXTDZ($A$1,$B7,FI$1)</f>
        <v>3143</v>
      </c>
      <c r="FJ7" s="116" cm="1">
        <f t="array" ref="FJ7">_xll.EQNXTDZ($A$1,$B7,FJ$1)</f>
        <v>3102.4</v>
      </c>
      <c r="FK7" s="116" cm="1">
        <f t="array" ref="FK7">_xll.EQNXTDZ($A$1,$B7,FK$1)</f>
        <v>3081.7</v>
      </c>
      <c r="FL7" s="116" cm="1">
        <f t="array" ref="FL7">_xll.EQNXTDZ($A$1,$B7,FL$1)</f>
        <v>2649</v>
      </c>
      <c r="FM7" s="116" cm="1">
        <f t="array" ref="FM7">_xll.EQNXTDZ($A$1,$B7,FM$1)</f>
        <v>2604</v>
      </c>
      <c r="FN7" s="116" cm="1">
        <f t="array" ref="FN7">_xll.EQNXTDZ($A$1,$B7,FN$1)</f>
        <v>2832.1</v>
      </c>
      <c r="FO7" s="116" cm="1">
        <f t="array" ref="FO7">_xll.EQNXTDZ($A$1,$B7,FO$1)</f>
        <v>2784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49.96</v>
      </c>
      <c r="HQ7" s="116">
        <f>+MAX(G7:I7)</f>
        <v>48.08</v>
      </c>
      <c r="HR7" s="116">
        <f>+MAX(J7:L7)</f>
        <v>42.98</v>
      </c>
      <c r="HS7" s="116">
        <f>+MAX(M7:O7)</f>
        <v>37.409999999999997</v>
      </c>
      <c r="HT7" s="116">
        <f>+MAX(P7:R7)</f>
        <v>34.200000000000003</v>
      </c>
      <c r="HU7" s="116">
        <f>+MAX(S7:U7)</f>
        <v>47.74</v>
      </c>
      <c r="HV7" s="116">
        <f>+MAX(V7:X7)</f>
        <v>74.319999999999993</v>
      </c>
      <c r="HW7" s="116">
        <f>+MAX(Y7:AA7)</f>
        <v>120.76</v>
      </c>
      <c r="HX7" s="116">
        <f>+MAX(AB7:AD7)</f>
        <v>155</v>
      </c>
      <c r="HY7" s="116">
        <f>+MAX(AE7:AG7)</f>
        <v>191.76</v>
      </c>
      <c r="HZ7" s="116">
        <f>+MAX(AH7:AJ7)</f>
        <v>205</v>
      </c>
      <c r="IA7" s="116">
        <f>+MAX(AK7:AM7)</f>
        <v>250.2</v>
      </c>
      <c r="IB7" s="116">
        <f>+MAX(AN7:AP7)</f>
        <v>299.77</v>
      </c>
      <c r="IC7" s="116">
        <f>+MAX(AQ7:AS7)</f>
        <v>278.44</v>
      </c>
      <c r="ID7" s="116">
        <f>+MAX(AT7:AV7)</f>
        <v>272.39999999999998</v>
      </c>
      <c r="IE7" s="116">
        <f>+MAX(AW7:AY7)</f>
        <v>293.76</v>
      </c>
      <c r="IF7" s="116">
        <f>+MAX(AZ7:BB7)</f>
        <v>364.96</v>
      </c>
      <c r="IG7" s="116">
        <f>+MAX(BC7:BE7)</f>
        <v>394</v>
      </c>
      <c r="IH7" s="116">
        <f>+MAX(BF7:BH7)</f>
        <v>356.72</v>
      </c>
      <c r="II7" s="116">
        <f>+MAX(BI7:BK7)</f>
        <v>371.8</v>
      </c>
      <c r="IJ7" s="116">
        <f>+MAX(BL7:BN7)</f>
        <v>328.7</v>
      </c>
      <c r="IK7" s="116">
        <f>+MAX(BO7:BQ7)</f>
        <v>399.91</v>
      </c>
      <c r="IL7" s="116">
        <f>+MAX(BR7:BT7)</f>
        <v>409.69</v>
      </c>
      <c r="IM7" s="116">
        <f>+MAX(BU7:BW7)</f>
        <v>489.32</v>
      </c>
      <c r="IN7" s="116">
        <f>+MAX(BX7:BZ7)</f>
        <v>416.9</v>
      </c>
      <c r="IO7" s="116">
        <f>+MAX(CA7:CC7)</f>
        <v>455.39</v>
      </c>
      <c r="IP7" s="116">
        <f>+MAX(CD7:CF7)</f>
        <v>495.6</v>
      </c>
      <c r="IQ7" s="116">
        <f>+MAX(CG7:CI7)</f>
        <v>615.4</v>
      </c>
      <c r="IR7" s="116">
        <f>+MAX(CJ7:CL7)</f>
        <v>617.22</v>
      </c>
      <c r="IS7" s="116">
        <f>+MAX(CM7:CO7)</f>
        <v>691.29</v>
      </c>
      <c r="IT7" s="116">
        <f>+MAX(CP7:CR7)</f>
        <v>852</v>
      </c>
      <c r="IU7" s="116">
        <f>+MAX(CS7:CU7)</f>
        <v>768.9</v>
      </c>
      <c r="IV7" s="116">
        <f>+MAX(CV7:CX7)</f>
        <v>895</v>
      </c>
      <c r="IW7" s="116">
        <f>+MAX(CY7:DA7)</f>
        <v>1128.75</v>
      </c>
      <c r="IX7" s="116">
        <f>+MAX(DB7:DD7)</f>
        <v>1214.0999999999999</v>
      </c>
      <c r="IY7" s="116">
        <f>+MAX(DE7:DG7)</f>
        <v>1462</v>
      </c>
      <c r="IZ7" s="116">
        <f>+MAX(DH7:DJ7)</f>
        <v>2275.64</v>
      </c>
      <c r="JA7" s="116">
        <f>+MAX(DK7:DM7)</f>
        <v>2538</v>
      </c>
      <c r="JB7" s="116">
        <f>+MAX(DN7:DP7)</f>
        <v>2734.6</v>
      </c>
      <c r="JC7" s="116">
        <f>+MAX(DQ7:DS7)</f>
        <v>2773.35</v>
      </c>
      <c r="JD7" s="116">
        <f>+MAX(DT7:DV7)</f>
        <v>2865</v>
      </c>
      <c r="JE7" s="116">
        <f>+MAX(DW7:DY7)</f>
        <v>2639.7</v>
      </c>
      <c r="JF7" s="116">
        <f>+MAX(DZ7:EB7)</f>
        <v>2433.4</v>
      </c>
      <c r="JG7" s="116">
        <f>+MAX(EC7:EE7)</f>
        <v>2636</v>
      </c>
      <c r="JH7" s="116">
        <f>+MAX(EF7:EH7)</f>
        <v>2475.5</v>
      </c>
      <c r="JI7" s="116">
        <f>+MAX(EI7:EK7)</f>
        <v>2529</v>
      </c>
      <c r="JJ7" s="116">
        <f>+MAX(EL7:EN7)</f>
        <v>2600</v>
      </c>
      <c r="JK7" s="116">
        <f>MAX(EO7:EQ7)</f>
        <v>2693.95</v>
      </c>
      <c r="JL7" s="116">
        <f>MAX(ER7:ET7)</f>
        <v>2659</v>
      </c>
      <c r="JM7" s="116">
        <f>MAX(EU7:EW7)</f>
        <v>2499.5</v>
      </c>
      <c r="JN7" s="116">
        <f>MAX(EX7:EZ7)</f>
        <v>3054.9</v>
      </c>
      <c r="JO7" s="116">
        <f>MAX(FA7:FC7)</f>
        <v>3251.8</v>
      </c>
      <c r="JP7" s="116">
        <f>MAX(FD7:FF7)</f>
        <v>3325</v>
      </c>
      <c r="JQ7" s="116">
        <f>MAX(FG7:FI7)</f>
        <v>3210</v>
      </c>
      <c r="JR7" s="116">
        <f>MAX(FJ7:FL7)</f>
        <v>3102.4</v>
      </c>
      <c r="JS7" s="116">
        <f>MAX(FM7:FO7)</f>
        <v>2832.1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39.07</v>
      </c>
      <c r="D8" s="116" cm="1">
        <f t="array" ref="D8">_xll.EQNXTDZ($A$1,$B8,D$1)</f>
        <v>39</v>
      </c>
      <c r="E8" s="116" cm="1">
        <f t="array" ref="E8">_xll.EQNXTDZ($A$1,$B8,E$1)</f>
        <v>40</v>
      </c>
      <c r="F8" s="116" cm="1">
        <f t="array" ref="F8">_xll.EQNXTDZ($A$1,$B8,F$1)</f>
        <v>42.34</v>
      </c>
      <c r="G8" s="116" cm="1">
        <f t="array" ref="G8">_xll.EQNXTDZ($A$1,$B8,G$1)</f>
        <v>43.6</v>
      </c>
      <c r="H8" s="116" cm="1">
        <f t="array" ref="H8">_xll.EQNXTDZ($A$1,$B8,H$1)</f>
        <v>40.700000000000003</v>
      </c>
      <c r="I8" s="116" cm="1">
        <f t="array" ref="I8">_xll.EQNXTDZ($A$1,$B8,I$1)</f>
        <v>39.6</v>
      </c>
      <c r="J8" s="116" cm="1">
        <f t="array" ref="J8">_xll.EQNXTDZ($A$1,$B8,J$1)</f>
        <v>37.81</v>
      </c>
      <c r="K8" s="116" cm="1">
        <f t="array" ref="K8">_xll.EQNXTDZ($A$1,$B8,K$1)</f>
        <v>36.4</v>
      </c>
      <c r="L8" s="116" cm="1">
        <f t="array" ref="L8">_xll.EQNXTDZ($A$1,$B8,L$1)</f>
        <v>32.700000000000003</v>
      </c>
      <c r="M8" s="116" cm="1">
        <f t="array" ref="M8">_xll.EQNXTDZ($A$1,$B8,M$1)</f>
        <v>33.04</v>
      </c>
      <c r="N8" s="116" cm="1">
        <f t="array" ref="N8">_xll.EQNXTDZ($A$1,$B8,N$1)</f>
        <v>30.8</v>
      </c>
      <c r="O8" s="116" cm="1">
        <f t="array" ref="O8">_xll.EQNXTDZ($A$1,$B8,O$1)</f>
        <v>28.04</v>
      </c>
      <c r="P8" s="116" cm="1">
        <f t="array" ref="P8">_xll.EQNXTDZ($A$1,$B8,P$1)</f>
        <v>26.11</v>
      </c>
      <c r="Q8" s="116" cm="1">
        <f t="array" ref="Q8">_xll.EQNXTDZ($A$1,$B8,Q$1)</f>
        <v>25.21</v>
      </c>
      <c r="R8" s="116" cm="1">
        <f t="array" ref="R8">_xll.EQNXTDZ($A$1,$B8,R$1)</f>
        <v>27.11</v>
      </c>
      <c r="S8" s="116" cm="1">
        <f t="array" ref="S8">_xll.EQNXTDZ($A$1,$B8,S$1)</f>
        <v>31.81</v>
      </c>
      <c r="T8" s="116" cm="1">
        <f t="array" ref="T8">_xll.EQNXTDZ($A$1,$B8,T$1)</f>
        <v>32.6</v>
      </c>
      <c r="U8" s="116" cm="1">
        <f t="array" ref="U8">_xll.EQNXTDZ($A$1,$B8,U$1)</f>
        <v>41.25</v>
      </c>
      <c r="V8" s="116" cm="1">
        <f t="array" ref="V8">_xll.EQNXTDZ($A$1,$B8,V$1)</f>
        <v>39.44</v>
      </c>
      <c r="W8" s="116" cm="1">
        <f t="array" ref="W8">_xll.EQNXTDZ($A$1,$B8,W$1)</f>
        <v>40.47</v>
      </c>
      <c r="X8" s="116" cm="1">
        <f t="array" ref="X8">_xll.EQNXTDZ($A$1,$B8,X$1)</f>
        <v>42.41</v>
      </c>
      <c r="Y8" s="116" cm="1">
        <f t="array" ref="Y8">_xll.EQNXTDZ($A$1,$B8,Y$1)</f>
        <v>68.400000000000006</v>
      </c>
      <c r="Z8" s="116" cm="1">
        <f t="array" ref="Z8">_xll.EQNXTDZ($A$1,$B8,Z$1)</f>
        <v>74.430000000000007</v>
      </c>
      <c r="AA8" s="116" cm="1">
        <f t="array" ref="AA8">_xll.EQNXTDZ($A$1,$B8,AA$1)</f>
        <v>88</v>
      </c>
      <c r="AB8" s="116" cm="1">
        <f t="array" ref="AB8">_xll.EQNXTDZ($A$1,$B8,AB$1)</f>
        <v>95.77</v>
      </c>
      <c r="AC8" s="116" cm="1">
        <f t="array" ref="AC8">_xll.EQNXTDZ($A$1,$B8,AC$1)</f>
        <v>106.82</v>
      </c>
      <c r="AD8" s="116" cm="1">
        <f t="array" ref="AD8">_xll.EQNXTDZ($A$1,$B8,AD$1)</f>
        <v>135.4</v>
      </c>
      <c r="AE8" s="116" cm="1">
        <f t="array" ref="AE8">_xll.EQNXTDZ($A$1,$B8,AE$1)</f>
        <v>129.04</v>
      </c>
      <c r="AF8" s="116" cm="1">
        <f t="array" ref="AF8">_xll.EQNXTDZ($A$1,$B8,AF$1)</f>
        <v>159.83000000000001</v>
      </c>
      <c r="AG8" s="116" cm="1">
        <f t="array" ref="AG8">_xll.EQNXTDZ($A$1,$B8,AG$1)</f>
        <v>165.9</v>
      </c>
      <c r="AH8" s="116" cm="1">
        <f t="array" ref="AH8">_xll.EQNXTDZ($A$1,$B8,AH$1)</f>
        <v>168.4</v>
      </c>
      <c r="AI8" s="116" cm="1">
        <f t="array" ref="AI8">_xll.EQNXTDZ($A$1,$B8,AI$1)</f>
        <v>176.34</v>
      </c>
      <c r="AJ8" s="116" cm="1">
        <f t="array" ref="AJ8">_xll.EQNXTDZ($A$1,$B8,AJ$1)</f>
        <v>175.09</v>
      </c>
      <c r="AK8" s="116" cm="1">
        <f t="array" ref="AK8">_xll.EQNXTDZ($A$1,$B8,AK$1)</f>
        <v>186.34</v>
      </c>
      <c r="AL8" s="116" cm="1">
        <f t="array" ref="AL8">_xll.EQNXTDZ($A$1,$B8,AL$1)</f>
        <v>179.8</v>
      </c>
      <c r="AM8" s="116" cm="1">
        <f t="array" ref="AM8">_xll.EQNXTDZ($A$1,$B8,AM$1)</f>
        <v>200.4</v>
      </c>
      <c r="AN8" s="116" cm="1">
        <f t="array" ref="AN8">_xll.EQNXTDZ($A$1,$B8,AN$1)</f>
        <v>245</v>
      </c>
      <c r="AO8" s="116" cm="1">
        <f t="array" ref="AO8">_xll.EQNXTDZ($A$1,$B8,AO$1)</f>
        <v>203.57</v>
      </c>
      <c r="AP8" s="116" cm="1">
        <f t="array" ref="AP8">_xll.EQNXTDZ($A$1,$B8,AP$1)</f>
        <v>209.11</v>
      </c>
      <c r="AQ8" s="116" cm="1">
        <f t="array" ref="AQ8">_xll.EQNXTDZ($A$1,$B8,AQ$1)</f>
        <v>223.91</v>
      </c>
      <c r="AR8" s="116" cm="1">
        <f t="array" ref="AR8">_xll.EQNXTDZ($A$1,$B8,AR$1)</f>
        <v>231.33</v>
      </c>
      <c r="AS8" s="116" cm="1">
        <f t="array" ref="AS8">_xll.EQNXTDZ($A$1,$B8,AS$1)</f>
        <v>229.19</v>
      </c>
      <c r="AT8" s="116" cm="1">
        <f t="array" ref="AT8">_xll.EQNXTDZ($A$1,$B8,AT$1)</f>
        <v>217.02</v>
      </c>
      <c r="AU8" s="116" cm="1">
        <f t="array" ref="AU8">_xll.EQNXTDZ($A$1,$B8,AU$1)</f>
        <v>204.6</v>
      </c>
      <c r="AV8" s="116" cm="1">
        <f t="array" ref="AV8">_xll.EQNXTDZ($A$1,$B8,AV$1)</f>
        <v>210.15</v>
      </c>
      <c r="AW8" s="116" cm="1">
        <f t="array" ref="AW8">_xll.EQNXTDZ($A$1,$B8,AW$1)</f>
        <v>245.4</v>
      </c>
      <c r="AX8" s="116" cm="1">
        <f t="array" ref="AX8">_xll.EQNXTDZ($A$1,$B8,AX$1)</f>
        <v>233.07</v>
      </c>
      <c r="AY8" s="116" cm="1">
        <f t="array" ref="AY8">_xll.EQNXTDZ($A$1,$B8,AY$1)</f>
        <v>239.33</v>
      </c>
      <c r="AZ8" s="116" cm="1">
        <f t="array" ref="AZ8">_xll.EQNXTDZ($A$1,$B8,AZ$1)</f>
        <v>259.20999999999998</v>
      </c>
      <c r="BA8" s="116" cm="1">
        <f t="array" ref="BA8">_xll.EQNXTDZ($A$1,$B8,BA$1)</f>
        <v>292.44</v>
      </c>
      <c r="BB8" s="116" cm="1">
        <f t="array" ref="BB8">_xll.EQNXTDZ($A$1,$B8,BB$1)</f>
        <v>319.39999999999998</v>
      </c>
      <c r="BC8" s="116" cm="1">
        <f t="array" ref="BC8">_xll.EQNXTDZ($A$1,$B8,BC$1)</f>
        <v>355.02</v>
      </c>
      <c r="BD8" s="116" cm="1">
        <f t="array" ref="BD8">_xll.EQNXTDZ($A$1,$B8,BD$1)</f>
        <v>270.2</v>
      </c>
      <c r="BE8" s="116" cm="1">
        <f t="array" ref="BE8">_xll.EQNXTDZ($A$1,$B8,BE$1)</f>
        <v>288.8</v>
      </c>
      <c r="BF8" s="116" cm="1">
        <f t="array" ref="BF8">_xll.EQNXTDZ($A$1,$B8,BF$1)</f>
        <v>306.23</v>
      </c>
      <c r="BG8" s="116" cm="1">
        <f t="array" ref="BG8">_xll.EQNXTDZ($A$1,$B8,BG$1)</f>
        <v>301.23</v>
      </c>
      <c r="BH8" s="116" cm="1">
        <f t="array" ref="BH8">_xll.EQNXTDZ($A$1,$B8,BH$1)</f>
        <v>308.42</v>
      </c>
      <c r="BI8" s="116" cm="1">
        <f t="array" ref="BI8">_xll.EQNXTDZ($A$1,$B8,BI$1)</f>
        <v>324.94</v>
      </c>
      <c r="BJ8" s="116" cm="1">
        <f t="array" ref="BJ8">_xll.EQNXTDZ($A$1,$B8,BJ$1)</f>
        <v>315.82</v>
      </c>
      <c r="BK8" s="116" cm="1">
        <f t="array" ref="BK8">_xll.EQNXTDZ($A$1,$B8,BK$1)</f>
        <v>300.62</v>
      </c>
      <c r="BL8" s="116" cm="1">
        <f t="array" ref="BL8">_xll.EQNXTDZ($A$1,$B8,BL$1)</f>
        <v>299</v>
      </c>
      <c r="BM8" s="116" cm="1">
        <f t="array" ref="BM8">_xll.EQNXTDZ($A$1,$B8,BM$1)</f>
        <v>283.05</v>
      </c>
      <c r="BN8" s="116" cm="1">
        <f t="array" ref="BN8">_xll.EQNXTDZ($A$1,$B8,BN$1)</f>
        <v>297.95999999999998</v>
      </c>
      <c r="BO8" s="116" cm="1">
        <f t="array" ref="BO8">_xll.EQNXTDZ($A$1,$B8,BO$1)</f>
        <v>305.52</v>
      </c>
      <c r="BP8" s="116" cm="1">
        <f t="array" ref="BP8">_xll.EQNXTDZ($A$1,$B8,BP$1)</f>
        <v>311.10000000000002</v>
      </c>
      <c r="BQ8" s="116" cm="1">
        <f t="array" ref="BQ8">_xll.EQNXTDZ($A$1,$B8,BQ$1)</f>
        <v>351.8</v>
      </c>
      <c r="BR8" s="116" cm="1">
        <f t="array" ref="BR8">_xll.EQNXTDZ($A$1,$B8,BR$1)</f>
        <v>354.24</v>
      </c>
      <c r="BS8" s="116" cm="1">
        <f t="array" ref="BS8">_xll.EQNXTDZ($A$1,$B8,BS$1)</f>
        <v>328.15</v>
      </c>
      <c r="BT8" s="116" cm="1">
        <f t="array" ref="BT8">_xll.EQNXTDZ($A$1,$B8,BT$1)</f>
        <v>355</v>
      </c>
      <c r="BU8" s="116" cm="1">
        <f t="array" ref="BU8">_xll.EQNXTDZ($A$1,$B8,BU$1)</f>
        <v>392</v>
      </c>
      <c r="BV8" s="116" cm="1">
        <f t="array" ref="BV8">_xll.EQNXTDZ($A$1,$B8,BV$1)</f>
        <v>352.42</v>
      </c>
      <c r="BW8" s="116" cm="1">
        <f t="array" ref="BW8">_xll.EQNXTDZ($A$1,$B8,BW$1)</f>
        <v>322.45</v>
      </c>
      <c r="BX8" s="116" cm="1">
        <f t="array" ref="BX8">_xll.EQNXTDZ($A$1,$B8,BX$1)</f>
        <v>306.01</v>
      </c>
      <c r="BY8" s="116" cm="1">
        <f t="array" ref="BY8">_xll.EQNXTDZ($A$1,$B8,BY$1)</f>
        <v>337.21</v>
      </c>
      <c r="BZ8" s="116" cm="1">
        <f t="array" ref="BZ8">_xll.EQNXTDZ($A$1,$B8,BZ$1)</f>
        <v>337.04</v>
      </c>
      <c r="CA8" s="116" cm="1">
        <f t="array" ref="CA8">_xll.EQNXTDZ($A$1,$B8,CA$1)</f>
        <v>323</v>
      </c>
      <c r="CB8" s="116" cm="1">
        <f t="array" ref="CB8">_xll.EQNXTDZ($A$1,$B8,CB$1)</f>
        <v>385.2</v>
      </c>
      <c r="CC8" s="116" cm="1">
        <f t="array" ref="CC8">_xll.EQNXTDZ($A$1,$B8,CC$1)</f>
        <v>381.2</v>
      </c>
      <c r="CD8" s="116" cm="1">
        <f t="array" ref="CD8">_xll.EQNXTDZ($A$1,$B8,CD$1)</f>
        <v>389.55</v>
      </c>
      <c r="CE8" s="116" cm="1">
        <f t="array" ref="CE8">_xll.EQNXTDZ($A$1,$B8,CE$1)</f>
        <v>389.52</v>
      </c>
      <c r="CF8" s="116" cm="1">
        <f t="array" ref="CF8">_xll.EQNXTDZ($A$1,$B8,CF$1)</f>
        <v>454.1</v>
      </c>
      <c r="CG8" s="116" cm="1">
        <f t="array" ref="CG8">_xll.EQNXTDZ($A$1,$B8,CG$1)</f>
        <v>434.52</v>
      </c>
      <c r="CH8" s="116" cm="1">
        <f t="array" ref="CH8">_xll.EQNXTDZ($A$1,$B8,CH$1)</f>
        <v>467</v>
      </c>
      <c r="CI8" s="116" cm="1">
        <f t="array" ref="CI8">_xll.EQNXTDZ($A$1,$B8,CI$1)</f>
        <v>554.83000000000004</v>
      </c>
      <c r="CJ8" s="116" cm="1">
        <f t="array" ref="CJ8">_xll.EQNXTDZ($A$1,$B8,CJ$1)</f>
        <v>522.46</v>
      </c>
      <c r="CK8" s="116" cm="1">
        <f t="array" ref="CK8">_xll.EQNXTDZ($A$1,$B8,CK$1)</f>
        <v>510.3</v>
      </c>
      <c r="CL8" s="116" cm="1">
        <f t="array" ref="CL8">_xll.EQNXTDZ($A$1,$B8,CL$1)</f>
        <v>535.14</v>
      </c>
      <c r="CM8" s="116" cm="1">
        <f t="array" ref="CM8">_xll.EQNXTDZ($A$1,$B8,CM$1)</f>
        <v>517.6</v>
      </c>
      <c r="CN8" s="116" cm="1">
        <f t="array" ref="CN8">_xll.EQNXTDZ($A$1,$B8,CN$1)</f>
        <v>572</v>
      </c>
      <c r="CO8" s="116" cm="1">
        <f t="array" ref="CO8">_xll.EQNXTDZ($A$1,$B8,CO$1)</f>
        <v>634.78</v>
      </c>
      <c r="CP8" s="116" cm="1">
        <f t="array" ref="CP8">_xll.EQNXTDZ($A$1,$B8,CP$1)</f>
        <v>676.2</v>
      </c>
      <c r="CQ8" s="116" cm="1">
        <f t="array" ref="CQ8">_xll.EQNXTDZ($A$1,$B8,CQ$1)</f>
        <v>728.26</v>
      </c>
      <c r="CR8" s="116" cm="1">
        <f t="array" ref="CR8">_xll.EQNXTDZ($A$1,$B8,CR$1)</f>
        <v>493.53</v>
      </c>
      <c r="CS8" s="116" cm="1">
        <f t="array" ref="CS8">_xll.EQNXTDZ($A$1,$B8,CS$1)</f>
        <v>512.41999999999996</v>
      </c>
      <c r="CT8" s="116" cm="1">
        <f t="array" ref="CT8">_xll.EQNXTDZ($A$1,$B8,CT$1)</f>
        <v>661.2</v>
      </c>
      <c r="CU8" s="116" cm="1">
        <f t="array" ref="CU8">_xll.EQNXTDZ($A$1,$B8,CU$1)</f>
        <v>702.36</v>
      </c>
      <c r="CV8" s="116" cm="1">
        <f t="array" ref="CV8">_xll.EQNXTDZ($A$1,$B8,CV$1)</f>
        <v>717</v>
      </c>
      <c r="CW8" s="116" cm="1">
        <f t="array" ref="CW8">_xll.EQNXTDZ($A$1,$B8,CW$1)</f>
        <v>757</v>
      </c>
      <c r="CX8" s="116" cm="1">
        <f t="array" ref="CX8">_xll.EQNXTDZ($A$1,$B8,CX$1)</f>
        <v>798.72</v>
      </c>
      <c r="CY8" s="116" cm="1">
        <f t="array" ref="CY8">_xll.EQNXTDZ($A$1,$B8,CY$1)</f>
        <v>818.6</v>
      </c>
      <c r="CZ8" s="116" cm="1">
        <f t="array" ref="CZ8">_xll.EQNXTDZ($A$1,$B8,CZ$1)</f>
        <v>866.83</v>
      </c>
      <c r="DA8" s="116" cm="1">
        <f t="array" ref="DA8">_xll.EQNXTDZ($A$1,$B8,DA$1)</f>
        <v>1013.27</v>
      </c>
      <c r="DB8" s="116" cm="1">
        <f t="array" ref="DB8">_xll.EQNXTDZ($A$1,$B8,DB$1)</f>
        <v>1048</v>
      </c>
      <c r="DC8" s="116" cm="1">
        <f t="array" ref="DC8">_xll.EQNXTDZ($A$1,$B8,DC$1)</f>
        <v>1057.08</v>
      </c>
      <c r="DD8" s="116" cm="1">
        <f t="array" ref="DD8">_xll.EQNXTDZ($A$1,$B8,DD$1)</f>
        <v>1026.21</v>
      </c>
      <c r="DE8" s="116" cm="1">
        <f t="array" ref="DE8">_xll.EQNXTDZ($A$1,$B8,DE$1)</f>
        <v>1087.21</v>
      </c>
      <c r="DF8" s="116" cm="1">
        <f t="array" ref="DF8">_xll.EQNXTDZ($A$1,$B8,DF$1)</f>
        <v>1236.24</v>
      </c>
      <c r="DG8" s="116" cm="1">
        <f t="array" ref="DG8">_xll.EQNXTDZ($A$1,$B8,DG$1)</f>
        <v>1292.3399999999999</v>
      </c>
      <c r="DH8" s="116" cm="1">
        <f t="array" ref="DH8">_xll.EQNXTDZ($A$1,$B8,DH$1)</f>
        <v>1450.2</v>
      </c>
      <c r="DI8" s="116" cm="1">
        <f t="array" ref="DI8">_xll.EQNXTDZ($A$1,$B8,DI$1)</f>
        <v>1722</v>
      </c>
      <c r="DJ8" s="116" cm="1">
        <f t="array" ref="DJ8">_xll.EQNXTDZ($A$1,$B8,DJ$1)</f>
        <v>1965.02</v>
      </c>
      <c r="DK8" s="116" cm="1">
        <f t="array" ref="DK8">_xll.EQNXTDZ($A$1,$B8,DK$1)</f>
        <v>2065</v>
      </c>
      <c r="DL8" s="116" cm="1">
        <f t="array" ref="DL8">_xll.EQNXTDZ($A$1,$B8,DL$1)</f>
        <v>1973.1</v>
      </c>
      <c r="DM8" s="116" cm="1">
        <f t="array" ref="DM8">_xll.EQNXTDZ($A$1,$B8,DM$1)</f>
        <v>1994</v>
      </c>
      <c r="DN8" s="116" cm="1">
        <f t="array" ref="DN8">_xll.EQNXTDZ($A$1,$B8,DN$1)</f>
        <v>2268.5500000000002</v>
      </c>
      <c r="DO8" s="116" cm="1">
        <f t="array" ref="DO8">_xll.EQNXTDZ($A$1,$B8,DO$1)</f>
        <v>2259.25</v>
      </c>
      <c r="DP8" s="116" cm="1">
        <f t="array" ref="DP8">_xll.EQNXTDZ($A$1,$B8,DP$1)</f>
        <v>2106</v>
      </c>
      <c r="DQ8" s="116" cm="1">
        <f t="array" ref="DQ8">_xll.EQNXTDZ($A$1,$B8,DQ$1)</f>
        <v>2424</v>
      </c>
      <c r="DR8" s="116" cm="1">
        <f t="array" ref="DR8">_xll.EQNXTDZ($A$1,$B8,DR$1)</f>
        <v>2100</v>
      </c>
      <c r="DS8" s="116" cm="1">
        <f t="array" ref="DS8">_xll.EQNXTDZ($A$1,$B8,DS$1)</f>
        <v>2080.6999999999998</v>
      </c>
      <c r="DT8" s="116" cm="1">
        <f t="array" ref="DT8">_xll.EQNXTDZ($A$1,$B8,DT$1)</f>
        <v>2002.2</v>
      </c>
      <c r="DU8" s="116" cm="1">
        <f t="array" ref="DU8">_xll.EQNXTDZ($A$1,$B8,DU$1)</f>
        <v>2325.1</v>
      </c>
      <c r="DV8" s="116" cm="1">
        <f t="array" ref="DV8">_xll.EQNXTDZ($A$1,$B8,DV$1)</f>
        <v>2411.4499999999998</v>
      </c>
      <c r="DW8" s="116" cm="1">
        <f t="array" ref="DW8">_xll.EQNXTDZ($A$1,$B8,DW$1)</f>
        <v>2462.1999999999998</v>
      </c>
      <c r="DX8" s="116" cm="1">
        <f t="array" ref="DX8">_xll.EQNXTDZ($A$1,$B8,DX$1)</f>
        <v>2237.6999999999998</v>
      </c>
      <c r="DY8" s="116" cm="1">
        <f t="array" ref="DY8">_xll.EQNXTDZ($A$1,$B8,DY$1)</f>
        <v>2206.0500000000002</v>
      </c>
      <c r="DZ8" s="116" cm="1">
        <f t="array" ref="DZ8">_xll.EQNXTDZ($A$1,$B8,DZ$1)</f>
        <v>2082.1</v>
      </c>
      <c r="EA8" s="116" cm="1">
        <f t="array" ref="EA8">_xll.EQNXTDZ($A$1,$B8,EA$1)</f>
        <v>2154.0500000000002</v>
      </c>
      <c r="EB8" s="116" cm="1">
        <f t="array" ref="EB8">_xll.EQNXTDZ($A$1,$B8,EB$1)</f>
        <v>2184.0500000000002</v>
      </c>
      <c r="EC8" s="116" cm="1">
        <f t="array" ref="EC8">_xll.EQNXTDZ($A$1,$B8,EC$1)</f>
        <v>2354.4</v>
      </c>
      <c r="ED8" s="116" cm="1">
        <f t="array" ref="ED8">_xll.EQNXTDZ($A$1,$B8,ED$1)</f>
        <v>2400</v>
      </c>
      <c r="EE8" s="116" cm="1">
        <f t="array" ref="EE8">_xll.EQNXTDZ($A$1,$B8,EE$1)</f>
        <v>2285.1</v>
      </c>
      <c r="EF8" s="116" cm="1">
        <f t="array" ref="EF8">_xll.EQNXTDZ($A$1,$B8,EF$1)</f>
        <v>2040</v>
      </c>
      <c r="EG8" s="116" cm="1">
        <f t="array" ref="EG8">_xll.EQNXTDZ($A$1,$B8,EG$1)</f>
        <v>2168</v>
      </c>
      <c r="EH8" s="116" cm="1">
        <f t="array" ref="EH8">_xll.EQNXTDZ($A$1,$B8,EH$1)</f>
        <v>2224.25</v>
      </c>
      <c r="EI8" s="116" cm="1">
        <f t="array" ref="EI8">_xll.EQNXTDZ($A$1,$B8,EI$1)</f>
        <v>2082.25</v>
      </c>
      <c r="EJ8" s="116" cm="1">
        <f t="array" ref="EJ8">_xll.EQNXTDZ($A$1,$B8,EJ$1)</f>
        <v>2160.0500000000002</v>
      </c>
      <c r="EK8" s="116" cm="1">
        <f t="array" ref="EK8">_xll.EQNXTDZ($A$1,$B8,EK$1)</f>
        <v>2344.6</v>
      </c>
      <c r="EL8" s="116" cm="1">
        <f t="array" ref="EL8">_xll.EQNXTDZ($A$1,$B8,EL$1)</f>
        <v>2210</v>
      </c>
      <c r="EM8" s="116" cm="1">
        <f t="array" ref="EM8">_xll.EQNXTDZ($A$1,$B8,EM$1)</f>
        <v>2245</v>
      </c>
      <c r="EN8" s="116" cm="1">
        <f t="array" ref="EN8">_xll.EQNXTDZ($A$1,$B8,EN$1)</f>
        <v>2344.35</v>
      </c>
      <c r="EO8" s="116" cm="1">
        <f t="array" ref="EO8">_xll.EQNXTDZ($A$1,$B8,EO$1)</f>
        <v>2480</v>
      </c>
      <c r="EP8" s="116" cm="1">
        <f t="array" ref="EP8">_xll.EQNXTDZ($A$1,$B8,EP$1)</f>
        <v>2182.4499999999998</v>
      </c>
      <c r="EQ8" s="116" cm="1">
        <f t="array" ref="EQ8">_xll.EQNXTDZ($A$1,$B8,EQ$1)</f>
        <v>2089.1</v>
      </c>
      <c r="ER8" s="116" cm="1">
        <f t="array" ref="ER8">_xll.EQNXTDZ($A$1,$B8,ER$1)</f>
        <v>2283.1</v>
      </c>
      <c r="ES8" s="116" cm="1">
        <f t="array" ref="ES8">_xll.EQNXTDZ($A$1,$B8,ES$1)</f>
        <v>2418</v>
      </c>
      <c r="ET8" s="116" cm="1">
        <f t="array" ref="ET8">_xll.EQNXTDZ($A$1,$B8,ET$1)</f>
        <v>2360.3000000000002</v>
      </c>
      <c r="EU8" s="116" cm="1">
        <f t="array" ref="EU8">_xll.EQNXTDZ($A$1,$B8,EU$1)</f>
        <v>2146.5</v>
      </c>
      <c r="EV8" s="116" cm="1">
        <f t="array" ref="EV8">_xll.EQNXTDZ($A$1,$B8,EV$1)</f>
        <v>2126.85</v>
      </c>
      <c r="EW8" s="116" cm="1">
        <f t="array" ref="EW8">_xll.EQNXTDZ($A$1,$B8,EW$1)</f>
        <v>2196.85</v>
      </c>
      <c r="EX8" s="116" cm="1">
        <f t="array" ref="EX8">_xll.EQNXTDZ($A$1,$B8,EX$1)</f>
        <v>2200.4499999999998</v>
      </c>
      <c r="EY8" s="116" cm="1">
        <f t="array" ref="EY8">_xll.EQNXTDZ($A$1,$B8,EY$1)</f>
        <v>2707.05</v>
      </c>
      <c r="EZ8" s="116" cm="1">
        <f t="array" ref="EZ8">_xll.EQNXTDZ($A$1,$B8,EZ$1)</f>
        <v>2725.25</v>
      </c>
      <c r="FA8" s="116" cm="1">
        <f t="array" ref="FA8">_xll.EQNXTDZ($A$1,$B8,FA$1)</f>
        <v>2570.1999999999998</v>
      </c>
      <c r="FB8" s="116" cm="1">
        <f t="array" ref="FB8">_xll.EQNXTDZ($A$1,$B8,FB$1)</f>
        <v>2849</v>
      </c>
      <c r="FC8" s="116" cm="1">
        <f t="array" ref="FC8">_xll.EQNXTDZ($A$1,$B8,FC$1)</f>
        <v>2819.2</v>
      </c>
      <c r="FD8" s="116" cm="1">
        <f t="array" ref="FD8">_xll.EQNXTDZ($A$1,$B8,FD$1)</f>
        <v>2965.3</v>
      </c>
      <c r="FE8" s="116" cm="1">
        <f t="array" ref="FE8">_xll.EQNXTDZ($A$1,$B8,FE$1)</f>
        <v>2812.8</v>
      </c>
      <c r="FF8" s="116" cm="1">
        <f t="array" ref="FF8">_xll.EQNXTDZ($A$1,$B8,FF$1)</f>
        <v>2789</v>
      </c>
      <c r="FG8" s="116" cm="1">
        <f t="array" ref="FG8">_xll.EQNXTDZ($A$1,$B8,FG$1)</f>
        <v>2779.5</v>
      </c>
      <c r="FH8" s="116" cm="1">
        <f t="array" ref="FH8">_xll.EQNXTDZ($A$1,$B8,FH$1)</f>
        <v>2772.3</v>
      </c>
      <c r="FI8" s="116" cm="1">
        <f t="array" ref="FI8">_xll.EQNXTDZ($A$1,$B8,FI$1)</f>
        <v>2805.1</v>
      </c>
      <c r="FJ8" s="116" cm="1">
        <f t="array" ref="FJ8">_xll.EQNXTDZ($A$1,$B8,FJ$1)</f>
        <v>2645</v>
      </c>
      <c r="FK8" s="116" cm="1">
        <f t="array" ref="FK8">_xll.EQNXTDZ($A$1,$B8,FK$1)</f>
        <v>2553</v>
      </c>
      <c r="FL8" s="116" cm="1">
        <f t="array" ref="FL8">_xll.EQNXTDZ($A$1,$B8,FL$1)</f>
        <v>2381</v>
      </c>
      <c r="FM8" s="116" cm="1">
        <f t="array" ref="FM8">_xll.EQNXTDZ($A$1,$B8,FM$1)</f>
        <v>2355</v>
      </c>
      <c r="FN8" s="116" cm="1">
        <f t="array" ref="FN8">_xll.EQNXTDZ($A$1,$B8,FN$1)</f>
        <v>2495</v>
      </c>
      <c r="FO8" s="116" cm="1">
        <f t="array" ref="FO8">_xll.EQNXTDZ($A$1,$B8,FO$1)</f>
        <v>2610.4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39</v>
      </c>
      <c r="HQ8" s="116">
        <f>+MIN(G8:I8)</f>
        <v>39.6</v>
      </c>
      <c r="HR8" s="116">
        <f>+MIN(J8:L8)</f>
        <v>32.700000000000003</v>
      </c>
      <c r="HS8" s="116">
        <f>+MIN(M8:O8)</f>
        <v>28.04</v>
      </c>
      <c r="HT8" s="116">
        <f>+MIN(P8:R8)</f>
        <v>25.21</v>
      </c>
      <c r="HU8" s="116">
        <f>+MIN(S8:U8)</f>
        <v>31.81</v>
      </c>
      <c r="HV8" s="116">
        <f>+MIN(V8:X8)</f>
        <v>39.44</v>
      </c>
      <c r="HW8" s="116">
        <f>+MIN(Y8:AA8)</f>
        <v>68.400000000000006</v>
      </c>
      <c r="HX8" s="116">
        <f>+MIN(AB8:AD8)</f>
        <v>95.77</v>
      </c>
      <c r="HY8" s="116">
        <f>+MIN(AE8:AG8)</f>
        <v>129.04</v>
      </c>
      <c r="HZ8" s="116">
        <f>+MIN(AH8:AJ8)</f>
        <v>168.4</v>
      </c>
      <c r="IA8" s="116">
        <f>+MIN(AK8:AM8)</f>
        <v>179.8</v>
      </c>
      <c r="IB8" s="116">
        <f>+MIN(AN8:AP8)</f>
        <v>203.57</v>
      </c>
      <c r="IC8" s="116">
        <f>+MIN(AQ8:AS8)</f>
        <v>223.91</v>
      </c>
      <c r="ID8" s="116">
        <f>+MIN(AT8:AV8)</f>
        <v>204.6</v>
      </c>
      <c r="IE8" s="116">
        <f>+MIN(AW8:AY8)</f>
        <v>233.07</v>
      </c>
      <c r="IF8" s="116">
        <f>+MIN(AZ8:BB8)</f>
        <v>259.20999999999998</v>
      </c>
      <c r="IG8" s="116">
        <f>+MIN(BC8:BE8)</f>
        <v>270.2</v>
      </c>
      <c r="IH8" s="116">
        <f>+MIN(BF8:BH8)</f>
        <v>301.23</v>
      </c>
      <c r="II8" s="116">
        <f>+MIN(BI8:BK8)</f>
        <v>300.62</v>
      </c>
      <c r="IJ8" s="116">
        <f>+MIN(BL8:BN8)</f>
        <v>283.05</v>
      </c>
      <c r="IK8" s="116">
        <f>+MIN(BO8:BQ8)</f>
        <v>305.52</v>
      </c>
      <c r="IL8" s="116">
        <f>+MIN(BR8:BT8)</f>
        <v>328.15</v>
      </c>
      <c r="IM8" s="116">
        <f>+MIN(BU8:BW8)</f>
        <v>322.45</v>
      </c>
      <c r="IN8" s="116">
        <f>+MIN(BX8:BZ8)</f>
        <v>306.01</v>
      </c>
      <c r="IO8" s="116">
        <f>+MIN(CA8:CC8)</f>
        <v>323</v>
      </c>
      <c r="IP8" s="116">
        <f>+MIN(CD8:CF8)</f>
        <v>389.52</v>
      </c>
      <c r="IQ8" s="116">
        <f>+MIN(CG8:CI8)</f>
        <v>434.52</v>
      </c>
      <c r="IR8" s="116">
        <f>+MIN(CJ8:CL8)</f>
        <v>510.3</v>
      </c>
      <c r="IS8" s="116">
        <f>+MIN(CM8:CO8)</f>
        <v>517.6</v>
      </c>
      <c r="IT8" s="116">
        <f>+MIN(CP8:CR8)</f>
        <v>493.53</v>
      </c>
      <c r="IU8" s="116">
        <f>+MIN(CS8:CU8)</f>
        <v>512.41999999999996</v>
      </c>
      <c r="IV8" s="116">
        <f>+MIN(CV8:CX8)</f>
        <v>717</v>
      </c>
      <c r="IW8" s="116">
        <f>+MIN(CY8:DA8)</f>
        <v>818.6</v>
      </c>
      <c r="IX8" s="116">
        <f>+MIN(DB8:DD8)</f>
        <v>1026.21</v>
      </c>
      <c r="IY8" s="116">
        <f>+MIN(DE8:DG8)</f>
        <v>1087.21</v>
      </c>
      <c r="IZ8" s="116">
        <f>+MIN(DH8:DJ8)</f>
        <v>1450.2</v>
      </c>
      <c r="JA8" s="116">
        <f>+MIN(DK8:DM8)</f>
        <v>1973.1</v>
      </c>
      <c r="JB8" s="116">
        <f>+MIN(DN8:DP8)</f>
        <v>2106</v>
      </c>
      <c r="JC8" s="116">
        <f>+MIN(DQ8:DS8)</f>
        <v>2080.6999999999998</v>
      </c>
      <c r="JD8" s="116">
        <f>+MIN(DT8:DV8)</f>
        <v>2002.2</v>
      </c>
      <c r="JE8" s="116">
        <f>+MIN(DW8:DY8)</f>
        <v>2206.0500000000002</v>
      </c>
      <c r="JF8" s="116">
        <f>+MIN(DZ8:EB8)</f>
        <v>2082.1</v>
      </c>
      <c r="JG8" s="116">
        <f>+MIN(EC8:EE8)</f>
        <v>2285.1</v>
      </c>
      <c r="JH8" s="116">
        <f>+MIN(EF8:EH8)</f>
        <v>2040</v>
      </c>
      <c r="JI8" s="116">
        <f>+MIN(EI8:EK8)</f>
        <v>2082.25</v>
      </c>
      <c r="JJ8" s="116">
        <f>+MIN(EL8:EN8)</f>
        <v>2210</v>
      </c>
      <c r="JK8" s="116">
        <f>MIN(EO8:EQ8)</f>
        <v>2089.1</v>
      </c>
      <c r="JL8" s="116">
        <f>MIN(ER8:ET8)</f>
        <v>2283.1</v>
      </c>
      <c r="JM8" s="116">
        <f>MIN(EU8:EW8)</f>
        <v>2126.85</v>
      </c>
      <c r="JN8" s="116">
        <f>MIN(EX8:EZ8)</f>
        <v>2200.4499999999998</v>
      </c>
      <c r="JO8" s="116">
        <f>MIN(FA8:FC8)</f>
        <v>2570.1999999999998</v>
      </c>
      <c r="JP8" s="116">
        <f>MIN(FD8:FF8)</f>
        <v>2789</v>
      </c>
      <c r="JQ8" s="116">
        <f>MIN(FG8:FI8)</f>
        <v>2772.3</v>
      </c>
      <c r="JR8" s="116">
        <f>MIN(FJ8:FL8)</f>
        <v>2381</v>
      </c>
      <c r="JS8" s="116">
        <f>MIN(FM8:FO8)</f>
        <v>2355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41.25</v>
      </c>
      <c r="D9" s="116" cm="1">
        <f t="array" ref="D9">_xll.EQNXTDZ($A$1,$B9,D$1)</f>
        <v>40.5</v>
      </c>
      <c r="E9" s="116" cm="1">
        <f t="array" ref="E9">_xll.EQNXTDZ($A$1,$B9,E$1)</f>
        <v>42.82</v>
      </c>
      <c r="F9" s="116" cm="1">
        <f t="array" ref="F9">_xll.EQNXTDZ($A$1,$B9,F$1)</f>
        <v>44.83</v>
      </c>
      <c r="G9" s="116" cm="1">
        <f t="array" ref="G9">_xll.EQNXTDZ($A$1,$B9,G$1)</f>
        <v>44.57</v>
      </c>
      <c r="H9" s="116" cm="1">
        <f t="array" ref="H9">_xll.EQNXTDZ($A$1,$B9,H$1)</f>
        <v>41.65</v>
      </c>
      <c r="I9" s="116" cm="1">
        <f t="array" ref="I9">_xll.EQNXTDZ($A$1,$B9,I$1)</f>
        <v>40.159999999999997</v>
      </c>
      <c r="J9" s="116" cm="1">
        <f t="array" ref="J9">_xll.EQNXTDZ($A$1,$B9,J$1)</f>
        <v>38.590000000000003</v>
      </c>
      <c r="K9" s="116" cm="1">
        <f t="array" ref="K9">_xll.EQNXTDZ($A$1,$B9,K$1)</f>
        <v>36.79</v>
      </c>
      <c r="L9" s="116" cm="1">
        <f t="array" ref="L9">_xll.EQNXTDZ($A$1,$B9,L$1)</f>
        <v>33.86</v>
      </c>
      <c r="M9" s="116" cm="1">
        <f t="array" ref="M9">_xll.EQNXTDZ($A$1,$B9,M$1)</f>
        <v>34.049999999999997</v>
      </c>
      <c r="N9" s="116" cm="1">
        <f t="array" ref="N9">_xll.EQNXTDZ($A$1,$B9,N$1)</f>
        <v>31.3</v>
      </c>
      <c r="O9" s="116" cm="1">
        <f t="array" ref="O9">_xll.EQNXTDZ($A$1,$B9,O$1)</f>
        <v>28.92</v>
      </c>
      <c r="P9" s="116" cm="1">
        <f t="array" ref="P9">_xll.EQNXTDZ($A$1,$B9,P$1)</f>
        <v>26.71</v>
      </c>
      <c r="Q9" s="116" cm="1">
        <f t="array" ref="Q9">_xll.EQNXTDZ($A$1,$B9,Q$1)</f>
        <v>27.09</v>
      </c>
      <c r="R9" s="116" cm="1">
        <f t="array" ref="R9">_xll.EQNXTDZ($A$1,$B9,R$1)</f>
        <v>33.07</v>
      </c>
      <c r="S9" s="116" cm="1">
        <f t="array" ref="S9">_xll.EQNXTDZ($A$1,$B9,S$1)</f>
        <v>32.85</v>
      </c>
      <c r="T9" s="116" cm="1">
        <f t="array" ref="T9">_xll.EQNXTDZ($A$1,$B9,T$1)</f>
        <v>41.36</v>
      </c>
      <c r="U9" s="116" cm="1">
        <f t="array" ref="U9">_xll.EQNXTDZ($A$1,$B9,U$1)</f>
        <v>44.33</v>
      </c>
      <c r="V9" s="116" cm="1">
        <f t="array" ref="V9">_xll.EQNXTDZ($A$1,$B9,V$1)</f>
        <v>41.18</v>
      </c>
      <c r="W9" s="116" cm="1">
        <f t="array" ref="W9">_xll.EQNXTDZ($A$1,$B9,W$1)</f>
        <v>43.07</v>
      </c>
      <c r="X9" s="116" cm="1">
        <f t="array" ref="X9">_xll.EQNXTDZ($A$1,$B9,X$1)</f>
        <v>71.92</v>
      </c>
      <c r="Y9" s="116" cm="1">
        <f t="array" ref="Y9">_xll.EQNXTDZ($A$1,$B9,Y$1)</f>
        <v>77.61</v>
      </c>
      <c r="Z9" s="116" cm="1">
        <f t="array" ref="Z9">_xll.EQNXTDZ($A$1,$B9,Z$1)</f>
        <v>89.55</v>
      </c>
      <c r="AA9" s="116" cm="1">
        <f t="array" ref="AA9">_xll.EQNXTDZ($A$1,$B9,AA$1)</f>
        <v>119.24</v>
      </c>
      <c r="AB9" s="116" cm="1">
        <f t="array" ref="AB9">_xll.EQNXTDZ($A$1,$B9,AB$1)</f>
        <v>117.99</v>
      </c>
      <c r="AC9" s="116" cm="1">
        <f t="array" ref="AC9">_xll.EQNXTDZ($A$1,$B9,AC$1)</f>
        <v>136.43</v>
      </c>
      <c r="AD9" s="116" cm="1">
        <f t="array" ref="AD9">_xll.EQNXTDZ($A$1,$B9,AD$1)</f>
        <v>151.19999999999999</v>
      </c>
      <c r="AE9" s="116" cm="1">
        <f t="array" ref="AE9">_xll.EQNXTDZ($A$1,$B9,AE$1)</f>
        <v>170.44</v>
      </c>
      <c r="AF9" s="116" cm="1">
        <f t="array" ref="AF9">_xll.EQNXTDZ($A$1,$B9,AF$1)</f>
        <v>178.27</v>
      </c>
      <c r="AG9" s="116" cm="1">
        <f t="array" ref="AG9">_xll.EQNXTDZ($A$1,$B9,AG$1)</f>
        <v>175.03</v>
      </c>
      <c r="AH9" s="116" cm="1">
        <f t="array" ref="AH9">_xll.EQNXTDZ($A$1,$B9,AH$1)</f>
        <v>189.93</v>
      </c>
      <c r="AI9" s="116" cm="1">
        <f t="array" ref="AI9">_xll.EQNXTDZ($A$1,$B9,AI$1)</f>
        <v>187.08</v>
      </c>
      <c r="AJ9" s="116" cm="1">
        <f t="array" ref="AJ9">_xll.EQNXTDZ($A$1,$B9,AJ$1)</f>
        <v>198.4</v>
      </c>
      <c r="AK9" s="116" cm="1">
        <f t="array" ref="AK9">_xll.EQNXTDZ($A$1,$B9,AK$1)</f>
        <v>194.42</v>
      </c>
      <c r="AL9" s="116" cm="1">
        <f t="array" ref="AL9">_xll.EQNXTDZ($A$1,$B9,AL$1)</f>
        <v>220.21</v>
      </c>
      <c r="AM9" s="116" cm="1">
        <f t="array" ref="AM9">_xll.EQNXTDZ($A$1,$B9,AM$1)</f>
        <v>246.45</v>
      </c>
      <c r="AN9" s="116" cm="1">
        <f t="array" ref="AN9">_xll.EQNXTDZ($A$1,$B9,AN$1)</f>
        <v>278.13</v>
      </c>
      <c r="AO9" s="116" cm="1">
        <f t="array" ref="AO9">_xll.EQNXTDZ($A$1,$B9,AO$1)</f>
        <v>235.67</v>
      </c>
      <c r="AP9" s="116" cm="1">
        <f t="array" ref="AP9">_xll.EQNXTDZ($A$1,$B9,AP$1)</f>
        <v>224.72</v>
      </c>
      <c r="AQ9" s="116" cm="1">
        <f t="array" ref="AQ9">_xll.EQNXTDZ($A$1,$B9,AQ$1)</f>
        <v>264.45999999999998</v>
      </c>
      <c r="AR9" s="116" cm="1">
        <f t="array" ref="AR9">_xll.EQNXTDZ($A$1,$B9,AR$1)</f>
        <v>255.14</v>
      </c>
      <c r="AS9" s="116" cm="1">
        <f t="array" ref="AS9">_xll.EQNXTDZ($A$1,$B9,AS$1)</f>
        <v>252.94</v>
      </c>
      <c r="AT9" s="116" cm="1">
        <f t="array" ref="AT9">_xll.EQNXTDZ($A$1,$B9,AT$1)</f>
        <v>233.31</v>
      </c>
      <c r="AU9" s="116" cm="1">
        <f t="array" ref="AU9">_xll.EQNXTDZ($A$1,$B9,AU$1)</f>
        <v>211.3</v>
      </c>
      <c r="AV9" s="116" cm="1">
        <f t="array" ref="AV9">_xll.EQNXTDZ($A$1,$B9,AV$1)</f>
        <v>261.69</v>
      </c>
      <c r="AW9" s="116" cm="1">
        <f t="array" ref="AW9">_xll.EQNXTDZ($A$1,$B9,AW$1)</f>
        <v>272.93</v>
      </c>
      <c r="AX9" s="116" cm="1">
        <f t="array" ref="AX9">_xll.EQNXTDZ($A$1,$B9,AX$1)</f>
        <v>259.42</v>
      </c>
      <c r="AY9" s="116" cm="1">
        <f t="array" ref="AY9">_xll.EQNXTDZ($A$1,$B9,AY$1)</f>
        <v>262.57</v>
      </c>
      <c r="AZ9" s="116" cm="1">
        <f t="array" ref="AZ9">_xll.EQNXTDZ($A$1,$B9,AZ$1)</f>
        <v>293.16000000000003</v>
      </c>
      <c r="BA9" s="116" cm="1">
        <f t="array" ref="BA9">_xll.EQNXTDZ($A$1,$B9,BA$1)</f>
        <v>344.3</v>
      </c>
      <c r="BB9" s="116" cm="1">
        <f t="array" ref="BB9">_xll.EQNXTDZ($A$1,$B9,BB$1)</f>
        <v>355.54</v>
      </c>
      <c r="BC9" s="116" cm="1">
        <f t="array" ref="BC9">_xll.EQNXTDZ($A$1,$B9,BC$1)</f>
        <v>365.3</v>
      </c>
      <c r="BD9" s="116" cm="1">
        <f t="array" ref="BD9">_xll.EQNXTDZ($A$1,$B9,BD$1)</f>
        <v>314.99</v>
      </c>
      <c r="BE9" s="116" cm="1">
        <f t="array" ref="BE9">_xll.EQNXTDZ($A$1,$B9,BE$1)</f>
        <v>309.29000000000002</v>
      </c>
      <c r="BF9" s="116" cm="1">
        <f t="array" ref="BF9">_xll.EQNXTDZ($A$1,$B9,BF$1)</f>
        <v>343.06</v>
      </c>
      <c r="BG9" s="116" cm="1">
        <f t="array" ref="BG9">_xll.EQNXTDZ($A$1,$B9,BG$1)</f>
        <v>311.23</v>
      </c>
      <c r="BH9" s="116" cm="1">
        <f t="array" ref="BH9">_xll.EQNXTDZ($A$1,$B9,BH$1)</f>
        <v>325.43</v>
      </c>
      <c r="BI9" s="116" cm="1">
        <f t="array" ref="BI9">_xll.EQNXTDZ($A$1,$B9,BI$1)</f>
        <v>354.28</v>
      </c>
      <c r="BJ9" s="116" cm="1">
        <f t="array" ref="BJ9">_xll.EQNXTDZ($A$1,$B9,BJ$1)</f>
        <v>326.8</v>
      </c>
      <c r="BK9" s="116" cm="1">
        <f t="array" ref="BK9">_xll.EQNXTDZ($A$1,$B9,BK$1)</f>
        <v>308.13</v>
      </c>
      <c r="BL9" s="116" cm="1">
        <f t="array" ref="BL9">_xll.EQNXTDZ($A$1,$B9,BL$1)</f>
        <v>303.75</v>
      </c>
      <c r="BM9" s="116" cm="1">
        <f t="array" ref="BM9">_xll.EQNXTDZ($A$1,$B9,BM$1)</f>
        <v>306.64999999999998</v>
      </c>
      <c r="BN9" s="116" cm="1">
        <f t="array" ref="BN9">_xll.EQNXTDZ($A$1,$B9,BN$1)</f>
        <v>308.22000000000003</v>
      </c>
      <c r="BO9" s="116" cm="1">
        <f t="array" ref="BO9">_xll.EQNXTDZ($A$1,$B9,BO$1)</f>
        <v>337.81</v>
      </c>
      <c r="BP9" s="116" cm="1">
        <f t="array" ref="BP9">_xll.EQNXTDZ($A$1,$B9,BP$1)</f>
        <v>366.28</v>
      </c>
      <c r="BQ9" s="116" cm="1">
        <f t="array" ref="BQ9">_xll.EQNXTDZ($A$1,$B9,BQ$1)</f>
        <v>396.24</v>
      </c>
      <c r="BR9" s="116" cm="1">
        <f t="array" ref="BR9">_xll.EQNXTDZ($A$1,$B9,BR$1)</f>
        <v>356.69</v>
      </c>
      <c r="BS9" s="116" cm="1">
        <f t="array" ref="BS9">_xll.EQNXTDZ($A$1,$B9,BS$1)</f>
        <v>379.75</v>
      </c>
      <c r="BT9" s="116" cm="1">
        <f t="array" ref="BT9">_xll.EQNXTDZ($A$1,$B9,BT$1)</f>
        <v>391.03</v>
      </c>
      <c r="BU9" s="116" cm="1">
        <f t="array" ref="BU9">_xll.EQNXTDZ($A$1,$B9,BU$1)</f>
        <v>478.49</v>
      </c>
      <c r="BV9" s="116" cm="1">
        <f t="array" ref="BV9">_xll.EQNXTDZ($A$1,$B9,BV$1)</f>
        <v>386.44</v>
      </c>
      <c r="BW9" s="116" cm="1">
        <f t="array" ref="BW9">_xll.EQNXTDZ($A$1,$B9,BW$1)</f>
        <v>339.32</v>
      </c>
      <c r="BX9" s="116" cm="1">
        <f t="array" ref="BX9">_xll.EQNXTDZ($A$1,$B9,BX$1)</f>
        <v>346.25</v>
      </c>
      <c r="BY9" s="116" cm="1">
        <f t="array" ref="BY9">_xll.EQNXTDZ($A$1,$B9,BY$1)</f>
        <v>404.48</v>
      </c>
      <c r="BZ9" s="116" cm="1">
        <f t="array" ref="BZ9">_xll.EQNXTDZ($A$1,$B9,BZ$1)</f>
        <v>342.22</v>
      </c>
      <c r="CA9" s="116" cm="1">
        <f t="array" ref="CA9">_xll.EQNXTDZ($A$1,$B9,CA$1)</f>
        <v>386.2</v>
      </c>
      <c r="CB9" s="116" cm="1">
        <f t="array" ref="CB9">_xll.EQNXTDZ($A$1,$B9,CB$1)</f>
        <v>432.89</v>
      </c>
      <c r="CC9" s="116" cm="1">
        <f t="array" ref="CC9">_xll.EQNXTDZ($A$1,$B9,CC$1)</f>
        <v>399.93</v>
      </c>
      <c r="CD9" s="116" cm="1">
        <f t="array" ref="CD9">_xll.EQNXTDZ($A$1,$B9,CD$1)</f>
        <v>402.27</v>
      </c>
      <c r="CE9" s="116" cm="1">
        <f t="array" ref="CE9">_xll.EQNXTDZ($A$1,$B9,CE$1)</f>
        <v>459.03</v>
      </c>
      <c r="CF9" s="116" cm="1">
        <f t="array" ref="CF9">_xll.EQNXTDZ($A$1,$B9,CF$1)</f>
        <v>480.6</v>
      </c>
      <c r="CG9" s="116" cm="1">
        <f t="array" ref="CG9">_xll.EQNXTDZ($A$1,$B9,CG$1)</f>
        <v>513.53</v>
      </c>
      <c r="CH9" s="116" cm="1">
        <f t="array" ref="CH9">_xll.EQNXTDZ($A$1,$B9,CH$1)</f>
        <v>569.37</v>
      </c>
      <c r="CI9" s="116" cm="1">
        <f t="array" ref="CI9">_xll.EQNXTDZ($A$1,$B9,CI$1)</f>
        <v>608.53</v>
      </c>
      <c r="CJ9" s="116" cm="1">
        <f t="array" ref="CJ9">_xll.EQNXTDZ($A$1,$B9,CJ$1)</f>
        <v>540.36</v>
      </c>
      <c r="CK9" s="116" cm="1">
        <f t="array" ref="CK9">_xll.EQNXTDZ($A$1,$B9,CK$1)</f>
        <v>554.91999999999996</v>
      </c>
      <c r="CL9" s="116" cm="1">
        <f t="array" ref="CL9">_xll.EQNXTDZ($A$1,$B9,CL$1)</f>
        <v>550.39</v>
      </c>
      <c r="CM9" s="116" cm="1">
        <f t="array" ref="CM9">_xll.EQNXTDZ($A$1,$B9,CM$1)</f>
        <v>579.25</v>
      </c>
      <c r="CN9" s="116" cm="1">
        <f t="array" ref="CN9">_xll.EQNXTDZ($A$1,$B9,CN$1)</f>
        <v>640.33000000000004</v>
      </c>
      <c r="CO9" s="116" cm="1">
        <f t="array" ref="CO9">_xll.EQNXTDZ($A$1,$B9,CO$1)</f>
        <v>687.22</v>
      </c>
      <c r="CP9" s="116" cm="1">
        <f t="array" ref="CP9">_xll.EQNXTDZ($A$1,$B9,CP$1)</f>
        <v>756.81</v>
      </c>
      <c r="CQ9" s="116" cm="1">
        <f t="array" ref="CQ9">_xll.EQNXTDZ($A$1,$B9,CQ$1)</f>
        <v>778.76</v>
      </c>
      <c r="CR9" s="116" cm="1">
        <f t="array" ref="CR9">_xll.EQNXTDZ($A$1,$B9,CR$1)</f>
        <v>556.66</v>
      </c>
      <c r="CS9" s="116" cm="1">
        <f t="array" ref="CS9">_xll.EQNXTDZ($A$1,$B9,CS$1)</f>
        <v>743.75</v>
      </c>
      <c r="CT9" s="116" cm="1">
        <f t="array" ref="CT9">_xll.EQNXTDZ($A$1,$B9,CT$1)</f>
        <v>697.43</v>
      </c>
      <c r="CU9" s="116" cm="1">
        <f t="array" ref="CU9">_xll.EQNXTDZ($A$1,$B9,CU$1)</f>
        <v>721.14</v>
      </c>
      <c r="CV9" s="116" cm="1">
        <f t="array" ref="CV9">_xll.EQNXTDZ($A$1,$B9,CV$1)</f>
        <v>758.63</v>
      </c>
      <c r="CW9" s="116" cm="1">
        <f t="array" ref="CW9">_xll.EQNXTDZ($A$1,$B9,CW$1)</f>
        <v>810.78</v>
      </c>
      <c r="CX9" s="116" cm="1">
        <f t="array" ref="CX9">_xll.EQNXTDZ($A$1,$B9,CX$1)</f>
        <v>826.02</v>
      </c>
      <c r="CY9" s="116" cm="1">
        <f t="array" ref="CY9">_xll.EQNXTDZ($A$1,$B9,CY$1)</f>
        <v>883.36</v>
      </c>
      <c r="CZ9" s="116" cm="1">
        <f t="array" ref="CZ9">_xll.EQNXTDZ($A$1,$B9,CZ$1)</f>
        <v>1026.73</v>
      </c>
      <c r="DA9" s="116" cm="1">
        <f t="array" ref="DA9">_xll.EQNXTDZ($A$1,$B9,DA$1)</f>
        <v>1114.78</v>
      </c>
      <c r="DB9" s="116" cm="1">
        <f t="array" ref="DB9">_xll.EQNXTDZ($A$1,$B9,DB$1)</f>
        <v>1073.99</v>
      </c>
      <c r="DC9" s="116" cm="1">
        <f t="array" ref="DC9">_xll.EQNXTDZ($A$1,$B9,DC$1)</f>
        <v>1087.5899999999999</v>
      </c>
      <c r="DD9" s="116" cm="1">
        <f t="array" ref="DD9">_xll.EQNXTDZ($A$1,$B9,DD$1)</f>
        <v>1082.1600000000001</v>
      </c>
      <c r="DE9" s="116" cm="1">
        <f t="array" ref="DE9">_xll.EQNXTDZ($A$1,$B9,DE$1)</f>
        <v>1286.22</v>
      </c>
      <c r="DF9" s="116" cm="1">
        <f t="array" ref="DF9">_xll.EQNXTDZ($A$1,$B9,DF$1)</f>
        <v>1302.6300000000001</v>
      </c>
      <c r="DG9" s="116" cm="1">
        <f t="array" ref="DG9">_xll.EQNXTDZ($A$1,$B9,DG$1)</f>
        <v>1455.14</v>
      </c>
      <c r="DH9" s="116" cm="1">
        <f t="array" ref="DH9">_xll.EQNXTDZ($A$1,$B9,DH$1)</f>
        <v>1731.74</v>
      </c>
      <c r="DI9" s="116" cm="1">
        <f t="array" ref="DI9">_xll.EQNXTDZ($A$1,$B9,DI$1)</f>
        <v>2027.95</v>
      </c>
      <c r="DJ9" s="116" cm="1">
        <f t="array" ref="DJ9">_xll.EQNXTDZ($A$1,$B9,DJ$1)</f>
        <v>2255.8200000000002</v>
      </c>
      <c r="DK9" s="116" cm="1">
        <f t="array" ref="DK9">_xll.EQNXTDZ($A$1,$B9,DK$1)</f>
        <v>2117.3000000000002</v>
      </c>
      <c r="DL9" s="116" cm="1">
        <f t="array" ref="DL9">_xll.EQNXTDZ($A$1,$B9,DL$1)</f>
        <v>2005.85</v>
      </c>
      <c r="DM9" s="116" cm="1">
        <f t="array" ref="DM9">_xll.EQNXTDZ($A$1,$B9,DM$1)</f>
        <v>2420.1</v>
      </c>
      <c r="DN9" s="116" cm="1">
        <f t="array" ref="DN9">_xll.EQNXTDZ($A$1,$B9,DN$1)</f>
        <v>2406.8000000000002</v>
      </c>
      <c r="DO9" s="116" cm="1">
        <f t="array" ref="DO9">_xll.EQNXTDZ($A$1,$B9,DO$1)</f>
        <v>2383.65</v>
      </c>
      <c r="DP9" s="116" cm="1">
        <f t="array" ref="DP9">_xll.EQNXTDZ($A$1,$B9,DP$1)</f>
        <v>2679.35</v>
      </c>
      <c r="DQ9" s="116" cm="1">
        <f t="array" ref="DQ9">_xll.EQNXTDZ($A$1,$B9,DQ$1)</f>
        <v>2512.6999999999998</v>
      </c>
      <c r="DR9" s="116" cm="1">
        <f t="array" ref="DR9">_xll.EQNXTDZ($A$1,$B9,DR$1)</f>
        <v>2464.0500000000002</v>
      </c>
      <c r="DS9" s="116" cm="1">
        <f t="array" ref="DS9">_xll.EQNXTDZ($A$1,$B9,DS$1)</f>
        <v>2252.1999999999998</v>
      </c>
      <c r="DT9" s="116" cm="1">
        <f t="array" ref="DT9">_xll.EQNXTDZ($A$1,$B9,DT$1)</f>
        <v>2428.3000000000002</v>
      </c>
      <c r="DU9" s="116" cm="1">
        <f t="array" ref="DU9">_xll.EQNXTDZ($A$1,$B9,DU$1)</f>
        <v>2543.4</v>
      </c>
      <c r="DV9" s="116" cm="1">
        <f t="array" ref="DV9">_xll.EQNXTDZ($A$1,$B9,DV$1)</f>
        <v>2503.4499999999998</v>
      </c>
      <c r="DW9" s="116" cm="1">
        <f t="array" ref="DW9">_xll.EQNXTDZ($A$1,$B9,DW$1)</f>
        <v>2558.65</v>
      </c>
      <c r="DX9" s="116" cm="1">
        <f t="array" ref="DX9">_xll.EQNXTDZ($A$1,$B9,DX$1)</f>
        <v>2365.6999999999998</v>
      </c>
      <c r="DY9" s="116" cm="1">
        <f t="array" ref="DY9">_xll.EQNXTDZ($A$1,$B9,DY$1)</f>
        <v>2290.35</v>
      </c>
      <c r="DZ9" s="116" cm="1">
        <f t="array" ref="DZ9">_xll.EQNXTDZ($A$1,$B9,DZ$1)</f>
        <v>2182.4499999999998</v>
      </c>
      <c r="EA9" s="116" cm="1">
        <f t="array" ref="EA9">_xll.EQNXTDZ($A$1,$B9,EA$1)</f>
        <v>2168.5500000000002</v>
      </c>
      <c r="EB9" s="116" cm="1">
        <f t="array" ref="EB9">_xll.EQNXTDZ($A$1,$B9,EB$1)</f>
        <v>2411.85</v>
      </c>
      <c r="EC9" s="116" cm="1">
        <f t="array" ref="EC9">_xll.EQNXTDZ($A$1,$B9,EC$1)</f>
        <v>2540.25</v>
      </c>
      <c r="ED9" s="116" cm="1">
        <f t="array" ref="ED9">_xll.EQNXTDZ($A$1,$B9,ED$1)</f>
        <v>2519.75</v>
      </c>
      <c r="EE9" s="116" cm="1">
        <f t="array" ref="EE9">_xll.EQNXTDZ($A$1,$B9,EE$1)</f>
        <v>2289.4499999999998</v>
      </c>
      <c r="EF9" s="116" cm="1">
        <f t="array" ref="EF9">_xll.EQNXTDZ($A$1,$B9,EF$1)</f>
        <v>2170.5500000000002</v>
      </c>
      <c r="EG9" s="116" cm="1">
        <f t="array" ref="EG9">_xll.EQNXTDZ($A$1,$B9,EG$1)</f>
        <v>2356.5</v>
      </c>
      <c r="EH9" s="116" cm="1">
        <f t="array" ref="EH9">_xll.EQNXTDZ($A$1,$B9,EH$1)</f>
        <v>2249.4</v>
      </c>
      <c r="EI9" s="116" cm="1">
        <f t="array" ref="EI9">_xll.EQNXTDZ($A$1,$B9,EI$1)</f>
        <v>2195.3000000000002</v>
      </c>
      <c r="EJ9" s="116" cm="1">
        <f t="array" ref="EJ9">_xll.EQNXTDZ($A$1,$B9,EJ$1)</f>
        <v>2367.4</v>
      </c>
      <c r="EK9" s="116" cm="1">
        <f t="array" ref="EK9">_xll.EQNXTDZ($A$1,$B9,EK$1)</f>
        <v>2479.25</v>
      </c>
      <c r="EL9" s="116" cm="1">
        <f t="array" ref="EL9">_xll.EQNXTDZ($A$1,$B9,EL$1)</f>
        <v>2325.1</v>
      </c>
      <c r="EM9" s="116" cm="1">
        <f t="array" ref="EM9">_xll.EQNXTDZ($A$1,$B9,EM$1)</f>
        <v>2389.65</v>
      </c>
      <c r="EN9" s="116" cm="1">
        <f t="array" ref="EN9">_xll.EQNXTDZ($A$1,$B9,EN$1)</f>
        <v>2560.25</v>
      </c>
      <c r="EO9" s="116" cm="1">
        <f t="array" ref="EO9">_xll.EQNXTDZ($A$1,$B9,EO$1)</f>
        <v>2621.0500000000002</v>
      </c>
      <c r="EP9" s="116" cm="1">
        <f t="array" ref="EP9">_xll.EQNXTDZ($A$1,$B9,EP$1)</f>
        <v>2211.35</v>
      </c>
      <c r="EQ9" s="116" cm="1">
        <f t="array" ref="EQ9">_xll.EQNXTDZ($A$1,$B9,EQ$1)</f>
        <v>2436.0500000000002</v>
      </c>
      <c r="ER9" s="116" cm="1">
        <f t="array" ref="ER9">_xll.EQNXTDZ($A$1,$B9,ER$1)</f>
        <v>2644.9</v>
      </c>
      <c r="ES9" s="116" cm="1">
        <f t="array" ref="ES9">_xll.EQNXTDZ($A$1,$B9,ES$1)</f>
        <v>2564.6</v>
      </c>
      <c r="ET9" s="116" cm="1">
        <f t="array" ref="ET9">_xll.EQNXTDZ($A$1,$B9,ET$1)</f>
        <v>2497.85</v>
      </c>
      <c r="EU9" s="116" cm="1">
        <f t="array" ref="EU9">_xll.EQNXTDZ($A$1,$B9,EU$1)</f>
        <v>2243.15</v>
      </c>
      <c r="EV9" s="116" cm="1">
        <f t="array" ref="EV9">_xll.EQNXTDZ($A$1,$B9,EV$1)</f>
        <v>2265</v>
      </c>
      <c r="EW9" s="116" cm="1">
        <f t="array" ref="EW9">_xll.EQNXTDZ($A$1,$B9,EW$1)</f>
        <v>2237.9499999999998</v>
      </c>
      <c r="EX9" s="116" cm="1">
        <f t="array" ref="EX9">_xll.EQNXTDZ($A$1,$B9,EX$1)</f>
        <v>2809.85</v>
      </c>
      <c r="EY9" s="116" cm="1">
        <f t="array" ref="EY9">_xll.EQNXTDZ($A$1,$B9,EY$1)</f>
        <v>2795.4</v>
      </c>
      <c r="EZ9" s="116" cm="1">
        <f t="array" ref="EZ9">_xll.EQNXTDZ($A$1,$B9,EZ$1)</f>
        <v>2939.15</v>
      </c>
      <c r="FA9" s="116" cm="1">
        <f t="array" ref="FA9">_xll.EQNXTDZ($A$1,$B9,FA$1)</f>
        <v>3008.9</v>
      </c>
      <c r="FB9" s="116" cm="1">
        <f t="array" ref="FB9">_xll.EQNXTDZ($A$1,$B9,FB$1)</f>
        <v>2861</v>
      </c>
      <c r="FC9" s="116" cm="1">
        <f t="array" ref="FC9">_xll.EQNXTDZ($A$1,$B9,FC$1)</f>
        <v>3242.1</v>
      </c>
      <c r="FD9" s="116" cm="1">
        <f t="array" ref="FD9">_xll.EQNXTDZ($A$1,$B9,FD$1)</f>
        <v>3040.8</v>
      </c>
      <c r="FE9" s="116" cm="1">
        <f t="array" ref="FE9">_xll.EQNXTDZ($A$1,$B9,FE$1)</f>
        <v>2836.4</v>
      </c>
      <c r="FF9" s="116" cm="1">
        <f t="array" ref="FF9">_xll.EQNXTDZ($A$1,$B9,FF$1)</f>
        <v>2823.6</v>
      </c>
      <c r="FG9" s="116" cm="1">
        <f t="array" ref="FG9">_xll.EQNXTDZ($A$1,$B9,FG$1)</f>
        <v>2930.5</v>
      </c>
      <c r="FH9" s="116" cm="1">
        <f t="array" ref="FH9">_xll.EQNXTDZ($A$1,$B9,FH$1)</f>
        <v>2927.3</v>
      </c>
      <c r="FI9" s="116" cm="1">
        <f t="array" ref="FI9">_xll.EQNXTDZ($A$1,$B9,FI$1)</f>
        <v>3075</v>
      </c>
      <c r="FJ9" s="116" cm="1">
        <f t="array" ref="FJ9">_xll.EQNXTDZ($A$1,$B9,FJ$1)</f>
        <v>2816.3</v>
      </c>
      <c r="FK9" s="116" cm="1">
        <f t="array" ref="FK9">_xll.EQNXTDZ($A$1,$B9,FK$1)</f>
        <v>2562.1999999999998</v>
      </c>
      <c r="FL9" s="116" cm="1">
        <f t="array" ref="FL9">_xll.EQNXTDZ($A$1,$B9,FL$1)</f>
        <v>2438</v>
      </c>
      <c r="FM9" s="116" cm="1">
        <f t="array" ref="FM9">_xll.EQNXTDZ($A$1,$B9,FM$1)</f>
        <v>2518.6</v>
      </c>
      <c r="FN9" s="116" cm="1">
        <f t="array" ref="FN9">_xll.EQNXTDZ($A$1,$B9,FN$1)</f>
        <v>2715.8</v>
      </c>
      <c r="FO9" s="116" cm="1">
        <f t="array" ref="FO9">_xll.EQNXTDZ($A$1,$B9,FO$1)</f>
        <v>2744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44.83</v>
      </c>
      <c r="HQ9" s="116">
        <f>+I9</f>
        <v>40.159999999999997</v>
      </c>
      <c r="HR9" s="116">
        <f>+L9</f>
        <v>33.86</v>
      </c>
      <c r="HS9" s="116">
        <f>+O9</f>
        <v>28.92</v>
      </c>
      <c r="HT9" s="116">
        <f>+R9</f>
        <v>33.07</v>
      </c>
      <c r="HU9" s="116">
        <f>+U9</f>
        <v>44.33</v>
      </c>
      <c r="HV9" s="116">
        <f>+X9</f>
        <v>71.92</v>
      </c>
      <c r="HW9" s="116">
        <f>+AA9</f>
        <v>119.24</v>
      </c>
      <c r="HX9" s="116">
        <f>+AD9</f>
        <v>151.19999999999999</v>
      </c>
      <c r="HY9" s="116">
        <f>+AG9</f>
        <v>175.03</v>
      </c>
      <c r="HZ9" s="116">
        <f>+AJ9</f>
        <v>198.4</v>
      </c>
      <c r="IA9" s="116">
        <f>+AM9</f>
        <v>246.45</v>
      </c>
      <c r="IB9" s="116">
        <f>+AP9</f>
        <v>224.72</v>
      </c>
      <c r="IC9" s="116">
        <f>+AS9</f>
        <v>252.94</v>
      </c>
      <c r="ID9" s="116">
        <f>+AV9</f>
        <v>261.69</v>
      </c>
      <c r="IE9" s="116">
        <f>+AY9</f>
        <v>262.57</v>
      </c>
      <c r="IF9" s="116">
        <f>+BB9</f>
        <v>355.54</v>
      </c>
      <c r="IG9" s="116">
        <f>+BE9</f>
        <v>309.29000000000002</v>
      </c>
      <c r="IH9" s="116">
        <f>+BH9</f>
        <v>325.43</v>
      </c>
      <c r="II9" s="116">
        <f>+BK9</f>
        <v>308.13</v>
      </c>
      <c r="IJ9" s="116">
        <f>+BN9</f>
        <v>308.22000000000003</v>
      </c>
      <c r="IK9" s="116">
        <f>+BQ9</f>
        <v>396.24</v>
      </c>
      <c r="IL9" s="116">
        <f>+BT9</f>
        <v>391.03</v>
      </c>
      <c r="IM9" s="116">
        <f>+BW9</f>
        <v>339.32</v>
      </c>
      <c r="IN9" s="116">
        <f>+BZ9</f>
        <v>342.22</v>
      </c>
      <c r="IO9" s="116">
        <f>+CC9</f>
        <v>399.93</v>
      </c>
      <c r="IP9" s="116">
        <f>+CF9</f>
        <v>480.6</v>
      </c>
      <c r="IQ9" s="116">
        <f>+CI9</f>
        <v>608.53</v>
      </c>
      <c r="IR9" s="116">
        <f>+CL9</f>
        <v>550.39</v>
      </c>
      <c r="IS9" s="116">
        <f>+CO9</f>
        <v>687.22</v>
      </c>
      <c r="IT9" s="116">
        <f>+CR9</f>
        <v>556.66</v>
      </c>
      <c r="IU9" s="116">
        <f>+CU9</f>
        <v>721.14</v>
      </c>
      <c r="IV9" s="116">
        <f>+CX9</f>
        <v>826.02</v>
      </c>
      <c r="IW9" s="116">
        <f>+DA9</f>
        <v>1114.78</v>
      </c>
      <c r="IX9" s="116">
        <f>+DD9</f>
        <v>1082.1600000000001</v>
      </c>
      <c r="IY9" s="116">
        <f>+DG9</f>
        <v>1455.14</v>
      </c>
      <c r="IZ9" s="116">
        <f>+DJ9</f>
        <v>2255.8200000000002</v>
      </c>
      <c r="JA9" s="116">
        <f>+DM9</f>
        <v>2420.1</v>
      </c>
      <c r="JB9" s="116">
        <f>+DP9</f>
        <v>2679.35</v>
      </c>
      <c r="JC9" s="116">
        <f>+DS9</f>
        <v>2252.1999999999998</v>
      </c>
      <c r="JD9" s="116">
        <f>+DV9</f>
        <v>2503.4499999999998</v>
      </c>
      <c r="JE9" s="116">
        <f>+DY9</f>
        <v>2290.35</v>
      </c>
      <c r="JF9" s="116">
        <f>+EB9</f>
        <v>2411.85</v>
      </c>
      <c r="JG9" s="116">
        <f>+EE9</f>
        <v>2289.4499999999998</v>
      </c>
      <c r="JH9" s="116">
        <f>+EH9</f>
        <v>2249.4</v>
      </c>
      <c r="JI9" s="116">
        <f>+EK9</f>
        <v>2479.25</v>
      </c>
      <c r="JJ9" s="116">
        <f>+EN9</f>
        <v>2560.25</v>
      </c>
      <c r="JK9" s="116">
        <f>EQ9</f>
        <v>2436.0500000000002</v>
      </c>
      <c r="JL9" s="116">
        <f>ET9</f>
        <v>2497.85</v>
      </c>
      <c r="JM9" s="116">
        <f>EW9</f>
        <v>2237.9499999999998</v>
      </c>
      <c r="JN9" s="116">
        <f>EZ9</f>
        <v>2939.15</v>
      </c>
      <c r="JO9" s="116">
        <f>FC9</f>
        <v>3242.1</v>
      </c>
      <c r="JP9" s="116">
        <f>FF9</f>
        <v>2823.6</v>
      </c>
      <c r="JQ9" s="116">
        <f>FI9</f>
        <v>3075</v>
      </c>
      <c r="JR9" s="116">
        <f>FL9</f>
        <v>2438</v>
      </c>
      <c r="JS9" s="116">
        <f>FO9</f>
        <v>2744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41.95</v>
      </c>
      <c r="D13" cm="1">
        <f t="array" ref="D13">_xll.EQNXTDZ($A$1,$B13,D$1)</f>
        <v>41.6</v>
      </c>
      <c r="E13" cm="1">
        <f t="array" ref="E13">_xll.EQNXTDZ($A$1,$B13,E$1)</f>
        <v>40.880000000000003</v>
      </c>
      <c r="F13" cm="1">
        <f t="array" ref="F13">_xll.EQNXTDZ($A$1,$B13,F$1)</f>
        <v>42.2</v>
      </c>
      <c r="G13" cm="1">
        <f t="array" ref="G13">_xll.EQNXTDZ($A$1,$B13,G$1)</f>
        <v>45.06</v>
      </c>
      <c r="H13" cm="1">
        <f t="array" ref="H13">_xll.EQNXTDZ($A$1,$B13,H$1)</f>
        <v>45</v>
      </c>
      <c r="I13" cm="1">
        <f t="array" ref="I13">_xll.EQNXTDZ($A$1,$B13,I$1)</f>
        <v>42.2</v>
      </c>
      <c r="J13" cm="1">
        <f t="array" ref="J13">_xll.EQNXTDZ($A$1,$B13,J$1)</f>
        <v>40.65</v>
      </c>
      <c r="K13" cm="1">
        <f t="array" ref="K13">_xll.EQNXTDZ($A$1,$B13,K$1)</f>
        <v>39.200000000000003</v>
      </c>
      <c r="L13" cm="1">
        <f t="array" ref="L13">_xll.EQNXTDZ($A$1,$B13,L$1)</f>
        <v>37.200000000000003</v>
      </c>
      <c r="M13" cm="1">
        <f t="array" ref="M13">_xll.EQNXTDZ($A$1,$B13,M$1)</f>
        <v>34.1</v>
      </c>
      <c r="N13" cm="1">
        <f t="array" ref="N13">_xll.EQNXTDZ($A$1,$B13,N$1)</f>
        <v>34.020000000000003</v>
      </c>
      <c r="O13" cm="1">
        <f t="array" ref="O13">_xll.EQNXTDZ($A$1,$B13,O$1)</f>
        <v>31.4</v>
      </c>
      <c r="P13" cm="1">
        <f t="array" ref="P13">_xll.EQNXTDZ($A$1,$B13,P$1)</f>
        <v>29</v>
      </c>
      <c r="Q13" cm="1">
        <f t="array" ref="Q13">_xll.EQNXTDZ($A$1,$B13,Q$1)</f>
        <v>26.66</v>
      </c>
      <c r="R13" cm="1">
        <f t="array" ref="R13">_xll.EQNXTDZ($A$1,$B13,R$1)</f>
        <v>27.6</v>
      </c>
      <c r="S13" cm="1">
        <f t="array" ref="S13">_xll.EQNXTDZ($A$1,$B13,S$1)</f>
        <v>33.619999999999997</v>
      </c>
      <c r="T13" cm="1">
        <f t="array" ref="T13">_xll.EQNXTDZ($A$1,$B13,T$1)</f>
        <v>32.799999999999997</v>
      </c>
      <c r="U13" cm="1">
        <f t="array" ref="U13">_xll.EQNXTDZ($A$1,$B13,U$1)</f>
        <v>43</v>
      </c>
      <c r="V13" cm="1">
        <f t="array" ref="V13">_xll.EQNXTDZ($A$1,$B13,V$1)</f>
        <v>44.1</v>
      </c>
      <c r="W13" cm="1">
        <f t="array" ref="W13">_xll.EQNXTDZ($A$1,$B13,W$1)</f>
        <v>41.2</v>
      </c>
      <c r="X13" cm="1">
        <f t="array" ref="X13">_xll.EQNXTDZ($A$1,$B13,X$1)</f>
        <v>43.1</v>
      </c>
      <c r="Y13" cm="1">
        <f t="array" ref="Y13">_xll.EQNXTDZ($A$1,$B13,Y$1)</f>
        <v>71.599999999999994</v>
      </c>
      <c r="Z13" cm="1">
        <f t="array" ref="Z13">_xll.EQNXTDZ($A$1,$B13,Z$1)</f>
        <v>78.180000000000007</v>
      </c>
      <c r="AA13" cm="1">
        <f t="array" ref="AA13">_xll.EQNXTDZ($A$1,$B13,AA$1)</f>
        <v>90.4</v>
      </c>
      <c r="AB13" cm="1">
        <f t="array" ref="AB13">_xll.EQNXTDZ($A$1,$B13,AB$1)</f>
        <v>119.8</v>
      </c>
      <c r="AC13" cm="1">
        <f t="array" ref="AC13">_xll.EQNXTDZ($A$1,$B13,AC$1)</f>
        <v>116.05</v>
      </c>
      <c r="AD13" cm="1">
        <f t="array" ref="AD13">_xll.EQNXTDZ($A$1,$B13,AD$1)</f>
        <v>136</v>
      </c>
      <c r="AE13" cm="1">
        <f t="array" ref="AE13">_xll.EQNXTDZ($A$1,$B13,AE$1)</f>
        <v>152.41</v>
      </c>
      <c r="AF13" cm="1">
        <f t="array" ref="AF13">_xll.EQNXTDZ($A$1,$B13,AF$1)</f>
        <v>170.38</v>
      </c>
      <c r="AG13" cm="1">
        <f t="array" ref="AG13">_xll.EQNXTDZ($A$1,$B13,AG$1)</f>
        <v>178</v>
      </c>
      <c r="AH13" cm="1">
        <f t="array" ref="AH13">_xll.EQNXTDZ($A$1,$B13,AH$1)</f>
        <v>175</v>
      </c>
      <c r="AI13" cm="1">
        <f t="array" ref="AI13">_xll.EQNXTDZ($A$1,$B13,AI$1)</f>
        <v>189.09</v>
      </c>
      <c r="AJ13" cm="1">
        <f t="array" ref="AJ13">_xll.EQNXTDZ($A$1,$B13,AJ$1)</f>
        <v>188</v>
      </c>
      <c r="AK13" cm="1">
        <f t="array" ref="AK13">_xll.EQNXTDZ($A$1,$B13,AK$1)</f>
        <v>197.02</v>
      </c>
      <c r="AL13" cm="1">
        <f t="array" ref="AL13">_xll.EQNXTDZ($A$1,$B13,AL$1)</f>
        <v>218</v>
      </c>
      <c r="AM13" cm="1">
        <f t="array" ref="AM13">_xll.EQNXTDZ($A$1,$B13,AM$1)</f>
        <v>224</v>
      </c>
      <c r="AN13" cm="1">
        <f t="array" ref="AN13">_xll.EQNXTDZ($A$1,$B13,AN$1)</f>
        <v>249.6</v>
      </c>
      <c r="AO13" cm="1">
        <f t="array" ref="AO13">_xll.EQNXTDZ($A$1,$B13,AO$1)</f>
        <v>275.38</v>
      </c>
      <c r="AP13" cm="1">
        <f t="array" ref="AP13">_xll.EQNXTDZ($A$1,$B13,AP$1)</f>
        <v>231.98</v>
      </c>
      <c r="AQ13" cm="1">
        <f t="array" ref="AQ13">_xll.EQNXTDZ($A$1,$B13,AQ$1)</f>
        <v>225</v>
      </c>
      <c r="AR13" cm="1">
        <f t="array" ref="AR13">_xll.EQNXTDZ($A$1,$B13,AR$1)</f>
        <v>265.98</v>
      </c>
      <c r="AS13" cm="1">
        <f t="array" ref="AS13">_xll.EQNXTDZ($A$1,$B13,AS$1)</f>
        <v>256</v>
      </c>
      <c r="AT13" cm="1">
        <f t="array" ref="AT13">_xll.EQNXTDZ($A$1,$B13,AT$1)</f>
        <v>248.01</v>
      </c>
      <c r="AU13" cm="1">
        <f t="array" ref="AU13">_xll.EQNXTDZ($A$1,$B13,AU$1)</f>
        <v>232.75</v>
      </c>
      <c r="AV13" cm="1">
        <f t="array" ref="AV13">_xll.EQNXTDZ($A$1,$B13,AV$1)</f>
        <v>210.45</v>
      </c>
      <c r="AW13" cm="1">
        <f t="array" ref="AW13">_xll.EQNXTDZ($A$1,$B13,AW$1)</f>
        <v>266.89999999999998</v>
      </c>
      <c r="AX13" cm="1">
        <f t="array" ref="AX13">_xll.EQNXTDZ($A$1,$B13,AX$1)</f>
        <v>272.8</v>
      </c>
      <c r="AY13" cm="1">
        <f t="array" ref="AY13">_xll.EQNXTDZ($A$1,$B13,AY$1)</f>
        <v>259.20999999999998</v>
      </c>
      <c r="AZ13" cm="1">
        <f t="array" ref="AZ13">_xll.EQNXTDZ($A$1,$B13,AZ$1)</f>
        <v>262</v>
      </c>
      <c r="BA13" cm="1">
        <f t="array" ref="BA13">_xll.EQNXTDZ($A$1,$B13,BA$1)</f>
        <v>294</v>
      </c>
      <c r="BB13" cm="1">
        <f t="array" ref="BB13">_xll.EQNXTDZ($A$1,$B13,BB$1)</f>
        <v>344</v>
      </c>
      <c r="BC13" cm="1">
        <f t="array" ref="BC13">_xll.EQNXTDZ($A$1,$B13,BC$1)</f>
        <v>358</v>
      </c>
      <c r="BD13" cm="1">
        <f t="array" ref="BD13">_xll.EQNXTDZ($A$1,$B13,BD$1)</f>
        <v>367.35</v>
      </c>
      <c r="BE13" cm="1">
        <f t="array" ref="BE13">_xll.EQNXTDZ($A$1,$B13,BE$1)</f>
        <v>316</v>
      </c>
      <c r="BF13" cm="1">
        <f t="array" ref="BF13">_xll.EQNXTDZ($A$1,$B13,BF$1)</f>
        <v>308.60000000000002</v>
      </c>
      <c r="BG13" cm="1">
        <f t="array" ref="BG13">_xll.EQNXTDZ($A$1,$B13,BG$1)</f>
        <v>343.16</v>
      </c>
      <c r="BH13" cm="1">
        <f t="array" ref="BH13">_xll.EQNXTDZ($A$1,$B13,BH$1)</f>
        <v>311.2</v>
      </c>
      <c r="BI13" cm="1">
        <f t="array" ref="BI13">_xll.EQNXTDZ($A$1,$B13,BI$1)</f>
        <v>328</v>
      </c>
      <c r="BJ13" cm="1">
        <f t="array" ref="BJ13">_xll.EQNXTDZ($A$1,$B13,BJ$1)</f>
        <v>356.2</v>
      </c>
      <c r="BK13" cm="1">
        <f t="array" ref="BK13">_xll.EQNXTDZ($A$1,$B13,BK$1)</f>
        <v>325.5</v>
      </c>
      <c r="BL13" cm="1">
        <f t="array" ref="BL13">_xll.EQNXTDZ($A$1,$B13,BL$1)</f>
        <v>308.62</v>
      </c>
      <c r="BM13" cm="1">
        <f t="array" ref="BM13">_xll.EQNXTDZ($A$1,$B13,BM$1)</f>
        <v>303.74</v>
      </c>
      <c r="BN13" cm="1">
        <f t="array" ref="BN13">_xll.EQNXTDZ($A$1,$B13,BN$1)</f>
        <v>309</v>
      </c>
      <c r="BO13" cm="1">
        <f t="array" ref="BO13">_xll.EQNXTDZ($A$1,$B13,BO$1)</f>
        <v>309.79000000000002</v>
      </c>
      <c r="BP13" cm="1">
        <f t="array" ref="BP13">_xll.EQNXTDZ($A$1,$B13,BP$1)</f>
        <v>340.29</v>
      </c>
      <c r="BQ13" cm="1">
        <f t="array" ref="BQ13">_xll.EQNXTDZ($A$1,$B13,BQ$1)</f>
        <v>367.16</v>
      </c>
      <c r="BR13" cm="1">
        <f t="array" ref="BR13">_xll.EQNXTDZ($A$1,$B13,BR$1)</f>
        <v>397.99</v>
      </c>
      <c r="BS13" cm="1">
        <f t="array" ref="BS13">_xll.EQNXTDZ($A$1,$B13,BS$1)</f>
        <v>355.45</v>
      </c>
      <c r="BT13" cm="1">
        <f t="array" ref="BT13">_xll.EQNXTDZ($A$1,$B13,BT$1)</f>
        <v>379.46</v>
      </c>
      <c r="BU13" cm="1">
        <f t="array" ref="BU13">_xll.EQNXTDZ($A$1,$B13,BU$1)</f>
        <v>394.01</v>
      </c>
      <c r="BV13" cm="1">
        <f t="array" ref="BV13">_xll.EQNXTDZ($A$1,$B13,BV$1)</f>
        <v>484.8</v>
      </c>
      <c r="BW13" cm="1">
        <f t="array" ref="BW13">_xll.EQNXTDZ($A$1,$B13,BW$1)</f>
        <v>386</v>
      </c>
      <c r="BX13" cm="1">
        <f t="array" ref="BX13">_xll.EQNXTDZ($A$1,$B13,BX$1)</f>
        <v>340.6</v>
      </c>
      <c r="BY13" cm="1">
        <f t="array" ref="BY13">_xll.EQNXTDZ($A$1,$B13,BY$1)</f>
        <v>346.2</v>
      </c>
      <c r="BZ13" cm="1">
        <f t="array" ref="BZ13">_xll.EQNXTDZ($A$1,$B13,BZ$1)</f>
        <v>409.8</v>
      </c>
      <c r="CA13" cm="1">
        <f t="array" ref="CA13">_xll.EQNXTDZ($A$1,$B13,CA$1)</f>
        <v>347.97</v>
      </c>
      <c r="CB13" cm="1">
        <f t="array" ref="CB13">_xll.EQNXTDZ($A$1,$B13,CB$1)</f>
        <v>385.01</v>
      </c>
      <c r="CC13" cm="1">
        <f t="array" ref="CC13">_xll.EQNXTDZ($A$1,$B13,CC$1)</f>
        <v>429</v>
      </c>
      <c r="CD13" cm="1">
        <f t="array" ref="CD13">_xll.EQNXTDZ($A$1,$B13,CD$1)</f>
        <v>400.34</v>
      </c>
      <c r="CE13" cm="1">
        <f t="array" ref="CE13">_xll.EQNXTDZ($A$1,$B13,CE$1)</f>
        <v>402</v>
      </c>
      <c r="CF13" cm="1">
        <f t="array" ref="CF13">_xll.EQNXTDZ($A$1,$B13,CF$1)</f>
        <v>460.96</v>
      </c>
      <c r="CG13" cm="1">
        <f t="array" ref="CG13">_xll.EQNXTDZ($A$1,$B13,CG$1)</f>
        <v>463.04</v>
      </c>
      <c r="CH13" cm="1">
        <f t="array" ref="CH13">_xll.EQNXTDZ($A$1,$B13,CH$1)</f>
        <v>513.57000000000005</v>
      </c>
      <c r="CI13" cm="1">
        <f t="array" ref="CI13">_xll.EQNXTDZ($A$1,$B13,CI$1)</f>
        <v>569.6</v>
      </c>
      <c r="CJ13" cm="1">
        <f t="array" ref="CJ13">_xll.EQNXTDZ($A$1,$B13,CJ$1)</f>
        <v>610.4</v>
      </c>
      <c r="CK13" cm="1">
        <f t="array" ref="CK13">_xll.EQNXTDZ($A$1,$B13,CK$1)</f>
        <v>536.80999999999995</v>
      </c>
      <c r="CL13" cm="1">
        <f t="array" ref="CL13">_xll.EQNXTDZ($A$1,$B13,CL$1)</f>
        <v>554.01</v>
      </c>
      <c r="CM13" cm="1">
        <f t="array" ref="CM13">_xll.EQNXTDZ($A$1,$B13,CM$1)</f>
        <v>550.4</v>
      </c>
      <c r="CN13" cm="1">
        <f t="array" ref="CN13">_xll.EQNXTDZ($A$1,$B13,CN$1)</f>
        <v>578.4</v>
      </c>
      <c r="CO13" cm="1">
        <f t="array" ref="CO13">_xll.EQNXTDZ($A$1,$B13,CO$1)</f>
        <v>641.05999999999995</v>
      </c>
      <c r="CP13" cm="1">
        <f t="array" ref="CP13">_xll.EQNXTDZ($A$1,$B13,CP$1)</f>
        <v>687.22</v>
      </c>
      <c r="CQ13" cm="1">
        <f t="array" ref="CQ13">_xll.EQNXTDZ($A$1,$B13,CQ$1)</f>
        <v>746.03</v>
      </c>
      <c r="CR13" cm="1">
        <f t="array" ref="CR13">_xll.EQNXTDZ($A$1,$B13,CR$1)</f>
        <v>794.52</v>
      </c>
      <c r="CS13" cm="1">
        <f t="array" ref="CS13">_xll.EQNXTDZ($A$1,$B13,CS$1)</f>
        <v>560.55999999999995</v>
      </c>
      <c r="CT13" cm="1">
        <f t="array" ref="CT13">_xll.EQNXTDZ($A$1,$B13,CT$1)</f>
        <v>739.79</v>
      </c>
      <c r="CU13" cm="1">
        <f t="array" ref="CU13">_xll.EQNXTDZ($A$1,$B13,CU$1)</f>
        <v>709.6</v>
      </c>
      <c r="CV13" cm="1">
        <f t="array" ref="CV13">_xll.EQNXTDZ($A$1,$B13,CV$1)</f>
        <v>724.58</v>
      </c>
      <c r="CW13" cm="1">
        <f t="array" ref="CW13">_xll.EQNXTDZ($A$1,$B13,CW$1)</f>
        <v>755</v>
      </c>
      <c r="CX13" cm="1">
        <f t="array" ref="CX13">_xll.EQNXTDZ($A$1,$B13,CX$1)</f>
        <v>810.78</v>
      </c>
      <c r="CY13" cm="1">
        <f t="array" ref="CY13">_xll.EQNXTDZ($A$1,$B13,CY$1)</f>
        <v>834.71</v>
      </c>
      <c r="CZ13" cm="1">
        <f t="array" ref="CZ13">_xll.EQNXTDZ($A$1,$B13,CZ$1)</f>
        <v>881.35</v>
      </c>
      <c r="DA13" cm="1">
        <f t="array" ref="DA13">_xll.EQNXTDZ($A$1,$B13,DA$1)</f>
        <v>1037</v>
      </c>
      <c r="DB13" cm="1">
        <f t="array" ref="DB13">_xll.EQNXTDZ($A$1,$B13,DB$1)</f>
        <v>1114.3599999999999</v>
      </c>
      <c r="DC13" cm="1">
        <f t="array" ref="DC13">_xll.EQNXTDZ($A$1,$B13,DC$1)</f>
        <v>1079.99</v>
      </c>
      <c r="DD13" cm="1">
        <f t="array" ref="DD13">_xll.EQNXTDZ($A$1,$B13,DD$1)</f>
        <v>1088.74</v>
      </c>
      <c r="DE13" cm="1">
        <f t="array" ref="DE13">_xll.EQNXTDZ($A$1,$B13,DE$1)</f>
        <v>1082</v>
      </c>
      <c r="DF13" cm="1">
        <f t="array" ref="DF13">_xll.EQNXTDZ($A$1,$B13,DF$1)</f>
        <v>1276</v>
      </c>
      <c r="DG13" cm="1">
        <f t="array" ref="DG13">_xll.EQNXTDZ($A$1,$B13,DG$1)</f>
        <v>1305.2</v>
      </c>
      <c r="DH13" cm="1">
        <f t="array" ref="DH13">_xll.EQNXTDZ($A$1,$B13,DH$1)</f>
        <v>1465</v>
      </c>
      <c r="DI13" cm="1">
        <f t="array" ref="DI13">_xll.EQNXTDZ($A$1,$B13,DI$1)</f>
        <v>1732</v>
      </c>
      <c r="DJ13" cm="1">
        <f t="array" ref="DJ13">_xll.EQNXTDZ($A$1,$B13,DJ$1)</f>
        <v>2066.8000000000002</v>
      </c>
      <c r="DK13" cm="1">
        <f t="array" ref="DK13">_xll.EQNXTDZ($A$1,$B13,DK$1)</f>
        <v>2260.6</v>
      </c>
      <c r="DL13" cm="1">
        <f t="array" ref="DL13">_xll.EQNXTDZ($A$1,$B13,DL$1)</f>
        <v>2115.1</v>
      </c>
      <c r="DM13" cm="1">
        <f t="array" ref="DM13">_xll.EQNXTDZ($A$1,$B13,DM$1)</f>
        <v>2050</v>
      </c>
      <c r="DN13" cm="1">
        <f t="array" ref="DN13">_xll.EQNXTDZ($A$1,$B13,DN$1)</f>
        <v>2420</v>
      </c>
      <c r="DO13" cm="1">
        <f t="array" ref="DO13">_xll.EQNXTDZ($A$1,$B13,DO$1)</f>
        <v>2443.1</v>
      </c>
      <c r="DP13" cm="1">
        <f t="array" ref="DP13">_xll.EQNXTDZ($A$1,$B13,DP$1)</f>
        <v>2368.4499999999998</v>
      </c>
      <c r="DQ13" cm="1">
        <f t="array" ref="DQ13">_xll.EQNXTDZ($A$1,$B13,DQ$1)</f>
        <v>2694</v>
      </c>
      <c r="DR13" cm="1">
        <f t="array" ref="DR13">_xll.EQNXTDZ($A$1,$B13,DR$1)</f>
        <v>2470</v>
      </c>
      <c r="DS13" cm="1">
        <f t="array" ref="DS13">_xll.EQNXTDZ($A$1,$B13,DS$1)</f>
        <v>2480</v>
      </c>
      <c r="DT13" cm="1">
        <f t="array" ref="DT13">_xll.EQNXTDZ($A$1,$B13,DT$1)</f>
        <v>2240</v>
      </c>
      <c r="DU13" cm="1">
        <f t="array" ref="DU13">_xll.EQNXTDZ($A$1,$B13,DU$1)</f>
        <v>2430</v>
      </c>
      <c r="DV13" cm="1">
        <f t="array" ref="DV13">_xll.EQNXTDZ($A$1,$B13,DV$1)</f>
        <v>2531.4</v>
      </c>
      <c r="DW13" cm="1">
        <f t="array" ref="DW13">_xll.EQNXTDZ($A$1,$B13,DW$1)</f>
        <v>2511.35</v>
      </c>
      <c r="DX13" cm="1">
        <f t="array" ref="DX13">_xll.EQNXTDZ($A$1,$B13,DX$1)</f>
        <v>2578.9499999999998</v>
      </c>
      <c r="DY13" cm="1">
        <f t="array" ref="DY13">_xll.EQNXTDZ($A$1,$B13,DY$1)</f>
        <v>2367.0500000000002</v>
      </c>
      <c r="DZ13" cm="1">
        <f t="array" ref="DZ13">_xll.EQNXTDZ($A$1,$B13,DZ$1)</f>
        <v>2299.9499999999998</v>
      </c>
      <c r="EA13" cm="1">
        <f t="array" ref="EA13">_xll.EQNXTDZ($A$1,$B13,EA$1)</f>
        <v>2222.9499999999998</v>
      </c>
      <c r="EB13" cm="1">
        <f t="array" ref="EB13">_xll.EQNXTDZ($A$1,$B13,EB$1)</f>
        <v>2167.0500000000002</v>
      </c>
      <c r="EC13" cm="1">
        <f t="array" ref="EC13">_xll.EQNXTDZ($A$1,$B13,EC$1)</f>
        <v>2440.4499999999998</v>
      </c>
      <c r="ED13" cm="1">
        <f t="array" ref="ED13">_xll.EQNXTDZ($A$1,$B13,ED$1)</f>
        <v>2520.0500000000002</v>
      </c>
      <c r="EE13" cm="1">
        <f t="array" ref="EE13">_xll.EQNXTDZ($A$1,$B13,EE$1)</f>
        <v>2505</v>
      </c>
      <c r="EF13" cm="1">
        <f t="array" ref="EF13">_xll.EQNXTDZ($A$1,$B13,EF$1)</f>
        <v>2293.0500000000002</v>
      </c>
      <c r="EG13" cm="1">
        <f t="array" ref="EG13">_xll.EQNXTDZ($A$1,$B13,EG$1)</f>
        <v>2185</v>
      </c>
      <c r="EH13" cm="1">
        <f t="array" ref="EH13">_xll.EQNXTDZ($A$1,$B13,EH$1)</f>
        <v>2362.5</v>
      </c>
      <c r="EI13" cm="1">
        <f t="array" ref="EI13">_xll.EQNXTDZ($A$1,$B13,EI$1)</f>
        <v>2264.9499999999998</v>
      </c>
      <c r="EJ13" cm="1">
        <f t="array" ref="EJ13">_xll.EQNXTDZ($A$1,$B13,EJ$1)</f>
        <v>2181.6</v>
      </c>
      <c r="EK13" cm="1">
        <f t="array" ref="EK13">_xll.EQNXTDZ($A$1,$B13,EK$1)</f>
        <v>2350</v>
      </c>
      <c r="EL13" cm="1">
        <f t="array" ref="EL13">_xll.EQNXTDZ($A$1,$B13,EL$1)</f>
        <v>2490</v>
      </c>
      <c r="EM13" cm="1">
        <f t="array" ref="EM13">_xll.EQNXTDZ($A$1,$B13,EM$1)</f>
        <v>2335.6999999999998</v>
      </c>
      <c r="EN13" cm="1">
        <f t="array" ref="EN13">_xll.EQNXTDZ($A$1,$B13,EN$1)</f>
        <v>2356.6999999999998</v>
      </c>
      <c r="EO13" cm="1">
        <f t="array" ref="EO13">_xll.EQNXTDZ($A$1,$B13,EO$1)</f>
        <v>2560</v>
      </c>
      <c r="EP13" cm="1">
        <f t="array" ref="EP13">_xll.EQNXTDZ($A$1,$B13,EP$1)</f>
        <v>2623.75</v>
      </c>
      <c r="EQ13" cm="1">
        <f t="array" ref="EQ13">_xll.EQNXTDZ($A$1,$B13,EQ$1)</f>
        <v>2220</v>
      </c>
      <c r="ER13" cm="1">
        <f t="array" ref="ER13">_xll.EQNXTDZ($A$1,$B13,ER$1)</f>
        <v>2429.9499999999998</v>
      </c>
      <c r="ES13" cm="1">
        <f t="array" ref="ES13">_xll.EQNXTDZ($A$1,$B13,ES$1)</f>
        <v>2608.4</v>
      </c>
      <c r="ET13" cm="1">
        <f t="array" ref="ET13">_xll.EQNXTDZ($A$1,$B13,ET$1)</f>
        <v>2575.3000000000002</v>
      </c>
      <c r="EU13" cm="1">
        <f t="array" ref="EU13">_xll.EQNXTDZ($A$1,$B13,EU$1)</f>
        <v>2497.35</v>
      </c>
      <c r="EV13" cm="1">
        <f t="array" ref="EV13">_xll.EQNXTDZ($A$1,$B13,EV$1)</f>
        <v>2238.0500000000002</v>
      </c>
      <c r="EW13" cm="1">
        <f t="array" ref="EW13">_xll.EQNXTDZ($A$1,$B13,EW$1)</f>
        <v>2250.1</v>
      </c>
      <c r="EX13" cm="1">
        <f t="array" ref="EX13">_xll.EQNXTDZ($A$1,$B13,EX$1)</f>
        <v>2231.3000000000002</v>
      </c>
      <c r="EY13" cm="1">
        <f t="array" ref="EY13">_xll.EQNXTDZ($A$1,$B13,EY$1)</f>
        <v>2810</v>
      </c>
      <c r="EZ13" cm="1">
        <f t="array" ref="EZ13">_xll.EQNXTDZ($A$1,$B13,EZ$1)</f>
        <v>2795</v>
      </c>
      <c r="FA13" cm="1">
        <f t="array" ref="FA13">_xll.EQNXTDZ($A$1,$B13,FA$1)</f>
        <v>2938.8</v>
      </c>
      <c r="FB13" cm="1">
        <f t="array" ref="FB13">_xll.EQNXTDZ($A$1,$B13,FB$1)</f>
        <v>3006.25</v>
      </c>
      <c r="FC13" cm="1">
        <f t="array" ref="FC13">_xll.EQNXTDZ($A$1,$B13,FC$1)</f>
        <v>2785.2</v>
      </c>
      <c r="FD13" cm="1">
        <f t="array" ref="FD13">_xll.EQNXTDZ($A$1,$B13,FD$1)</f>
        <v>3249</v>
      </c>
      <c r="FE13" cm="1">
        <f t="array" ref="FE13">_xll.EQNXTDZ($A$1,$B13,FE$1)</f>
        <v>3039.8</v>
      </c>
      <c r="FF13" cm="1">
        <f t="array" ref="FF13">_xll.EQNXTDZ($A$1,$B13,FF$1)</f>
        <v>2841.5</v>
      </c>
      <c r="FG13" cm="1">
        <f t="array" ref="FG13">_xll.EQNXTDZ($A$1,$B13,FG$1)</f>
        <v>2822</v>
      </c>
      <c r="FH13" cm="1">
        <f t="array" ref="FH13">_xll.EQNXTDZ($A$1,$B13,FH$1)</f>
        <v>2912.3</v>
      </c>
      <c r="FI13" cm="1">
        <f t="array" ref="FI13">_xll.EQNXTDZ($A$1,$B13,FI$1)</f>
        <v>2921.05</v>
      </c>
      <c r="FJ13" cm="1">
        <f t="array" ref="FJ13">_xll.EQNXTDZ($A$1,$B13,FJ$1)</f>
        <v>3040.25</v>
      </c>
      <c r="FK13" cm="1">
        <f t="array" ref="FK13">_xll.EQNXTDZ($A$1,$B13,FK$1)</f>
        <v>2760.1</v>
      </c>
      <c r="FL13" cm="1">
        <f t="array" ref="FL13">_xll.EQNXTDZ($A$1,$B13,FL$1)</f>
        <v>2313.75</v>
      </c>
      <c r="FM13" cm="1">
        <f t="array" ref="FM13">_xll.EQNXTDZ($A$1,$B13,FM$1)</f>
        <v>2461.1999999999998</v>
      </c>
      <c r="FN13" cm="1">
        <f t="array" ref="FN13">_xll.EQNXTDZ($A$1,$B13,FN$1)</f>
        <v>2524.9</v>
      </c>
      <c r="FO13" cm="1">
        <f t="array" ref="FO13">_xll.EQNXTDZ($A$1,$B13,FO$1)</f>
        <v>2718.75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42.99</v>
      </c>
      <c r="D14" s="116" cm="1">
        <f t="array" ref="D14">_xll.EQNXTDZ($A$1,$B14,D$1)</f>
        <v>49.6</v>
      </c>
      <c r="E14" s="116" cm="1">
        <f t="array" ref="E14">_xll.EQNXTDZ($A$1,$B14,E$1)</f>
        <v>43.93</v>
      </c>
      <c r="F14" s="116" cm="1">
        <f t="array" ref="F14">_xll.EQNXTDZ($A$1,$B14,F$1)</f>
        <v>46.8</v>
      </c>
      <c r="G14" s="116" cm="1">
        <f t="array" ref="G14">_xll.EQNXTDZ($A$1,$B14,G$1)</f>
        <v>48.03</v>
      </c>
      <c r="H14" s="116" cm="1">
        <f t="array" ref="H14">_xll.EQNXTDZ($A$1,$B14,H$1)</f>
        <v>47.32</v>
      </c>
      <c r="I14" s="116" cm="1">
        <f t="array" ref="I14">_xll.EQNXTDZ($A$1,$B14,I$1)</f>
        <v>44.56</v>
      </c>
      <c r="J14" s="116" cm="1">
        <f t="array" ref="J14">_xll.EQNXTDZ($A$1,$B14,J$1)</f>
        <v>42</v>
      </c>
      <c r="K14" s="116" cm="1">
        <f t="array" ref="K14">_xll.EQNXTDZ($A$1,$B14,K$1)</f>
        <v>41.6</v>
      </c>
      <c r="L14" s="116" cm="1">
        <f t="array" ref="L14">_xll.EQNXTDZ($A$1,$B14,L$1)</f>
        <v>38.4</v>
      </c>
      <c r="M14" s="116" cm="1">
        <f t="array" ref="M14">_xll.EQNXTDZ($A$1,$B14,M$1)</f>
        <v>37.5</v>
      </c>
      <c r="N14" s="116" cm="1">
        <f t="array" ref="N14">_xll.EQNXTDZ($A$1,$B14,N$1)</f>
        <v>35.79</v>
      </c>
      <c r="O14" s="116" cm="1">
        <f t="array" ref="O14">_xll.EQNXTDZ($A$1,$B14,O$1)</f>
        <v>33.200000000000003</v>
      </c>
      <c r="P14" s="116" cm="1">
        <f t="array" ref="P14">_xll.EQNXTDZ($A$1,$B14,P$1)</f>
        <v>31.44</v>
      </c>
      <c r="Q14" s="116" cm="1">
        <f t="array" ref="Q14">_xll.EQNXTDZ($A$1,$B14,Q$1)</f>
        <v>32.729999999999997</v>
      </c>
      <c r="R14" s="116" cm="1">
        <f t="array" ref="R14">_xll.EQNXTDZ($A$1,$B14,R$1)</f>
        <v>34.200000000000003</v>
      </c>
      <c r="S14" s="116" cm="1">
        <f t="array" ref="S14">_xll.EQNXTDZ($A$1,$B14,S$1)</f>
        <v>35.54</v>
      </c>
      <c r="T14" s="116" cm="1">
        <f t="array" ref="T14">_xll.EQNXTDZ($A$1,$B14,T$1)</f>
        <v>41.28</v>
      </c>
      <c r="U14" s="116" cm="1">
        <f t="array" ref="U14">_xll.EQNXTDZ($A$1,$B14,U$1)</f>
        <v>47.69</v>
      </c>
      <c r="V14" s="116" cm="1">
        <f t="array" ref="V14">_xll.EQNXTDZ($A$1,$B14,V$1)</f>
        <v>46.08</v>
      </c>
      <c r="W14" s="116" cm="1">
        <f t="array" ref="W14">_xll.EQNXTDZ($A$1,$B14,W$1)</f>
        <v>45.98</v>
      </c>
      <c r="X14" s="116" cm="1">
        <f t="array" ref="X14">_xll.EQNXTDZ($A$1,$B14,X$1)</f>
        <v>74.2</v>
      </c>
      <c r="Y14" s="116" cm="1">
        <f t="array" ref="Y14">_xll.EQNXTDZ($A$1,$B14,Y$1)</f>
        <v>84.58</v>
      </c>
      <c r="Z14" s="116" cm="1">
        <f t="array" ref="Z14">_xll.EQNXTDZ($A$1,$B14,Z$1)</f>
        <v>91.98</v>
      </c>
      <c r="AA14" s="116" cm="1">
        <f t="array" ref="AA14">_xll.EQNXTDZ($A$1,$B14,AA$1)</f>
        <v>120.8</v>
      </c>
      <c r="AB14" s="116" cm="1">
        <f t="array" ref="AB14">_xll.EQNXTDZ($A$1,$B14,AB$1)</f>
        <v>121.98</v>
      </c>
      <c r="AC14" s="116" cm="1">
        <f t="array" ref="AC14">_xll.EQNXTDZ($A$1,$B14,AC$1)</f>
        <v>140.49</v>
      </c>
      <c r="AD14" s="116" cm="1">
        <f t="array" ref="AD14">_xll.EQNXTDZ($A$1,$B14,AD$1)</f>
        <v>155</v>
      </c>
      <c r="AE14" s="116" cm="1">
        <f t="array" ref="AE14">_xll.EQNXTDZ($A$1,$B14,AE$1)</f>
        <v>183.76</v>
      </c>
      <c r="AF14" s="116" cm="1">
        <f t="array" ref="AF14">_xll.EQNXTDZ($A$1,$B14,AF$1)</f>
        <v>191.4</v>
      </c>
      <c r="AG14" s="116" cm="1">
        <f t="array" ref="AG14">_xll.EQNXTDZ($A$1,$B14,AG$1)</f>
        <v>184.58</v>
      </c>
      <c r="AH14" s="116" cm="1">
        <f t="array" ref="AH14">_xll.EQNXTDZ($A$1,$B14,AH$1)</f>
        <v>199.6</v>
      </c>
      <c r="AI14" s="116" cm="1">
        <f t="array" ref="AI14">_xll.EQNXTDZ($A$1,$B14,AI$1)</f>
        <v>204.86</v>
      </c>
      <c r="AJ14" s="116" cm="1">
        <f t="array" ref="AJ14">_xll.EQNXTDZ($A$1,$B14,AJ$1)</f>
        <v>203.49</v>
      </c>
      <c r="AK14" s="116" cm="1">
        <f t="array" ref="AK14">_xll.EQNXTDZ($A$1,$B14,AK$1)</f>
        <v>225.39</v>
      </c>
      <c r="AL14" s="116" cm="1">
        <f t="array" ref="AL14">_xll.EQNXTDZ($A$1,$B14,AL$1)</f>
        <v>226.98</v>
      </c>
      <c r="AM14" s="116" cm="1">
        <f t="array" ref="AM14">_xll.EQNXTDZ($A$1,$B14,AM$1)</f>
        <v>250.02</v>
      </c>
      <c r="AN14" s="116" cm="1">
        <f t="array" ref="AN14">_xll.EQNXTDZ($A$1,$B14,AN$1)</f>
        <v>284.77999999999997</v>
      </c>
      <c r="AO14" s="116" cm="1">
        <f t="array" ref="AO14">_xll.EQNXTDZ($A$1,$B14,AO$1)</f>
        <v>299.11</v>
      </c>
      <c r="AP14" s="116" cm="1">
        <f t="array" ref="AP14">_xll.EQNXTDZ($A$1,$B14,AP$1)</f>
        <v>239.6</v>
      </c>
      <c r="AQ14" s="116" cm="1">
        <f t="array" ref="AQ14">_xll.EQNXTDZ($A$1,$B14,AQ$1)</f>
        <v>278.60000000000002</v>
      </c>
      <c r="AR14" s="116" cm="1">
        <f t="array" ref="AR14">_xll.EQNXTDZ($A$1,$B14,AR$1)</f>
        <v>269.93</v>
      </c>
      <c r="AS14" s="116" cm="1">
        <f t="array" ref="AS14">_xll.EQNXTDZ($A$1,$B14,AS$1)</f>
        <v>259.52999999999997</v>
      </c>
      <c r="AT14" s="116" cm="1">
        <f t="array" ref="AT14">_xll.EQNXTDZ($A$1,$B14,AT$1)</f>
        <v>272.02</v>
      </c>
      <c r="AU14" s="116" cm="1">
        <f t="array" ref="AU14">_xll.EQNXTDZ($A$1,$B14,AU$1)</f>
        <v>237.26</v>
      </c>
      <c r="AV14" s="116" cm="1">
        <f t="array" ref="AV14">_xll.EQNXTDZ($A$1,$B14,AV$1)</f>
        <v>266.33999999999997</v>
      </c>
      <c r="AW14" s="116" cm="1">
        <f t="array" ref="AW14">_xll.EQNXTDZ($A$1,$B14,AW$1)</f>
        <v>283</v>
      </c>
      <c r="AX14" s="116" cm="1">
        <f t="array" ref="AX14">_xll.EQNXTDZ($A$1,$B14,AX$1)</f>
        <v>293.45</v>
      </c>
      <c r="AY14" s="116" cm="1">
        <f t="array" ref="AY14">_xll.EQNXTDZ($A$1,$B14,AY$1)</f>
        <v>264.8</v>
      </c>
      <c r="AZ14" s="116" cm="1">
        <f t="array" ref="AZ14">_xll.EQNXTDZ($A$1,$B14,AZ$1)</f>
        <v>294</v>
      </c>
      <c r="BA14" s="116" cm="1">
        <f t="array" ref="BA14">_xll.EQNXTDZ($A$1,$B14,BA$1)</f>
        <v>344.89</v>
      </c>
      <c r="BB14" s="116" cm="1">
        <f t="array" ref="BB14">_xll.EQNXTDZ($A$1,$B14,BB$1)</f>
        <v>364.81</v>
      </c>
      <c r="BC14" s="116" cm="1">
        <f t="array" ref="BC14">_xll.EQNXTDZ($A$1,$B14,BC$1)</f>
        <v>393.9</v>
      </c>
      <c r="BD14" s="116" cm="1">
        <f t="array" ref="BD14">_xll.EQNXTDZ($A$1,$B14,BD$1)</f>
        <v>369.14</v>
      </c>
      <c r="BE14" s="116" cm="1">
        <f t="array" ref="BE14">_xll.EQNXTDZ($A$1,$B14,BE$1)</f>
        <v>319.39999999999998</v>
      </c>
      <c r="BF14" s="116" cm="1">
        <f t="array" ref="BF14">_xll.EQNXTDZ($A$1,$B14,BF$1)</f>
        <v>351.79</v>
      </c>
      <c r="BG14" s="116" cm="1">
        <f t="array" ref="BG14">_xll.EQNXTDZ($A$1,$B14,BG$1)</f>
        <v>356.78</v>
      </c>
      <c r="BH14" s="116" cm="1">
        <f t="array" ref="BH14">_xll.EQNXTDZ($A$1,$B14,BH$1)</f>
        <v>329.8</v>
      </c>
      <c r="BI14" s="116" cm="1">
        <f t="array" ref="BI14">_xll.EQNXTDZ($A$1,$B14,BI$1)</f>
        <v>365</v>
      </c>
      <c r="BJ14" s="116" cm="1">
        <f t="array" ref="BJ14">_xll.EQNXTDZ($A$1,$B14,BJ$1)</f>
        <v>372</v>
      </c>
      <c r="BK14" s="116" cm="1">
        <f t="array" ref="BK14">_xll.EQNXTDZ($A$1,$B14,BK$1)</f>
        <v>339.48</v>
      </c>
      <c r="BL14" s="116" cm="1">
        <f t="array" ref="BL14">_xll.EQNXTDZ($A$1,$B14,BL$1)</f>
        <v>318.98</v>
      </c>
      <c r="BM14" s="116" cm="1">
        <f t="array" ref="BM14">_xll.EQNXTDZ($A$1,$B14,BM$1)</f>
        <v>317.39999999999998</v>
      </c>
      <c r="BN14" s="116" cm="1">
        <f t="array" ref="BN14">_xll.EQNXTDZ($A$1,$B14,BN$1)</f>
        <v>329</v>
      </c>
      <c r="BO14" s="116" cm="1">
        <f t="array" ref="BO14">_xll.EQNXTDZ($A$1,$B14,BO$1)</f>
        <v>358.7</v>
      </c>
      <c r="BP14" s="116" cm="1">
        <f t="array" ref="BP14">_xll.EQNXTDZ($A$1,$B14,BP$1)</f>
        <v>381.52</v>
      </c>
      <c r="BQ14" s="116" cm="1">
        <f t="array" ref="BQ14">_xll.EQNXTDZ($A$1,$B14,BQ$1)</f>
        <v>399.4</v>
      </c>
      <c r="BR14" s="116" cm="1">
        <f t="array" ref="BR14">_xll.EQNXTDZ($A$1,$B14,BR$1)</f>
        <v>409</v>
      </c>
      <c r="BS14" s="116" cm="1">
        <f t="array" ref="BS14">_xll.EQNXTDZ($A$1,$B14,BS$1)</f>
        <v>392</v>
      </c>
      <c r="BT14" s="116" cm="1">
        <f t="array" ref="BT14">_xll.EQNXTDZ($A$1,$B14,BT$1)</f>
        <v>402</v>
      </c>
      <c r="BU14" s="116" cm="1">
        <f t="array" ref="BU14">_xll.EQNXTDZ($A$1,$B14,BU$1)</f>
        <v>488.6</v>
      </c>
      <c r="BV14" s="116" cm="1">
        <f t="array" ref="BV14">_xll.EQNXTDZ($A$1,$B14,BV$1)</f>
        <v>484.8</v>
      </c>
      <c r="BW14" s="116" cm="1">
        <f t="array" ref="BW14">_xll.EQNXTDZ($A$1,$B14,BW$1)</f>
        <v>388.88</v>
      </c>
      <c r="BX14" s="116" cm="1">
        <f t="array" ref="BX14">_xll.EQNXTDZ($A$1,$B14,BX$1)</f>
        <v>355.59</v>
      </c>
      <c r="BY14" s="116" cm="1">
        <f t="array" ref="BY14">_xll.EQNXTDZ($A$1,$B14,BY$1)</f>
        <v>416.6</v>
      </c>
      <c r="BZ14" s="116" cm="1">
        <f t="array" ref="BZ14">_xll.EQNXTDZ($A$1,$B14,BZ$1)</f>
        <v>411.87</v>
      </c>
      <c r="CA14" s="116" cm="1">
        <f t="array" ref="CA14">_xll.EQNXTDZ($A$1,$B14,CA$1)</f>
        <v>386.65</v>
      </c>
      <c r="CB14" s="116" cm="1">
        <f t="array" ref="CB14">_xll.EQNXTDZ($A$1,$B14,CB$1)</f>
        <v>435.93</v>
      </c>
      <c r="CC14" s="116" cm="1">
        <f t="array" ref="CC14">_xll.EQNXTDZ($A$1,$B14,CC$1)</f>
        <v>455</v>
      </c>
      <c r="CD14" s="116" cm="1">
        <f t="array" ref="CD14">_xll.EQNXTDZ($A$1,$B14,CD$1)</f>
        <v>427.17</v>
      </c>
      <c r="CE14" s="116" cm="1">
        <f t="array" ref="CE14">_xll.EQNXTDZ($A$1,$B14,CE$1)</f>
        <v>463.15</v>
      </c>
      <c r="CF14" s="116" cm="1">
        <f t="array" ref="CF14">_xll.EQNXTDZ($A$1,$B14,CF$1)</f>
        <v>495.28</v>
      </c>
      <c r="CG14" s="116" cm="1">
        <f t="array" ref="CG14">_xll.EQNXTDZ($A$1,$B14,CG$1)</f>
        <v>515.98</v>
      </c>
      <c r="CH14" s="116" cm="1">
        <f t="array" ref="CH14">_xll.EQNXTDZ($A$1,$B14,CH$1)</f>
        <v>596.29</v>
      </c>
      <c r="CI14" s="116" cm="1">
        <f t="array" ref="CI14">_xll.EQNXTDZ($A$1,$B14,CI$1)</f>
        <v>615.1</v>
      </c>
      <c r="CJ14" s="116" cm="1">
        <f t="array" ref="CJ14">_xll.EQNXTDZ($A$1,$B14,CJ$1)</f>
        <v>617.20000000000005</v>
      </c>
      <c r="CK14" s="116" cm="1">
        <f t="array" ref="CK14">_xll.EQNXTDZ($A$1,$B14,CK$1)</f>
        <v>618</v>
      </c>
      <c r="CL14" s="116" cm="1">
        <f t="array" ref="CL14">_xll.EQNXTDZ($A$1,$B14,CL$1)</f>
        <v>600</v>
      </c>
      <c r="CM14" s="116" cm="1">
        <f t="array" ref="CM14">_xll.EQNXTDZ($A$1,$B14,CM$1)</f>
        <v>589.51</v>
      </c>
      <c r="CN14" s="116" cm="1">
        <f t="array" ref="CN14">_xll.EQNXTDZ($A$1,$B14,CN$1)</f>
        <v>654.79</v>
      </c>
      <c r="CO14" s="116" cm="1">
        <f t="array" ref="CO14">_xll.EQNXTDZ($A$1,$B14,CO$1)</f>
        <v>690.96</v>
      </c>
      <c r="CP14" s="116" cm="1">
        <f t="array" ref="CP14">_xll.EQNXTDZ($A$1,$B14,CP$1)</f>
        <v>772</v>
      </c>
      <c r="CQ14" s="116" cm="1">
        <f t="array" ref="CQ14">_xll.EQNXTDZ($A$1,$B14,CQ$1)</f>
        <v>851.78</v>
      </c>
      <c r="CR14" s="116" cm="1">
        <f t="array" ref="CR14">_xll.EQNXTDZ($A$1,$B14,CR$1)</f>
        <v>803.87</v>
      </c>
      <c r="CS14" s="116" cm="1">
        <f t="array" ref="CS14">_xll.EQNXTDZ($A$1,$B14,CS$1)</f>
        <v>754</v>
      </c>
      <c r="CT14" s="116" cm="1">
        <f t="array" ref="CT14">_xll.EQNXTDZ($A$1,$B14,CT$1)</f>
        <v>745.66</v>
      </c>
      <c r="CU14" s="116" cm="1">
        <f t="array" ref="CU14">_xll.EQNXTDZ($A$1,$B14,CU$1)</f>
        <v>769.94</v>
      </c>
      <c r="CV14" s="116" cm="1">
        <f t="array" ref="CV14">_xll.EQNXTDZ($A$1,$B14,CV$1)</f>
        <v>808.45</v>
      </c>
      <c r="CW14" s="116" cm="1">
        <f t="array" ref="CW14">_xll.EQNXTDZ($A$1,$B14,CW$1)</f>
        <v>887.4</v>
      </c>
      <c r="CX14" s="116" cm="1">
        <f t="array" ref="CX14">_xll.EQNXTDZ($A$1,$B14,CX$1)</f>
        <v>895</v>
      </c>
      <c r="CY14" s="116" cm="1">
        <f t="array" ref="CY14">_xll.EQNXTDZ($A$1,$B14,CY$1)</f>
        <v>911.05</v>
      </c>
      <c r="CZ14" s="116" cm="1">
        <f t="array" ref="CZ14">_xll.EQNXTDZ($A$1,$B14,CZ$1)</f>
        <v>1073</v>
      </c>
      <c r="DA14" s="116" cm="1">
        <f t="array" ref="DA14">_xll.EQNXTDZ($A$1,$B14,DA$1)</f>
        <v>1128</v>
      </c>
      <c r="DB14" s="116" cm="1">
        <f t="array" ref="DB14">_xll.EQNXTDZ($A$1,$B14,DB$1)</f>
        <v>1215</v>
      </c>
      <c r="DC14" s="116" cm="1">
        <f t="array" ref="DC14">_xll.EQNXTDZ($A$1,$B14,DC$1)</f>
        <v>1168.07</v>
      </c>
      <c r="DD14" s="116" cm="1">
        <f t="array" ref="DD14">_xll.EQNXTDZ($A$1,$B14,DD$1)</f>
        <v>1163.08</v>
      </c>
      <c r="DE14" s="116" cm="1">
        <f t="array" ref="DE14">_xll.EQNXTDZ($A$1,$B14,DE$1)</f>
        <v>1317.77</v>
      </c>
      <c r="DF14" s="116" cm="1">
        <f t="array" ref="DF14">_xll.EQNXTDZ($A$1,$B14,DF$1)</f>
        <v>1397.21</v>
      </c>
      <c r="DG14" s="116" cm="1">
        <f t="array" ref="DG14">_xll.EQNXTDZ($A$1,$B14,DG$1)</f>
        <v>1461.45</v>
      </c>
      <c r="DH14" s="116" cm="1">
        <f t="array" ref="DH14">_xll.EQNXTDZ($A$1,$B14,DH$1)</f>
        <v>1744.04</v>
      </c>
      <c r="DI14" s="116" cm="1">
        <f t="array" ref="DI14">_xll.EQNXTDZ($A$1,$B14,DI$1)</f>
        <v>2070.85</v>
      </c>
      <c r="DJ14" s="116" cm="1">
        <f t="array" ref="DJ14">_xll.EQNXTDZ($A$1,$B14,DJ$1)</f>
        <v>2281.8000000000002</v>
      </c>
      <c r="DK14" s="116" cm="1">
        <f t="array" ref="DK14">_xll.EQNXTDZ($A$1,$B14,DK$1)</f>
        <v>2544</v>
      </c>
      <c r="DL14" s="116" cm="1">
        <f t="array" ref="DL14">_xll.EQNXTDZ($A$1,$B14,DL$1)</f>
        <v>2250</v>
      </c>
      <c r="DM14" s="116" cm="1">
        <f t="array" ref="DM14">_xll.EQNXTDZ($A$1,$B14,DM$1)</f>
        <v>2427.25</v>
      </c>
      <c r="DN14" s="116" cm="1">
        <f t="array" ref="DN14">_xll.EQNXTDZ($A$1,$B14,DN$1)</f>
        <v>2679</v>
      </c>
      <c r="DO14" s="116" cm="1">
        <f t="array" ref="DO14">_xll.EQNXTDZ($A$1,$B14,DO$1)</f>
        <v>2610.5500000000002</v>
      </c>
      <c r="DP14" s="116" cm="1">
        <f t="array" ref="DP14">_xll.EQNXTDZ($A$1,$B14,DP$1)</f>
        <v>2734</v>
      </c>
      <c r="DQ14" s="116" cm="1">
        <f t="array" ref="DQ14">_xll.EQNXTDZ($A$1,$B14,DQ$1)</f>
        <v>2773</v>
      </c>
      <c r="DR14" s="116" cm="1">
        <f t="array" ref="DR14">_xll.EQNXTDZ($A$1,$B14,DR$1)</f>
        <v>2523.9499999999998</v>
      </c>
      <c r="DS14" s="116" cm="1">
        <f t="array" ref="DS14">_xll.EQNXTDZ($A$1,$B14,DS$1)</f>
        <v>2492.65</v>
      </c>
      <c r="DT14" s="116" cm="1">
        <f t="array" ref="DT14">_xll.EQNXTDZ($A$1,$B14,DT$1)</f>
        <v>2448.9499999999998</v>
      </c>
      <c r="DU14" s="116" cm="1">
        <f t="array" ref="DU14">_xll.EQNXTDZ($A$1,$B14,DU$1)</f>
        <v>2556.3000000000002</v>
      </c>
      <c r="DV14" s="116" cm="1">
        <f t="array" ref="DV14">_xll.EQNXTDZ($A$1,$B14,DV$1)</f>
        <v>2864.35</v>
      </c>
      <c r="DW14" s="116" cm="1">
        <f t="array" ref="DW14">_xll.EQNXTDZ($A$1,$B14,DW$1)</f>
        <v>2612.6</v>
      </c>
      <c r="DX14" s="116" cm="1">
        <f t="array" ref="DX14">_xll.EQNXTDZ($A$1,$B14,DX$1)</f>
        <v>2639.8</v>
      </c>
      <c r="DY14" s="116" cm="1">
        <f t="array" ref="DY14">_xll.EQNXTDZ($A$1,$B14,DY$1)</f>
        <v>2460</v>
      </c>
      <c r="DZ14" s="116" cm="1">
        <f t="array" ref="DZ14">_xll.EQNXTDZ($A$1,$B14,DZ$1)</f>
        <v>2312</v>
      </c>
      <c r="EA14" s="116" cm="1">
        <f t="array" ref="EA14">_xll.EQNXTDZ($A$1,$B14,EA$1)</f>
        <v>2353.6</v>
      </c>
      <c r="EB14" s="116" cm="1">
        <f t="array" ref="EB14">_xll.EQNXTDZ($A$1,$B14,EB$1)</f>
        <v>2433.35</v>
      </c>
      <c r="EC14" s="116" cm="1">
        <f t="array" ref="EC14">_xll.EQNXTDZ($A$1,$B14,EC$1)</f>
        <v>2545</v>
      </c>
      <c r="ED14" s="116" cm="1">
        <f t="array" ref="ED14">_xll.EQNXTDZ($A$1,$B14,ED$1)</f>
        <v>2636.65</v>
      </c>
      <c r="EE14" s="116" cm="1">
        <f t="array" ref="EE14">_xll.EQNXTDZ($A$1,$B14,EE$1)</f>
        <v>2573.25</v>
      </c>
      <c r="EF14" s="116" cm="1">
        <f t="array" ref="EF14">_xll.EQNXTDZ($A$1,$B14,EF$1)</f>
        <v>2304.6999999999998</v>
      </c>
      <c r="EG14" s="116" cm="1">
        <f t="array" ref="EG14">_xll.EQNXTDZ($A$1,$B14,EG$1)</f>
        <v>2397.9499999999998</v>
      </c>
      <c r="EH14" s="116" cm="1">
        <f t="array" ref="EH14">_xll.EQNXTDZ($A$1,$B14,EH$1)</f>
        <v>2475.4499999999998</v>
      </c>
      <c r="EI14" s="116" cm="1">
        <f t="array" ref="EI14">_xll.EQNXTDZ($A$1,$B14,EI$1)</f>
        <v>2300</v>
      </c>
      <c r="EJ14" s="116" cm="1">
        <f t="array" ref="EJ14">_xll.EQNXTDZ($A$1,$B14,EJ$1)</f>
        <v>2382.9499999999998</v>
      </c>
      <c r="EK14" s="116" cm="1">
        <f t="array" ref="EK14">_xll.EQNXTDZ($A$1,$B14,EK$1)</f>
        <v>2529.6</v>
      </c>
      <c r="EL14" s="116" cm="1">
        <f t="array" ref="EL14">_xll.EQNXTDZ($A$1,$B14,EL$1)</f>
        <v>2524.9</v>
      </c>
      <c r="EM14" s="116" cm="1">
        <f t="array" ref="EM14">_xll.EQNXTDZ($A$1,$B14,EM$1)</f>
        <v>2428.9</v>
      </c>
      <c r="EN14" s="116" cm="1">
        <f t="array" ref="EN14">_xll.EQNXTDZ($A$1,$B14,EN$1)</f>
        <v>2600</v>
      </c>
      <c r="EO14" s="116" cm="1">
        <f t="array" ref="EO14">_xll.EQNXTDZ($A$1,$B14,EO$1)</f>
        <v>2687.35</v>
      </c>
      <c r="EP14" s="116" cm="1">
        <f t="array" ref="EP14">_xll.EQNXTDZ($A$1,$B14,EP$1)</f>
        <v>2697.45</v>
      </c>
      <c r="EQ14" s="116" cm="1">
        <f t="array" ref="EQ14">_xll.EQNXTDZ($A$1,$B14,EQ$1)</f>
        <v>2517.35</v>
      </c>
      <c r="ER14" s="116" cm="1">
        <f t="array" ref="ER14">_xll.EQNXTDZ($A$1,$B14,ER$1)</f>
        <v>2658</v>
      </c>
      <c r="ES14" s="116" cm="1">
        <f t="array" ref="ES14">_xll.EQNXTDZ($A$1,$B14,ES$1)</f>
        <v>2656.9</v>
      </c>
      <c r="ET14" s="116" cm="1">
        <f t="array" ref="ET14">_xll.EQNXTDZ($A$1,$B14,ET$1)</f>
        <v>2647.75</v>
      </c>
      <c r="EU14" s="116" cm="1">
        <f t="array" ref="EU14">_xll.EQNXTDZ($A$1,$B14,EU$1)</f>
        <v>2498.9</v>
      </c>
      <c r="EV14" s="116" cm="1">
        <f t="array" ref="EV14">_xll.EQNXTDZ($A$1,$B14,EV$1)</f>
        <v>2400</v>
      </c>
      <c r="EW14" s="116" cm="1">
        <f t="array" ref="EW14">_xll.EQNXTDZ($A$1,$B14,EW$1)</f>
        <v>2369.85</v>
      </c>
      <c r="EX14" s="116" cm="1">
        <f t="array" ref="EX14">_xll.EQNXTDZ($A$1,$B14,EX$1)</f>
        <v>2893.2</v>
      </c>
      <c r="EY14" s="116" cm="1">
        <f t="array" ref="EY14">_xll.EQNXTDZ($A$1,$B14,EY$1)</f>
        <v>2994.85</v>
      </c>
      <c r="EZ14" s="116" cm="1">
        <f t="array" ref="EZ14">_xll.EQNXTDZ($A$1,$B14,EZ$1)</f>
        <v>3074.95</v>
      </c>
      <c r="FA14" s="116" cm="1">
        <f t="array" ref="FA14">_xll.EQNXTDZ($A$1,$B14,FA$1)</f>
        <v>3084.85</v>
      </c>
      <c r="FB14" s="116" cm="1">
        <f t="array" ref="FB14">_xll.EQNXTDZ($A$1,$B14,FB$1)</f>
        <v>3095.75</v>
      </c>
      <c r="FC14" s="116" cm="1">
        <f t="array" ref="FC14">_xll.EQNXTDZ($A$1,$B14,FC$1)</f>
        <v>3251.3</v>
      </c>
      <c r="FD14" s="116" cm="1">
        <f t="array" ref="FD14">_xll.EQNXTDZ($A$1,$B14,FD$1)</f>
        <v>3319</v>
      </c>
      <c r="FE14" s="116" cm="1">
        <f t="array" ref="FE14">_xll.EQNXTDZ($A$1,$B14,FE$1)</f>
        <v>3095</v>
      </c>
      <c r="FF14" s="116" cm="1">
        <f t="array" ref="FF14">_xll.EQNXTDZ($A$1,$B14,FF$1)</f>
        <v>3009.85</v>
      </c>
      <c r="FG14" s="116" cm="1">
        <f t="array" ref="FG14">_xll.EQNXTDZ($A$1,$B14,FG$1)</f>
        <v>3238.75</v>
      </c>
      <c r="FH14" s="116" cm="1">
        <f t="array" ref="FH14">_xll.EQNXTDZ($A$1,$B14,FH$1)</f>
        <v>2983.3</v>
      </c>
      <c r="FI14" s="116" cm="1">
        <f t="array" ref="FI14">_xll.EQNXTDZ($A$1,$B14,FI$1)</f>
        <v>3142</v>
      </c>
      <c r="FJ14" s="116" cm="1">
        <f t="array" ref="FJ14">_xll.EQNXTDZ($A$1,$B14,FJ$1)</f>
        <v>3118.65</v>
      </c>
      <c r="FK14" s="116" cm="1">
        <f t="array" ref="FK14">_xll.EQNXTDZ($A$1,$B14,FK$1)</f>
        <v>3070.2</v>
      </c>
      <c r="FL14" s="116" cm="1">
        <f t="array" ref="FL14">_xll.EQNXTDZ($A$1,$B14,FL$1)</f>
        <v>2648.9</v>
      </c>
      <c r="FM14" s="116" cm="1">
        <f t="array" ref="FM14">_xll.EQNXTDZ($A$1,$B14,FM$1)</f>
        <v>2602.8000000000002</v>
      </c>
      <c r="FN14" s="116" cm="1">
        <f t="array" ref="FN14">_xll.EQNXTDZ($A$1,$B14,FN$1)</f>
        <v>2830.5</v>
      </c>
      <c r="FO14" s="116" cm="1">
        <f t="array" ref="FO14">_xll.EQNXTDZ($A$1,$B14,FO$1)</f>
        <v>2783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49.6</v>
      </c>
      <c r="HQ14" s="116">
        <f>+MAX(G14:I14)</f>
        <v>48.03</v>
      </c>
      <c r="HR14" s="116">
        <f>+MAX(J14:L14)</f>
        <v>42</v>
      </c>
      <c r="HS14" s="116">
        <f>+MAX(M14:O14)</f>
        <v>37.5</v>
      </c>
      <c r="HT14" s="116">
        <f>+MAX(P14:R14)</f>
        <v>34.200000000000003</v>
      </c>
      <c r="HU14" s="116">
        <f>+MAX(S14:U14)</f>
        <v>47.69</v>
      </c>
      <c r="HV14" s="116">
        <f>+MAX(V14:X14)</f>
        <v>74.2</v>
      </c>
      <c r="HW14" s="116">
        <f>+MAX(Y14:AA14)</f>
        <v>120.8</v>
      </c>
      <c r="HX14" s="116">
        <f>+MAX(AB14:AD14)</f>
        <v>155</v>
      </c>
      <c r="HY14" s="116">
        <f>+MAX(AE14:AG14)</f>
        <v>191.4</v>
      </c>
      <c r="HZ14" s="116">
        <f>+MAX(AH14:AJ14)</f>
        <v>204.86</v>
      </c>
      <c r="IA14" s="116">
        <f>+MAX(AK14:AM14)</f>
        <v>250.02</v>
      </c>
      <c r="IB14" s="116">
        <f>+MAX(AN14:AP14)</f>
        <v>299.11</v>
      </c>
      <c r="IC14" s="116">
        <f>+MAX(AQ14:AS14)</f>
        <v>278.60000000000002</v>
      </c>
      <c r="ID14" s="116">
        <f>+MAX(AT14:AV14)</f>
        <v>272.02</v>
      </c>
      <c r="IE14" s="116">
        <f>+MAX(AW14:AY14)</f>
        <v>293.45</v>
      </c>
      <c r="IF14" s="116">
        <f>+MAX(AZ14:BB14)</f>
        <v>364.81</v>
      </c>
      <c r="IG14" s="116">
        <f>+MAX(BC14:BE14)</f>
        <v>393.9</v>
      </c>
      <c r="IH14" s="116">
        <f>+MAX(BF14:BH14)</f>
        <v>356.78</v>
      </c>
      <c r="II14" s="116">
        <f>+MAX(BI14:BK14)</f>
        <v>372</v>
      </c>
      <c r="IJ14" s="116">
        <f>+MAX(BL14:BN14)</f>
        <v>329</v>
      </c>
      <c r="IK14" s="116">
        <f>+MAX(BO14:BQ14)</f>
        <v>399.4</v>
      </c>
      <c r="IL14" s="116">
        <f>+MAX(BR14:BT14)</f>
        <v>409</v>
      </c>
      <c r="IM14" s="116">
        <f>+MAX(BU14:BW14)</f>
        <v>488.6</v>
      </c>
      <c r="IN14" s="116">
        <f>+MAX(BX14:BZ14)</f>
        <v>416.6</v>
      </c>
      <c r="IO14" s="116">
        <f>+MAX(CA14:CC14)</f>
        <v>455</v>
      </c>
      <c r="IP14" s="116">
        <f>+MAX(CD14:CF14)</f>
        <v>495.28</v>
      </c>
      <c r="IQ14" s="116">
        <f>+MAX(CG14:CI14)</f>
        <v>615.1</v>
      </c>
      <c r="IR14" s="116">
        <f>+MAX(CJ14:CL14)</f>
        <v>618</v>
      </c>
      <c r="IS14" s="116">
        <f>+MAX(CM14:CO14)</f>
        <v>690.96</v>
      </c>
      <c r="IT14" s="116">
        <f>+MAX(CP14:CR14)</f>
        <v>851.78</v>
      </c>
      <c r="IU14" s="116">
        <f>+MAX(CS14:CU14)</f>
        <v>769.94</v>
      </c>
      <c r="IV14" s="116">
        <f>+MAX(CV14:CX14)</f>
        <v>895</v>
      </c>
      <c r="IW14" s="116">
        <f>+MAX(CY14:DA14)</f>
        <v>1128</v>
      </c>
      <c r="IX14" s="116">
        <f>+MAX(DB14:DD14)</f>
        <v>1215</v>
      </c>
      <c r="IY14" s="116">
        <f>+MAX(DE14:DG14)</f>
        <v>1461.45</v>
      </c>
      <c r="IZ14" s="116">
        <f>+MAX(DH14:DJ14)</f>
        <v>2281.8000000000002</v>
      </c>
      <c r="JA14" s="116">
        <f>+MAX(DK14:DM14)</f>
        <v>2544</v>
      </c>
      <c r="JB14" s="116">
        <f>+MAX(DN14:DP14)</f>
        <v>2734</v>
      </c>
      <c r="JC14" s="116">
        <f>+MAX(DQ14:DS14)</f>
        <v>2773</v>
      </c>
      <c r="JD14" s="116">
        <f>+MAX(DT14:DV14)</f>
        <v>2864.35</v>
      </c>
      <c r="JE14" s="116">
        <f>+MAX(DW14:DY14)</f>
        <v>2639.8</v>
      </c>
      <c r="JF14" s="116">
        <f>+MAX(DZ14:EB14)</f>
        <v>2433.35</v>
      </c>
      <c r="JG14" s="116">
        <f>+MAX(EC14:EE14)</f>
        <v>2636.65</v>
      </c>
      <c r="JH14" s="116">
        <f>+MAX(EF14:EH14)</f>
        <v>2475.4499999999998</v>
      </c>
      <c r="JI14" s="116">
        <f>+MAX(EI14:EK14)</f>
        <v>2529.6</v>
      </c>
      <c r="JJ14" s="116">
        <f>+MAX(EL14:EN14)</f>
        <v>2600</v>
      </c>
      <c r="JK14" s="116">
        <f>MAX(EO14:EQ14)</f>
        <v>2697.45</v>
      </c>
      <c r="JL14" s="116">
        <f>MAX(ER14:ET14)</f>
        <v>2658</v>
      </c>
      <c r="JM14" s="116">
        <f>MAX(EU14:EW14)</f>
        <v>2498.9</v>
      </c>
      <c r="JN14" s="116">
        <f>MAX(EX14:EZ14)</f>
        <v>3074.95</v>
      </c>
      <c r="JO14" s="116">
        <f>MAX(FA14:FC14)</f>
        <v>3251.3</v>
      </c>
      <c r="JP14" s="116">
        <f>MAX(FD14:FF14)</f>
        <v>3319</v>
      </c>
      <c r="JQ14" s="116">
        <f>MAX(FG14:FI14)</f>
        <v>3238.75</v>
      </c>
      <c r="JR14" s="116">
        <f>MAX(FJ14:FL14)</f>
        <v>3118.65</v>
      </c>
      <c r="JS14" s="116">
        <f>MAX(FM14:FO14)</f>
        <v>2830.5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38.43</v>
      </c>
      <c r="D15" s="116" cm="1">
        <f t="array" ref="D15">_xll.EQNXTDZ($A$1,$B15,D$1)</f>
        <v>39.200000000000003</v>
      </c>
      <c r="E15" s="116" cm="1">
        <f t="array" ref="E15">_xll.EQNXTDZ($A$1,$B15,E$1)</f>
        <v>40.159999999999997</v>
      </c>
      <c r="F15" s="116" cm="1">
        <f t="array" ref="F15">_xll.EQNXTDZ($A$1,$B15,F$1)</f>
        <v>42.2</v>
      </c>
      <c r="G15" s="116" cm="1">
        <f t="array" ref="G15">_xll.EQNXTDZ($A$1,$B15,G$1)</f>
        <v>43.6</v>
      </c>
      <c r="H15" s="116" cm="1">
        <f t="array" ref="H15">_xll.EQNXTDZ($A$1,$B15,H$1)</f>
        <v>40.81</v>
      </c>
      <c r="I15" s="116" cm="1">
        <f t="array" ref="I15">_xll.EQNXTDZ($A$1,$B15,I$1)</f>
        <v>39.6</v>
      </c>
      <c r="J15" s="116" cm="1">
        <f t="array" ref="J15">_xll.EQNXTDZ($A$1,$B15,J$1)</f>
        <v>37.92</v>
      </c>
      <c r="K15" s="116" cm="1">
        <f t="array" ref="K15">_xll.EQNXTDZ($A$1,$B15,K$1)</f>
        <v>36.4</v>
      </c>
      <c r="L15" s="116" cm="1">
        <f t="array" ref="L15">_xll.EQNXTDZ($A$1,$B15,L$1)</f>
        <v>32.72</v>
      </c>
      <c r="M15" s="116" cm="1">
        <f t="array" ref="M15">_xll.EQNXTDZ($A$1,$B15,M$1)</f>
        <v>33.130000000000003</v>
      </c>
      <c r="N15" s="116" cm="1">
        <f t="array" ref="N15">_xll.EQNXTDZ($A$1,$B15,N$1)</f>
        <v>31.2</v>
      </c>
      <c r="O15" s="116" cm="1">
        <f t="array" ref="O15">_xll.EQNXTDZ($A$1,$B15,O$1)</f>
        <v>28</v>
      </c>
      <c r="P15" s="116" cm="1">
        <f t="array" ref="P15">_xll.EQNXTDZ($A$1,$B15,P$1)</f>
        <v>26.24</v>
      </c>
      <c r="Q15" s="116" cm="1">
        <f t="array" ref="Q15">_xll.EQNXTDZ($A$1,$B15,Q$1)</f>
        <v>25.11</v>
      </c>
      <c r="R15" s="116" cm="1">
        <f t="array" ref="R15">_xll.EQNXTDZ($A$1,$B15,R$1)</f>
        <v>27.25</v>
      </c>
      <c r="S15" s="116" cm="1">
        <f t="array" ref="S15">_xll.EQNXTDZ($A$1,$B15,S$1)</f>
        <v>31.8</v>
      </c>
      <c r="T15" s="116" cm="1">
        <f t="array" ref="T15">_xll.EQNXTDZ($A$1,$B15,T$1)</f>
        <v>32.799999999999997</v>
      </c>
      <c r="U15" s="116" cm="1">
        <f t="array" ref="U15">_xll.EQNXTDZ($A$1,$B15,U$1)</f>
        <v>41.32</v>
      </c>
      <c r="V15" s="116" cm="1">
        <f t="array" ref="V15">_xll.EQNXTDZ($A$1,$B15,V$1)</f>
        <v>39.4</v>
      </c>
      <c r="W15" s="116" cm="1">
        <f t="array" ref="W15">_xll.EQNXTDZ($A$1,$B15,W$1)</f>
        <v>39.93</v>
      </c>
      <c r="X15" s="116" cm="1">
        <f t="array" ref="X15">_xll.EQNXTDZ($A$1,$B15,X$1)</f>
        <v>42.23</v>
      </c>
      <c r="Y15" s="116" cm="1">
        <f t="array" ref="Y15">_xll.EQNXTDZ($A$1,$B15,Y$1)</f>
        <v>65.22</v>
      </c>
      <c r="Z15" s="116" cm="1">
        <f t="array" ref="Z15">_xll.EQNXTDZ($A$1,$B15,Z$1)</f>
        <v>73.599999999999994</v>
      </c>
      <c r="AA15" s="116" cm="1">
        <f t="array" ref="AA15">_xll.EQNXTDZ($A$1,$B15,AA$1)</f>
        <v>88.6</v>
      </c>
      <c r="AB15" s="116" cm="1">
        <f t="array" ref="AB15">_xll.EQNXTDZ($A$1,$B15,AB$1)</f>
        <v>99.6</v>
      </c>
      <c r="AC15" s="116" cm="1">
        <f t="array" ref="AC15">_xll.EQNXTDZ($A$1,$B15,AC$1)</f>
        <v>107.2</v>
      </c>
      <c r="AD15" s="116" cm="1">
        <f t="array" ref="AD15">_xll.EQNXTDZ($A$1,$B15,AD$1)</f>
        <v>135.4</v>
      </c>
      <c r="AE15" s="116" cm="1">
        <f t="array" ref="AE15">_xll.EQNXTDZ($A$1,$B15,AE$1)</f>
        <v>130.36000000000001</v>
      </c>
      <c r="AF15" s="116" cm="1">
        <f t="array" ref="AF15">_xll.EQNXTDZ($A$1,$B15,AF$1)</f>
        <v>160.4</v>
      </c>
      <c r="AG15" s="116" cm="1">
        <f t="array" ref="AG15">_xll.EQNXTDZ($A$1,$B15,AG$1)</f>
        <v>166.15</v>
      </c>
      <c r="AH15" s="116" cm="1">
        <f t="array" ref="AH15">_xll.EQNXTDZ($A$1,$B15,AH$1)</f>
        <v>168.6</v>
      </c>
      <c r="AI15" s="116" cm="1">
        <f t="array" ref="AI15">_xll.EQNXTDZ($A$1,$B15,AI$1)</f>
        <v>181.46</v>
      </c>
      <c r="AJ15" s="116" cm="1">
        <f t="array" ref="AJ15">_xll.EQNXTDZ($A$1,$B15,AJ$1)</f>
        <v>175.17</v>
      </c>
      <c r="AK15" s="116" cm="1">
        <f t="array" ref="AK15">_xll.EQNXTDZ($A$1,$B15,AK$1)</f>
        <v>186.33</v>
      </c>
      <c r="AL15" s="116" cm="1">
        <f t="array" ref="AL15">_xll.EQNXTDZ($A$1,$B15,AL$1)</f>
        <v>179.81</v>
      </c>
      <c r="AM15" s="116" cm="1">
        <f t="array" ref="AM15">_xll.EQNXTDZ($A$1,$B15,AM$1)</f>
        <v>200.48</v>
      </c>
      <c r="AN15" s="116" cm="1">
        <f t="array" ref="AN15">_xll.EQNXTDZ($A$1,$B15,AN$1)</f>
        <v>245.76</v>
      </c>
      <c r="AO15" s="116" cm="1">
        <f t="array" ref="AO15">_xll.EQNXTDZ($A$1,$B15,AO$1)</f>
        <v>203.8</v>
      </c>
      <c r="AP15" s="116" cm="1">
        <f t="array" ref="AP15">_xll.EQNXTDZ($A$1,$B15,AP$1)</f>
        <v>209.6</v>
      </c>
      <c r="AQ15" s="116" cm="1">
        <f t="array" ref="AQ15">_xll.EQNXTDZ($A$1,$B15,AQ$1)</f>
        <v>223.6</v>
      </c>
      <c r="AR15" s="116" cm="1">
        <f t="array" ref="AR15">_xll.EQNXTDZ($A$1,$B15,AR$1)</f>
        <v>232.03</v>
      </c>
      <c r="AS15" s="116" cm="1">
        <f t="array" ref="AS15">_xll.EQNXTDZ($A$1,$B15,AS$1)</f>
        <v>229.4</v>
      </c>
      <c r="AT15" s="116" cm="1">
        <f t="array" ref="AT15">_xll.EQNXTDZ($A$1,$B15,AT$1)</f>
        <v>217.08</v>
      </c>
      <c r="AU15" s="116" cm="1">
        <f t="array" ref="AU15">_xll.EQNXTDZ($A$1,$B15,AU$1)</f>
        <v>204.4</v>
      </c>
      <c r="AV15" s="116" cm="1">
        <f t="array" ref="AV15">_xll.EQNXTDZ($A$1,$B15,AV$1)</f>
        <v>209.6</v>
      </c>
      <c r="AW15" s="116" cm="1">
        <f t="array" ref="AW15">_xll.EQNXTDZ($A$1,$B15,AW$1)</f>
        <v>245.46</v>
      </c>
      <c r="AX15" s="116" cm="1">
        <f t="array" ref="AX15">_xll.EQNXTDZ($A$1,$B15,AX$1)</f>
        <v>233.1</v>
      </c>
      <c r="AY15" s="116" cm="1">
        <f t="array" ref="AY15">_xll.EQNXTDZ($A$1,$B15,AY$1)</f>
        <v>239.96</v>
      </c>
      <c r="AZ15" s="116" cm="1">
        <f t="array" ref="AZ15">_xll.EQNXTDZ($A$1,$B15,AZ$1)</f>
        <v>259.22000000000003</v>
      </c>
      <c r="BA15" s="116" cm="1">
        <f t="array" ref="BA15">_xll.EQNXTDZ($A$1,$B15,BA$1)</f>
        <v>290.25</v>
      </c>
      <c r="BB15" s="116" cm="1">
        <f t="array" ref="BB15">_xll.EQNXTDZ($A$1,$B15,BB$1)</f>
        <v>318.58</v>
      </c>
      <c r="BC15" s="116" cm="1">
        <f t="array" ref="BC15">_xll.EQNXTDZ($A$1,$B15,BC$1)</f>
        <v>356</v>
      </c>
      <c r="BD15" s="116" cm="1">
        <f t="array" ref="BD15">_xll.EQNXTDZ($A$1,$B15,BD$1)</f>
        <v>270.43</v>
      </c>
      <c r="BE15" s="116" cm="1">
        <f t="array" ref="BE15">_xll.EQNXTDZ($A$1,$B15,BE$1)</f>
        <v>289</v>
      </c>
      <c r="BF15" s="116" cm="1">
        <f t="array" ref="BF15">_xll.EQNXTDZ($A$1,$B15,BF$1)</f>
        <v>306.94</v>
      </c>
      <c r="BG15" s="116" cm="1">
        <f t="array" ref="BG15">_xll.EQNXTDZ($A$1,$B15,BG$1)</f>
        <v>301.8</v>
      </c>
      <c r="BH15" s="116" cm="1">
        <f t="array" ref="BH15">_xll.EQNXTDZ($A$1,$B15,BH$1)</f>
        <v>308.2</v>
      </c>
      <c r="BI15" s="116" cm="1">
        <f t="array" ref="BI15">_xll.EQNXTDZ($A$1,$B15,BI$1)</f>
        <v>325</v>
      </c>
      <c r="BJ15" s="116" cm="1">
        <f t="array" ref="BJ15">_xll.EQNXTDZ($A$1,$B15,BJ$1)</f>
        <v>315.19</v>
      </c>
      <c r="BK15" s="116" cm="1">
        <f t="array" ref="BK15">_xll.EQNXTDZ($A$1,$B15,BK$1)</f>
        <v>301.05</v>
      </c>
      <c r="BL15" s="116" cm="1">
        <f t="array" ref="BL15">_xll.EQNXTDZ($A$1,$B15,BL$1)</f>
        <v>299.39999999999998</v>
      </c>
      <c r="BM15" s="116" cm="1">
        <f t="array" ref="BM15">_xll.EQNXTDZ($A$1,$B15,BM$1)</f>
        <v>284</v>
      </c>
      <c r="BN15" s="116" cm="1">
        <f t="array" ref="BN15">_xll.EQNXTDZ($A$1,$B15,BN$1)</f>
        <v>298.44</v>
      </c>
      <c r="BO15" s="116" cm="1">
        <f t="array" ref="BO15">_xll.EQNXTDZ($A$1,$B15,BO$1)</f>
        <v>306.45</v>
      </c>
      <c r="BP15" s="116" cm="1">
        <f t="array" ref="BP15">_xll.EQNXTDZ($A$1,$B15,BP$1)</f>
        <v>311.20999999999998</v>
      </c>
      <c r="BQ15" s="116" cm="1">
        <f t="array" ref="BQ15">_xll.EQNXTDZ($A$1,$B15,BQ$1)</f>
        <v>352.61</v>
      </c>
      <c r="BR15" s="116" cm="1">
        <f t="array" ref="BR15">_xll.EQNXTDZ($A$1,$B15,BR$1)</f>
        <v>354.22</v>
      </c>
      <c r="BS15" s="116" cm="1">
        <f t="array" ref="BS15">_xll.EQNXTDZ($A$1,$B15,BS$1)</f>
        <v>325.39999999999998</v>
      </c>
      <c r="BT15" s="116" cm="1">
        <f t="array" ref="BT15">_xll.EQNXTDZ($A$1,$B15,BT$1)</f>
        <v>353.27</v>
      </c>
      <c r="BU15" s="116" cm="1">
        <f t="array" ref="BU15">_xll.EQNXTDZ($A$1,$B15,BU$1)</f>
        <v>393.57</v>
      </c>
      <c r="BV15" s="116" cm="1">
        <f t="array" ref="BV15">_xll.EQNXTDZ($A$1,$B15,BV$1)</f>
        <v>352.66</v>
      </c>
      <c r="BW15" s="116" cm="1">
        <f t="array" ref="BW15">_xll.EQNXTDZ($A$1,$B15,BW$1)</f>
        <v>322.91000000000003</v>
      </c>
      <c r="BX15" s="116" cm="1">
        <f t="array" ref="BX15">_xll.EQNXTDZ($A$1,$B15,BX$1)</f>
        <v>306.2</v>
      </c>
      <c r="BY15" s="116" cm="1">
        <f t="array" ref="BY15">_xll.EQNXTDZ($A$1,$B15,BY$1)</f>
        <v>337</v>
      </c>
      <c r="BZ15" s="116" cm="1">
        <f t="array" ref="BZ15">_xll.EQNXTDZ($A$1,$B15,BZ$1)</f>
        <v>332.97</v>
      </c>
      <c r="CA15" s="116" cm="1">
        <f t="array" ref="CA15">_xll.EQNXTDZ($A$1,$B15,CA$1)</f>
        <v>323.32</v>
      </c>
      <c r="CB15" s="116" cm="1">
        <f t="array" ref="CB15">_xll.EQNXTDZ($A$1,$B15,CB$1)</f>
        <v>385.01</v>
      </c>
      <c r="CC15" s="116" cm="1">
        <f t="array" ref="CC15">_xll.EQNXTDZ($A$1,$B15,CC$1)</f>
        <v>381.2</v>
      </c>
      <c r="CD15" s="116" cm="1">
        <f t="array" ref="CD15">_xll.EQNXTDZ($A$1,$B15,CD$1)</f>
        <v>389.64</v>
      </c>
      <c r="CE15" s="116" cm="1">
        <f t="array" ref="CE15">_xll.EQNXTDZ($A$1,$B15,CE$1)</f>
        <v>390.2</v>
      </c>
      <c r="CF15" s="116" cm="1">
        <f t="array" ref="CF15">_xll.EQNXTDZ($A$1,$B15,CF$1)</f>
        <v>456.44</v>
      </c>
      <c r="CG15" s="116" cm="1">
        <f t="array" ref="CG15">_xll.EQNXTDZ($A$1,$B15,CG$1)</f>
        <v>440.2</v>
      </c>
      <c r="CH15" s="116" cm="1">
        <f t="array" ref="CH15">_xll.EQNXTDZ($A$1,$B15,CH$1)</f>
        <v>466.78</v>
      </c>
      <c r="CI15" s="116" cm="1">
        <f t="array" ref="CI15">_xll.EQNXTDZ($A$1,$B15,CI$1)</f>
        <v>555.79999999999995</v>
      </c>
      <c r="CJ15" s="116" cm="1">
        <f t="array" ref="CJ15">_xll.EQNXTDZ($A$1,$B15,CJ$1)</f>
        <v>523</v>
      </c>
      <c r="CK15" s="116" cm="1">
        <f t="array" ref="CK15">_xll.EQNXTDZ($A$1,$B15,CK$1)</f>
        <v>510.37</v>
      </c>
      <c r="CL15" s="116" cm="1">
        <f t="array" ref="CL15">_xll.EQNXTDZ($A$1,$B15,CL$1)</f>
        <v>535.12</v>
      </c>
      <c r="CM15" s="116" cm="1">
        <f t="array" ref="CM15">_xll.EQNXTDZ($A$1,$B15,CM$1)</f>
        <v>518</v>
      </c>
      <c r="CN15" s="116" cm="1">
        <f t="array" ref="CN15">_xll.EQNXTDZ($A$1,$B15,CN$1)</f>
        <v>570.88</v>
      </c>
      <c r="CO15" s="116" cm="1">
        <f t="array" ref="CO15">_xll.EQNXTDZ($A$1,$B15,CO$1)</f>
        <v>635.32000000000005</v>
      </c>
      <c r="CP15" s="116" cm="1">
        <f t="array" ref="CP15">_xll.EQNXTDZ($A$1,$B15,CP$1)</f>
        <v>675.92</v>
      </c>
      <c r="CQ15" s="116" cm="1">
        <f t="array" ref="CQ15">_xll.EQNXTDZ($A$1,$B15,CQ$1)</f>
        <v>728.98</v>
      </c>
      <c r="CR15" s="116" cm="1">
        <f t="array" ref="CR15">_xll.EQNXTDZ($A$1,$B15,CR$1)</f>
        <v>498.44</v>
      </c>
      <c r="CS15" s="116" cm="1">
        <f t="array" ref="CS15">_xll.EQNXTDZ($A$1,$B15,CS$1)</f>
        <v>513.16</v>
      </c>
      <c r="CT15" s="116" cm="1">
        <f t="array" ref="CT15">_xll.EQNXTDZ($A$1,$B15,CT$1)</f>
        <v>662</v>
      </c>
      <c r="CU15" s="116" cm="1">
        <f t="array" ref="CU15">_xll.EQNXTDZ($A$1,$B15,CU$1)</f>
        <v>703.42</v>
      </c>
      <c r="CV15" s="116" cm="1">
        <f t="array" ref="CV15">_xll.EQNXTDZ($A$1,$B15,CV$1)</f>
        <v>717.2</v>
      </c>
      <c r="CW15" s="116" cm="1">
        <f t="array" ref="CW15">_xll.EQNXTDZ($A$1,$B15,CW$1)</f>
        <v>755</v>
      </c>
      <c r="CX15" s="116" cm="1">
        <f t="array" ref="CX15">_xll.EQNXTDZ($A$1,$B15,CX$1)</f>
        <v>799.24</v>
      </c>
      <c r="CY15" s="116" cm="1">
        <f t="array" ref="CY15">_xll.EQNXTDZ($A$1,$B15,CY$1)</f>
        <v>818.01</v>
      </c>
      <c r="CZ15" s="116" cm="1">
        <f t="array" ref="CZ15">_xll.EQNXTDZ($A$1,$B15,CZ$1)</f>
        <v>866.9</v>
      </c>
      <c r="DA15" s="116" cm="1">
        <f t="array" ref="DA15">_xll.EQNXTDZ($A$1,$B15,DA$1)</f>
        <v>1013.47</v>
      </c>
      <c r="DB15" s="116" cm="1">
        <f t="array" ref="DB15">_xll.EQNXTDZ($A$1,$B15,DB$1)</f>
        <v>1047.98</v>
      </c>
      <c r="DC15" s="116" cm="1">
        <f t="array" ref="DC15">_xll.EQNXTDZ($A$1,$B15,DC$1)</f>
        <v>1057.74</v>
      </c>
      <c r="DD15" s="116" cm="1">
        <f t="array" ref="DD15">_xll.EQNXTDZ($A$1,$B15,DD$1)</f>
        <v>1026.6300000000001</v>
      </c>
      <c r="DE15" s="116" cm="1">
        <f t="array" ref="DE15">_xll.EQNXTDZ($A$1,$B15,DE$1)</f>
        <v>1082</v>
      </c>
      <c r="DF15" s="116" cm="1">
        <f t="array" ref="DF15">_xll.EQNXTDZ($A$1,$B15,DF$1)</f>
        <v>1240</v>
      </c>
      <c r="DG15" s="116" cm="1">
        <f t="array" ref="DG15">_xll.EQNXTDZ($A$1,$B15,DG$1)</f>
        <v>1293.7</v>
      </c>
      <c r="DH15" s="116" cm="1">
        <f t="array" ref="DH15">_xll.EQNXTDZ($A$1,$B15,DH$1)</f>
        <v>1450</v>
      </c>
      <c r="DI15" s="116" cm="1">
        <f t="array" ref="DI15">_xll.EQNXTDZ($A$1,$B15,DI$1)</f>
        <v>1729.99</v>
      </c>
      <c r="DJ15" s="116" cm="1">
        <f t="array" ref="DJ15">_xll.EQNXTDZ($A$1,$B15,DJ$1)</f>
        <v>1965.2</v>
      </c>
      <c r="DK15" s="116" cm="1">
        <f t="array" ref="DK15">_xll.EQNXTDZ($A$1,$B15,DK$1)</f>
        <v>2060</v>
      </c>
      <c r="DL15" s="116" cm="1">
        <f t="array" ref="DL15">_xll.EQNXTDZ($A$1,$B15,DL$1)</f>
        <v>1975</v>
      </c>
      <c r="DM15" s="116" cm="1">
        <f t="array" ref="DM15">_xll.EQNXTDZ($A$1,$B15,DM$1)</f>
        <v>1994.05</v>
      </c>
      <c r="DN15" s="116" cm="1">
        <f t="array" ref="DN15">_xll.EQNXTDZ($A$1,$B15,DN$1)</f>
        <v>2271.4499999999998</v>
      </c>
      <c r="DO15" s="116" cm="1">
        <f t="array" ref="DO15">_xll.EQNXTDZ($A$1,$B15,DO$1)</f>
        <v>2258.8000000000002</v>
      </c>
      <c r="DP15" s="116" cm="1">
        <f t="array" ref="DP15">_xll.EQNXTDZ($A$1,$B15,DP$1)</f>
        <v>2106.35</v>
      </c>
      <c r="DQ15" s="116" cm="1">
        <f t="array" ref="DQ15">_xll.EQNXTDZ($A$1,$B15,DQ$1)</f>
        <v>2425</v>
      </c>
      <c r="DR15" s="116" cm="1">
        <f t="array" ref="DR15">_xll.EQNXTDZ($A$1,$B15,DR$1)</f>
        <v>2100.15</v>
      </c>
      <c r="DS15" s="116" cm="1">
        <f t="array" ref="DS15">_xll.EQNXTDZ($A$1,$B15,DS$1)</f>
        <v>2081</v>
      </c>
      <c r="DT15" s="116" cm="1">
        <f t="array" ref="DT15">_xll.EQNXTDZ($A$1,$B15,DT$1)</f>
        <v>2002.5</v>
      </c>
      <c r="DU15" s="116" cm="1">
        <f t="array" ref="DU15">_xll.EQNXTDZ($A$1,$B15,DU$1)</f>
        <v>2320.0500000000002</v>
      </c>
      <c r="DV15" s="116" cm="1">
        <f t="array" ref="DV15">_xll.EQNXTDZ($A$1,$B15,DV$1)</f>
        <v>2412.5500000000002</v>
      </c>
      <c r="DW15" s="116" cm="1">
        <f t="array" ref="DW15">_xll.EQNXTDZ($A$1,$B15,DW$1)</f>
        <v>2462.9</v>
      </c>
      <c r="DX15" s="116" cm="1">
        <f t="array" ref="DX15">_xll.EQNXTDZ($A$1,$B15,DX$1)</f>
        <v>2239.25</v>
      </c>
      <c r="DY15" s="116" cm="1">
        <f t="array" ref="DY15">_xll.EQNXTDZ($A$1,$B15,DY$1)</f>
        <v>2209</v>
      </c>
      <c r="DZ15" s="116" cm="1">
        <f t="array" ref="DZ15">_xll.EQNXTDZ($A$1,$B15,DZ$1)</f>
        <v>2082.15</v>
      </c>
      <c r="EA15" s="116" cm="1">
        <f t="array" ref="EA15">_xll.EQNXTDZ($A$1,$B15,EA$1)</f>
        <v>2153.9499999999998</v>
      </c>
      <c r="EB15" s="116" cm="1">
        <f t="array" ref="EB15">_xll.EQNXTDZ($A$1,$B15,EB$1)</f>
        <v>2167.0500000000002</v>
      </c>
      <c r="EC15" s="116" cm="1">
        <f t="array" ref="EC15">_xll.EQNXTDZ($A$1,$B15,EC$1)</f>
        <v>2354</v>
      </c>
      <c r="ED15" s="116" cm="1">
        <f t="array" ref="ED15">_xll.EQNXTDZ($A$1,$B15,ED$1)</f>
        <v>2400</v>
      </c>
      <c r="EE15" s="116" cm="1">
        <f t="array" ref="EE15">_xll.EQNXTDZ($A$1,$B15,EE$1)</f>
        <v>2285</v>
      </c>
      <c r="EF15" s="116" cm="1">
        <f t="array" ref="EF15">_xll.EQNXTDZ($A$1,$B15,EF$1)</f>
        <v>2050</v>
      </c>
      <c r="EG15" s="116" cm="1">
        <f t="array" ref="EG15">_xll.EQNXTDZ($A$1,$B15,EG$1)</f>
        <v>2167.6999999999998</v>
      </c>
      <c r="EH15" s="116" cm="1">
        <f t="array" ref="EH15">_xll.EQNXTDZ($A$1,$B15,EH$1)</f>
        <v>2223.25</v>
      </c>
      <c r="EI15" s="116" cm="1">
        <f t="array" ref="EI15">_xll.EQNXTDZ($A$1,$B15,EI$1)</f>
        <v>2081.25</v>
      </c>
      <c r="EJ15" s="116" cm="1">
        <f t="array" ref="EJ15">_xll.EQNXTDZ($A$1,$B15,EJ$1)</f>
        <v>2159.6</v>
      </c>
      <c r="EK15" s="116" cm="1">
        <f t="array" ref="EK15">_xll.EQNXTDZ($A$1,$B15,EK$1)</f>
        <v>2345.6</v>
      </c>
      <c r="EL15" s="116" cm="1">
        <f t="array" ref="EL15">_xll.EQNXTDZ($A$1,$B15,EL$1)</f>
        <v>2205.0500000000002</v>
      </c>
      <c r="EM15" s="116" cm="1">
        <f t="array" ref="EM15">_xll.EQNXTDZ($A$1,$B15,EM$1)</f>
        <v>2244.8000000000002</v>
      </c>
      <c r="EN15" s="116" cm="1">
        <f t="array" ref="EN15">_xll.EQNXTDZ($A$1,$B15,EN$1)</f>
        <v>2338.3000000000002</v>
      </c>
      <c r="EO15" s="116" cm="1">
        <f t="array" ref="EO15">_xll.EQNXTDZ($A$1,$B15,EO$1)</f>
        <v>2480.0500000000002</v>
      </c>
      <c r="EP15" s="116" cm="1">
        <f t="array" ref="EP15">_xll.EQNXTDZ($A$1,$B15,EP$1)</f>
        <v>2189</v>
      </c>
      <c r="EQ15" s="116" cm="1">
        <f t="array" ref="EQ15">_xll.EQNXTDZ($A$1,$B15,EQ$1)</f>
        <v>2088.5500000000002</v>
      </c>
      <c r="ER15" s="116" cm="1">
        <f t="array" ref="ER15">_xll.EQNXTDZ($A$1,$B15,ER$1)</f>
        <v>2283.85</v>
      </c>
      <c r="ES15" s="116" cm="1">
        <f t="array" ref="ES15">_xll.EQNXTDZ($A$1,$B15,ES$1)</f>
        <v>2402.0500000000002</v>
      </c>
      <c r="ET15" s="116" cm="1">
        <f t="array" ref="ET15">_xll.EQNXTDZ($A$1,$B15,ET$1)</f>
        <v>2360.9</v>
      </c>
      <c r="EU15" s="116" cm="1">
        <f t="array" ref="EU15">_xll.EQNXTDZ($A$1,$B15,EU$1)</f>
        <v>2146.25</v>
      </c>
      <c r="EV15" s="116" cm="1">
        <f t="array" ref="EV15">_xll.EQNXTDZ($A$1,$B15,EV$1)</f>
        <v>2127.5500000000002</v>
      </c>
      <c r="EW15" s="116" cm="1">
        <f t="array" ref="EW15">_xll.EQNXTDZ($A$1,$B15,EW$1)</f>
        <v>2197.1999999999998</v>
      </c>
      <c r="EX15" s="116" cm="1">
        <f t="array" ref="EX15">_xll.EQNXTDZ($A$1,$B15,EX$1)</f>
        <v>2200</v>
      </c>
      <c r="EY15" s="116" cm="1">
        <f t="array" ref="EY15">_xll.EQNXTDZ($A$1,$B15,EY$1)</f>
        <v>2711.85</v>
      </c>
      <c r="EZ15" s="116" cm="1">
        <f t="array" ref="EZ15">_xll.EQNXTDZ($A$1,$B15,EZ$1)</f>
        <v>2728.75</v>
      </c>
      <c r="FA15" s="116" cm="1">
        <f t="array" ref="FA15">_xll.EQNXTDZ($A$1,$B15,FA$1)</f>
        <v>2569.9499999999998</v>
      </c>
      <c r="FB15" s="116" cm="1">
        <f t="array" ref="FB15">_xll.EQNXTDZ($A$1,$B15,FB$1)</f>
        <v>2850</v>
      </c>
      <c r="FC15" s="116" cm="1">
        <f t="array" ref="FC15">_xll.EQNXTDZ($A$1,$B15,FC$1)</f>
        <v>2785.2</v>
      </c>
      <c r="FD15" s="116" cm="1">
        <f t="array" ref="FD15">_xll.EQNXTDZ($A$1,$B15,FD$1)</f>
        <v>2968.4</v>
      </c>
      <c r="FE15" s="116" cm="1">
        <f t="array" ref="FE15">_xll.EQNXTDZ($A$1,$B15,FE$1)</f>
        <v>2801.35</v>
      </c>
      <c r="FF15" s="116" cm="1">
        <f t="array" ref="FF15">_xll.EQNXTDZ($A$1,$B15,FF$1)</f>
        <v>2790</v>
      </c>
      <c r="FG15" s="116" cm="1">
        <f t="array" ref="FG15">_xll.EQNXTDZ($A$1,$B15,FG$1)</f>
        <v>2781</v>
      </c>
      <c r="FH15" s="116" cm="1">
        <f t="array" ref="FH15">_xll.EQNXTDZ($A$1,$B15,FH$1)</f>
        <v>2771</v>
      </c>
      <c r="FI15" s="116" cm="1">
        <f t="array" ref="FI15">_xll.EQNXTDZ($A$1,$B15,FI$1)</f>
        <v>2803.45</v>
      </c>
      <c r="FJ15" s="116" cm="1">
        <f t="array" ref="FJ15">_xll.EQNXTDZ($A$1,$B15,FJ$1)</f>
        <v>2643.75</v>
      </c>
      <c r="FK15" s="116" cm="1">
        <f t="array" ref="FK15">_xll.EQNXTDZ($A$1,$B15,FK$1)</f>
        <v>2554</v>
      </c>
      <c r="FL15" s="116" cm="1">
        <f t="array" ref="FL15">_xll.EQNXTDZ($A$1,$B15,FL$1)</f>
        <v>2313.75</v>
      </c>
      <c r="FM15" s="116" cm="1">
        <f t="array" ref="FM15">_xll.EQNXTDZ($A$1,$B15,FM$1)</f>
        <v>2356</v>
      </c>
      <c r="FN15" s="116" cm="1">
        <f t="array" ref="FN15">_xll.EQNXTDZ($A$1,$B15,FN$1)</f>
        <v>2495</v>
      </c>
      <c r="FO15" s="116" cm="1">
        <f t="array" ref="FO15">_xll.EQNXTDZ($A$1,$B15,FO$1)</f>
        <v>2609.25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39.200000000000003</v>
      </c>
      <c r="HQ15" s="116">
        <f>+MIN(G15:I15)</f>
        <v>39.6</v>
      </c>
      <c r="HR15" s="116">
        <f>+MIN(J15:L15)</f>
        <v>32.72</v>
      </c>
      <c r="HS15" s="116">
        <f>+MIN(M15:O15)</f>
        <v>28</v>
      </c>
      <c r="HT15" s="116">
        <f>+MIN(P15:R15)</f>
        <v>25.11</v>
      </c>
      <c r="HU15" s="116">
        <f>+MIN(S15:U15)</f>
        <v>31.8</v>
      </c>
      <c r="HV15" s="116">
        <f>+MIN(V15:X15)</f>
        <v>39.4</v>
      </c>
      <c r="HW15" s="116">
        <f>+MIN(Y15:AA15)</f>
        <v>65.22</v>
      </c>
      <c r="HX15" s="116">
        <f>+MIN(AB15:AD15)</f>
        <v>99.6</v>
      </c>
      <c r="HY15" s="116">
        <f>+MIN(AE15:AG15)</f>
        <v>130.36000000000001</v>
      </c>
      <c r="HZ15" s="116">
        <f>+MIN(AH15:AJ15)</f>
        <v>168.6</v>
      </c>
      <c r="IA15" s="116">
        <f>+MIN(AK15:AM15)</f>
        <v>179.81</v>
      </c>
      <c r="IB15" s="116">
        <f>+MIN(AN15:AP15)</f>
        <v>203.8</v>
      </c>
      <c r="IC15" s="116">
        <f>+MIN(AQ15:AS15)</f>
        <v>223.6</v>
      </c>
      <c r="ID15" s="116">
        <f>+MIN(AT15:AV15)</f>
        <v>204.4</v>
      </c>
      <c r="IE15" s="116">
        <f>+MIN(AW15:AY15)</f>
        <v>233.1</v>
      </c>
      <c r="IF15" s="116">
        <f>+MIN(AZ15:BB15)</f>
        <v>259.22000000000003</v>
      </c>
      <c r="IG15" s="116">
        <f>+MIN(BC15:BE15)</f>
        <v>270.43</v>
      </c>
      <c r="IH15" s="116">
        <f>+MIN(BF15:BH15)</f>
        <v>301.8</v>
      </c>
      <c r="II15" s="116">
        <f>+MIN(BI15:BK15)</f>
        <v>301.05</v>
      </c>
      <c r="IJ15" s="116">
        <f>+MIN(BL15:BN15)</f>
        <v>284</v>
      </c>
      <c r="IK15" s="116">
        <f>+MIN(BO15:BQ15)</f>
        <v>306.45</v>
      </c>
      <c r="IL15" s="116">
        <f>+MIN(BR15:BT15)</f>
        <v>325.39999999999998</v>
      </c>
      <c r="IM15" s="116">
        <f>+MIN(BU15:BW15)</f>
        <v>322.91000000000003</v>
      </c>
      <c r="IN15" s="116">
        <f>+MIN(BX15:BZ15)</f>
        <v>306.2</v>
      </c>
      <c r="IO15" s="116">
        <f>+MIN(CA15:CC15)</f>
        <v>323.32</v>
      </c>
      <c r="IP15" s="116">
        <f>+MIN(CD15:CF15)</f>
        <v>389.64</v>
      </c>
      <c r="IQ15" s="116">
        <f>+MIN(CG15:CI15)</f>
        <v>440.2</v>
      </c>
      <c r="IR15" s="116">
        <f>+MIN(CJ15:CL15)</f>
        <v>510.37</v>
      </c>
      <c r="IS15" s="116">
        <f>+MIN(CM15:CO15)</f>
        <v>518</v>
      </c>
      <c r="IT15" s="116">
        <f>+MIN(CP15:CR15)</f>
        <v>498.44</v>
      </c>
      <c r="IU15" s="116">
        <f>+MIN(CS15:CU15)</f>
        <v>513.16</v>
      </c>
      <c r="IV15" s="116">
        <f>+MIN(CV15:CX15)</f>
        <v>717.2</v>
      </c>
      <c r="IW15" s="116">
        <f>+MIN(CY15:DA15)</f>
        <v>818.01</v>
      </c>
      <c r="IX15" s="116">
        <f>+MIN(DB15:DD15)</f>
        <v>1026.6300000000001</v>
      </c>
      <c r="IY15" s="116">
        <f>+MIN(DE15:DG15)</f>
        <v>1082</v>
      </c>
      <c r="IZ15" s="116">
        <f>+MIN(DH15:DJ15)</f>
        <v>1450</v>
      </c>
      <c r="JA15" s="116">
        <f>+MIN(DK15:DM15)</f>
        <v>1975</v>
      </c>
      <c r="JB15" s="116">
        <f>+MIN(DN15:DP15)</f>
        <v>2106.35</v>
      </c>
      <c r="JC15" s="116">
        <f>+MIN(DQ15:DS15)</f>
        <v>2081</v>
      </c>
      <c r="JD15" s="116">
        <f>+MIN(DT15:DV15)</f>
        <v>2002.5</v>
      </c>
      <c r="JE15" s="116">
        <f>+MIN(DW15:DY15)</f>
        <v>2209</v>
      </c>
      <c r="JF15" s="116">
        <f>+MIN(DZ15:EB15)</f>
        <v>2082.15</v>
      </c>
      <c r="JG15" s="116">
        <f>+MIN(EC15:EE15)</f>
        <v>2285</v>
      </c>
      <c r="JH15" s="116">
        <f>+MIN(EF15:EH15)</f>
        <v>2050</v>
      </c>
      <c r="JI15" s="116">
        <f>+MIN(EI15:EK15)</f>
        <v>2081.25</v>
      </c>
      <c r="JJ15" s="116">
        <f>+MIN(EL15:EN15)</f>
        <v>2205.0500000000002</v>
      </c>
      <c r="JK15" s="116">
        <f>MIN(EO15:EQ15)</f>
        <v>2088.5500000000002</v>
      </c>
      <c r="JL15" s="116">
        <f>MIN(ER15:ET15)</f>
        <v>2283.85</v>
      </c>
      <c r="JM15" s="116">
        <f>MIN(EU15:EW15)</f>
        <v>2127.5500000000002</v>
      </c>
      <c r="JN15" s="116">
        <f>MIN(EX15:EZ15)</f>
        <v>2200</v>
      </c>
      <c r="JO15" s="116">
        <f>MIN(FA15:FC15)</f>
        <v>2569.9499999999998</v>
      </c>
      <c r="JP15" s="116">
        <f>MIN(FD15:FF15)</f>
        <v>2790</v>
      </c>
      <c r="JQ15" s="116">
        <f>MIN(FG15:FI15)</f>
        <v>2771</v>
      </c>
      <c r="JR15" s="116">
        <f>MIN(FJ15:FL15)</f>
        <v>2313.75</v>
      </c>
      <c r="JS15" s="116">
        <f>MIN(FM15:FO15)</f>
        <v>2356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41.24</v>
      </c>
      <c r="D16" s="116" cm="1">
        <f t="array" ref="D16">_xll.EQNXTDZ($A$1,$B16,D$1)</f>
        <v>40.590000000000003</v>
      </c>
      <c r="E16" s="116" cm="1">
        <f t="array" ref="E16">_xll.EQNXTDZ($A$1,$B16,E$1)</f>
        <v>42.79</v>
      </c>
      <c r="F16" s="116" cm="1">
        <f t="array" ref="F16">_xll.EQNXTDZ($A$1,$B16,F$1)</f>
        <v>44.82</v>
      </c>
      <c r="G16" s="116" cm="1">
        <f t="array" ref="G16">_xll.EQNXTDZ($A$1,$B16,G$1)</f>
        <v>44.49</v>
      </c>
      <c r="H16" s="116" cm="1">
        <f t="array" ref="H16">_xll.EQNXTDZ($A$1,$B16,H$1)</f>
        <v>41.59</v>
      </c>
      <c r="I16" s="116" cm="1">
        <f t="array" ref="I16">_xll.EQNXTDZ($A$1,$B16,I$1)</f>
        <v>40.14</v>
      </c>
      <c r="J16" s="116" cm="1">
        <f t="array" ref="J16">_xll.EQNXTDZ($A$1,$B16,J$1)</f>
        <v>38.58</v>
      </c>
      <c r="K16" s="116" cm="1">
        <f t="array" ref="K16">_xll.EQNXTDZ($A$1,$B16,K$1)</f>
        <v>36.64</v>
      </c>
      <c r="L16" s="116" cm="1">
        <f t="array" ref="L16">_xll.EQNXTDZ($A$1,$B16,L$1)</f>
        <v>33.79</v>
      </c>
      <c r="M16" s="116" cm="1">
        <f t="array" ref="M16">_xll.EQNXTDZ($A$1,$B16,M$1)</f>
        <v>34</v>
      </c>
      <c r="N16" s="116" cm="1">
        <f t="array" ref="N16">_xll.EQNXTDZ($A$1,$B16,N$1)</f>
        <v>31.81</v>
      </c>
      <c r="O16" s="116" cm="1">
        <f t="array" ref="O16">_xll.EQNXTDZ($A$1,$B16,O$1)</f>
        <v>28.85</v>
      </c>
      <c r="P16" s="116" cm="1">
        <f t="array" ref="P16">_xll.EQNXTDZ($A$1,$B16,P$1)</f>
        <v>26.71</v>
      </c>
      <c r="Q16" s="116" cm="1">
        <f t="array" ref="Q16">_xll.EQNXTDZ($A$1,$B16,Q$1)</f>
        <v>26.85</v>
      </c>
      <c r="R16" s="116" cm="1">
        <f t="array" ref="R16">_xll.EQNXTDZ($A$1,$B16,R$1)</f>
        <v>33</v>
      </c>
      <c r="S16" s="116" cm="1">
        <f t="array" ref="S16">_xll.EQNXTDZ($A$1,$B16,S$1)</f>
        <v>32.869999999999997</v>
      </c>
      <c r="T16" s="116" cm="1">
        <f t="array" ref="T16">_xll.EQNXTDZ($A$1,$B16,T$1)</f>
        <v>41.28</v>
      </c>
      <c r="U16" s="116" cm="1">
        <f t="array" ref="U16">_xll.EQNXTDZ($A$1,$B16,U$1)</f>
        <v>44.31</v>
      </c>
      <c r="V16" s="116" cm="1">
        <f t="array" ref="V16">_xll.EQNXTDZ($A$1,$B16,V$1)</f>
        <v>41.2</v>
      </c>
      <c r="W16" s="116" cm="1">
        <f t="array" ref="W16">_xll.EQNXTDZ($A$1,$B16,W$1)</f>
        <v>43.1</v>
      </c>
      <c r="X16" s="116" cm="1">
        <f t="array" ref="X16">_xll.EQNXTDZ($A$1,$B16,X$1)</f>
        <v>72.03</v>
      </c>
      <c r="Y16" s="116" cm="1">
        <f t="array" ref="Y16">_xll.EQNXTDZ($A$1,$B16,Y$1)</f>
        <v>77.39</v>
      </c>
      <c r="Z16" s="116" cm="1">
        <f t="array" ref="Z16">_xll.EQNXTDZ($A$1,$B16,Z$1)</f>
        <v>89.43</v>
      </c>
      <c r="AA16" s="116" cm="1">
        <f t="array" ref="AA16">_xll.EQNXTDZ($A$1,$B16,AA$1)</f>
        <v>118.5</v>
      </c>
      <c r="AB16" s="116" cm="1">
        <f t="array" ref="AB16">_xll.EQNXTDZ($A$1,$B16,AB$1)</f>
        <v>117.92</v>
      </c>
      <c r="AC16" s="116" cm="1">
        <f t="array" ref="AC16">_xll.EQNXTDZ($A$1,$B16,AC$1)</f>
        <v>135.99</v>
      </c>
      <c r="AD16" s="116" cm="1">
        <f t="array" ref="AD16">_xll.EQNXTDZ($A$1,$B16,AD$1)</f>
        <v>150.5</v>
      </c>
      <c r="AE16" s="116" cm="1">
        <f t="array" ref="AE16">_xll.EQNXTDZ($A$1,$B16,AE$1)</f>
        <v>170.86</v>
      </c>
      <c r="AF16" s="116" cm="1">
        <f t="array" ref="AF16">_xll.EQNXTDZ($A$1,$B16,AF$1)</f>
        <v>178</v>
      </c>
      <c r="AG16" s="116" cm="1">
        <f t="array" ref="AG16">_xll.EQNXTDZ($A$1,$B16,AG$1)</f>
        <v>174.59</v>
      </c>
      <c r="AH16" s="116" cm="1">
        <f t="array" ref="AH16">_xll.EQNXTDZ($A$1,$B16,AH$1)</f>
        <v>189.83</v>
      </c>
      <c r="AI16" s="116" cm="1">
        <f t="array" ref="AI16">_xll.EQNXTDZ($A$1,$B16,AI$1)</f>
        <v>187.13</v>
      </c>
      <c r="AJ16" s="116" cm="1">
        <f t="array" ref="AJ16">_xll.EQNXTDZ($A$1,$B16,AJ$1)</f>
        <v>198</v>
      </c>
      <c r="AK16" s="116" cm="1">
        <f t="array" ref="AK16">_xll.EQNXTDZ($A$1,$B16,AK$1)</f>
        <v>194.29</v>
      </c>
      <c r="AL16" s="116" cm="1">
        <f t="array" ref="AL16">_xll.EQNXTDZ($A$1,$B16,AL$1)</f>
        <v>220.63</v>
      </c>
      <c r="AM16" s="116" cm="1">
        <f t="array" ref="AM16">_xll.EQNXTDZ($A$1,$B16,AM$1)</f>
        <v>245.92</v>
      </c>
      <c r="AN16" s="116" cm="1">
        <f t="array" ref="AN16">_xll.EQNXTDZ($A$1,$B16,AN$1)</f>
        <v>278.57</v>
      </c>
      <c r="AO16" s="116" cm="1">
        <f t="array" ref="AO16">_xll.EQNXTDZ($A$1,$B16,AO$1)</f>
        <v>235.8</v>
      </c>
      <c r="AP16" s="116" cm="1">
        <f t="array" ref="AP16">_xll.EQNXTDZ($A$1,$B16,AP$1)</f>
        <v>224.43</v>
      </c>
      <c r="AQ16" s="116" cm="1">
        <f t="array" ref="AQ16">_xll.EQNXTDZ($A$1,$B16,AQ$1)</f>
        <v>263.52999999999997</v>
      </c>
      <c r="AR16" s="116" cm="1">
        <f t="array" ref="AR16">_xll.EQNXTDZ($A$1,$B16,AR$1)</f>
        <v>254.76</v>
      </c>
      <c r="AS16" s="116" cm="1">
        <f t="array" ref="AS16">_xll.EQNXTDZ($A$1,$B16,AS$1)</f>
        <v>252.63</v>
      </c>
      <c r="AT16" s="116" cm="1">
        <f t="array" ref="AT16">_xll.EQNXTDZ($A$1,$B16,AT$1)</f>
        <v>233.28</v>
      </c>
      <c r="AU16" s="116" cm="1">
        <f t="array" ref="AU16">_xll.EQNXTDZ($A$1,$B16,AU$1)</f>
        <v>211.28</v>
      </c>
      <c r="AV16" s="116" cm="1">
        <f t="array" ref="AV16">_xll.EQNXTDZ($A$1,$B16,AV$1)</f>
        <v>261.17</v>
      </c>
      <c r="AW16" s="116" cm="1">
        <f t="array" ref="AW16">_xll.EQNXTDZ($A$1,$B16,AW$1)</f>
        <v>272.33</v>
      </c>
      <c r="AX16" s="116" cm="1">
        <f t="array" ref="AX16">_xll.EQNXTDZ($A$1,$B16,AX$1)</f>
        <v>258.97000000000003</v>
      </c>
      <c r="AY16" s="116" cm="1">
        <f t="array" ref="AY16">_xll.EQNXTDZ($A$1,$B16,AY$1)</f>
        <v>262.43</v>
      </c>
      <c r="AZ16" s="116" cm="1">
        <f t="array" ref="AZ16">_xll.EQNXTDZ($A$1,$B16,AZ$1)</f>
        <v>292.25</v>
      </c>
      <c r="BA16" s="116" cm="1">
        <f t="array" ref="BA16">_xll.EQNXTDZ($A$1,$B16,BA$1)</f>
        <v>343.52</v>
      </c>
      <c r="BB16" s="116" cm="1">
        <f t="array" ref="BB16">_xll.EQNXTDZ($A$1,$B16,BB$1)</f>
        <v>355.02</v>
      </c>
      <c r="BC16" s="116" cm="1">
        <f t="array" ref="BC16">_xll.EQNXTDZ($A$1,$B16,BC$1)</f>
        <v>364.35</v>
      </c>
      <c r="BD16" s="116" cm="1">
        <f t="array" ref="BD16">_xll.EQNXTDZ($A$1,$B16,BD$1)</f>
        <v>315.33</v>
      </c>
      <c r="BE16" s="116" cm="1">
        <f t="array" ref="BE16">_xll.EQNXTDZ($A$1,$B16,BE$1)</f>
        <v>308.44</v>
      </c>
      <c r="BF16" s="116" cm="1">
        <f t="array" ref="BF16">_xll.EQNXTDZ($A$1,$B16,BF$1)</f>
        <v>342.99</v>
      </c>
      <c r="BG16" s="116" cm="1">
        <f t="array" ref="BG16">_xll.EQNXTDZ($A$1,$B16,BG$1)</f>
        <v>311.24</v>
      </c>
      <c r="BH16" s="116" cm="1">
        <f t="array" ref="BH16">_xll.EQNXTDZ($A$1,$B16,BH$1)</f>
        <v>325.19</v>
      </c>
      <c r="BI16" s="116" cm="1">
        <f t="array" ref="BI16">_xll.EQNXTDZ($A$1,$B16,BI$1)</f>
        <v>356.01</v>
      </c>
      <c r="BJ16" s="116" cm="1">
        <f t="array" ref="BJ16">_xll.EQNXTDZ($A$1,$B16,BJ$1)</f>
        <v>326.32</v>
      </c>
      <c r="BK16" s="116" cm="1">
        <f t="array" ref="BK16">_xll.EQNXTDZ($A$1,$B16,BK$1)</f>
        <v>307.70999999999998</v>
      </c>
      <c r="BL16" s="116" cm="1">
        <f t="array" ref="BL16">_xll.EQNXTDZ($A$1,$B16,BL$1)</f>
        <v>304.48</v>
      </c>
      <c r="BM16" s="116" cm="1">
        <f t="array" ref="BM16">_xll.EQNXTDZ($A$1,$B16,BM$1)</f>
        <v>306.39999999999998</v>
      </c>
      <c r="BN16" s="116" cm="1">
        <f t="array" ref="BN16">_xll.EQNXTDZ($A$1,$B16,BN$1)</f>
        <v>307.76</v>
      </c>
      <c r="BO16" s="116" cm="1">
        <f t="array" ref="BO16">_xll.EQNXTDZ($A$1,$B16,BO$1)</f>
        <v>337.53</v>
      </c>
      <c r="BP16" s="116" cm="1">
        <f t="array" ref="BP16">_xll.EQNXTDZ($A$1,$B16,BP$1)</f>
        <v>365.84</v>
      </c>
      <c r="BQ16" s="116" cm="1">
        <f t="array" ref="BQ16">_xll.EQNXTDZ($A$1,$B16,BQ$1)</f>
        <v>396.82</v>
      </c>
      <c r="BR16" s="116" cm="1">
        <f t="array" ref="BR16">_xll.EQNXTDZ($A$1,$B16,BR$1)</f>
        <v>356.57</v>
      </c>
      <c r="BS16" s="116" cm="1">
        <f t="array" ref="BS16">_xll.EQNXTDZ($A$1,$B16,BS$1)</f>
        <v>379.73</v>
      </c>
      <c r="BT16" s="116" cm="1">
        <f t="array" ref="BT16">_xll.EQNXTDZ($A$1,$B16,BT$1)</f>
        <v>391.56</v>
      </c>
      <c r="BU16" s="116" cm="1">
        <f t="array" ref="BU16">_xll.EQNXTDZ($A$1,$B16,BU$1)</f>
        <v>478.63</v>
      </c>
      <c r="BV16" s="116" cm="1">
        <f t="array" ref="BV16">_xll.EQNXTDZ($A$1,$B16,BV$1)</f>
        <v>385.84</v>
      </c>
      <c r="BW16" s="116" cm="1">
        <f t="array" ref="BW16">_xll.EQNXTDZ($A$1,$B16,BW$1)</f>
        <v>338.97</v>
      </c>
      <c r="BX16" s="116" cm="1">
        <f t="array" ref="BX16">_xll.EQNXTDZ($A$1,$B16,BX$1)</f>
        <v>346.08</v>
      </c>
      <c r="BY16" s="116" cm="1">
        <f t="array" ref="BY16">_xll.EQNXTDZ($A$1,$B16,BY$1)</f>
        <v>404.88</v>
      </c>
      <c r="BZ16" s="116" cm="1">
        <f t="array" ref="BZ16">_xll.EQNXTDZ($A$1,$B16,BZ$1)</f>
        <v>341.24</v>
      </c>
      <c r="CA16" s="116" cm="1">
        <f t="array" ref="CA16">_xll.EQNXTDZ($A$1,$B16,CA$1)</f>
        <v>384.38</v>
      </c>
      <c r="CB16" s="116" cm="1">
        <f t="array" ref="CB16">_xll.EQNXTDZ($A$1,$B16,CB$1)</f>
        <v>432.19</v>
      </c>
      <c r="CC16" s="116" cm="1">
        <f t="array" ref="CC16">_xll.EQNXTDZ($A$1,$B16,CC$1)</f>
        <v>399.71</v>
      </c>
      <c r="CD16" s="116" cm="1">
        <f t="array" ref="CD16">_xll.EQNXTDZ($A$1,$B16,CD$1)</f>
        <v>401.75</v>
      </c>
      <c r="CE16" s="116" cm="1">
        <f t="array" ref="CE16">_xll.EQNXTDZ($A$1,$B16,CE$1)</f>
        <v>460.97</v>
      </c>
      <c r="CF16" s="116" cm="1">
        <f t="array" ref="CF16">_xll.EQNXTDZ($A$1,$B16,CF$1)</f>
        <v>480.82</v>
      </c>
      <c r="CG16" s="116" cm="1">
        <f t="array" ref="CG16">_xll.EQNXTDZ($A$1,$B16,CG$1)</f>
        <v>513.48</v>
      </c>
      <c r="CH16" s="116" cm="1">
        <f t="array" ref="CH16">_xll.EQNXTDZ($A$1,$B16,CH$1)</f>
        <v>569.12</v>
      </c>
      <c r="CI16" s="116" cm="1">
        <f t="array" ref="CI16">_xll.EQNXTDZ($A$1,$B16,CI$1)</f>
        <v>608.70000000000005</v>
      </c>
      <c r="CJ16" s="116" cm="1">
        <f t="array" ref="CJ16">_xll.EQNXTDZ($A$1,$B16,CJ$1)</f>
        <v>540.42999999999995</v>
      </c>
      <c r="CK16" s="116" cm="1">
        <f t="array" ref="CK16">_xll.EQNXTDZ($A$1,$B16,CK$1)</f>
        <v>555.03</v>
      </c>
      <c r="CL16" s="116" cm="1">
        <f t="array" ref="CL16">_xll.EQNXTDZ($A$1,$B16,CL$1)</f>
        <v>550.35</v>
      </c>
      <c r="CM16" s="116" cm="1">
        <f t="array" ref="CM16">_xll.EQNXTDZ($A$1,$B16,CM$1)</f>
        <v>579.46</v>
      </c>
      <c r="CN16" s="116" cm="1">
        <f t="array" ref="CN16">_xll.EQNXTDZ($A$1,$B16,CN$1)</f>
        <v>640.29</v>
      </c>
      <c r="CO16" s="116" cm="1">
        <f t="array" ref="CO16">_xll.EQNXTDZ($A$1,$B16,CO$1)</f>
        <v>687.17</v>
      </c>
      <c r="CP16" s="116" cm="1">
        <f t="array" ref="CP16">_xll.EQNXTDZ($A$1,$B16,CP$1)</f>
        <v>756.45</v>
      </c>
      <c r="CQ16" s="116" cm="1">
        <f t="array" ref="CQ16">_xll.EQNXTDZ($A$1,$B16,CQ$1)</f>
        <v>780.9</v>
      </c>
      <c r="CR16" s="116" cm="1">
        <f t="array" ref="CR16">_xll.EQNXTDZ($A$1,$B16,CR$1)</f>
        <v>555.86</v>
      </c>
      <c r="CS16" s="116" cm="1">
        <f t="array" ref="CS16">_xll.EQNXTDZ($A$1,$B16,CS$1)</f>
        <v>742.72</v>
      </c>
      <c r="CT16" s="116" cm="1">
        <f t="array" ref="CT16">_xll.EQNXTDZ($A$1,$B16,CT$1)</f>
        <v>696.74</v>
      </c>
      <c r="CU16" s="116" cm="1">
        <f t="array" ref="CU16">_xll.EQNXTDZ($A$1,$B16,CU$1)</f>
        <v>720.96</v>
      </c>
      <c r="CV16" s="116" cm="1">
        <f t="array" ref="CV16">_xll.EQNXTDZ($A$1,$B16,CV$1)</f>
        <v>758.33</v>
      </c>
      <c r="CW16" s="116" cm="1">
        <f t="array" ref="CW16">_xll.EQNXTDZ($A$1,$B16,CW$1)</f>
        <v>810.78</v>
      </c>
      <c r="CX16" s="116" cm="1">
        <f t="array" ref="CX16">_xll.EQNXTDZ($A$1,$B16,CX$1)</f>
        <v>825.89</v>
      </c>
      <c r="CY16" s="116" cm="1">
        <f t="array" ref="CY16">_xll.EQNXTDZ($A$1,$B16,CY$1)</f>
        <v>883.33</v>
      </c>
      <c r="CZ16" s="116" cm="1">
        <f t="array" ref="CZ16">_xll.EQNXTDZ($A$1,$B16,CZ$1)</f>
        <v>1027.06</v>
      </c>
      <c r="DA16" s="116" cm="1">
        <f t="array" ref="DA16">_xll.EQNXTDZ($A$1,$B16,DA$1)</f>
        <v>1114.3599999999999</v>
      </c>
      <c r="DB16" s="116" cm="1">
        <f t="array" ref="DB16">_xll.EQNXTDZ($A$1,$B16,DB$1)</f>
        <v>1074.26</v>
      </c>
      <c r="DC16" s="116" cm="1">
        <f t="array" ref="DC16">_xll.EQNXTDZ($A$1,$B16,DC$1)</f>
        <v>1088.74</v>
      </c>
      <c r="DD16" s="116" cm="1">
        <f t="array" ref="DD16">_xll.EQNXTDZ($A$1,$B16,DD$1)</f>
        <v>1081.3</v>
      </c>
      <c r="DE16" s="116" cm="1">
        <f t="array" ref="DE16">_xll.EQNXTDZ($A$1,$B16,DE$1)</f>
        <v>1286.3599999999999</v>
      </c>
      <c r="DF16" s="116" cm="1">
        <f t="array" ref="DF16">_xll.EQNXTDZ($A$1,$B16,DF$1)</f>
        <v>1301.92</v>
      </c>
      <c r="DG16" s="116" cm="1">
        <f t="array" ref="DG16">_xll.EQNXTDZ($A$1,$B16,DG$1)</f>
        <v>1454.94</v>
      </c>
      <c r="DH16" s="116" cm="1">
        <f t="array" ref="DH16">_xll.EQNXTDZ($A$1,$B16,DH$1)</f>
        <v>1732</v>
      </c>
      <c r="DI16" s="116" cm="1">
        <f t="array" ref="DI16">_xll.EQNXTDZ($A$1,$B16,DI$1)</f>
        <v>2028.13</v>
      </c>
      <c r="DJ16" s="116" cm="1">
        <f t="array" ref="DJ16">_xll.EQNXTDZ($A$1,$B16,DJ$1)</f>
        <v>2257.14</v>
      </c>
      <c r="DK16" s="116" cm="1">
        <f t="array" ref="DK16">_xll.EQNXTDZ($A$1,$B16,DK$1)</f>
        <v>2117.5500000000002</v>
      </c>
      <c r="DL16" s="116" cm="1">
        <f t="array" ref="DL16">_xll.EQNXTDZ($A$1,$B16,DL$1)</f>
        <v>2017.4</v>
      </c>
      <c r="DM16" s="116" cm="1">
        <f t="array" ref="DM16">_xll.EQNXTDZ($A$1,$B16,DM$1)</f>
        <v>2420.5500000000002</v>
      </c>
      <c r="DN16" s="116" cm="1">
        <f t="array" ref="DN16">_xll.EQNXTDZ($A$1,$B16,DN$1)</f>
        <v>2407.3000000000002</v>
      </c>
      <c r="DO16" s="116" cm="1">
        <f t="array" ref="DO16">_xll.EQNXTDZ($A$1,$B16,DO$1)</f>
        <v>2383.35</v>
      </c>
      <c r="DP16" s="116" cm="1">
        <f t="array" ref="DP16">_xll.EQNXTDZ($A$1,$B16,DP$1)</f>
        <v>2678.45</v>
      </c>
      <c r="DQ16" s="116" cm="1">
        <f t="array" ref="DQ16">_xll.EQNXTDZ($A$1,$B16,DQ$1)</f>
        <v>2511.75</v>
      </c>
      <c r="DR16" s="116" cm="1">
        <f t="array" ref="DR16">_xll.EQNXTDZ($A$1,$B16,DR$1)</f>
        <v>2462.9</v>
      </c>
      <c r="DS16" s="116" cm="1">
        <f t="array" ref="DS16">_xll.EQNXTDZ($A$1,$B16,DS$1)</f>
        <v>2249.35</v>
      </c>
      <c r="DT16" s="116" cm="1">
        <f t="array" ref="DT16">_xll.EQNXTDZ($A$1,$B16,DT$1)</f>
        <v>2428</v>
      </c>
      <c r="DU16" s="116" cm="1">
        <f t="array" ref="DU16">_xll.EQNXTDZ($A$1,$B16,DU$1)</f>
        <v>2544.6</v>
      </c>
      <c r="DV16" s="116" cm="1">
        <f t="array" ref="DV16">_xll.EQNXTDZ($A$1,$B16,DV$1)</f>
        <v>2503.9</v>
      </c>
      <c r="DW16" s="116" cm="1">
        <f t="array" ref="DW16">_xll.EQNXTDZ($A$1,$B16,DW$1)</f>
        <v>2557.6</v>
      </c>
      <c r="DX16" s="116" cm="1">
        <f t="array" ref="DX16">_xll.EQNXTDZ($A$1,$B16,DX$1)</f>
        <v>2363.25</v>
      </c>
      <c r="DY16" s="116" cm="1">
        <f t="array" ref="DY16">_xll.EQNXTDZ($A$1,$B16,DY$1)</f>
        <v>2291.6</v>
      </c>
      <c r="DZ16" s="116" cm="1">
        <f t="array" ref="DZ16">_xll.EQNXTDZ($A$1,$B16,DZ$1)</f>
        <v>2182.1</v>
      </c>
      <c r="EA16" s="116" cm="1">
        <f t="array" ref="EA16">_xll.EQNXTDZ($A$1,$B16,EA$1)</f>
        <v>2168.4</v>
      </c>
      <c r="EB16" s="116" cm="1">
        <f t="array" ref="EB16">_xll.EQNXTDZ($A$1,$B16,EB$1)</f>
        <v>2406.1999999999998</v>
      </c>
      <c r="EC16" s="116" cm="1">
        <f t="array" ref="EC16">_xll.EQNXTDZ($A$1,$B16,EC$1)</f>
        <v>2539.8000000000002</v>
      </c>
      <c r="ED16" s="116" cm="1">
        <f t="array" ref="ED16">_xll.EQNXTDZ($A$1,$B16,ED$1)</f>
        <v>2528.3000000000002</v>
      </c>
      <c r="EE16" s="116" cm="1">
        <f t="array" ref="EE16">_xll.EQNXTDZ($A$1,$B16,EE$1)</f>
        <v>2290.25</v>
      </c>
      <c r="EF16" s="116" cm="1">
        <f t="array" ref="EF16">_xll.EQNXTDZ($A$1,$B16,EF$1)</f>
        <v>2169.65</v>
      </c>
      <c r="EG16" s="116" cm="1">
        <f t="array" ref="EG16">_xll.EQNXTDZ($A$1,$B16,EG$1)</f>
        <v>2357.25</v>
      </c>
      <c r="EH16" s="116" cm="1">
        <f t="array" ref="EH16">_xll.EQNXTDZ($A$1,$B16,EH$1)</f>
        <v>2248.5500000000002</v>
      </c>
      <c r="EI16" s="116" cm="1">
        <f t="array" ref="EI16">_xll.EQNXTDZ($A$1,$B16,EI$1)</f>
        <v>2194.85</v>
      </c>
      <c r="EJ16" s="116" cm="1">
        <f t="array" ref="EJ16">_xll.EQNXTDZ($A$1,$B16,EJ$1)</f>
        <v>2368.4</v>
      </c>
      <c r="EK16" s="116" cm="1">
        <f t="array" ref="EK16">_xll.EQNXTDZ($A$1,$B16,EK$1)</f>
        <v>2480.0500000000002</v>
      </c>
      <c r="EL16" s="116" cm="1">
        <f t="array" ref="EL16">_xll.EQNXTDZ($A$1,$B16,EL$1)</f>
        <v>2323.9499999999998</v>
      </c>
      <c r="EM16" s="116" cm="1">
        <f t="array" ref="EM16">_xll.EQNXTDZ($A$1,$B16,EM$1)</f>
        <v>2386.3000000000002</v>
      </c>
      <c r="EN16" s="116" cm="1">
        <f t="array" ref="EN16">_xll.EQNXTDZ($A$1,$B16,EN$1)</f>
        <v>2557.5500000000002</v>
      </c>
      <c r="EO16" s="116" cm="1">
        <f t="array" ref="EO16">_xll.EQNXTDZ($A$1,$B16,EO$1)</f>
        <v>2619.15</v>
      </c>
      <c r="EP16" s="116" cm="1">
        <f t="array" ref="EP16">_xll.EQNXTDZ($A$1,$B16,EP$1)</f>
        <v>2206.9</v>
      </c>
      <c r="EQ16" s="116" cm="1">
        <f t="array" ref="EQ16">_xll.EQNXTDZ($A$1,$B16,EQ$1)</f>
        <v>2432.4</v>
      </c>
      <c r="ER16" s="116" cm="1">
        <f t="array" ref="ER16">_xll.EQNXTDZ($A$1,$B16,ER$1)</f>
        <v>2644.65</v>
      </c>
      <c r="ES16" s="116" cm="1">
        <f t="array" ref="ES16">_xll.EQNXTDZ($A$1,$B16,ES$1)</f>
        <v>2564.4499999999998</v>
      </c>
      <c r="ET16" s="116" cm="1">
        <f t="array" ref="ET16">_xll.EQNXTDZ($A$1,$B16,ET$1)</f>
        <v>2497.3000000000002</v>
      </c>
      <c r="EU16" s="116" cm="1">
        <f t="array" ref="EU16">_xll.EQNXTDZ($A$1,$B16,EU$1)</f>
        <v>2243.5</v>
      </c>
      <c r="EV16" s="116" cm="1">
        <f t="array" ref="EV16">_xll.EQNXTDZ($A$1,$B16,EV$1)</f>
        <v>2263.9499999999998</v>
      </c>
      <c r="EW16" s="116" cm="1">
        <f t="array" ref="EW16">_xll.EQNXTDZ($A$1,$B16,EW$1)</f>
        <v>2237.5</v>
      </c>
      <c r="EX16" s="116" cm="1">
        <f t="array" ref="EX16">_xll.EQNXTDZ($A$1,$B16,EX$1)</f>
        <v>2809.55</v>
      </c>
      <c r="EY16" s="116" cm="1">
        <f t="array" ref="EY16">_xll.EQNXTDZ($A$1,$B16,EY$1)</f>
        <v>2795.2</v>
      </c>
      <c r="EZ16" s="116" cm="1">
        <f t="array" ref="EZ16">_xll.EQNXTDZ($A$1,$B16,EZ$1)</f>
        <v>2939.35</v>
      </c>
      <c r="FA16" s="116" cm="1">
        <f t="array" ref="FA16">_xll.EQNXTDZ($A$1,$B16,FA$1)</f>
        <v>3006.25</v>
      </c>
      <c r="FB16" s="116" cm="1">
        <f t="array" ref="FB16">_xll.EQNXTDZ($A$1,$B16,FB$1)</f>
        <v>2859.2</v>
      </c>
      <c r="FC16" s="116" cm="1">
        <f t="array" ref="FC16">_xll.EQNXTDZ($A$1,$B16,FC$1)</f>
        <v>3244.85</v>
      </c>
      <c r="FD16" s="116" cm="1">
        <f t="array" ref="FD16">_xll.EQNXTDZ($A$1,$B16,FD$1)</f>
        <v>3037.75</v>
      </c>
      <c r="FE16" s="116" cm="1">
        <f t="array" ref="FE16">_xll.EQNXTDZ($A$1,$B16,FE$1)</f>
        <v>2841.35</v>
      </c>
      <c r="FF16" s="116" cm="1">
        <f t="array" ref="FF16">_xll.EQNXTDZ($A$1,$B16,FF$1)</f>
        <v>2823.35</v>
      </c>
      <c r="FG16" s="116" cm="1">
        <f t="array" ref="FG16">_xll.EQNXTDZ($A$1,$B16,FG$1)</f>
        <v>2927.4</v>
      </c>
      <c r="FH16" s="116" cm="1">
        <f t="array" ref="FH16">_xll.EQNXTDZ($A$1,$B16,FH$1)</f>
        <v>2928.6</v>
      </c>
      <c r="FI16" s="116" cm="1">
        <f t="array" ref="FI16">_xll.EQNXTDZ($A$1,$B16,FI$1)</f>
        <v>3074.4</v>
      </c>
      <c r="FJ16" s="116" cm="1">
        <f t="array" ref="FJ16">_xll.EQNXTDZ($A$1,$B16,FJ$1)</f>
        <v>2816</v>
      </c>
      <c r="FK16" s="116" cm="1">
        <f t="array" ref="FK16">_xll.EQNXTDZ($A$1,$B16,FK$1)</f>
        <v>2562.9</v>
      </c>
      <c r="FL16" s="116" cm="1">
        <f t="array" ref="FL16">_xll.EQNXTDZ($A$1,$B16,FL$1)</f>
        <v>2437.1999999999998</v>
      </c>
      <c r="FM16" s="116" cm="1">
        <f t="array" ref="FM16">_xll.EQNXTDZ($A$1,$B16,FM$1)</f>
        <v>2519.1999999999998</v>
      </c>
      <c r="FN16" s="116" cm="1">
        <f t="array" ref="FN16">_xll.EQNXTDZ($A$1,$B16,FN$1)</f>
        <v>2718.75</v>
      </c>
      <c r="FO16" s="116" cm="1">
        <f t="array" ref="FO16">_xll.EQNXTDZ($A$1,$B16,FO$1)</f>
        <v>2742.15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44.82</v>
      </c>
      <c r="HQ16" s="116">
        <f>+I16</f>
        <v>40.14</v>
      </c>
      <c r="HR16" s="116">
        <f>+L16</f>
        <v>33.79</v>
      </c>
      <c r="HS16" s="116">
        <f>+O16</f>
        <v>28.85</v>
      </c>
      <c r="HT16" s="116">
        <f>+R16</f>
        <v>33</v>
      </c>
      <c r="HU16" s="116">
        <f>+U16</f>
        <v>44.31</v>
      </c>
      <c r="HV16" s="116">
        <f>+X16</f>
        <v>72.03</v>
      </c>
      <c r="HW16" s="116">
        <f>+AA16</f>
        <v>118.5</v>
      </c>
      <c r="HX16" s="116">
        <f>+AD16</f>
        <v>150.5</v>
      </c>
      <c r="HY16" s="116">
        <f>+AG16</f>
        <v>174.59</v>
      </c>
      <c r="HZ16" s="116">
        <f>+AJ16</f>
        <v>198</v>
      </c>
      <c r="IA16" s="116">
        <f>+AM16</f>
        <v>245.92</v>
      </c>
      <c r="IB16" s="116">
        <f>+AP16</f>
        <v>224.43</v>
      </c>
      <c r="IC16" s="116">
        <f>+AS16</f>
        <v>252.63</v>
      </c>
      <c r="ID16" s="116">
        <f>+AV16</f>
        <v>261.17</v>
      </c>
      <c r="IE16" s="116">
        <f>+AY16</f>
        <v>262.43</v>
      </c>
      <c r="IF16" s="116">
        <f>+BB16</f>
        <v>355.02</v>
      </c>
      <c r="IG16" s="116">
        <f>+BE16</f>
        <v>308.44</v>
      </c>
      <c r="IH16" s="116">
        <f>+BH16</f>
        <v>325.19</v>
      </c>
      <c r="II16" s="116">
        <f>+BK16</f>
        <v>307.70999999999998</v>
      </c>
      <c r="IJ16" s="116">
        <f>+BN16</f>
        <v>307.76</v>
      </c>
      <c r="IK16" s="116">
        <f>+BQ16</f>
        <v>396.82</v>
      </c>
      <c r="IL16" s="116">
        <f>+BT16</f>
        <v>391.56</v>
      </c>
      <c r="IM16" s="116">
        <f>+BW16</f>
        <v>338.97</v>
      </c>
      <c r="IN16" s="116">
        <f>+BZ16</f>
        <v>341.24</v>
      </c>
      <c r="IO16" s="116">
        <f>+CC16</f>
        <v>399.71</v>
      </c>
      <c r="IP16" s="116">
        <f>+CF16</f>
        <v>480.82</v>
      </c>
      <c r="IQ16" s="116">
        <f>+CI16</f>
        <v>608.70000000000005</v>
      </c>
      <c r="IR16" s="116">
        <f>+CL16</f>
        <v>550.35</v>
      </c>
      <c r="IS16" s="116">
        <f>+CO16</f>
        <v>687.17</v>
      </c>
      <c r="IT16" s="116">
        <f>+CR16</f>
        <v>555.86</v>
      </c>
      <c r="IU16" s="116">
        <f>+CU16</f>
        <v>720.96</v>
      </c>
      <c r="IV16" s="116">
        <f>+CX16</f>
        <v>825.89</v>
      </c>
      <c r="IW16" s="116">
        <f>+DA16</f>
        <v>1114.3599999999999</v>
      </c>
      <c r="IX16" s="116">
        <f>+DD16</f>
        <v>1081.3</v>
      </c>
      <c r="IY16" s="116">
        <f>+DG16</f>
        <v>1454.94</v>
      </c>
      <c r="IZ16" s="116">
        <f>+DJ16</f>
        <v>2257.14</v>
      </c>
      <c r="JA16" s="116">
        <f>+DM16</f>
        <v>2420.5500000000002</v>
      </c>
      <c r="JB16" s="116">
        <f>+DP16</f>
        <v>2678.45</v>
      </c>
      <c r="JC16" s="116">
        <f>+DS16</f>
        <v>2249.35</v>
      </c>
      <c r="JD16" s="116">
        <f>+DV16</f>
        <v>2503.9</v>
      </c>
      <c r="JE16" s="116">
        <f>+DY16</f>
        <v>2291.6</v>
      </c>
      <c r="JF16" s="116">
        <f>+EB16</f>
        <v>2406.1999999999998</v>
      </c>
      <c r="JG16" s="116">
        <f>+EE16</f>
        <v>2290.25</v>
      </c>
      <c r="JH16" s="116">
        <f>+EH16</f>
        <v>2248.5500000000002</v>
      </c>
      <c r="JI16" s="116">
        <f>+EK16</f>
        <v>2480.0500000000002</v>
      </c>
      <c r="JJ16" s="116">
        <f>+EN16</f>
        <v>2557.5500000000002</v>
      </c>
      <c r="JK16" s="116">
        <f>EQ16</f>
        <v>2432.4</v>
      </c>
      <c r="JL16" s="116">
        <f>ET16</f>
        <v>2497.3000000000002</v>
      </c>
      <c r="JM16" s="116">
        <f>EW16</f>
        <v>2237.5</v>
      </c>
      <c r="JN16" s="116">
        <f>EZ16</f>
        <v>2939.35</v>
      </c>
      <c r="JO16" s="116">
        <f>FC16</f>
        <v>3244.85</v>
      </c>
      <c r="JP16" s="116">
        <f>FF16</f>
        <v>2823.35</v>
      </c>
      <c r="JQ16" s="116">
        <f>FI16</f>
        <v>3074.4</v>
      </c>
      <c r="JR16" s="116">
        <f>FL16</f>
        <v>2437.1999999999998</v>
      </c>
      <c r="JS16" s="116">
        <f>FO16</f>
        <v>2742.15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49.6</v>
      </c>
      <c r="HQ19" s="116">
        <f t="shared" ref="HQ19:JI21" si="1">+IF(HQ14=0,HQ7,HQ14)</f>
        <v>48.03</v>
      </c>
      <c r="HR19" s="116">
        <f t="shared" si="1"/>
        <v>42</v>
      </c>
      <c r="HS19" s="116">
        <f t="shared" si="1"/>
        <v>37.5</v>
      </c>
      <c r="HT19" s="116">
        <f t="shared" si="1"/>
        <v>34.200000000000003</v>
      </c>
      <c r="HU19" s="116">
        <f t="shared" si="1"/>
        <v>47.69</v>
      </c>
      <c r="HV19" s="116">
        <f t="shared" si="1"/>
        <v>74.2</v>
      </c>
      <c r="HW19" s="116">
        <f t="shared" si="1"/>
        <v>120.8</v>
      </c>
      <c r="HX19" s="116">
        <f t="shared" si="1"/>
        <v>155</v>
      </c>
      <c r="HY19" s="116">
        <f t="shared" si="1"/>
        <v>191.4</v>
      </c>
      <c r="HZ19" s="116">
        <f t="shared" si="1"/>
        <v>204.86</v>
      </c>
      <c r="IA19" s="116">
        <f t="shared" si="1"/>
        <v>250.02</v>
      </c>
      <c r="IB19" s="116">
        <f t="shared" si="1"/>
        <v>299.11</v>
      </c>
      <c r="IC19" s="116">
        <f t="shared" si="1"/>
        <v>278.60000000000002</v>
      </c>
      <c r="ID19" s="116">
        <f t="shared" si="1"/>
        <v>272.02</v>
      </c>
      <c r="IE19" s="116">
        <f t="shared" si="1"/>
        <v>293.45</v>
      </c>
      <c r="IF19" s="116">
        <f t="shared" si="1"/>
        <v>364.81</v>
      </c>
      <c r="IG19" s="116">
        <f t="shared" si="1"/>
        <v>393.9</v>
      </c>
      <c r="IH19" s="116">
        <f t="shared" si="1"/>
        <v>356.78</v>
      </c>
      <c r="II19" s="116">
        <f t="shared" si="1"/>
        <v>372</v>
      </c>
      <c r="IJ19" s="116">
        <f t="shared" si="1"/>
        <v>329</v>
      </c>
      <c r="IK19" s="116">
        <f t="shared" si="1"/>
        <v>399.4</v>
      </c>
      <c r="IL19" s="116">
        <f t="shared" si="1"/>
        <v>409</v>
      </c>
      <c r="IM19" s="116">
        <f t="shared" si="1"/>
        <v>488.6</v>
      </c>
      <c r="IN19" s="116">
        <f t="shared" si="1"/>
        <v>416.6</v>
      </c>
      <c r="IO19" s="116">
        <f t="shared" si="1"/>
        <v>455</v>
      </c>
      <c r="IP19" s="116">
        <f t="shared" si="1"/>
        <v>495.28</v>
      </c>
      <c r="IQ19" s="116">
        <f t="shared" si="1"/>
        <v>615.1</v>
      </c>
      <c r="IR19" s="116">
        <f t="shared" si="1"/>
        <v>618</v>
      </c>
      <c r="IS19" s="116">
        <f t="shared" si="1"/>
        <v>690.96</v>
      </c>
      <c r="IT19" s="116">
        <f t="shared" si="1"/>
        <v>851.78</v>
      </c>
      <c r="IU19" s="116">
        <f t="shared" si="1"/>
        <v>769.94</v>
      </c>
      <c r="IV19" s="116">
        <f t="shared" si="1"/>
        <v>895</v>
      </c>
      <c r="IW19" s="116">
        <f t="shared" si="1"/>
        <v>1128</v>
      </c>
      <c r="IX19" s="116">
        <f t="shared" si="1"/>
        <v>1215</v>
      </c>
      <c r="IY19" s="116">
        <f t="shared" si="1"/>
        <v>1461.45</v>
      </c>
      <c r="IZ19" s="116">
        <f t="shared" si="1"/>
        <v>2281.8000000000002</v>
      </c>
      <c r="JA19" s="116">
        <f t="shared" si="1"/>
        <v>2544</v>
      </c>
      <c r="JB19" s="116">
        <f t="shared" si="1"/>
        <v>2734</v>
      </c>
      <c r="JC19" s="116">
        <f t="shared" si="1"/>
        <v>2773</v>
      </c>
      <c r="JD19" s="116">
        <f t="shared" si="1"/>
        <v>2864.35</v>
      </c>
      <c r="JE19" s="116">
        <f t="shared" si="1"/>
        <v>2639.8</v>
      </c>
      <c r="JF19" s="116">
        <f t="shared" si="1"/>
        <v>2433.35</v>
      </c>
      <c r="JG19" s="116">
        <f t="shared" si="1"/>
        <v>2636.65</v>
      </c>
      <c r="JH19" s="116">
        <f t="shared" si="1"/>
        <v>2475.4499999999998</v>
      </c>
      <c r="JI19" s="116">
        <f t="shared" si="1"/>
        <v>2529.6</v>
      </c>
      <c r="JJ19" s="116">
        <f t="shared" ref="JJ19:JJ21" si="2">+IF(JJ14=0,JJ7,JJ14)</f>
        <v>2600</v>
      </c>
      <c r="JK19" s="116">
        <f t="shared" ref="JK19" si="3">+IF(JK14=0,JK7,JK14)</f>
        <v>2697.45</v>
      </c>
      <c r="JL19" s="116">
        <f t="shared" ref="JL19:JM19" si="4">+IF(JL14=0,JL7,JL14)</f>
        <v>2658</v>
      </c>
      <c r="JM19" s="116">
        <f t="shared" si="4"/>
        <v>2498.9</v>
      </c>
      <c r="JN19" s="116">
        <f t="shared" ref="JN19:JO19" si="5">+IF(JN14=0,JN7,JN14)</f>
        <v>3074.95</v>
      </c>
      <c r="JO19" s="116">
        <f t="shared" si="5"/>
        <v>3251.3</v>
      </c>
      <c r="JP19" s="116">
        <f t="shared" ref="JP19" si="6">+IF(JP14=0,JP7,JP14)</f>
        <v>3319</v>
      </c>
      <c r="JQ19" s="116">
        <f t="shared" ref="JQ19:KH19" si="7">+IF(JQ14=0,JQ7,JQ14)</f>
        <v>3238.75</v>
      </c>
      <c r="JR19" s="116">
        <f t="shared" si="7"/>
        <v>3118.65</v>
      </c>
      <c r="JS19" s="116">
        <f t="shared" si="7"/>
        <v>2830.5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39.200000000000003</v>
      </c>
      <c r="HQ20" s="116">
        <f t="shared" si="8"/>
        <v>39.6</v>
      </c>
      <c r="HR20" s="116">
        <f t="shared" si="8"/>
        <v>32.72</v>
      </c>
      <c r="HS20" s="116">
        <f t="shared" si="8"/>
        <v>28</v>
      </c>
      <c r="HT20" s="116">
        <f t="shared" si="8"/>
        <v>25.11</v>
      </c>
      <c r="HU20" s="116">
        <f t="shared" si="8"/>
        <v>31.8</v>
      </c>
      <c r="HV20" s="116">
        <f t="shared" si="8"/>
        <v>39.4</v>
      </c>
      <c r="HW20" s="116">
        <f t="shared" si="8"/>
        <v>65.22</v>
      </c>
      <c r="HX20" s="116">
        <f t="shared" si="8"/>
        <v>99.6</v>
      </c>
      <c r="HY20" s="116">
        <f t="shared" si="8"/>
        <v>130.36000000000001</v>
      </c>
      <c r="HZ20" s="116">
        <f t="shared" si="8"/>
        <v>168.6</v>
      </c>
      <c r="IA20" s="116">
        <f t="shared" si="8"/>
        <v>179.81</v>
      </c>
      <c r="IB20" s="116">
        <f t="shared" si="8"/>
        <v>203.8</v>
      </c>
      <c r="IC20" s="116">
        <f t="shared" si="8"/>
        <v>223.6</v>
      </c>
      <c r="ID20" s="116">
        <f t="shared" si="8"/>
        <v>204.4</v>
      </c>
      <c r="IE20" s="116">
        <f t="shared" si="8"/>
        <v>233.1</v>
      </c>
      <c r="IF20" s="116">
        <f t="shared" si="1"/>
        <v>259.22000000000003</v>
      </c>
      <c r="IG20" s="116">
        <f t="shared" si="1"/>
        <v>270.43</v>
      </c>
      <c r="IH20" s="116">
        <f t="shared" si="1"/>
        <v>301.8</v>
      </c>
      <c r="II20" s="116">
        <f t="shared" si="1"/>
        <v>301.05</v>
      </c>
      <c r="IJ20" s="116">
        <f t="shared" si="1"/>
        <v>284</v>
      </c>
      <c r="IK20" s="116">
        <f t="shared" si="1"/>
        <v>306.45</v>
      </c>
      <c r="IL20" s="116">
        <f t="shared" si="1"/>
        <v>325.39999999999998</v>
      </c>
      <c r="IM20" s="116">
        <f t="shared" si="1"/>
        <v>322.91000000000003</v>
      </c>
      <c r="IN20" s="116">
        <f t="shared" si="1"/>
        <v>306.2</v>
      </c>
      <c r="IO20" s="116">
        <f t="shared" si="1"/>
        <v>323.32</v>
      </c>
      <c r="IP20" s="116">
        <f t="shared" si="1"/>
        <v>389.64</v>
      </c>
      <c r="IQ20" s="116">
        <f t="shared" si="1"/>
        <v>440.2</v>
      </c>
      <c r="IR20" s="116">
        <f t="shared" si="1"/>
        <v>510.37</v>
      </c>
      <c r="IS20" s="116">
        <f t="shared" si="1"/>
        <v>518</v>
      </c>
      <c r="IT20" s="116">
        <f t="shared" si="1"/>
        <v>498.44</v>
      </c>
      <c r="IU20" s="116">
        <f t="shared" si="1"/>
        <v>513.16</v>
      </c>
      <c r="IV20" s="116">
        <f t="shared" si="1"/>
        <v>717.2</v>
      </c>
      <c r="IW20" s="116">
        <f t="shared" si="1"/>
        <v>818.01</v>
      </c>
      <c r="IX20" s="116">
        <f t="shared" si="1"/>
        <v>1026.6300000000001</v>
      </c>
      <c r="IY20" s="116">
        <f t="shared" si="1"/>
        <v>1082</v>
      </c>
      <c r="IZ20" s="116">
        <f t="shared" si="1"/>
        <v>1450</v>
      </c>
      <c r="JA20" s="116">
        <f t="shared" si="1"/>
        <v>1975</v>
      </c>
      <c r="JB20" s="116">
        <f t="shared" si="1"/>
        <v>2106.35</v>
      </c>
      <c r="JC20" s="116">
        <f t="shared" si="1"/>
        <v>2081</v>
      </c>
      <c r="JD20" s="116">
        <f t="shared" si="1"/>
        <v>2002.5</v>
      </c>
      <c r="JE20" s="116">
        <f t="shared" si="1"/>
        <v>2209</v>
      </c>
      <c r="JF20" s="116">
        <f t="shared" si="1"/>
        <v>2082.15</v>
      </c>
      <c r="JG20" s="116">
        <f t="shared" si="1"/>
        <v>2285</v>
      </c>
      <c r="JH20" s="116">
        <f t="shared" si="1"/>
        <v>2050</v>
      </c>
      <c r="JI20" s="116">
        <f t="shared" si="1"/>
        <v>2081.25</v>
      </c>
      <c r="JJ20" s="116">
        <f t="shared" si="2"/>
        <v>2205.0500000000002</v>
      </c>
      <c r="JK20" s="116">
        <f t="shared" ref="JK20" si="9">+IF(JK15=0,JK8,JK15)</f>
        <v>2088.5500000000002</v>
      </c>
      <c r="JL20" s="116">
        <f t="shared" ref="JL20:JM20" si="10">+IF(JL15=0,JL8,JL15)</f>
        <v>2283.85</v>
      </c>
      <c r="JM20" s="116">
        <f t="shared" si="10"/>
        <v>2127.5500000000002</v>
      </c>
      <c r="JN20" s="116">
        <f t="shared" ref="JN20:JO20" si="11">+IF(JN15=0,JN8,JN15)</f>
        <v>2200</v>
      </c>
      <c r="JO20" s="116">
        <f t="shared" si="11"/>
        <v>2569.9499999999998</v>
      </c>
      <c r="JP20" s="116">
        <f t="shared" ref="JP20" si="12">+IF(JP15=0,JP8,JP15)</f>
        <v>2790</v>
      </c>
      <c r="JQ20" s="116">
        <f t="shared" ref="JQ20:KH20" si="13">+IF(JQ15=0,JQ8,JQ15)</f>
        <v>2771</v>
      </c>
      <c r="JR20" s="116">
        <f t="shared" si="13"/>
        <v>2313.75</v>
      </c>
      <c r="JS20" s="116">
        <f t="shared" si="13"/>
        <v>2356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44.82</v>
      </c>
      <c r="HQ21" s="116">
        <f t="shared" si="1"/>
        <v>40.14</v>
      </c>
      <c r="HR21" s="116">
        <f t="shared" si="1"/>
        <v>33.79</v>
      </c>
      <c r="HS21" s="116">
        <f t="shared" si="1"/>
        <v>28.85</v>
      </c>
      <c r="HT21" s="116">
        <f t="shared" si="1"/>
        <v>33</v>
      </c>
      <c r="HU21" s="116">
        <f t="shared" si="1"/>
        <v>44.31</v>
      </c>
      <c r="HV21" s="116">
        <f t="shared" si="1"/>
        <v>72.03</v>
      </c>
      <c r="HW21" s="116">
        <f t="shared" si="1"/>
        <v>118.5</v>
      </c>
      <c r="HX21" s="116">
        <f t="shared" si="1"/>
        <v>150.5</v>
      </c>
      <c r="HY21" s="116">
        <f t="shared" si="1"/>
        <v>174.59</v>
      </c>
      <c r="HZ21" s="116">
        <f t="shared" si="1"/>
        <v>198</v>
      </c>
      <c r="IA21" s="116">
        <f t="shared" si="1"/>
        <v>245.92</v>
      </c>
      <c r="IB21" s="116">
        <f t="shared" si="1"/>
        <v>224.43</v>
      </c>
      <c r="IC21" s="116">
        <f t="shared" si="1"/>
        <v>252.63</v>
      </c>
      <c r="ID21" s="116">
        <f t="shared" si="1"/>
        <v>261.17</v>
      </c>
      <c r="IE21" s="116">
        <f t="shared" si="1"/>
        <v>262.43</v>
      </c>
      <c r="IF21" s="116">
        <f t="shared" si="1"/>
        <v>355.02</v>
      </c>
      <c r="IG21" s="116">
        <f t="shared" si="1"/>
        <v>308.44</v>
      </c>
      <c r="IH21" s="116">
        <f t="shared" si="1"/>
        <v>325.19</v>
      </c>
      <c r="II21" s="116">
        <f t="shared" si="1"/>
        <v>307.70999999999998</v>
      </c>
      <c r="IJ21" s="116">
        <f t="shared" si="1"/>
        <v>307.76</v>
      </c>
      <c r="IK21" s="116">
        <f t="shared" si="1"/>
        <v>396.82</v>
      </c>
      <c r="IL21" s="116">
        <f t="shared" si="1"/>
        <v>391.56</v>
      </c>
      <c r="IM21" s="116">
        <f t="shared" si="1"/>
        <v>338.97</v>
      </c>
      <c r="IN21" s="116">
        <f t="shared" si="1"/>
        <v>341.24</v>
      </c>
      <c r="IO21" s="116">
        <f t="shared" si="1"/>
        <v>399.71</v>
      </c>
      <c r="IP21" s="116">
        <f t="shared" si="1"/>
        <v>480.82</v>
      </c>
      <c r="IQ21" s="116">
        <f t="shared" si="1"/>
        <v>608.70000000000005</v>
      </c>
      <c r="IR21" s="116">
        <f t="shared" si="1"/>
        <v>550.35</v>
      </c>
      <c r="IS21" s="116">
        <f t="shared" si="1"/>
        <v>687.17</v>
      </c>
      <c r="IT21" s="116">
        <f t="shared" si="1"/>
        <v>555.86</v>
      </c>
      <c r="IU21" s="116">
        <f t="shared" si="1"/>
        <v>720.96</v>
      </c>
      <c r="IV21" s="116">
        <f t="shared" si="1"/>
        <v>825.89</v>
      </c>
      <c r="IW21" s="116">
        <f t="shared" si="1"/>
        <v>1114.3599999999999</v>
      </c>
      <c r="IX21" s="116">
        <f t="shared" si="1"/>
        <v>1081.3</v>
      </c>
      <c r="IY21" s="116">
        <f t="shared" si="1"/>
        <v>1454.94</v>
      </c>
      <c r="IZ21" s="116">
        <f t="shared" si="1"/>
        <v>2257.14</v>
      </c>
      <c r="JA21" s="116">
        <f t="shared" si="1"/>
        <v>2420.5500000000002</v>
      </c>
      <c r="JB21" s="116">
        <f t="shared" si="1"/>
        <v>2678.45</v>
      </c>
      <c r="JC21" s="116">
        <f t="shared" si="1"/>
        <v>2249.35</v>
      </c>
      <c r="JD21" s="116">
        <f t="shared" si="1"/>
        <v>2503.9</v>
      </c>
      <c r="JE21" s="116">
        <f t="shared" si="1"/>
        <v>2291.6</v>
      </c>
      <c r="JF21" s="116">
        <f t="shared" si="1"/>
        <v>2406.1999999999998</v>
      </c>
      <c r="JG21" s="116">
        <f t="shared" si="1"/>
        <v>2290.25</v>
      </c>
      <c r="JH21" s="116">
        <f t="shared" si="1"/>
        <v>2248.5500000000002</v>
      </c>
      <c r="JI21" s="116">
        <f t="shared" si="1"/>
        <v>2480.0500000000002</v>
      </c>
      <c r="JJ21" s="116">
        <f t="shared" si="2"/>
        <v>2557.5500000000002</v>
      </c>
      <c r="JK21" s="116">
        <f t="shared" ref="JK21" si="14">+IF(JK16=0,JK9,JK16)</f>
        <v>2432.4</v>
      </c>
      <c r="JL21" s="116">
        <f t="shared" ref="JL21:JM21" si="15">+IF(JL16=0,JL9,JL16)</f>
        <v>2497.3000000000002</v>
      </c>
      <c r="JM21" s="116">
        <f t="shared" si="15"/>
        <v>2237.5</v>
      </c>
      <c r="JN21" s="116">
        <f t="shared" ref="JN21:JO21" si="16">+IF(JN16=0,JN9,JN16)</f>
        <v>2939.35</v>
      </c>
      <c r="JO21" s="116">
        <f t="shared" si="16"/>
        <v>3244.85</v>
      </c>
      <c r="JP21" s="116">
        <f t="shared" ref="JP21" si="17">+IF(JP16=0,JP9,JP16)</f>
        <v>2823.35</v>
      </c>
      <c r="JQ21" s="116">
        <f t="shared" ref="JQ21:KH21" si="18">+IF(JQ16=0,JQ9,JQ16)</f>
        <v>3074.4</v>
      </c>
      <c r="JR21" s="116">
        <f t="shared" si="18"/>
        <v>2437.1999999999998</v>
      </c>
      <c r="JS21" s="116">
        <f t="shared" si="18"/>
        <v>2742.15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103806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57420500</v>
      </c>
      <c r="D6" cm="1">
        <f t="array" ref="D6">_xll.EQNXTDZ($A$1,$B6,D$1)</f>
        <v>57420500</v>
      </c>
      <c r="E6" cm="1">
        <f t="array" ref="E6">_xll.EQNXTDZ($A$1,$B6,E$1)</f>
        <v>57420500</v>
      </c>
      <c r="F6" cm="1">
        <f t="array" ref="F6">_xll.EQNXTDZ($A$1,$B6,F$1)</f>
        <v>57420500</v>
      </c>
      <c r="G6" cm="1">
        <f t="array" ref="G6">_xll.EQNXTDZ($A$1,$B6,G$1)</f>
        <v>57420500</v>
      </c>
      <c r="H6" cm="1">
        <f t="array" ref="H6">_xll.EQNXTDZ($A$1,$B6,H$1)</f>
        <v>57420500</v>
      </c>
      <c r="I6" cm="1">
        <f t="array" ref="I6">_xll.EQNXTDZ($A$1,$B6,I$1)</f>
        <v>57420500</v>
      </c>
      <c r="J6" cm="1">
        <f t="array" ref="J6">_xll.EQNXTDZ($A$1,$B6,J$1)</f>
        <v>57420500</v>
      </c>
      <c r="K6" cm="1">
        <f t="array" ref="K6">_xll.EQNXTDZ($A$1,$B6,K$1)</f>
        <v>57420500</v>
      </c>
      <c r="L6" cm="1">
        <f t="array" ref="L6">_xll.EQNXTDZ($A$1,$B6,L$1)</f>
        <v>57420500</v>
      </c>
      <c r="M6" cm="1">
        <f t="array" ref="M6">_xll.EQNXTDZ($A$1,$B6,M$1)</f>
        <v>57420500</v>
      </c>
      <c r="N6" cm="1">
        <f t="array" ref="N6">_xll.EQNXTDZ($A$1,$B6,N$1)</f>
        <v>57420500</v>
      </c>
      <c r="O6" cm="1">
        <f t="array" ref="O6">_xll.EQNXTDZ($A$1,$B6,O$1)</f>
        <v>57420500</v>
      </c>
      <c r="P6" cm="1">
        <f t="array" ref="P6">_xll.EQNXTDZ($A$1,$B6,P$1)</f>
        <v>57420500</v>
      </c>
      <c r="Q6" cm="1">
        <f t="array" ref="Q6">_xll.EQNXTDZ($A$1,$B6,Q$1)</f>
        <v>57420500</v>
      </c>
      <c r="R6" cm="1">
        <f t="array" ref="R6">_xll.EQNXTDZ($A$1,$B6,R$1)</f>
        <v>57420500</v>
      </c>
      <c r="S6" cm="1">
        <f t="array" ref="S6">_xll.EQNXTDZ($A$1,$B6,S$1)</f>
        <v>57420500</v>
      </c>
      <c r="T6" cm="1">
        <f t="array" ref="T6">_xll.EQNXTDZ($A$1,$B6,T$1)</f>
        <v>57420500</v>
      </c>
      <c r="U6" cm="1">
        <f t="array" ref="U6">_xll.EQNXTDZ($A$1,$B6,U$1)</f>
        <v>57420500</v>
      </c>
      <c r="V6" cm="1">
        <f t="array" ref="V6">_xll.EQNXTDZ($A$1,$B6,V$1)</f>
        <v>57420500</v>
      </c>
      <c r="W6" cm="1">
        <f t="array" ref="W6">_xll.EQNXTDZ($A$1,$B6,W$1)</f>
        <v>57420500</v>
      </c>
      <c r="X6" cm="1">
        <f t="array" ref="X6">_xll.EQNXTDZ($A$1,$B6,X$1)</f>
        <v>57420500</v>
      </c>
      <c r="Y6" cm="1">
        <f t="array" ref="Y6">_xll.EQNXTDZ($A$1,$B6,Y$1)</f>
        <v>57420500</v>
      </c>
      <c r="Z6" cm="1">
        <f t="array" ref="Z6">_xll.EQNXTDZ($A$1,$B6,Z$1)</f>
        <v>57420500</v>
      </c>
      <c r="AA6" cm="1">
        <f t="array" ref="AA6">_xll.EQNXTDZ($A$1,$B6,AA$1)</f>
        <v>57420500</v>
      </c>
      <c r="AB6" cm="1">
        <f t="array" ref="AB6">_xll.EQNXTDZ($A$1,$B6,AB$1)</f>
        <v>57480500</v>
      </c>
      <c r="AC6" cm="1">
        <f t="array" ref="AC6">_xll.EQNXTDZ($A$1,$B6,AC$1)</f>
        <v>57480500</v>
      </c>
      <c r="AD6" cm="1">
        <f t="array" ref="AD6">_xll.EQNXTDZ($A$1,$B6,AD$1)</f>
        <v>57480500</v>
      </c>
      <c r="AE6" cm="1">
        <f t="array" ref="AE6">_xll.EQNXTDZ($A$1,$B6,AE$1)</f>
        <v>57480500</v>
      </c>
      <c r="AF6" cm="1">
        <f t="array" ref="AF6">_xll.EQNXTDZ($A$1,$B6,AF$1)</f>
        <v>57480500</v>
      </c>
      <c r="AG6" cm="1">
        <f t="array" ref="AG6">_xll.EQNXTDZ($A$1,$B6,AG$1)</f>
        <v>57480500</v>
      </c>
      <c r="AH6" cm="1">
        <f t="array" ref="AH6">_xll.EQNXTDZ($A$1,$B6,AH$1)</f>
        <v>57480500</v>
      </c>
      <c r="AI6" cm="1">
        <f t="array" ref="AI6">_xll.EQNXTDZ($A$1,$B6,AI$1)</f>
        <v>57480500</v>
      </c>
      <c r="AJ6" cm="1">
        <f t="array" ref="AJ6">_xll.EQNXTDZ($A$1,$B6,AJ$1)</f>
        <v>57480500</v>
      </c>
      <c r="AK6" cm="1">
        <f t="array" ref="AK6">_xll.EQNXTDZ($A$1,$B6,AK$1)</f>
        <v>59245205</v>
      </c>
      <c r="AL6" cm="1">
        <f t="array" ref="AL6">_xll.EQNXTDZ($A$1,$B6,AL$1)</f>
        <v>59245205</v>
      </c>
      <c r="AM6" cm="1">
        <f t="array" ref="AM6">_xll.EQNXTDZ($A$1,$B6,AM$1)</f>
        <v>59245205</v>
      </c>
      <c r="AN6" cm="1">
        <f t="array" ref="AN6">_xll.EQNXTDZ($A$1,$B6,AN$1)</f>
        <v>59245205</v>
      </c>
      <c r="AO6" cm="1">
        <f t="array" ref="AO6">_xll.EQNXTDZ($A$1,$B6,AO$1)</f>
        <v>296421025</v>
      </c>
      <c r="AP6" cm="1">
        <f t="array" ref="AP6">_xll.EQNXTDZ($A$1,$B6,AP$1)</f>
        <v>296421025</v>
      </c>
      <c r="AQ6" cm="1">
        <f t="array" ref="AQ6">_xll.EQNXTDZ($A$1,$B6,AQ$1)</f>
        <v>296421025</v>
      </c>
      <c r="AR6" cm="1">
        <f t="array" ref="AR6">_xll.EQNXTDZ($A$1,$B6,AR$1)</f>
        <v>296424825</v>
      </c>
      <c r="AS6" cm="1">
        <f t="array" ref="AS6">_xll.EQNXTDZ($A$1,$B6,AS$1)</f>
        <v>296424825</v>
      </c>
      <c r="AT6" cm="1">
        <f t="array" ref="AT6">_xll.EQNXTDZ($A$1,$B6,AT$1)</f>
        <v>296424825</v>
      </c>
      <c r="AU6" cm="1">
        <f t="array" ref="AU6">_xll.EQNXTDZ($A$1,$B6,AU$1)</f>
        <v>296424825</v>
      </c>
      <c r="AV6" cm="1">
        <f t="array" ref="AV6">_xll.EQNXTDZ($A$1,$B6,AV$1)</f>
        <v>296424825</v>
      </c>
      <c r="AW6" cm="1">
        <f t="array" ref="AW6">_xll.EQNXTDZ($A$1,$B6,AW$1)</f>
        <v>296424825</v>
      </c>
      <c r="AX6" cm="1">
        <f t="array" ref="AX6">_xll.EQNXTDZ($A$1,$B6,AX$1)</f>
        <v>296424825</v>
      </c>
      <c r="AY6" cm="1">
        <f t="array" ref="AY6">_xll.EQNXTDZ($A$1,$B6,AY$1)</f>
        <v>296424825</v>
      </c>
    </row>
    <row r="7" spans="1:51" x14ac:dyDescent="0.25">
      <c r="B7" t="s">
        <v>429</v>
      </c>
      <c r="C7" s="100">
        <f>+C6/10^7</f>
        <v>5.7420499999999999</v>
      </c>
      <c r="D7" s="100">
        <f t="shared" ref="D7:X7" si="0">+D6/10^7</f>
        <v>5.7420499999999999</v>
      </c>
      <c r="E7" s="100">
        <f t="shared" si="0"/>
        <v>5.7420499999999999</v>
      </c>
      <c r="F7" s="100">
        <f t="shared" si="0"/>
        <v>5.7420499999999999</v>
      </c>
      <c r="G7" s="100">
        <f t="shared" si="0"/>
        <v>5.7420499999999999</v>
      </c>
      <c r="H7" s="100">
        <f t="shared" si="0"/>
        <v>5.7420499999999999</v>
      </c>
      <c r="I7" s="100">
        <f t="shared" si="0"/>
        <v>5.7420499999999999</v>
      </c>
      <c r="J7" s="100">
        <f t="shared" si="0"/>
        <v>5.7420499999999999</v>
      </c>
      <c r="K7" s="100">
        <f t="shared" si="0"/>
        <v>5.7420499999999999</v>
      </c>
      <c r="L7" s="100">
        <f t="shared" si="0"/>
        <v>5.7420499999999999</v>
      </c>
      <c r="M7" s="100">
        <f t="shared" si="0"/>
        <v>5.7420499999999999</v>
      </c>
      <c r="N7" s="100">
        <f t="shared" si="0"/>
        <v>5.7420499999999999</v>
      </c>
      <c r="O7" s="100">
        <f t="shared" si="0"/>
        <v>5.7420499999999999</v>
      </c>
      <c r="P7" s="100">
        <f t="shared" si="0"/>
        <v>5.7420499999999999</v>
      </c>
      <c r="Q7" s="100">
        <f t="shared" si="0"/>
        <v>5.7420499999999999</v>
      </c>
      <c r="R7" s="100">
        <f t="shared" si="0"/>
        <v>5.7420499999999999</v>
      </c>
      <c r="S7" s="100">
        <f t="shared" si="0"/>
        <v>5.7420499999999999</v>
      </c>
      <c r="T7" s="100">
        <f t="shared" si="0"/>
        <v>5.7420499999999999</v>
      </c>
      <c r="U7" s="100">
        <f t="shared" si="0"/>
        <v>5.7420499999999999</v>
      </c>
      <c r="V7" s="100">
        <f t="shared" si="0"/>
        <v>5.7420499999999999</v>
      </c>
      <c r="W7" s="100">
        <f t="shared" si="0"/>
        <v>5.7420499999999999</v>
      </c>
      <c r="X7" s="100">
        <f t="shared" si="0"/>
        <v>5.7420499999999999</v>
      </c>
      <c r="Y7" s="100">
        <f t="shared" ref="Y7:AS7" si="1">+Y6/10^7</f>
        <v>5.7420499999999999</v>
      </c>
      <c r="Z7" s="100">
        <f t="shared" si="1"/>
        <v>5.7420499999999999</v>
      </c>
      <c r="AA7" s="100">
        <f t="shared" si="1"/>
        <v>5.7420499999999999</v>
      </c>
      <c r="AB7" s="100">
        <f t="shared" si="1"/>
        <v>5.7480500000000001</v>
      </c>
      <c r="AC7" s="100">
        <f t="shared" si="1"/>
        <v>5.7480500000000001</v>
      </c>
      <c r="AD7" s="100">
        <f t="shared" si="1"/>
        <v>5.7480500000000001</v>
      </c>
      <c r="AE7" s="100">
        <f t="shared" si="1"/>
        <v>5.7480500000000001</v>
      </c>
      <c r="AF7" s="100">
        <f t="shared" si="1"/>
        <v>5.7480500000000001</v>
      </c>
      <c r="AG7" s="100">
        <f t="shared" si="1"/>
        <v>5.7480500000000001</v>
      </c>
      <c r="AH7" s="100">
        <f t="shared" si="1"/>
        <v>5.7480500000000001</v>
      </c>
      <c r="AI7" s="100">
        <f t="shared" si="1"/>
        <v>5.7480500000000001</v>
      </c>
      <c r="AJ7" s="100">
        <f t="shared" si="1"/>
        <v>5.7480500000000001</v>
      </c>
      <c r="AK7" s="100">
        <f t="shared" si="1"/>
        <v>5.9245204999999999</v>
      </c>
      <c r="AL7" s="100">
        <f t="shared" si="1"/>
        <v>5.9245204999999999</v>
      </c>
      <c r="AM7" s="100">
        <f t="shared" si="1"/>
        <v>5.9245204999999999</v>
      </c>
      <c r="AN7" s="100">
        <f t="shared" si="1"/>
        <v>5.9245204999999999</v>
      </c>
      <c r="AO7" s="100">
        <f t="shared" si="1"/>
        <v>29.6421025</v>
      </c>
      <c r="AP7" s="100">
        <f t="shared" si="1"/>
        <v>29.6421025</v>
      </c>
      <c r="AQ7" s="100">
        <f t="shared" si="1"/>
        <v>29.6421025</v>
      </c>
      <c r="AR7" s="100">
        <f t="shared" si="1"/>
        <v>29.6424825</v>
      </c>
      <c r="AS7" s="100">
        <f t="shared" si="1"/>
        <v>29.6424825</v>
      </c>
      <c r="AT7" s="100">
        <f t="shared" ref="AT7:AX7" si="2">+AT6/10^7</f>
        <v>29.6424825</v>
      </c>
      <c r="AU7" s="100">
        <f t="shared" si="2"/>
        <v>29.6424825</v>
      </c>
      <c r="AV7" s="100">
        <f t="shared" si="2"/>
        <v>29.6424825</v>
      </c>
      <c r="AW7" s="100">
        <f t="shared" si="2"/>
        <v>29.6424825</v>
      </c>
      <c r="AX7" s="100">
        <f t="shared" si="2"/>
        <v>29.6424825</v>
      </c>
      <c r="AY7" s="100">
        <f t="shared" ref="AY7" si="3">+AY6/10^7</f>
        <v>29.6424825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103806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3" t="s">
        <v>547</v>
      </c>
      <c r="L2" s="163" t="s">
        <v>547</v>
      </c>
    </row>
    <row r="3" spans="1:18" x14ac:dyDescent="0.25">
      <c r="A3" s="164" t="s">
        <v>515</v>
      </c>
      <c r="B3" s="165" t="s">
        <v>516</v>
      </c>
      <c r="C3" s="165" t="s">
        <v>517</v>
      </c>
      <c r="D3" s="165" t="s">
        <v>518</v>
      </c>
      <c r="E3" s="165" t="s">
        <v>519</v>
      </c>
      <c r="F3" s="165" t="s">
        <v>520</v>
      </c>
      <c r="G3" s="165" t="s">
        <v>521</v>
      </c>
      <c r="H3" s="165"/>
      <c r="I3" s="165"/>
      <c r="J3" s="165"/>
      <c r="K3" s="165"/>
      <c r="L3" s="164" t="s">
        <v>515</v>
      </c>
      <c r="M3" s="166" t="s">
        <v>517</v>
      </c>
      <c r="N3" s="166" t="s">
        <v>516</v>
      </c>
      <c r="O3" s="166" t="s">
        <v>518</v>
      </c>
      <c r="P3" s="166" t="s">
        <v>519</v>
      </c>
      <c r="Q3" s="166" t="s">
        <v>520</v>
      </c>
      <c r="R3" s="165" t="s">
        <v>521</v>
      </c>
    </row>
    <row r="4" spans="1:18" x14ac:dyDescent="0.25">
      <c r="A4" s="163">
        <v>42005</v>
      </c>
      <c r="B4" s="116">
        <v>177.62</v>
      </c>
      <c r="C4" s="116">
        <v>175.93</v>
      </c>
      <c r="D4" s="116">
        <v>174.64</v>
      </c>
      <c r="E4" s="116">
        <v>175</v>
      </c>
      <c r="F4" s="116">
        <v>879.65</v>
      </c>
      <c r="G4">
        <v>16339</v>
      </c>
      <c r="H4" s="116"/>
      <c r="I4" s="116"/>
      <c r="L4" s="163">
        <v>42005</v>
      </c>
      <c r="M4" s="116">
        <v>175.28</v>
      </c>
      <c r="N4" s="116">
        <v>177.67</v>
      </c>
      <c r="O4" s="116">
        <v>174.25</v>
      </c>
      <c r="P4" s="116">
        <v>175.4</v>
      </c>
      <c r="Q4" s="116">
        <v>876.4</v>
      </c>
      <c r="R4">
        <v>108364</v>
      </c>
    </row>
    <row r="5" spans="1:18" x14ac:dyDescent="0.25">
      <c r="A5" s="163">
        <v>42006</v>
      </c>
      <c r="B5" s="116">
        <v>194.4</v>
      </c>
      <c r="C5" s="116">
        <v>184.48</v>
      </c>
      <c r="D5" s="116">
        <v>181.94</v>
      </c>
      <c r="E5" s="116">
        <v>182.65</v>
      </c>
      <c r="F5" s="116">
        <v>922.4</v>
      </c>
      <c r="G5">
        <v>333716</v>
      </c>
      <c r="H5" s="116"/>
      <c r="I5" s="116"/>
      <c r="L5" s="163">
        <v>42006</v>
      </c>
      <c r="M5" s="116">
        <v>184.35</v>
      </c>
      <c r="N5" s="116">
        <v>194.28</v>
      </c>
      <c r="O5" s="116">
        <v>181.8</v>
      </c>
      <c r="P5" s="116">
        <v>181.8</v>
      </c>
      <c r="Q5" s="116">
        <v>921.75</v>
      </c>
      <c r="R5">
        <v>1449954</v>
      </c>
    </row>
    <row r="6" spans="1:18" x14ac:dyDescent="0.25">
      <c r="A6" s="163">
        <v>42009</v>
      </c>
      <c r="B6" s="116">
        <v>187</v>
      </c>
      <c r="C6" s="116">
        <v>181.1</v>
      </c>
      <c r="D6" s="116">
        <v>180.2</v>
      </c>
      <c r="E6" s="116">
        <v>185.6</v>
      </c>
      <c r="F6" s="116">
        <v>905.5</v>
      </c>
      <c r="G6">
        <v>64798</v>
      </c>
      <c r="H6" s="116"/>
      <c r="I6" s="116"/>
      <c r="L6" s="163">
        <v>42009</v>
      </c>
      <c r="M6" s="116">
        <v>181.49</v>
      </c>
      <c r="N6" s="116">
        <v>187</v>
      </c>
      <c r="O6" s="116">
        <v>180.26</v>
      </c>
      <c r="P6" s="116">
        <v>185.6</v>
      </c>
      <c r="Q6" s="116">
        <v>907.45</v>
      </c>
      <c r="R6">
        <v>370407</v>
      </c>
    </row>
    <row r="7" spans="1:18" x14ac:dyDescent="0.25">
      <c r="A7" s="163">
        <v>42010</v>
      </c>
      <c r="B7" s="116">
        <v>180</v>
      </c>
      <c r="C7" s="116">
        <v>172.97</v>
      </c>
      <c r="D7" s="116">
        <v>172.4</v>
      </c>
      <c r="E7" s="116">
        <v>180</v>
      </c>
      <c r="F7" s="116">
        <v>864.85</v>
      </c>
      <c r="G7">
        <v>37243</v>
      </c>
      <c r="H7" s="116"/>
      <c r="I7" s="116"/>
      <c r="L7" s="163">
        <v>42010</v>
      </c>
      <c r="M7" s="116">
        <v>173.48</v>
      </c>
      <c r="N7" s="116">
        <v>180.2</v>
      </c>
      <c r="O7" s="116">
        <v>172.7</v>
      </c>
      <c r="P7" s="116">
        <v>180.2</v>
      </c>
      <c r="Q7" s="116">
        <v>867.4</v>
      </c>
      <c r="R7">
        <v>189835</v>
      </c>
    </row>
    <row r="8" spans="1:18" x14ac:dyDescent="0.25">
      <c r="A8" s="163">
        <v>42011</v>
      </c>
      <c r="B8" s="116">
        <v>174.06</v>
      </c>
      <c r="C8" s="116">
        <v>172.27</v>
      </c>
      <c r="D8" s="116">
        <v>169.06</v>
      </c>
      <c r="E8" s="116">
        <v>173.27</v>
      </c>
      <c r="F8" s="116">
        <v>861.35</v>
      </c>
      <c r="G8">
        <v>31351</v>
      </c>
      <c r="H8" s="116"/>
      <c r="I8" s="116"/>
      <c r="L8" s="163">
        <v>42011</v>
      </c>
      <c r="M8" s="116">
        <v>171.55</v>
      </c>
      <c r="N8" s="116">
        <v>174.37</v>
      </c>
      <c r="O8" s="116">
        <v>169</v>
      </c>
      <c r="P8" s="116">
        <v>173</v>
      </c>
      <c r="Q8" s="116">
        <v>857.75</v>
      </c>
      <c r="R8">
        <v>243982</v>
      </c>
    </row>
    <row r="9" spans="1:18" x14ac:dyDescent="0.25">
      <c r="A9" s="163">
        <v>42012</v>
      </c>
      <c r="B9" s="116">
        <v>176.16</v>
      </c>
      <c r="C9" s="116">
        <v>173.25</v>
      </c>
      <c r="D9" s="116">
        <v>172.52</v>
      </c>
      <c r="E9" s="116">
        <v>174</v>
      </c>
      <c r="F9" s="116">
        <v>866.25</v>
      </c>
      <c r="G9">
        <v>22253</v>
      </c>
      <c r="H9" s="116"/>
      <c r="I9" s="116"/>
      <c r="L9" s="163">
        <v>42012</v>
      </c>
      <c r="M9" s="116">
        <v>172.97</v>
      </c>
      <c r="N9" s="116">
        <v>175.99</v>
      </c>
      <c r="O9" s="116">
        <v>172.05</v>
      </c>
      <c r="P9" s="116">
        <v>173.2</v>
      </c>
      <c r="Q9" s="116">
        <v>864.85</v>
      </c>
      <c r="R9">
        <v>154345</v>
      </c>
    </row>
    <row r="10" spans="1:18" x14ac:dyDescent="0.25">
      <c r="A10" s="163">
        <v>42013</v>
      </c>
      <c r="B10" s="116">
        <v>174.95</v>
      </c>
      <c r="C10" s="116">
        <v>171.2</v>
      </c>
      <c r="D10" s="116">
        <v>169.77</v>
      </c>
      <c r="E10" s="116">
        <v>174.29</v>
      </c>
      <c r="F10" s="116">
        <v>856</v>
      </c>
      <c r="G10">
        <v>20936</v>
      </c>
      <c r="H10" s="116"/>
      <c r="I10" s="116"/>
      <c r="L10" s="163">
        <v>42013</v>
      </c>
      <c r="M10" s="116">
        <v>171.13</v>
      </c>
      <c r="N10" s="116">
        <v>175</v>
      </c>
      <c r="O10" s="116">
        <v>170.02</v>
      </c>
      <c r="P10" s="116">
        <v>174.4</v>
      </c>
      <c r="Q10" s="116">
        <v>855.65</v>
      </c>
      <c r="R10">
        <v>162387</v>
      </c>
    </row>
    <row r="11" spans="1:18" x14ac:dyDescent="0.25">
      <c r="A11" s="163">
        <v>42016</v>
      </c>
      <c r="B11" s="116">
        <v>172.8</v>
      </c>
      <c r="C11" s="116">
        <v>169.74</v>
      </c>
      <c r="D11" s="116">
        <v>169.02</v>
      </c>
      <c r="E11" s="116">
        <v>172</v>
      </c>
      <c r="F11" s="116">
        <v>848.7</v>
      </c>
      <c r="G11">
        <v>14286</v>
      </c>
      <c r="H11" s="116"/>
      <c r="I11" s="116"/>
      <c r="L11" s="163">
        <v>42016</v>
      </c>
      <c r="M11" s="116">
        <v>169.58</v>
      </c>
      <c r="N11" s="116">
        <v>172.66</v>
      </c>
      <c r="O11" s="116">
        <v>168.52</v>
      </c>
      <c r="P11" s="116">
        <v>171.98</v>
      </c>
      <c r="Q11" s="116">
        <v>847.9</v>
      </c>
      <c r="R11">
        <v>157667</v>
      </c>
    </row>
    <row r="12" spans="1:18" x14ac:dyDescent="0.25">
      <c r="A12" s="163">
        <v>42017</v>
      </c>
      <c r="B12" s="116">
        <v>184.8</v>
      </c>
      <c r="C12" s="116">
        <v>179.6</v>
      </c>
      <c r="D12" s="116">
        <v>168.6</v>
      </c>
      <c r="E12" s="116">
        <v>170.6</v>
      </c>
      <c r="F12" s="116">
        <v>898</v>
      </c>
      <c r="G12">
        <v>216933</v>
      </c>
      <c r="H12" s="116"/>
      <c r="I12" s="116"/>
      <c r="L12" s="163">
        <v>42017</v>
      </c>
      <c r="M12" s="116">
        <v>179.55</v>
      </c>
      <c r="N12" s="116">
        <v>184.88</v>
      </c>
      <c r="O12" s="116">
        <v>168.4</v>
      </c>
      <c r="P12" s="116">
        <v>169.01</v>
      </c>
      <c r="Q12" s="116">
        <v>897.75</v>
      </c>
      <c r="R12">
        <v>1057462</v>
      </c>
    </row>
    <row r="13" spans="1:18" x14ac:dyDescent="0.25">
      <c r="A13" s="163">
        <v>42018</v>
      </c>
      <c r="B13" s="116">
        <v>186.55</v>
      </c>
      <c r="C13" s="116">
        <v>182.7</v>
      </c>
      <c r="D13" s="116">
        <v>179.8</v>
      </c>
      <c r="E13" s="116">
        <v>181</v>
      </c>
      <c r="F13" s="116">
        <v>913.5</v>
      </c>
      <c r="G13">
        <v>121294</v>
      </c>
      <c r="H13" s="116"/>
      <c r="I13" s="116"/>
      <c r="L13" s="163">
        <v>42018</v>
      </c>
      <c r="M13" s="116">
        <v>183.36</v>
      </c>
      <c r="N13" s="116">
        <v>186.76</v>
      </c>
      <c r="O13" s="116">
        <v>179.8</v>
      </c>
      <c r="P13" s="116">
        <v>181.14</v>
      </c>
      <c r="Q13" s="116">
        <v>916.8</v>
      </c>
      <c r="R13">
        <v>676943</v>
      </c>
    </row>
    <row r="14" spans="1:18" x14ac:dyDescent="0.25">
      <c r="A14" s="163">
        <v>42019</v>
      </c>
      <c r="B14" s="116">
        <v>186.88</v>
      </c>
      <c r="C14" s="116">
        <v>183.05</v>
      </c>
      <c r="D14" s="116">
        <v>181.13</v>
      </c>
      <c r="E14" s="116">
        <v>186.8</v>
      </c>
      <c r="F14" s="116">
        <v>915.25</v>
      </c>
      <c r="G14">
        <v>51858</v>
      </c>
      <c r="H14" s="116"/>
      <c r="I14" s="116"/>
      <c r="L14" s="163">
        <v>42019</v>
      </c>
      <c r="M14" s="116">
        <v>183.6</v>
      </c>
      <c r="N14" s="116">
        <v>187.18</v>
      </c>
      <c r="O14" s="116">
        <v>181</v>
      </c>
      <c r="P14" s="116">
        <v>186.29</v>
      </c>
      <c r="Q14" s="116">
        <v>918</v>
      </c>
      <c r="R14">
        <v>247097</v>
      </c>
    </row>
    <row r="15" spans="1:18" x14ac:dyDescent="0.25">
      <c r="A15" s="163">
        <v>42020</v>
      </c>
      <c r="B15" s="116">
        <v>185.4</v>
      </c>
      <c r="C15" s="116">
        <v>182.79</v>
      </c>
      <c r="D15" s="116">
        <v>180.66</v>
      </c>
      <c r="E15" s="116">
        <v>182</v>
      </c>
      <c r="F15" s="116">
        <v>913.95</v>
      </c>
      <c r="G15">
        <v>38556</v>
      </c>
      <c r="H15" s="116"/>
      <c r="I15" s="116"/>
      <c r="L15" s="163">
        <v>42020</v>
      </c>
      <c r="M15" s="116">
        <v>183.26</v>
      </c>
      <c r="N15" s="116">
        <v>185.54</v>
      </c>
      <c r="O15" s="116">
        <v>180.48</v>
      </c>
      <c r="P15" s="116">
        <v>183</v>
      </c>
      <c r="Q15" s="116">
        <v>916.3</v>
      </c>
      <c r="R15">
        <v>127763</v>
      </c>
    </row>
    <row r="16" spans="1:18" x14ac:dyDescent="0.25">
      <c r="A16" s="163">
        <v>42023</v>
      </c>
      <c r="B16" s="116">
        <v>185.54</v>
      </c>
      <c r="C16" s="116">
        <v>182.39</v>
      </c>
      <c r="D16" s="116">
        <v>181.24</v>
      </c>
      <c r="E16" s="116">
        <v>183.2</v>
      </c>
      <c r="F16" s="116">
        <v>911.95</v>
      </c>
      <c r="G16">
        <v>29141</v>
      </c>
      <c r="H16" s="116"/>
      <c r="I16" s="116"/>
      <c r="L16" s="163">
        <v>42023</v>
      </c>
      <c r="M16" s="116">
        <v>182.78</v>
      </c>
      <c r="N16" s="116">
        <v>185.4</v>
      </c>
      <c r="O16" s="116">
        <v>182</v>
      </c>
      <c r="P16" s="116">
        <v>184.16</v>
      </c>
      <c r="Q16" s="116">
        <v>913.9</v>
      </c>
      <c r="R16">
        <v>106924</v>
      </c>
    </row>
    <row r="17" spans="1:18" x14ac:dyDescent="0.25">
      <c r="A17" s="163">
        <v>42024</v>
      </c>
      <c r="B17" s="116">
        <v>186.4</v>
      </c>
      <c r="C17" s="116">
        <v>185.35</v>
      </c>
      <c r="D17" s="116">
        <v>182.8</v>
      </c>
      <c r="E17" s="116">
        <v>182.8</v>
      </c>
      <c r="F17" s="116">
        <v>926.75</v>
      </c>
      <c r="G17">
        <v>33614</v>
      </c>
      <c r="H17" s="116"/>
      <c r="I17" s="116"/>
      <c r="L17" s="163">
        <v>42024</v>
      </c>
      <c r="M17" s="116">
        <v>184.92</v>
      </c>
      <c r="N17" s="116">
        <v>186.02</v>
      </c>
      <c r="O17" s="116">
        <v>182.2</v>
      </c>
      <c r="P17" s="116">
        <v>183.34</v>
      </c>
      <c r="Q17" s="116">
        <v>924.6</v>
      </c>
      <c r="R17">
        <v>146017</v>
      </c>
    </row>
    <row r="18" spans="1:18" x14ac:dyDescent="0.25">
      <c r="A18" s="163">
        <v>42025</v>
      </c>
      <c r="B18" s="116">
        <v>189.38</v>
      </c>
      <c r="C18" s="116">
        <v>184.6</v>
      </c>
      <c r="D18" s="116">
        <v>184</v>
      </c>
      <c r="E18" s="116">
        <v>185</v>
      </c>
      <c r="F18" s="116">
        <v>923</v>
      </c>
      <c r="G18">
        <v>41316</v>
      </c>
      <c r="H18" s="116"/>
      <c r="I18" s="116"/>
      <c r="L18" s="163">
        <v>42025</v>
      </c>
      <c r="M18" s="116">
        <v>185.13</v>
      </c>
      <c r="N18" s="116">
        <v>189.18</v>
      </c>
      <c r="O18" s="116">
        <v>184</v>
      </c>
      <c r="P18" s="116">
        <v>185.59</v>
      </c>
      <c r="Q18" s="116">
        <v>925.65</v>
      </c>
      <c r="R18">
        <v>160530</v>
      </c>
    </row>
    <row r="19" spans="1:18" x14ac:dyDescent="0.25">
      <c r="A19" s="163">
        <v>42026</v>
      </c>
      <c r="B19" s="116">
        <v>190.04</v>
      </c>
      <c r="C19" s="116">
        <v>187.79</v>
      </c>
      <c r="D19" s="116">
        <v>184.77</v>
      </c>
      <c r="E19" s="116">
        <v>185.43</v>
      </c>
      <c r="F19" s="116">
        <v>938.95</v>
      </c>
      <c r="G19">
        <v>45349</v>
      </c>
      <c r="H19" s="116"/>
      <c r="I19" s="116"/>
      <c r="L19" s="163">
        <v>42026</v>
      </c>
      <c r="M19" s="116">
        <v>187.88</v>
      </c>
      <c r="N19" s="116">
        <v>190.2</v>
      </c>
      <c r="O19" s="116">
        <v>184.97</v>
      </c>
      <c r="P19" s="116">
        <v>185.38</v>
      </c>
      <c r="Q19" s="116">
        <v>939.4</v>
      </c>
      <c r="R19">
        <v>163001</v>
      </c>
    </row>
    <row r="20" spans="1:18" x14ac:dyDescent="0.25">
      <c r="A20" s="163">
        <v>42027</v>
      </c>
      <c r="B20" s="116">
        <v>195.6</v>
      </c>
      <c r="C20" s="116">
        <v>190.39</v>
      </c>
      <c r="D20" s="116">
        <v>187.54</v>
      </c>
      <c r="E20" s="116">
        <v>189</v>
      </c>
      <c r="F20" s="116">
        <v>951.95</v>
      </c>
      <c r="G20">
        <v>69305</v>
      </c>
      <c r="H20" s="116"/>
      <c r="I20" s="116"/>
      <c r="L20" s="163">
        <v>42027</v>
      </c>
      <c r="M20" s="116">
        <v>191</v>
      </c>
      <c r="N20" s="116">
        <v>195.8</v>
      </c>
      <c r="O20" s="116">
        <v>187.41</v>
      </c>
      <c r="P20" s="116">
        <v>189.78</v>
      </c>
      <c r="Q20" s="116">
        <v>955</v>
      </c>
      <c r="R20">
        <v>269311</v>
      </c>
    </row>
    <row r="21" spans="1:18" x14ac:dyDescent="0.25">
      <c r="A21" s="163">
        <v>42031</v>
      </c>
      <c r="B21" s="116">
        <v>192.8</v>
      </c>
      <c r="C21" s="116">
        <v>188.39</v>
      </c>
      <c r="D21" s="116">
        <v>186.33</v>
      </c>
      <c r="E21" s="116">
        <v>191.3</v>
      </c>
      <c r="F21" s="116">
        <v>941.95</v>
      </c>
      <c r="G21">
        <v>19452</v>
      </c>
      <c r="H21" s="116"/>
      <c r="I21" s="116"/>
      <c r="L21" s="163">
        <v>42031</v>
      </c>
      <c r="M21" s="116">
        <v>188.79</v>
      </c>
      <c r="N21" s="116">
        <v>192.98</v>
      </c>
      <c r="O21" s="116">
        <v>186.1</v>
      </c>
      <c r="P21" s="116">
        <v>192</v>
      </c>
      <c r="Q21" s="116">
        <v>943.95</v>
      </c>
      <c r="R21">
        <v>127663</v>
      </c>
    </row>
    <row r="22" spans="1:18" x14ac:dyDescent="0.25">
      <c r="A22" s="163">
        <v>42032</v>
      </c>
      <c r="B22" s="116">
        <v>196.79</v>
      </c>
      <c r="C22" s="116">
        <v>194.28</v>
      </c>
      <c r="D22" s="116">
        <v>187.4</v>
      </c>
      <c r="E22" s="116">
        <v>187.4</v>
      </c>
      <c r="F22" s="116">
        <v>971.4</v>
      </c>
      <c r="G22">
        <v>73965</v>
      </c>
      <c r="H22" s="116"/>
      <c r="I22" s="116"/>
      <c r="L22" s="163">
        <v>42032</v>
      </c>
      <c r="M22" s="116">
        <v>194.93</v>
      </c>
      <c r="N22" s="116">
        <v>196</v>
      </c>
      <c r="O22" s="116">
        <v>187</v>
      </c>
      <c r="P22" s="116">
        <v>187</v>
      </c>
      <c r="Q22" s="116">
        <v>974.65</v>
      </c>
      <c r="R22">
        <v>322814</v>
      </c>
    </row>
    <row r="23" spans="1:18" x14ac:dyDescent="0.25">
      <c r="A23" s="163">
        <v>42033</v>
      </c>
      <c r="B23" s="116">
        <v>199.6</v>
      </c>
      <c r="C23" s="116">
        <v>192.04</v>
      </c>
      <c r="D23" s="116">
        <v>191.03</v>
      </c>
      <c r="E23" s="116">
        <v>195.2</v>
      </c>
      <c r="F23" s="116">
        <v>960.2</v>
      </c>
      <c r="G23">
        <v>55911</v>
      </c>
      <c r="H23" s="116"/>
      <c r="I23" s="116"/>
      <c r="L23" s="163">
        <v>42033</v>
      </c>
      <c r="M23" s="116">
        <v>192.74</v>
      </c>
      <c r="N23" s="116">
        <v>199.6</v>
      </c>
      <c r="O23" s="116">
        <v>191.65</v>
      </c>
      <c r="P23" s="116">
        <v>195.9</v>
      </c>
      <c r="Q23" s="116">
        <v>963.7</v>
      </c>
      <c r="R23">
        <v>231795</v>
      </c>
    </row>
    <row r="24" spans="1:18" x14ac:dyDescent="0.25">
      <c r="A24" s="163">
        <v>42034</v>
      </c>
      <c r="B24" s="116">
        <v>194.94</v>
      </c>
      <c r="C24" s="116">
        <v>189.83</v>
      </c>
      <c r="D24" s="116">
        <v>188.4</v>
      </c>
      <c r="E24" s="116">
        <v>193.2</v>
      </c>
      <c r="F24" s="116">
        <v>949.15</v>
      </c>
      <c r="G24">
        <v>14434</v>
      </c>
      <c r="H24" s="116"/>
      <c r="I24" s="116"/>
      <c r="L24" s="163">
        <v>42034</v>
      </c>
      <c r="M24" s="116">
        <v>189.93</v>
      </c>
      <c r="N24" s="116">
        <v>194.39</v>
      </c>
      <c r="O24" s="116">
        <v>189</v>
      </c>
      <c r="P24" s="116">
        <v>193.4</v>
      </c>
      <c r="Q24" s="116">
        <v>949.65</v>
      </c>
      <c r="R24">
        <v>56152</v>
      </c>
    </row>
    <row r="25" spans="1:18" x14ac:dyDescent="0.25">
      <c r="A25" s="163">
        <v>42037</v>
      </c>
      <c r="B25" s="116">
        <v>195</v>
      </c>
      <c r="C25" s="116">
        <v>192.4</v>
      </c>
      <c r="D25" s="116">
        <v>186.24</v>
      </c>
      <c r="E25" s="116">
        <v>189.09</v>
      </c>
      <c r="F25" s="116">
        <v>962</v>
      </c>
      <c r="G25">
        <v>18567</v>
      </c>
      <c r="H25" s="116"/>
      <c r="I25" s="116"/>
      <c r="L25" s="163">
        <v>42037</v>
      </c>
      <c r="M25" s="116">
        <v>192.98</v>
      </c>
      <c r="N25" s="116">
        <v>195</v>
      </c>
      <c r="O25" s="116">
        <v>186.03</v>
      </c>
      <c r="P25" s="116">
        <v>189.4</v>
      </c>
      <c r="Q25" s="116">
        <v>964.9</v>
      </c>
      <c r="R25">
        <v>75291</v>
      </c>
    </row>
    <row r="26" spans="1:18" x14ac:dyDescent="0.25">
      <c r="A26" s="163">
        <v>42038</v>
      </c>
      <c r="B26" s="116">
        <v>196.6</v>
      </c>
      <c r="C26" s="116">
        <v>195.51</v>
      </c>
      <c r="D26" s="116">
        <v>190.52</v>
      </c>
      <c r="E26" s="116">
        <v>193.71</v>
      </c>
      <c r="F26" s="116">
        <v>977.55</v>
      </c>
      <c r="G26">
        <v>26894</v>
      </c>
      <c r="H26" s="116"/>
      <c r="I26" s="116"/>
      <c r="L26" s="163">
        <v>42038</v>
      </c>
      <c r="M26" s="116">
        <v>195.9</v>
      </c>
      <c r="N26" s="116">
        <v>196.8</v>
      </c>
      <c r="O26" s="116">
        <v>190.27</v>
      </c>
      <c r="P26" s="116">
        <v>194.8</v>
      </c>
      <c r="Q26" s="116">
        <v>979.5</v>
      </c>
      <c r="R26">
        <v>103500</v>
      </c>
    </row>
    <row r="27" spans="1:18" x14ac:dyDescent="0.25">
      <c r="A27" s="163">
        <v>42039</v>
      </c>
      <c r="B27" s="116">
        <v>204.86</v>
      </c>
      <c r="C27" s="116">
        <v>199.06</v>
      </c>
      <c r="D27" s="116">
        <v>195.21</v>
      </c>
      <c r="E27" s="116">
        <v>195.21</v>
      </c>
      <c r="F27" s="116">
        <v>995.3</v>
      </c>
      <c r="G27">
        <v>79885</v>
      </c>
      <c r="H27" s="116"/>
      <c r="I27" s="116"/>
      <c r="L27" s="163">
        <v>42039</v>
      </c>
      <c r="M27" s="116">
        <v>199.64</v>
      </c>
      <c r="N27" s="116">
        <v>205</v>
      </c>
      <c r="O27" s="116">
        <v>195</v>
      </c>
      <c r="P27" s="116">
        <v>196.79</v>
      </c>
      <c r="Q27" s="116">
        <v>998.2</v>
      </c>
      <c r="R27">
        <v>373753</v>
      </c>
    </row>
    <row r="28" spans="1:18" x14ac:dyDescent="0.25">
      <c r="A28" s="163">
        <v>42040</v>
      </c>
      <c r="B28" s="116">
        <v>200.9</v>
      </c>
      <c r="C28" s="116">
        <v>195.52</v>
      </c>
      <c r="D28" s="116">
        <v>193.59</v>
      </c>
      <c r="E28" s="116">
        <v>199</v>
      </c>
      <c r="F28" s="116">
        <v>977.6</v>
      </c>
      <c r="G28">
        <v>17497</v>
      </c>
      <c r="H28" s="116"/>
      <c r="I28" s="116"/>
      <c r="L28" s="163">
        <v>42040</v>
      </c>
      <c r="M28" s="116">
        <v>195.82</v>
      </c>
      <c r="N28" s="116">
        <v>200.99</v>
      </c>
      <c r="O28" s="116">
        <v>193.1</v>
      </c>
      <c r="P28" s="116">
        <v>199.98</v>
      </c>
      <c r="Q28" s="116">
        <v>979.1</v>
      </c>
      <c r="R28">
        <v>147602</v>
      </c>
    </row>
    <row r="29" spans="1:18" x14ac:dyDescent="0.25">
      <c r="A29" s="163">
        <v>42041</v>
      </c>
      <c r="B29" s="116">
        <v>195.63</v>
      </c>
      <c r="C29" s="116">
        <v>189.35</v>
      </c>
      <c r="D29" s="116">
        <v>186.07</v>
      </c>
      <c r="E29" s="116">
        <v>195.63</v>
      </c>
      <c r="F29" s="116">
        <v>946.75</v>
      </c>
      <c r="G29">
        <v>23611</v>
      </c>
      <c r="H29" s="116"/>
      <c r="I29" s="116"/>
      <c r="L29" s="163">
        <v>42041</v>
      </c>
      <c r="M29" s="116">
        <v>188.91</v>
      </c>
      <c r="N29" s="116">
        <v>195.97</v>
      </c>
      <c r="O29" s="116">
        <v>185.64</v>
      </c>
      <c r="P29" s="116">
        <v>195.82</v>
      </c>
      <c r="Q29" s="116">
        <v>944.55</v>
      </c>
      <c r="R29">
        <v>128070</v>
      </c>
    </row>
    <row r="30" spans="1:18" x14ac:dyDescent="0.25">
      <c r="A30" s="163">
        <v>42044</v>
      </c>
      <c r="B30" s="116">
        <v>193.8</v>
      </c>
      <c r="C30" s="116">
        <v>189.61</v>
      </c>
      <c r="D30" s="116">
        <v>183.29</v>
      </c>
      <c r="E30" s="116">
        <v>187.16</v>
      </c>
      <c r="F30" s="116">
        <v>948.05</v>
      </c>
      <c r="G30">
        <v>14129</v>
      </c>
      <c r="H30" s="116"/>
      <c r="I30" s="116"/>
      <c r="L30" s="163">
        <v>42044</v>
      </c>
      <c r="M30" s="116">
        <v>189.45</v>
      </c>
      <c r="N30" s="116">
        <v>194.2</v>
      </c>
      <c r="O30" s="116">
        <v>183</v>
      </c>
      <c r="P30" s="116">
        <v>188</v>
      </c>
      <c r="Q30" s="116">
        <v>947.25</v>
      </c>
      <c r="R30">
        <v>109766</v>
      </c>
    </row>
    <row r="31" spans="1:18" x14ac:dyDescent="0.25">
      <c r="A31" s="163">
        <v>42045</v>
      </c>
      <c r="B31" s="116">
        <v>202</v>
      </c>
      <c r="C31" s="116">
        <v>197.55</v>
      </c>
      <c r="D31" s="116">
        <v>191.23</v>
      </c>
      <c r="E31" s="116">
        <v>195.62</v>
      </c>
      <c r="F31" s="116">
        <v>987.75</v>
      </c>
      <c r="G31">
        <v>51878</v>
      </c>
      <c r="H31" s="116"/>
      <c r="I31" s="116"/>
      <c r="L31" s="163">
        <v>42045</v>
      </c>
      <c r="M31" s="116">
        <v>197.88</v>
      </c>
      <c r="N31" s="116">
        <v>202.09</v>
      </c>
      <c r="O31" s="116">
        <v>190.6</v>
      </c>
      <c r="P31" s="116">
        <v>190.6</v>
      </c>
      <c r="Q31" s="116">
        <v>989.4</v>
      </c>
      <c r="R31">
        <v>263803</v>
      </c>
    </row>
    <row r="32" spans="1:18" x14ac:dyDescent="0.25">
      <c r="A32" s="163">
        <v>42046</v>
      </c>
      <c r="B32" s="116">
        <v>194</v>
      </c>
      <c r="C32" s="116">
        <v>186.68</v>
      </c>
      <c r="D32" s="116">
        <v>181.46</v>
      </c>
      <c r="E32" s="116">
        <v>194</v>
      </c>
      <c r="F32" s="116">
        <v>933.4</v>
      </c>
      <c r="G32">
        <v>48481</v>
      </c>
      <c r="H32" s="116"/>
      <c r="I32" s="116"/>
      <c r="L32" s="163">
        <v>42046</v>
      </c>
      <c r="M32" s="116">
        <v>186.64</v>
      </c>
      <c r="N32" s="116">
        <v>191.6</v>
      </c>
      <c r="O32" s="116">
        <v>176.34</v>
      </c>
      <c r="P32" s="116">
        <v>191.6</v>
      </c>
      <c r="Q32" s="116">
        <v>933.2</v>
      </c>
      <c r="R32">
        <v>330615</v>
      </c>
    </row>
    <row r="33" spans="1:18" x14ac:dyDescent="0.25">
      <c r="A33" s="163">
        <v>42047</v>
      </c>
      <c r="B33" s="116">
        <v>192.28</v>
      </c>
      <c r="C33" s="116">
        <v>188.88</v>
      </c>
      <c r="D33" s="116">
        <v>186.91</v>
      </c>
      <c r="E33" s="116">
        <v>187</v>
      </c>
      <c r="F33" s="116">
        <v>944.4</v>
      </c>
      <c r="G33">
        <v>28630</v>
      </c>
      <c r="H33" s="116"/>
      <c r="I33" s="116"/>
      <c r="L33" s="163">
        <v>42047</v>
      </c>
      <c r="M33" s="116">
        <v>188.82</v>
      </c>
      <c r="N33" s="116">
        <v>192</v>
      </c>
      <c r="O33" s="116">
        <v>186.61</v>
      </c>
      <c r="P33" s="116">
        <v>188.38</v>
      </c>
      <c r="Q33" s="116">
        <v>944.1</v>
      </c>
      <c r="R33">
        <v>131737</v>
      </c>
    </row>
    <row r="34" spans="1:18" x14ac:dyDescent="0.25">
      <c r="A34" s="163">
        <v>42048</v>
      </c>
      <c r="B34" s="116">
        <v>191.22</v>
      </c>
      <c r="C34" s="116">
        <v>187.09</v>
      </c>
      <c r="D34" s="116">
        <v>184.2</v>
      </c>
      <c r="E34" s="116">
        <v>189.4</v>
      </c>
      <c r="F34" s="116">
        <v>935.45</v>
      </c>
      <c r="G34">
        <v>14661</v>
      </c>
      <c r="H34" s="116"/>
      <c r="I34" s="116"/>
      <c r="L34" s="163">
        <v>42048</v>
      </c>
      <c r="M34" s="116">
        <v>187.76</v>
      </c>
      <c r="N34" s="116">
        <v>191.56</v>
      </c>
      <c r="O34" s="116">
        <v>184.6</v>
      </c>
      <c r="P34" s="116">
        <v>188.2</v>
      </c>
      <c r="Q34" s="116">
        <v>938.8</v>
      </c>
      <c r="R34">
        <v>74586</v>
      </c>
    </row>
    <row r="35" spans="1:18" x14ac:dyDescent="0.25">
      <c r="A35" s="163">
        <v>42051</v>
      </c>
      <c r="B35" s="116">
        <v>191.4</v>
      </c>
      <c r="C35" s="116">
        <v>186.51</v>
      </c>
      <c r="D35" s="116">
        <v>184.81</v>
      </c>
      <c r="E35" s="116">
        <v>188.19</v>
      </c>
      <c r="F35" s="116">
        <v>932.55</v>
      </c>
      <c r="G35">
        <v>18111</v>
      </c>
      <c r="H35" s="116"/>
      <c r="I35" s="116"/>
      <c r="L35" s="163">
        <v>42051</v>
      </c>
      <c r="M35" s="116">
        <v>186.99</v>
      </c>
      <c r="N35" s="116">
        <v>191.2</v>
      </c>
      <c r="O35" s="116">
        <v>186.2</v>
      </c>
      <c r="P35" s="116">
        <v>188.29</v>
      </c>
      <c r="Q35" s="116">
        <v>934.95</v>
      </c>
      <c r="R35">
        <v>49445</v>
      </c>
    </row>
    <row r="36" spans="1:18" x14ac:dyDescent="0.25">
      <c r="A36" s="163">
        <v>42053</v>
      </c>
      <c r="B36" s="116">
        <v>186.98</v>
      </c>
      <c r="C36" s="116">
        <v>183.53</v>
      </c>
      <c r="D36" s="116">
        <v>182.59</v>
      </c>
      <c r="E36" s="116">
        <v>186.28</v>
      </c>
      <c r="F36" s="116">
        <v>917.65</v>
      </c>
      <c r="G36">
        <v>13661</v>
      </c>
      <c r="H36" s="116"/>
      <c r="I36" s="116"/>
      <c r="L36" s="163">
        <v>42053</v>
      </c>
      <c r="M36" s="116">
        <v>183.85</v>
      </c>
      <c r="N36" s="116">
        <v>187.8</v>
      </c>
      <c r="O36" s="116">
        <v>182.66</v>
      </c>
      <c r="P36" s="116">
        <v>187.6</v>
      </c>
      <c r="Q36" s="116">
        <v>919.25</v>
      </c>
      <c r="R36">
        <v>56677</v>
      </c>
    </row>
    <row r="37" spans="1:18" x14ac:dyDescent="0.25">
      <c r="A37" s="163">
        <v>42054</v>
      </c>
      <c r="B37" s="116">
        <v>186</v>
      </c>
      <c r="C37" s="116">
        <v>184.71</v>
      </c>
      <c r="D37" s="116">
        <v>181.8</v>
      </c>
      <c r="E37" s="116">
        <v>183.49</v>
      </c>
      <c r="F37" s="116">
        <v>923.55</v>
      </c>
      <c r="G37">
        <v>10246</v>
      </c>
      <c r="H37" s="116"/>
      <c r="I37" s="116"/>
      <c r="L37" s="163">
        <v>42054</v>
      </c>
      <c r="M37" s="116">
        <v>184.7</v>
      </c>
      <c r="N37" s="116">
        <v>186.19</v>
      </c>
      <c r="O37" s="116">
        <v>181.72</v>
      </c>
      <c r="P37" s="116">
        <v>183.94</v>
      </c>
      <c r="Q37" s="116">
        <v>923.5</v>
      </c>
      <c r="R37">
        <v>52273</v>
      </c>
    </row>
    <row r="38" spans="1:18" x14ac:dyDescent="0.25">
      <c r="A38" s="163">
        <v>42055</v>
      </c>
      <c r="B38" s="116">
        <v>185.78</v>
      </c>
      <c r="C38" s="116">
        <v>184.8</v>
      </c>
      <c r="D38" s="116">
        <v>182.47</v>
      </c>
      <c r="E38" s="116">
        <v>183.92</v>
      </c>
      <c r="F38" s="116">
        <v>924</v>
      </c>
      <c r="G38">
        <v>9657</v>
      </c>
      <c r="H38" s="116"/>
      <c r="I38" s="116"/>
      <c r="L38" s="163">
        <v>42055</v>
      </c>
      <c r="M38" s="116">
        <v>185.44</v>
      </c>
      <c r="N38" s="116">
        <v>186</v>
      </c>
      <c r="O38" s="116">
        <v>183.04</v>
      </c>
      <c r="P38" s="116">
        <v>184.56</v>
      </c>
      <c r="Q38" s="116">
        <v>927.2</v>
      </c>
      <c r="R38">
        <v>48725</v>
      </c>
    </row>
    <row r="39" spans="1:18" x14ac:dyDescent="0.25">
      <c r="A39" s="163">
        <v>42058</v>
      </c>
      <c r="B39" s="116">
        <v>187.23</v>
      </c>
      <c r="C39" s="116">
        <v>183.73</v>
      </c>
      <c r="D39" s="116">
        <v>183</v>
      </c>
      <c r="E39" s="116">
        <v>186</v>
      </c>
      <c r="F39" s="116">
        <v>918.65</v>
      </c>
      <c r="G39">
        <v>18202</v>
      </c>
      <c r="H39" s="116"/>
      <c r="I39" s="116"/>
      <c r="L39" s="163">
        <v>42058</v>
      </c>
      <c r="M39" s="116">
        <v>184.56</v>
      </c>
      <c r="N39" s="116">
        <v>187.48</v>
      </c>
      <c r="O39" s="116">
        <v>182.5</v>
      </c>
      <c r="P39" s="116">
        <v>185.98</v>
      </c>
      <c r="Q39" s="116">
        <v>922.8</v>
      </c>
      <c r="R39">
        <v>44918</v>
      </c>
    </row>
    <row r="40" spans="1:18" x14ac:dyDescent="0.25">
      <c r="A40" s="163">
        <v>42059</v>
      </c>
      <c r="B40" s="116">
        <v>185.78</v>
      </c>
      <c r="C40" s="116">
        <v>183.41</v>
      </c>
      <c r="D40" s="116">
        <v>182.79</v>
      </c>
      <c r="E40" s="116">
        <v>184.9</v>
      </c>
      <c r="F40" s="116">
        <v>917.05</v>
      </c>
      <c r="G40">
        <v>7573</v>
      </c>
      <c r="H40" s="116"/>
      <c r="I40" s="116"/>
      <c r="L40" s="163">
        <v>42059</v>
      </c>
      <c r="M40" s="116">
        <v>184.03</v>
      </c>
      <c r="N40" s="116">
        <v>185.8</v>
      </c>
      <c r="O40" s="116">
        <v>183.37</v>
      </c>
      <c r="P40" s="116">
        <v>185.2</v>
      </c>
      <c r="Q40" s="116">
        <v>920.15</v>
      </c>
      <c r="R40">
        <v>27164</v>
      </c>
    </row>
    <row r="41" spans="1:18" x14ac:dyDescent="0.25">
      <c r="A41" s="163">
        <v>42060</v>
      </c>
      <c r="B41" s="116">
        <v>195.2</v>
      </c>
      <c r="C41" s="116">
        <v>187.65</v>
      </c>
      <c r="D41" s="116">
        <v>182.6</v>
      </c>
      <c r="E41" s="116">
        <v>182.6</v>
      </c>
      <c r="F41" s="116">
        <v>938.25</v>
      </c>
      <c r="G41">
        <v>82586</v>
      </c>
      <c r="H41" s="116"/>
      <c r="I41" s="116"/>
      <c r="L41" s="163">
        <v>42060</v>
      </c>
      <c r="M41" s="116">
        <v>187.43</v>
      </c>
      <c r="N41" s="116">
        <v>195</v>
      </c>
      <c r="O41" s="116">
        <v>180.22</v>
      </c>
      <c r="P41" s="116">
        <v>180.22</v>
      </c>
      <c r="Q41" s="116">
        <v>937.15</v>
      </c>
      <c r="R41">
        <v>349245</v>
      </c>
    </row>
    <row r="42" spans="1:18" x14ac:dyDescent="0.25">
      <c r="A42" s="163">
        <v>42061</v>
      </c>
      <c r="B42" s="116">
        <v>192</v>
      </c>
      <c r="C42" s="116">
        <v>184.37</v>
      </c>
      <c r="D42" s="116">
        <v>182.8</v>
      </c>
      <c r="E42" s="116">
        <v>187.98</v>
      </c>
      <c r="F42" s="116">
        <v>921.85</v>
      </c>
      <c r="G42">
        <v>26955</v>
      </c>
      <c r="H42" s="116"/>
      <c r="I42" s="116"/>
      <c r="L42" s="163">
        <v>42061</v>
      </c>
      <c r="M42" s="116">
        <v>184.76</v>
      </c>
      <c r="N42" s="116">
        <v>192.37</v>
      </c>
      <c r="O42" s="116">
        <v>183</v>
      </c>
      <c r="P42" s="116">
        <v>187.01</v>
      </c>
      <c r="Q42" s="116">
        <v>923.8</v>
      </c>
      <c r="R42">
        <v>104154</v>
      </c>
    </row>
    <row r="43" spans="1:18" x14ac:dyDescent="0.25">
      <c r="A43" s="163">
        <v>42062</v>
      </c>
      <c r="B43" s="116">
        <v>191.1</v>
      </c>
      <c r="C43" s="116">
        <v>189.05</v>
      </c>
      <c r="D43" s="116">
        <v>185.82</v>
      </c>
      <c r="E43" s="116">
        <v>185.89</v>
      </c>
      <c r="F43" s="116">
        <v>945.25</v>
      </c>
      <c r="G43">
        <v>13667</v>
      </c>
      <c r="H43" s="116"/>
      <c r="I43" s="116"/>
      <c r="L43" s="163">
        <v>42062</v>
      </c>
      <c r="M43" s="116">
        <v>189.17</v>
      </c>
      <c r="N43" s="116">
        <v>191.37</v>
      </c>
      <c r="O43" s="116">
        <v>185.01</v>
      </c>
      <c r="P43" s="116">
        <v>185.01</v>
      </c>
      <c r="Q43" s="116">
        <v>945.85</v>
      </c>
      <c r="R43">
        <v>77974</v>
      </c>
    </row>
    <row r="44" spans="1:18" x14ac:dyDescent="0.25">
      <c r="A44" s="163">
        <v>42063</v>
      </c>
      <c r="B44" s="116">
        <v>191.36</v>
      </c>
      <c r="C44" s="116">
        <v>187.13</v>
      </c>
      <c r="D44" s="116">
        <v>183.64</v>
      </c>
      <c r="E44" s="116">
        <v>190.25</v>
      </c>
      <c r="F44" s="116">
        <v>935.65</v>
      </c>
      <c r="G44">
        <v>8021</v>
      </c>
      <c r="H44" s="116"/>
      <c r="I44" s="116"/>
      <c r="L44" s="163">
        <v>42063</v>
      </c>
      <c r="M44" s="116">
        <v>187.08</v>
      </c>
      <c r="N44" s="116">
        <v>191.6</v>
      </c>
      <c r="O44" s="116">
        <v>183.6</v>
      </c>
      <c r="P44" s="116">
        <v>188.6</v>
      </c>
      <c r="Q44" s="116">
        <v>935.4</v>
      </c>
      <c r="R44">
        <v>104326</v>
      </c>
    </row>
    <row r="45" spans="1:18" x14ac:dyDescent="0.25">
      <c r="A45" s="163">
        <v>42065</v>
      </c>
      <c r="B45" s="116">
        <v>191.58</v>
      </c>
      <c r="C45" s="116">
        <v>189.7</v>
      </c>
      <c r="D45" s="116">
        <v>185.18</v>
      </c>
      <c r="E45" s="116">
        <v>188</v>
      </c>
      <c r="F45" s="116">
        <v>948.5</v>
      </c>
      <c r="G45">
        <v>18436</v>
      </c>
      <c r="H45" s="116"/>
      <c r="I45" s="116"/>
      <c r="L45" s="163">
        <v>42065</v>
      </c>
      <c r="M45" s="116">
        <v>190.27</v>
      </c>
      <c r="N45" s="116">
        <v>191.8</v>
      </c>
      <c r="O45" s="116">
        <v>184.1</v>
      </c>
      <c r="P45" s="116">
        <v>187.01</v>
      </c>
      <c r="Q45" s="116">
        <v>951.35</v>
      </c>
      <c r="R45">
        <v>129363</v>
      </c>
    </row>
    <row r="46" spans="1:18" x14ac:dyDescent="0.25">
      <c r="A46" s="163">
        <v>42066</v>
      </c>
      <c r="B46" s="116">
        <v>201.6</v>
      </c>
      <c r="C46" s="116">
        <v>196.57</v>
      </c>
      <c r="D46" s="116">
        <v>188.6</v>
      </c>
      <c r="E46" s="116">
        <v>190.2</v>
      </c>
      <c r="F46" s="116">
        <v>982.85</v>
      </c>
      <c r="G46">
        <v>34055</v>
      </c>
      <c r="H46" s="116"/>
      <c r="I46" s="116"/>
      <c r="L46" s="163">
        <v>42066</v>
      </c>
      <c r="M46" s="116">
        <v>196.7</v>
      </c>
      <c r="N46" s="116">
        <v>201.8</v>
      </c>
      <c r="O46" s="116">
        <v>188.4</v>
      </c>
      <c r="P46" s="116">
        <v>191.98</v>
      </c>
      <c r="Q46" s="116">
        <v>983.5</v>
      </c>
      <c r="R46">
        <v>178925</v>
      </c>
    </row>
    <row r="47" spans="1:18" x14ac:dyDescent="0.25">
      <c r="A47" s="163">
        <v>42067</v>
      </c>
      <c r="B47" s="116">
        <v>199.8</v>
      </c>
      <c r="C47" s="116">
        <v>188.2</v>
      </c>
      <c r="D47" s="116">
        <v>187.04</v>
      </c>
      <c r="E47" s="116">
        <v>198.22</v>
      </c>
      <c r="F47" s="116">
        <v>941</v>
      </c>
      <c r="G47">
        <v>17765</v>
      </c>
      <c r="H47" s="116"/>
      <c r="I47" s="116"/>
      <c r="L47" s="163">
        <v>42067</v>
      </c>
      <c r="M47" s="116">
        <v>188.67</v>
      </c>
      <c r="N47" s="116">
        <v>199.66</v>
      </c>
      <c r="O47" s="116">
        <v>187.4</v>
      </c>
      <c r="P47" s="116">
        <v>198.8</v>
      </c>
      <c r="Q47" s="116">
        <v>943.35</v>
      </c>
      <c r="R47">
        <v>128214</v>
      </c>
    </row>
    <row r="48" spans="1:18" x14ac:dyDescent="0.25">
      <c r="A48" s="163">
        <v>42068</v>
      </c>
      <c r="B48" s="116">
        <v>192</v>
      </c>
      <c r="C48" s="116">
        <v>187.79</v>
      </c>
      <c r="D48" s="116">
        <v>186.37</v>
      </c>
      <c r="E48" s="116">
        <v>189.61</v>
      </c>
      <c r="F48" s="116">
        <v>938.95</v>
      </c>
      <c r="G48">
        <v>7327</v>
      </c>
      <c r="H48" s="116"/>
      <c r="I48" s="116"/>
      <c r="L48" s="163">
        <v>42068</v>
      </c>
      <c r="M48" s="116">
        <v>188.04</v>
      </c>
      <c r="N48" s="116">
        <v>191.8</v>
      </c>
      <c r="O48" s="116">
        <v>186.2</v>
      </c>
      <c r="P48" s="116">
        <v>189.2</v>
      </c>
      <c r="Q48" s="116">
        <v>940.2</v>
      </c>
      <c r="R48">
        <v>43507</v>
      </c>
    </row>
    <row r="49" spans="1:18" x14ac:dyDescent="0.25">
      <c r="A49" s="163">
        <v>42072</v>
      </c>
      <c r="B49" s="116">
        <v>191.11</v>
      </c>
      <c r="C49" s="116">
        <v>184.73</v>
      </c>
      <c r="D49" s="116">
        <v>183.74</v>
      </c>
      <c r="E49" s="116">
        <v>187.4</v>
      </c>
      <c r="F49" s="116">
        <v>923.65</v>
      </c>
      <c r="G49">
        <v>11769</v>
      </c>
      <c r="H49" s="116"/>
      <c r="I49" s="116"/>
      <c r="L49" s="163">
        <v>42072</v>
      </c>
      <c r="M49" s="116">
        <v>185.28</v>
      </c>
      <c r="N49" s="116">
        <v>190.8</v>
      </c>
      <c r="O49" s="116">
        <v>184.38</v>
      </c>
      <c r="P49" s="116">
        <v>187.4</v>
      </c>
      <c r="Q49" s="116">
        <v>926.4</v>
      </c>
      <c r="R49">
        <v>67276</v>
      </c>
    </row>
    <row r="50" spans="1:18" x14ac:dyDescent="0.25">
      <c r="A50" s="163">
        <v>42073</v>
      </c>
      <c r="B50" s="116">
        <v>190.4</v>
      </c>
      <c r="C50" s="116">
        <v>184.78</v>
      </c>
      <c r="D50" s="116">
        <v>184.4</v>
      </c>
      <c r="E50" s="116">
        <v>186.34</v>
      </c>
      <c r="F50" s="116">
        <v>923.9</v>
      </c>
      <c r="G50">
        <v>11735</v>
      </c>
      <c r="H50" s="116"/>
      <c r="I50" s="116"/>
      <c r="L50" s="163">
        <v>42073</v>
      </c>
      <c r="M50" s="116">
        <v>185.1</v>
      </c>
      <c r="N50" s="116">
        <v>189.99</v>
      </c>
      <c r="O50" s="116">
        <v>184.2</v>
      </c>
      <c r="P50" s="116">
        <v>186.37</v>
      </c>
      <c r="Q50" s="116">
        <v>925.5</v>
      </c>
      <c r="R50">
        <v>64451</v>
      </c>
    </row>
    <row r="51" spans="1:18" x14ac:dyDescent="0.25">
      <c r="A51" s="163">
        <v>42074</v>
      </c>
      <c r="B51" s="116">
        <v>188.4</v>
      </c>
      <c r="C51" s="116">
        <v>184.5</v>
      </c>
      <c r="D51" s="116">
        <v>183.64</v>
      </c>
      <c r="E51" s="116">
        <v>186.13</v>
      </c>
      <c r="F51" s="116">
        <v>922.5</v>
      </c>
      <c r="G51">
        <v>12311</v>
      </c>
      <c r="H51" s="116"/>
      <c r="I51" s="116"/>
      <c r="L51" s="163">
        <v>42074</v>
      </c>
      <c r="M51" s="116">
        <v>185</v>
      </c>
      <c r="N51" s="116">
        <v>188.8</v>
      </c>
      <c r="O51" s="116">
        <v>184.22</v>
      </c>
      <c r="P51" s="116">
        <v>185.18</v>
      </c>
      <c r="Q51" s="116">
        <v>925</v>
      </c>
      <c r="R51">
        <v>70023</v>
      </c>
    </row>
    <row r="52" spans="1:18" x14ac:dyDescent="0.25">
      <c r="A52" s="163">
        <v>42075</v>
      </c>
      <c r="B52" s="116">
        <v>187.23</v>
      </c>
      <c r="C52" s="116">
        <v>183.94</v>
      </c>
      <c r="D52" s="116">
        <v>182.66</v>
      </c>
      <c r="E52" s="116">
        <v>186.6</v>
      </c>
      <c r="F52" s="116">
        <v>919.7</v>
      </c>
      <c r="G52">
        <v>8665</v>
      </c>
      <c r="H52" s="116"/>
      <c r="I52" s="116"/>
      <c r="L52" s="163">
        <v>42075</v>
      </c>
      <c r="M52" s="116">
        <v>184.38</v>
      </c>
      <c r="N52" s="116">
        <v>187.2</v>
      </c>
      <c r="O52" s="116">
        <v>182.4</v>
      </c>
      <c r="P52" s="116">
        <v>185.8</v>
      </c>
      <c r="Q52" s="116">
        <v>921.9</v>
      </c>
      <c r="R52">
        <v>54531</v>
      </c>
    </row>
    <row r="53" spans="1:18" x14ac:dyDescent="0.25">
      <c r="A53" s="163">
        <v>42076</v>
      </c>
      <c r="B53" s="116">
        <v>186.7</v>
      </c>
      <c r="C53" s="116">
        <v>182.58</v>
      </c>
      <c r="D53" s="116">
        <v>182.2</v>
      </c>
      <c r="E53" s="116">
        <v>185.39</v>
      </c>
      <c r="F53" s="116">
        <v>912.9</v>
      </c>
      <c r="G53">
        <v>9134</v>
      </c>
      <c r="H53" s="116"/>
      <c r="I53" s="116"/>
      <c r="L53" s="163">
        <v>42076</v>
      </c>
      <c r="M53" s="116">
        <v>182.72</v>
      </c>
      <c r="N53" s="116">
        <v>187</v>
      </c>
      <c r="O53" s="116">
        <v>182.22</v>
      </c>
      <c r="P53" s="116">
        <v>185.02</v>
      </c>
      <c r="Q53" s="116">
        <v>913.6</v>
      </c>
      <c r="R53">
        <v>46125</v>
      </c>
    </row>
    <row r="54" spans="1:18" x14ac:dyDescent="0.25">
      <c r="A54" s="163">
        <v>42079</v>
      </c>
      <c r="B54" s="116">
        <v>184.6</v>
      </c>
      <c r="C54" s="116">
        <v>182.97</v>
      </c>
      <c r="D54" s="116">
        <v>181.51</v>
      </c>
      <c r="E54" s="116">
        <v>183</v>
      </c>
      <c r="F54" s="116">
        <v>914.85</v>
      </c>
      <c r="G54">
        <v>8354</v>
      </c>
      <c r="H54" s="116"/>
      <c r="I54" s="116"/>
      <c r="L54" s="163">
        <v>42079</v>
      </c>
      <c r="M54" s="116">
        <v>183.34</v>
      </c>
      <c r="N54" s="116">
        <v>184.61</v>
      </c>
      <c r="O54" s="116">
        <v>181.6</v>
      </c>
      <c r="P54" s="116">
        <v>182.72</v>
      </c>
      <c r="Q54" s="116">
        <v>916.7</v>
      </c>
      <c r="R54">
        <v>27527</v>
      </c>
    </row>
    <row r="55" spans="1:18" x14ac:dyDescent="0.25">
      <c r="A55" s="163">
        <v>42080</v>
      </c>
      <c r="B55" s="116">
        <v>188.4</v>
      </c>
      <c r="C55" s="116">
        <v>184.44</v>
      </c>
      <c r="D55" s="116">
        <v>183.2</v>
      </c>
      <c r="E55" s="116">
        <v>184</v>
      </c>
      <c r="F55" s="116">
        <v>922.2</v>
      </c>
      <c r="G55">
        <v>13803</v>
      </c>
      <c r="H55" s="116"/>
      <c r="I55" s="116"/>
      <c r="L55" s="163">
        <v>42080</v>
      </c>
      <c r="M55" s="116">
        <v>184.84</v>
      </c>
      <c r="N55" s="116">
        <v>188.8</v>
      </c>
      <c r="O55" s="116">
        <v>183.6</v>
      </c>
      <c r="P55" s="116">
        <v>184.72</v>
      </c>
      <c r="Q55" s="116">
        <v>924.2</v>
      </c>
      <c r="R55">
        <v>111805</v>
      </c>
    </row>
    <row r="56" spans="1:18" x14ac:dyDescent="0.25">
      <c r="A56" s="163">
        <v>42081</v>
      </c>
      <c r="B56" s="116">
        <v>186.43</v>
      </c>
      <c r="C56" s="116">
        <v>185.51</v>
      </c>
      <c r="D56" s="116">
        <v>184.4</v>
      </c>
      <c r="E56" s="116">
        <v>185.09</v>
      </c>
      <c r="F56" s="116">
        <v>927.55</v>
      </c>
      <c r="G56">
        <v>5167</v>
      </c>
      <c r="H56" s="116"/>
      <c r="I56" s="116"/>
      <c r="L56" s="163">
        <v>42081</v>
      </c>
      <c r="M56" s="116">
        <v>185.91</v>
      </c>
      <c r="N56" s="116">
        <v>187</v>
      </c>
      <c r="O56" s="116">
        <v>184.4</v>
      </c>
      <c r="P56" s="116">
        <v>185.44</v>
      </c>
      <c r="Q56" s="116">
        <v>929.55</v>
      </c>
      <c r="R56">
        <v>39972</v>
      </c>
    </row>
    <row r="57" spans="1:18" x14ac:dyDescent="0.25">
      <c r="A57" s="163">
        <v>42082</v>
      </c>
      <c r="B57" s="116">
        <v>189.86</v>
      </c>
      <c r="C57" s="116">
        <v>186.76</v>
      </c>
      <c r="D57" s="116">
        <v>186</v>
      </c>
      <c r="E57" s="116">
        <v>186.4</v>
      </c>
      <c r="F57" s="116">
        <v>933.8</v>
      </c>
      <c r="G57">
        <v>14165</v>
      </c>
      <c r="H57" s="116"/>
      <c r="I57" s="116"/>
      <c r="L57" s="163">
        <v>42082</v>
      </c>
      <c r="M57" s="116">
        <v>187.52</v>
      </c>
      <c r="N57" s="116">
        <v>189.9</v>
      </c>
      <c r="O57" s="116">
        <v>186.2</v>
      </c>
      <c r="P57" s="116">
        <v>187.26</v>
      </c>
      <c r="Q57" s="116">
        <v>937.6</v>
      </c>
      <c r="R57">
        <v>148839</v>
      </c>
    </row>
    <row r="58" spans="1:18" x14ac:dyDescent="0.25">
      <c r="A58" s="163">
        <v>42083</v>
      </c>
      <c r="B58" s="116">
        <v>189.58</v>
      </c>
      <c r="C58" s="116">
        <v>181.9</v>
      </c>
      <c r="D58" s="116">
        <v>180.22</v>
      </c>
      <c r="E58" s="116">
        <v>186.92</v>
      </c>
      <c r="F58" s="116">
        <v>909.5</v>
      </c>
      <c r="G58">
        <v>8062</v>
      </c>
      <c r="H58" s="116"/>
      <c r="I58" s="116"/>
      <c r="L58" s="163">
        <v>42083</v>
      </c>
      <c r="M58" s="116">
        <v>181.96</v>
      </c>
      <c r="N58" s="116">
        <v>189.6</v>
      </c>
      <c r="O58" s="116">
        <v>180.25</v>
      </c>
      <c r="P58" s="116">
        <v>187.99</v>
      </c>
      <c r="Q58" s="116">
        <v>909.8</v>
      </c>
      <c r="R58">
        <v>93417</v>
      </c>
    </row>
    <row r="59" spans="1:18" x14ac:dyDescent="0.25">
      <c r="A59" s="163">
        <v>42086</v>
      </c>
      <c r="B59" s="116">
        <v>185.63</v>
      </c>
      <c r="C59" s="116">
        <v>183.77</v>
      </c>
      <c r="D59" s="116">
        <v>182.81</v>
      </c>
      <c r="E59" s="116">
        <v>182.81</v>
      </c>
      <c r="F59" s="116">
        <v>918.85</v>
      </c>
      <c r="G59">
        <v>9999</v>
      </c>
      <c r="H59" s="116"/>
      <c r="I59" s="116"/>
      <c r="L59" s="163">
        <v>42086</v>
      </c>
      <c r="M59" s="116">
        <v>184.01</v>
      </c>
      <c r="N59" s="116">
        <v>185.71</v>
      </c>
      <c r="O59" s="116">
        <v>182.62</v>
      </c>
      <c r="P59" s="116">
        <v>182.79</v>
      </c>
      <c r="Q59" s="116">
        <v>920.05</v>
      </c>
      <c r="R59">
        <v>89529</v>
      </c>
    </row>
    <row r="60" spans="1:18" x14ac:dyDescent="0.25">
      <c r="A60" s="163">
        <v>42087</v>
      </c>
      <c r="B60" s="116">
        <v>185.83</v>
      </c>
      <c r="C60" s="116">
        <v>182.93</v>
      </c>
      <c r="D60" s="116">
        <v>182</v>
      </c>
      <c r="E60" s="116">
        <v>183.6</v>
      </c>
      <c r="F60" s="116">
        <v>914.65</v>
      </c>
      <c r="G60">
        <v>3086</v>
      </c>
      <c r="H60" s="116"/>
      <c r="I60" s="116"/>
      <c r="L60" s="163">
        <v>42087</v>
      </c>
      <c r="M60" s="116">
        <v>182.51</v>
      </c>
      <c r="N60" s="116">
        <v>186.2</v>
      </c>
      <c r="O60" s="116">
        <v>181.02</v>
      </c>
      <c r="P60" s="116">
        <v>183.2</v>
      </c>
      <c r="Q60" s="116">
        <v>912.55</v>
      </c>
      <c r="R60">
        <v>48789</v>
      </c>
    </row>
    <row r="61" spans="1:18" x14ac:dyDescent="0.25">
      <c r="A61" s="163">
        <v>42088</v>
      </c>
      <c r="B61" s="116">
        <v>185.56</v>
      </c>
      <c r="C61" s="116">
        <v>182.21</v>
      </c>
      <c r="D61" s="116">
        <v>181.8</v>
      </c>
      <c r="E61" s="116">
        <v>183.67</v>
      </c>
      <c r="F61" s="116">
        <v>911.05</v>
      </c>
      <c r="G61">
        <v>6695</v>
      </c>
      <c r="H61" s="116"/>
      <c r="I61" s="116"/>
      <c r="L61" s="163">
        <v>42088</v>
      </c>
      <c r="M61" s="116">
        <v>182.43</v>
      </c>
      <c r="N61" s="116">
        <v>185.79</v>
      </c>
      <c r="O61" s="116">
        <v>181.7</v>
      </c>
      <c r="P61" s="116">
        <v>183.79</v>
      </c>
      <c r="Q61" s="116">
        <v>912.15</v>
      </c>
      <c r="R61">
        <v>110434</v>
      </c>
    </row>
    <row r="62" spans="1:18" x14ac:dyDescent="0.25">
      <c r="A62" s="163">
        <v>42089</v>
      </c>
      <c r="B62" s="116">
        <v>182.99</v>
      </c>
      <c r="C62" s="116">
        <v>179.93</v>
      </c>
      <c r="D62" s="116">
        <v>179.35</v>
      </c>
      <c r="E62" s="116">
        <v>182.6</v>
      </c>
      <c r="F62" s="116">
        <v>899.65</v>
      </c>
      <c r="G62">
        <v>6710</v>
      </c>
      <c r="H62" s="116"/>
      <c r="I62" s="116"/>
      <c r="L62" s="163">
        <v>42089</v>
      </c>
      <c r="M62" s="116">
        <v>180.22</v>
      </c>
      <c r="N62" s="116">
        <v>183.01</v>
      </c>
      <c r="O62" s="116">
        <v>179.1</v>
      </c>
      <c r="P62" s="116">
        <v>182.14</v>
      </c>
      <c r="Q62" s="116">
        <v>901.1</v>
      </c>
      <c r="R62">
        <v>34795</v>
      </c>
    </row>
    <row r="63" spans="1:18" x14ac:dyDescent="0.25">
      <c r="A63" s="163">
        <v>42090</v>
      </c>
      <c r="B63" s="116">
        <v>181.93</v>
      </c>
      <c r="C63" s="116">
        <v>178.15</v>
      </c>
      <c r="D63" s="116">
        <v>175.17</v>
      </c>
      <c r="E63" s="116">
        <v>179.34</v>
      </c>
      <c r="F63" s="116">
        <v>890.75</v>
      </c>
      <c r="G63">
        <v>11074</v>
      </c>
      <c r="H63" s="116"/>
      <c r="I63" s="116"/>
      <c r="L63" s="163">
        <v>42090</v>
      </c>
      <c r="M63" s="116">
        <v>178.25</v>
      </c>
      <c r="N63" s="116">
        <v>182</v>
      </c>
      <c r="O63" s="116">
        <v>175.09</v>
      </c>
      <c r="P63" s="116">
        <v>179.21</v>
      </c>
      <c r="Q63" s="116">
        <v>891.25</v>
      </c>
      <c r="R63">
        <v>39084</v>
      </c>
    </row>
    <row r="64" spans="1:18" x14ac:dyDescent="0.25">
      <c r="A64" s="163">
        <v>42093</v>
      </c>
      <c r="B64" s="116">
        <v>194</v>
      </c>
      <c r="C64" s="116">
        <v>189.9</v>
      </c>
      <c r="D64" s="116">
        <v>179.56</v>
      </c>
      <c r="E64" s="116">
        <v>179.56</v>
      </c>
      <c r="F64" s="116">
        <v>949.5</v>
      </c>
      <c r="G64">
        <v>20212</v>
      </c>
      <c r="H64" s="116"/>
      <c r="I64" s="116"/>
      <c r="L64" s="163">
        <v>42093</v>
      </c>
      <c r="M64" s="116">
        <v>190.31</v>
      </c>
      <c r="N64" s="116">
        <v>195</v>
      </c>
      <c r="O64" s="116">
        <v>179.02</v>
      </c>
      <c r="P64" s="116">
        <v>179.17</v>
      </c>
      <c r="Q64" s="116">
        <v>951.55</v>
      </c>
      <c r="R64">
        <v>81573</v>
      </c>
    </row>
    <row r="65" spans="1:18" x14ac:dyDescent="0.25">
      <c r="A65" s="163">
        <v>42094</v>
      </c>
      <c r="B65" s="116">
        <v>203.49</v>
      </c>
      <c r="C65" s="116">
        <v>198</v>
      </c>
      <c r="D65" s="116">
        <v>185.14</v>
      </c>
      <c r="E65" s="116">
        <v>192.2</v>
      </c>
      <c r="F65" s="116">
        <v>990</v>
      </c>
      <c r="G65">
        <v>44206</v>
      </c>
      <c r="H65" s="116"/>
      <c r="I65" s="116"/>
      <c r="L65" s="163">
        <v>42094</v>
      </c>
      <c r="M65" s="116">
        <v>198.4</v>
      </c>
      <c r="N65" s="116">
        <v>204.4</v>
      </c>
      <c r="O65" s="116">
        <v>184.22</v>
      </c>
      <c r="P65" s="116">
        <v>192</v>
      </c>
      <c r="Q65" s="116">
        <v>992</v>
      </c>
      <c r="R65">
        <v>252158</v>
      </c>
    </row>
    <row r="66" spans="1:18" x14ac:dyDescent="0.25">
      <c r="A66" s="163">
        <v>42095</v>
      </c>
      <c r="B66" s="116">
        <v>204</v>
      </c>
      <c r="C66" s="116">
        <v>199.25</v>
      </c>
      <c r="D66" s="116">
        <v>197.02</v>
      </c>
      <c r="E66" s="116">
        <v>197.02</v>
      </c>
      <c r="F66" s="116">
        <v>996.25</v>
      </c>
      <c r="G66">
        <v>33124</v>
      </c>
      <c r="H66" s="116"/>
      <c r="I66" s="116"/>
      <c r="L66" s="163">
        <v>42095</v>
      </c>
      <c r="M66" s="116">
        <v>199.9</v>
      </c>
      <c r="N66" s="116">
        <v>204.2</v>
      </c>
      <c r="O66" s="116">
        <v>196</v>
      </c>
      <c r="P66" s="116">
        <v>197.02</v>
      </c>
      <c r="Q66" s="116">
        <v>999.5</v>
      </c>
      <c r="R66">
        <v>170434</v>
      </c>
    </row>
    <row r="67" spans="1:18" x14ac:dyDescent="0.25">
      <c r="A67" s="163">
        <v>42100</v>
      </c>
      <c r="B67" s="116">
        <v>206.28</v>
      </c>
      <c r="C67" s="116">
        <v>200.59</v>
      </c>
      <c r="D67" s="116">
        <v>199.6</v>
      </c>
      <c r="E67" s="116">
        <v>199.6</v>
      </c>
      <c r="F67" s="116">
        <v>1002.95</v>
      </c>
      <c r="G67">
        <v>20233</v>
      </c>
      <c r="H67" s="116"/>
      <c r="I67" s="116"/>
      <c r="L67" s="163">
        <v>42100</v>
      </c>
      <c r="M67" s="116">
        <v>201.32</v>
      </c>
      <c r="N67" s="116">
        <v>206.8</v>
      </c>
      <c r="O67" s="116">
        <v>198.8</v>
      </c>
      <c r="P67" s="116">
        <v>198.8</v>
      </c>
      <c r="Q67" s="116">
        <v>1006.6</v>
      </c>
      <c r="R67">
        <v>82817</v>
      </c>
    </row>
    <row r="68" spans="1:18" x14ac:dyDescent="0.25">
      <c r="A68" s="163">
        <v>42101</v>
      </c>
      <c r="B68" s="116">
        <v>217.82</v>
      </c>
      <c r="C68" s="116">
        <v>212.04</v>
      </c>
      <c r="D68" s="116">
        <v>202.92</v>
      </c>
      <c r="E68" s="116">
        <v>202.92</v>
      </c>
      <c r="F68" s="116">
        <v>1060.2</v>
      </c>
      <c r="G68">
        <v>100649</v>
      </c>
      <c r="H68" s="116"/>
      <c r="I68" s="116"/>
      <c r="L68" s="163">
        <v>42101</v>
      </c>
      <c r="M68" s="116">
        <v>211.54</v>
      </c>
      <c r="N68" s="116">
        <v>217.78</v>
      </c>
      <c r="O68" s="116">
        <v>202</v>
      </c>
      <c r="P68" s="116">
        <v>202</v>
      </c>
      <c r="Q68" s="116">
        <v>1057.7</v>
      </c>
      <c r="R68">
        <v>436597</v>
      </c>
    </row>
    <row r="69" spans="1:18" x14ac:dyDescent="0.25">
      <c r="A69" s="163">
        <v>42102</v>
      </c>
      <c r="B69" s="116">
        <v>216</v>
      </c>
      <c r="C69" s="116">
        <v>210.99</v>
      </c>
      <c r="D69" s="116">
        <v>208.71</v>
      </c>
      <c r="E69" s="116">
        <v>213.4</v>
      </c>
      <c r="F69" s="116">
        <v>1054.95</v>
      </c>
      <c r="G69">
        <v>112598</v>
      </c>
      <c r="H69" s="116"/>
      <c r="I69" s="116"/>
      <c r="L69" s="163">
        <v>42102</v>
      </c>
      <c r="M69" s="116">
        <v>211.25</v>
      </c>
      <c r="N69" s="116">
        <v>216.17</v>
      </c>
      <c r="O69" s="116">
        <v>209</v>
      </c>
      <c r="P69" s="116">
        <v>213.02</v>
      </c>
      <c r="Q69" s="116">
        <v>1056.25</v>
      </c>
      <c r="R69">
        <v>124534</v>
      </c>
    </row>
    <row r="70" spans="1:18" x14ac:dyDescent="0.25">
      <c r="A70" s="163">
        <v>42103</v>
      </c>
      <c r="B70" s="116">
        <v>212.59</v>
      </c>
      <c r="C70" s="116">
        <v>206.06</v>
      </c>
      <c r="D70" s="116">
        <v>205</v>
      </c>
      <c r="E70" s="116">
        <v>210.83</v>
      </c>
      <c r="F70" s="116">
        <v>1030.3</v>
      </c>
      <c r="G70">
        <v>8575</v>
      </c>
      <c r="H70" s="116"/>
      <c r="I70" s="116"/>
      <c r="L70" s="163">
        <v>42103</v>
      </c>
      <c r="M70" s="116">
        <v>206.05</v>
      </c>
      <c r="N70" s="116">
        <v>212.85</v>
      </c>
      <c r="O70" s="116">
        <v>205</v>
      </c>
      <c r="P70" s="116">
        <v>210.2</v>
      </c>
      <c r="Q70" s="116">
        <v>1030.25</v>
      </c>
      <c r="R70">
        <v>52902</v>
      </c>
    </row>
    <row r="71" spans="1:18" x14ac:dyDescent="0.25">
      <c r="A71" s="163">
        <v>42104</v>
      </c>
      <c r="B71" s="116">
        <v>211.34</v>
      </c>
      <c r="C71" s="116">
        <v>203.84</v>
      </c>
      <c r="D71" s="116">
        <v>203.22</v>
      </c>
      <c r="E71" s="116">
        <v>205.99</v>
      </c>
      <c r="F71" s="116">
        <v>1019.2</v>
      </c>
      <c r="G71">
        <v>13032</v>
      </c>
      <c r="H71" s="116"/>
      <c r="I71" s="116"/>
      <c r="L71" s="163">
        <v>42104</v>
      </c>
      <c r="M71" s="116">
        <v>204.08</v>
      </c>
      <c r="N71" s="116">
        <v>212</v>
      </c>
      <c r="O71" s="116">
        <v>203.56</v>
      </c>
      <c r="P71" s="116">
        <v>206.05</v>
      </c>
      <c r="Q71" s="116">
        <v>1020.4</v>
      </c>
      <c r="R71">
        <v>57358</v>
      </c>
    </row>
    <row r="72" spans="1:18" x14ac:dyDescent="0.25">
      <c r="A72" s="163">
        <v>42107</v>
      </c>
      <c r="B72" s="116">
        <v>210.99</v>
      </c>
      <c r="C72" s="116">
        <v>203.75</v>
      </c>
      <c r="D72" s="116">
        <v>202.2</v>
      </c>
      <c r="E72" s="116">
        <v>204.6</v>
      </c>
      <c r="F72" s="116">
        <v>1018.75</v>
      </c>
      <c r="G72">
        <v>12012</v>
      </c>
      <c r="H72" s="116"/>
      <c r="I72" s="116"/>
      <c r="L72" s="163">
        <v>42107</v>
      </c>
      <c r="M72" s="116">
        <v>203.74</v>
      </c>
      <c r="N72" s="116">
        <v>210.35</v>
      </c>
      <c r="O72" s="116">
        <v>201.6</v>
      </c>
      <c r="P72" s="116">
        <v>205.29</v>
      </c>
      <c r="Q72" s="116">
        <v>1018.7</v>
      </c>
      <c r="R72">
        <v>55588</v>
      </c>
    </row>
    <row r="73" spans="1:18" x14ac:dyDescent="0.25">
      <c r="A73" s="163">
        <v>42109</v>
      </c>
      <c r="B73" s="116">
        <v>215.6</v>
      </c>
      <c r="C73" s="116">
        <v>209.54</v>
      </c>
      <c r="D73" s="116">
        <v>206</v>
      </c>
      <c r="E73" s="116">
        <v>206.61</v>
      </c>
      <c r="F73" s="116">
        <v>1047.7</v>
      </c>
      <c r="G73">
        <v>34589</v>
      </c>
      <c r="H73" s="116"/>
      <c r="I73" s="116"/>
      <c r="L73" s="163">
        <v>42109</v>
      </c>
      <c r="M73" s="116">
        <v>210.11</v>
      </c>
      <c r="N73" s="116">
        <v>215.96</v>
      </c>
      <c r="O73" s="116">
        <v>206.4</v>
      </c>
      <c r="P73" s="116">
        <v>206.4</v>
      </c>
      <c r="Q73" s="116">
        <v>1050.55</v>
      </c>
      <c r="R73">
        <v>178072</v>
      </c>
    </row>
    <row r="74" spans="1:18" x14ac:dyDescent="0.25">
      <c r="A74" s="163">
        <v>42110</v>
      </c>
      <c r="B74" s="116">
        <v>215</v>
      </c>
      <c r="C74" s="116">
        <v>205.09</v>
      </c>
      <c r="D74" s="116">
        <v>204.05</v>
      </c>
      <c r="E74" s="116">
        <v>212.2</v>
      </c>
      <c r="F74" s="116">
        <v>1025.45</v>
      </c>
      <c r="G74">
        <v>21065</v>
      </c>
      <c r="H74" s="116"/>
      <c r="I74" s="116"/>
      <c r="L74" s="163">
        <v>42110</v>
      </c>
      <c r="M74" s="116">
        <v>205.49</v>
      </c>
      <c r="N74" s="116">
        <v>216</v>
      </c>
      <c r="O74" s="116">
        <v>204.05</v>
      </c>
      <c r="P74" s="116">
        <v>212.74</v>
      </c>
      <c r="Q74" s="116">
        <v>1027.45</v>
      </c>
      <c r="R74">
        <v>121020</v>
      </c>
    </row>
    <row r="75" spans="1:18" x14ac:dyDescent="0.25">
      <c r="A75" s="163">
        <v>42111</v>
      </c>
      <c r="B75" s="116">
        <v>215.74</v>
      </c>
      <c r="C75" s="116">
        <v>212.48</v>
      </c>
      <c r="D75" s="116">
        <v>206.56</v>
      </c>
      <c r="E75" s="116">
        <v>206.88</v>
      </c>
      <c r="F75" s="116">
        <v>1062.4000000000001</v>
      </c>
      <c r="G75">
        <v>29902</v>
      </c>
      <c r="H75" s="116"/>
      <c r="I75" s="116"/>
      <c r="L75" s="163">
        <v>42111</v>
      </c>
      <c r="M75" s="116">
        <v>213.14</v>
      </c>
      <c r="N75" s="116">
        <v>216.79</v>
      </c>
      <c r="O75" s="116">
        <v>205</v>
      </c>
      <c r="P75" s="116">
        <v>205.69</v>
      </c>
      <c r="Q75" s="116">
        <v>1065.7</v>
      </c>
      <c r="R75">
        <v>148638</v>
      </c>
    </row>
    <row r="76" spans="1:18" x14ac:dyDescent="0.25">
      <c r="A76" s="163">
        <v>42114</v>
      </c>
      <c r="B76" s="116">
        <v>225</v>
      </c>
      <c r="C76" s="116">
        <v>221.5</v>
      </c>
      <c r="D76" s="116">
        <v>213</v>
      </c>
      <c r="E76" s="116">
        <v>214.26</v>
      </c>
      <c r="F76" s="116">
        <v>1107.5</v>
      </c>
      <c r="G76">
        <v>45831</v>
      </c>
      <c r="H76" s="116"/>
      <c r="I76" s="116"/>
      <c r="L76" s="163">
        <v>42114</v>
      </c>
      <c r="M76" s="116">
        <v>221.12</v>
      </c>
      <c r="N76" s="116">
        <v>224.5</v>
      </c>
      <c r="O76" s="116">
        <v>213.22</v>
      </c>
      <c r="P76" s="116">
        <v>215.23</v>
      </c>
      <c r="Q76" s="116">
        <v>1105.5999999999999</v>
      </c>
      <c r="R76">
        <v>286911</v>
      </c>
    </row>
    <row r="77" spans="1:18" x14ac:dyDescent="0.25">
      <c r="A77" s="163">
        <v>42115</v>
      </c>
      <c r="B77" s="116">
        <v>225.39</v>
      </c>
      <c r="C77" s="116">
        <v>221.08</v>
      </c>
      <c r="D77" s="116">
        <v>217.62</v>
      </c>
      <c r="E77" s="116">
        <v>224</v>
      </c>
      <c r="F77" s="116">
        <v>1105.4000000000001</v>
      </c>
      <c r="G77">
        <v>39845</v>
      </c>
      <c r="H77" s="116"/>
      <c r="I77" s="116"/>
      <c r="L77" s="163">
        <v>42115</v>
      </c>
      <c r="M77" s="116">
        <v>222.43</v>
      </c>
      <c r="N77" s="116">
        <v>225.4</v>
      </c>
      <c r="O77" s="116">
        <v>217</v>
      </c>
      <c r="P77" s="116">
        <v>222.8</v>
      </c>
      <c r="Q77" s="116">
        <v>1112.1500000000001</v>
      </c>
      <c r="R77">
        <v>211066</v>
      </c>
    </row>
    <row r="78" spans="1:18" x14ac:dyDescent="0.25">
      <c r="A78" s="163">
        <v>42116</v>
      </c>
      <c r="B78" s="116">
        <v>223.6</v>
      </c>
      <c r="C78" s="116">
        <v>216.19</v>
      </c>
      <c r="D78" s="116">
        <v>213.48</v>
      </c>
      <c r="E78" s="116">
        <v>221.2</v>
      </c>
      <c r="F78" s="116">
        <v>1080.95</v>
      </c>
      <c r="G78">
        <v>34395</v>
      </c>
      <c r="H78" s="116"/>
      <c r="I78" s="116"/>
      <c r="L78" s="163">
        <v>42116</v>
      </c>
      <c r="M78" s="116">
        <v>215.77</v>
      </c>
      <c r="N78" s="116">
        <v>224</v>
      </c>
      <c r="O78" s="116">
        <v>212.22</v>
      </c>
      <c r="P78" s="116">
        <v>219</v>
      </c>
      <c r="Q78" s="116">
        <v>1078.8499999999999</v>
      </c>
      <c r="R78">
        <v>154973</v>
      </c>
    </row>
    <row r="79" spans="1:18" x14ac:dyDescent="0.25">
      <c r="A79" s="163">
        <v>42117</v>
      </c>
      <c r="B79" s="116">
        <v>220.38</v>
      </c>
      <c r="C79" s="116">
        <v>213.05</v>
      </c>
      <c r="D79" s="116">
        <v>211.38</v>
      </c>
      <c r="E79" s="116">
        <v>218.6</v>
      </c>
      <c r="F79" s="116">
        <v>1065.25</v>
      </c>
      <c r="G79">
        <v>17091</v>
      </c>
      <c r="H79" s="116"/>
      <c r="I79" s="116"/>
      <c r="L79" s="163">
        <v>42117</v>
      </c>
      <c r="M79" s="116">
        <v>212.23</v>
      </c>
      <c r="N79" s="116">
        <v>220.51</v>
      </c>
      <c r="O79" s="116">
        <v>210.83</v>
      </c>
      <c r="P79" s="116">
        <v>217.79</v>
      </c>
      <c r="Q79" s="116">
        <v>1061.1500000000001</v>
      </c>
      <c r="R79">
        <v>78186</v>
      </c>
    </row>
    <row r="80" spans="1:18" x14ac:dyDescent="0.25">
      <c r="A80" s="163">
        <v>42118</v>
      </c>
      <c r="B80" s="116">
        <v>213.8</v>
      </c>
      <c r="C80" s="116">
        <v>200.87</v>
      </c>
      <c r="D80" s="116">
        <v>200.05</v>
      </c>
      <c r="E80" s="116">
        <v>213.8</v>
      </c>
      <c r="F80" s="116">
        <v>1004.35</v>
      </c>
      <c r="G80">
        <v>15238</v>
      </c>
      <c r="H80" s="116"/>
      <c r="I80" s="116"/>
      <c r="L80" s="163">
        <v>42118</v>
      </c>
      <c r="M80" s="116">
        <v>200.87</v>
      </c>
      <c r="N80" s="116">
        <v>213.39</v>
      </c>
      <c r="O80" s="116">
        <v>200.05</v>
      </c>
      <c r="P80" s="116">
        <v>211</v>
      </c>
      <c r="Q80" s="116">
        <v>1004.35</v>
      </c>
      <c r="R80">
        <v>78858</v>
      </c>
    </row>
    <row r="81" spans="1:18" x14ac:dyDescent="0.25">
      <c r="A81" s="163">
        <v>42121</v>
      </c>
      <c r="B81" s="116">
        <v>202</v>
      </c>
      <c r="C81" s="116">
        <v>192.1</v>
      </c>
      <c r="D81" s="116">
        <v>190.82</v>
      </c>
      <c r="E81" s="116">
        <v>200.08</v>
      </c>
      <c r="F81" s="116">
        <v>960.5</v>
      </c>
      <c r="G81">
        <v>21454</v>
      </c>
      <c r="H81" s="116"/>
      <c r="I81" s="116"/>
      <c r="L81" s="163">
        <v>42121</v>
      </c>
      <c r="M81" s="116">
        <v>192</v>
      </c>
      <c r="N81" s="116">
        <v>201.78</v>
      </c>
      <c r="O81" s="116">
        <v>190.8</v>
      </c>
      <c r="P81" s="116">
        <v>201.78</v>
      </c>
      <c r="Q81" s="116">
        <v>960</v>
      </c>
      <c r="R81">
        <v>116144</v>
      </c>
    </row>
    <row r="82" spans="1:18" x14ac:dyDescent="0.25">
      <c r="A82" s="163">
        <v>42122</v>
      </c>
      <c r="B82" s="116">
        <v>202.2</v>
      </c>
      <c r="C82" s="116">
        <v>199.77</v>
      </c>
      <c r="D82" s="116">
        <v>187.72</v>
      </c>
      <c r="E82" s="116">
        <v>190.89</v>
      </c>
      <c r="F82" s="116">
        <v>998.85</v>
      </c>
      <c r="G82">
        <v>16531</v>
      </c>
      <c r="H82" s="116"/>
      <c r="I82" s="116"/>
      <c r="L82" s="163">
        <v>42122</v>
      </c>
      <c r="M82" s="116">
        <v>200.55</v>
      </c>
      <c r="N82" s="116">
        <v>203</v>
      </c>
      <c r="O82" s="116">
        <v>187.53</v>
      </c>
      <c r="P82" s="116">
        <v>190.79</v>
      </c>
      <c r="Q82" s="116">
        <v>1002.75</v>
      </c>
      <c r="R82">
        <v>111365</v>
      </c>
    </row>
    <row r="83" spans="1:18" x14ac:dyDescent="0.25">
      <c r="A83" s="163">
        <v>42123</v>
      </c>
      <c r="B83" s="116">
        <v>210.46</v>
      </c>
      <c r="C83" s="116">
        <v>206.77</v>
      </c>
      <c r="D83" s="116">
        <v>197.07</v>
      </c>
      <c r="E83" s="116">
        <v>197.07</v>
      </c>
      <c r="F83" s="116">
        <v>1033.8499999999999</v>
      </c>
      <c r="G83">
        <v>16744</v>
      </c>
      <c r="H83" s="116"/>
      <c r="I83" s="116"/>
      <c r="L83" s="163">
        <v>42123</v>
      </c>
      <c r="M83" s="116">
        <v>207.46</v>
      </c>
      <c r="N83" s="116">
        <v>210.76</v>
      </c>
      <c r="O83" s="116">
        <v>195.16</v>
      </c>
      <c r="P83" s="116">
        <v>195.16</v>
      </c>
      <c r="Q83" s="116">
        <v>1037.3</v>
      </c>
      <c r="R83">
        <v>65471</v>
      </c>
    </row>
    <row r="84" spans="1:18" x14ac:dyDescent="0.25">
      <c r="A84" s="163">
        <v>42124</v>
      </c>
      <c r="B84" s="116">
        <v>206.42</v>
      </c>
      <c r="C84" s="116">
        <v>194.29</v>
      </c>
      <c r="D84" s="116">
        <v>186.33</v>
      </c>
      <c r="E84" s="116">
        <v>206.42</v>
      </c>
      <c r="F84" s="116">
        <v>971.45</v>
      </c>
      <c r="G84">
        <v>39797</v>
      </c>
      <c r="H84" s="116"/>
      <c r="I84" s="116"/>
      <c r="L84" s="163">
        <v>42124</v>
      </c>
      <c r="M84" s="116">
        <v>194.42</v>
      </c>
      <c r="N84" s="116">
        <v>206.71</v>
      </c>
      <c r="O84" s="116">
        <v>186.34</v>
      </c>
      <c r="P84" s="116">
        <v>202.08</v>
      </c>
      <c r="Q84" s="116">
        <v>972.1</v>
      </c>
      <c r="R84">
        <v>366356</v>
      </c>
    </row>
    <row r="85" spans="1:18" x14ac:dyDescent="0.25">
      <c r="A85" s="163">
        <v>42128</v>
      </c>
      <c r="B85" s="116">
        <v>218</v>
      </c>
      <c r="C85" s="116">
        <v>195.09</v>
      </c>
      <c r="D85" s="116">
        <v>193.49</v>
      </c>
      <c r="E85" s="116">
        <v>218</v>
      </c>
      <c r="F85" s="116">
        <v>975.45</v>
      </c>
      <c r="G85">
        <v>22692</v>
      </c>
      <c r="H85" s="116"/>
      <c r="I85" s="116"/>
      <c r="L85" s="163">
        <v>42128</v>
      </c>
      <c r="M85" s="116">
        <v>194.49</v>
      </c>
      <c r="N85" s="116">
        <v>206.2</v>
      </c>
      <c r="O85" s="116">
        <v>192.03</v>
      </c>
      <c r="P85" s="116">
        <v>198.2</v>
      </c>
      <c r="Q85" s="116">
        <v>972.45</v>
      </c>
      <c r="R85">
        <v>104273</v>
      </c>
    </row>
    <row r="86" spans="1:18" x14ac:dyDescent="0.25">
      <c r="A86" s="163">
        <v>42129</v>
      </c>
      <c r="B86" s="116">
        <v>197.2</v>
      </c>
      <c r="C86" s="116">
        <v>194.63</v>
      </c>
      <c r="D86" s="116">
        <v>194</v>
      </c>
      <c r="E86" s="116">
        <v>196.87</v>
      </c>
      <c r="F86" s="116">
        <v>973.15</v>
      </c>
      <c r="G86">
        <v>10569</v>
      </c>
      <c r="H86" s="116"/>
      <c r="I86" s="116"/>
      <c r="L86" s="163">
        <v>42129</v>
      </c>
      <c r="M86" s="116">
        <v>194.63</v>
      </c>
      <c r="N86" s="116">
        <v>197.6</v>
      </c>
      <c r="O86" s="116">
        <v>194</v>
      </c>
      <c r="P86" s="116">
        <v>195.98</v>
      </c>
      <c r="Q86" s="116">
        <v>973.15</v>
      </c>
      <c r="R86">
        <v>51926</v>
      </c>
    </row>
    <row r="87" spans="1:18" x14ac:dyDescent="0.25">
      <c r="A87" s="163">
        <v>42130</v>
      </c>
      <c r="B87" s="116">
        <v>197.83</v>
      </c>
      <c r="C87" s="116">
        <v>190.65</v>
      </c>
      <c r="D87" s="116">
        <v>188.4</v>
      </c>
      <c r="E87" s="116">
        <v>195</v>
      </c>
      <c r="F87" s="116">
        <v>953.25</v>
      </c>
      <c r="G87">
        <v>22725</v>
      </c>
      <c r="H87" s="116"/>
      <c r="I87" s="116"/>
      <c r="L87" s="163">
        <v>42130</v>
      </c>
      <c r="M87" s="116">
        <v>190.79</v>
      </c>
      <c r="N87" s="116">
        <v>198.2</v>
      </c>
      <c r="O87" s="116">
        <v>188.6</v>
      </c>
      <c r="P87" s="116">
        <v>194.95</v>
      </c>
      <c r="Q87" s="116">
        <v>953.95</v>
      </c>
      <c r="R87">
        <v>88496</v>
      </c>
    </row>
    <row r="88" spans="1:18" x14ac:dyDescent="0.25">
      <c r="A88" s="163">
        <v>42131</v>
      </c>
      <c r="B88" s="116">
        <v>196</v>
      </c>
      <c r="C88" s="116">
        <v>184.65</v>
      </c>
      <c r="D88" s="116">
        <v>183.12</v>
      </c>
      <c r="E88" s="116">
        <v>193</v>
      </c>
      <c r="F88" s="116">
        <v>923.25</v>
      </c>
      <c r="G88">
        <v>31919</v>
      </c>
      <c r="H88" s="116"/>
      <c r="I88" s="116"/>
      <c r="L88" s="163">
        <v>42131</v>
      </c>
      <c r="M88" s="116">
        <v>184.15</v>
      </c>
      <c r="N88" s="116">
        <v>196</v>
      </c>
      <c r="O88" s="116">
        <v>182.8</v>
      </c>
      <c r="P88" s="116">
        <v>192</v>
      </c>
      <c r="Q88" s="116">
        <v>920.75</v>
      </c>
      <c r="R88">
        <v>223340</v>
      </c>
    </row>
    <row r="89" spans="1:18" x14ac:dyDescent="0.25">
      <c r="A89" s="163">
        <v>42132</v>
      </c>
      <c r="B89" s="116">
        <v>190.7</v>
      </c>
      <c r="C89" s="116">
        <v>187.55</v>
      </c>
      <c r="D89" s="116">
        <v>186.11</v>
      </c>
      <c r="E89" s="116">
        <v>187</v>
      </c>
      <c r="F89" s="116">
        <v>937.75</v>
      </c>
      <c r="G89">
        <v>11933</v>
      </c>
      <c r="H89" s="116"/>
      <c r="I89" s="116"/>
      <c r="L89" s="163">
        <v>42132</v>
      </c>
      <c r="M89" s="116">
        <v>187.4</v>
      </c>
      <c r="N89" s="116">
        <v>190.61</v>
      </c>
      <c r="O89" s="116">
        <v>185.99</v>
      </c>
      <c r="P89" s="116">
        <v>185.99</v>
      </c>
      <c r="Q89" s="116">
        <v>937</v>
      </c>
      <c r="R89">
        <v>52867</v>
      </c>
    </row>
    <row r="90" spans="1:18" x14ac:dyDescent="0.25">
      <c r="A90" s="163">
        <v>42135</v>
      </c>
      <c r="B90" s="116">
        <v>192.4</v>
      </c>
      <c r="C90" s="116">
        <v>189.3</v>
      </c>
      <c r="D90" s="116">
        <v>182.4</v>
      </c>
      <c r="E90" s="116">
        <v>189.6</v>
      </c>
      <c r="F90" s="116">
        <v>946.5</v>
      </c>
      <c r="G90">
        <v>20232</v>
      </c>
      <c r="H90" s="116"/>
      <c r="I90" s="116"/>
      <c r="L90" s="163">
        <v>42135</v>
      </c>
      <c r="M90" s="116">
        <v>189.42</v>
      </c>
      <c r="N90" s="116">
        <v>192.77</v>
      </c>
      <c r="O90" s="116">
        <v>187.4</v>
      </c>
      <c r="P90" s="116">
        <v>189.58</v>
      </c>
      <c r="Q90" s="116">
        <v>947.1</v>
      </c>
      <c r="R90">
        <v>113627</v>
      </c>
    </row>
    <row r="91" spans="1:18" x14ac:dyDescent="0.25">
      <c r="A91" s="163">
        <v>42136</v>
      </c>
      <c r="B91" s="116">
        <v>196</v>
      </c>
      <c r="C91" s="116">
        <v>183.56</v>
      </c>
      <c r="D91" s="116">
        <v>181</v>
      </c>
      <c r="E91" s="116">
        <v>196</v>
      </c>
      <c r="F91" s="116">
        <v>917.8</v>
      </c>
      <c r="G91">
        <v>18401</v>
      </c>
      <c r="H91" s="116"/>
      <c r="I91" s="116"/>
      <c r="L91" s="163">
        <v>42136</v>
      </c>
      <c r="M91" s="116">
        <v>181.38</v>
      </c>
      <c r="N91" s="116">
        <v>191.6</v>
      </c>
      <c r="O91" s="116">
        <v>180.81</v>
      </c>
      <c r="P91" s="116">
        <v>190.78</v>
      </c>
      <c r="Q91" s="116">
        <v>906.9</v>
      </c>
      <c r="R91">
        <v>335812</v>
      </c>
    </row>
    <row r="92" spans="1:18" x14ac:dyDescent="0.25">
      <c r="A92" s="163">
        <v>42137</v>
      </c>
      <c r="B92" s="116">
        <v>187.28</v>
      </c>
      <c r="C92" s="116">
        <v>184.22</v>
      </c>
      <c r="D92" s="116">
        <v>179.81</v>
      </c>
      <c r="E92" s="116">
        <v>184.11</v>
      </c>
      <c r="F92" s="116">
        <v>921.1</v>
      </c>
      <c r="G92">
        <v>13972</v>
      </c>
      <c r="H92" s="116"/>
      <c r="I92" s="116"/>
      <c r="L92" s="163">
        <v>42137</v>
      </c>
      <c r="M92" s="116">
        <v>184.15</v>
      </c>
      <c r="N92" s="116">
        <v>187</v>
      </c>
      <c r="O92" s="116">
        <v>179.8</v>
      </c>
      <c r="P92" s="116">
        <v>183.04</v>
      </c>
      <c r="Q92" s="116">
        <v>920.75</v>
      </c>
      <c r="R92">
        <v>212865</v>
      </c>
    </row>
    <row r="93" spans="1:18" x14ac:dyDescent="0.25">
      <c r="A93" s="163">
        <v>42138</v>
      </c>
      <c r="B93" s="116">
        <v>191.56</v>
      </c>
      <c r="C93" s="116">
        <v>187.44</v>
      </c>
      <c r="D93" s="116">
        <v>182</v>
      </c>
      <c r="E93" s="116">
        <v>183.98</v>
      </c>
      <c r="F93" s="116">
        <v>937.2</v>
      </c>
      <c r="G93">
        <v>15393</v>
      </c>
      <c r="H93" s="116"/>
      <c r="I93" s="116"/>
      <c r="L93" s="163">
        <v>42138</v>
      </c>
      <c r="M93" s="116">
        <v>188.02</v>
      </c>
      <c r="N93" s="116">
        <v>191.6</v>
      </c>
      <c r="O93" s="116">
        <v>182</v>
      </c>
      <c r="P93" s="116">
        <v>184.2</v>
      </c>
      <c r="Q93" s="116">
        <v>940.1</v>
      </c>
      <c r="R93">
        <v>96828</v>
      </c>
    </row>
    <row r="94" spans="1:18" x14ac:dyDescent="0.25">
      <c r="A94" s="163">
        <v>42139</v>
      </c>
      <c r="B94" s="116">
        <v>193</v>
      </c>
      <c r="C94" s="116">
        <v>192.27</v>
      </c>
      <c r="D94" s="116">
        <v>187.98</v>
      </c>
      <c r="E94" s="116">
        <v>187.98</v>
      </c>
      <c r="F94" s="116">
        <v>961.35</v>
      </c>
      <c r="G94">
        <v>13937</v>
      </c>
      <c r="H94" s="116"/>
      <c r="I94" s="116"/>
      <c r="L94" s="163">
        <v>42139</v>
      </c>
      <c r="M94" s="116">
        <v>192.12</v>
      </c>
      <c r="N94" s="116">
        <v>192.8</v>
      </c>
      <c r="O94" s="116">
        <v>187.23</v>
      </c>
      <c r="P94" s="116">
        <v>188.39</v>
      </c>
      <c r="Q94" s="116">
        <v>960.6</v>
      </c>
      <c r="R94">
        <v>95396</v>
      </c>
    </row>
    <row r="95" spans="1:18" x14ac:dyDescent="0.25">
      <c r="A95" s="163">
        <v>42142</v>
      </c>
      <c r="B95" s="116">
        <v>197</v>
      </c>
      <c r="C95" s="116">
        <v>196.22</v>
      </c>
      <c r="D95" s="116">
        <v>191.99</v>
      </c>
      <c r="E95" s="116">
        <v>192.63</v>
      </c>
      <c r="F95" s="116">
        <v>981.1</v>
      </c>
      <c r="G95">
        <v>12510</v>
      </c>
      <c r="H95" s="116"/>
      <c r="I95" s="116"/>
      <c r="L95" s="163">
        <v>42142</v>
      </c>
      <c r="M95" s="116">
        <v>196.71</v>
      </c>
      <c r="N95" s="116">
        <v>197.49</v>
      </c>
      <c r="O95" s="116">
        <v>192</v>
      </c>
      <c r="P95" s="116">
        <v>193.5</v>
      </c>
      <c r="Q95" s="116">
        <v>983.55</v>
      </c>
      <c r="R95">
        <v>59352</v>
      </c>
    </row>
    <row r="96" spans="1:18" x14ac:dyDescent="0.25">
      <c r="A96" s="163">
        <v>42143</v>
      </c>
      <c r="B96" s="116">
        <v>199.39</v>
      </c>
      <c r="C96" s="116">
        <v>194.55</v>
      </c>
      <c r="D96" s="116">
        <v>193.35</v>
      </c>
      <c r="E96" s="116">
        <v>195.23</v>
      </c>
      <c r="F96" s="116">
        <v>972.75</v>
      </c>
      <c r="G96">
        <v>8169</v>
      </c>
      <c r="H96" s="116"/>
      <c r="I96" s="116"/>
      <c r="L96" s="163">
        <v>42143</v>
      </c>
      <c r="M96" s="116">
        <v>195.25</v>
      </c>
      <c r="N96" s="116">
        <v>198.98</v>
      </c>
      <c r="O96" s="116">
        <v>192.94</v>
      </c>
      <c r="P96" s="116">
        <v>196.6</v>
      </c>
      <c r="Q96" s="116">
        <v>976.25</v>
      </c>
      <c r="R96">
        <v>52565</v>
      </c>
    </row>
    <row r="97" spans="1:18" x14ac:dyDescent="0.25">
      <c r="A97" s="163">
        <v>42144</v>
      </c>
      <c r="B97" s="116">
        <v>198.98</v>
      </c>
      <c r="C97" s="116">
        <v>197.56</v>
      </c>
      <c r="D97" s="116">
        <v>196</v>
      </c>
      <c r="E97" s="116">
        <v>196</v>
      </c>
      <c r="F97" s="116">
        <v>987.8</v>
      </c>
      <c r="G97">
        <v>17297</v>
      </c>
      <c r="H97" s="116"/>
      <c r="I97" s="116"/>
      <c r="L97" s="163">
        <v>42144</v>
      </c>
      <c r="M97" s="116">
        <v>197.28</v>
      </c>
      <c r="N97" s="116">
        <v>198.64</v>
      </c>
      <c r="O97" s="116">
        <v>196</v>
      </c>
      <c r="P97" s="116">
        <v>196</v>
      </c>
      <c r="Q97" s="116">
        <v>986.4</v>
      </c>
      <c r="R97">
        <v>48559</v>
      </c>
    </row>
    <row r="98" spans="1:18" x14ac:dyDescent="0.25">
      <c r="A98" s="163">
        <v>42145</v>
      </c>
      <c r="B98" s="116">
        <v>203</v>
      </c>
      <c r="C98" s="116">
        <v>201.88</v>
      </c>
      <c r="D98" s="116">
        <v>196.92</v>
      </c>
      <c r="E98" s="116">
        <v>198.51</v>
      </c>
      <c r="F98" s="116">
        <v>1009.4</v>
      </c>
      <c r="G98">
        <v>15530</v>
      </c>
      <c r="H98" s="116"/>
      <c r="I98" s="116"/>
      <c r="L98" s="163">
        <v>42145</v>
      </c>
      <c r="M98" s="116">
        <v>202.32</v>
      </c>
      <c r="N98" s="116">
        <v>203</v>
      </c>
      <c r="O98" s="116">
        <v>196.81</v>
      </c>
      <c r="P98" s="116">
        <v>199.6</v>
      </c>
      <c r="Q98" s="116">
        <v>1011.6</v>
      </c>
      <c r="R98">
        <v>94410</v>
      </c>
    </row>
    <row r="99" spans="1:18" x14ac:dyDescent="0.25">
      <c r="A99" s="163">
        <v>42146</v>
      </c>
      <c r="B99" s="116">
        <v>206</v>
      </c>
      <c r="C99" s="116">
        <v>202.62</v>
      </c>
      <c r="D99" s="116">
        <v>201.67</v>
      </c>
      <c r="E99" s="116">
        <v>202.48</v>
      </c>
      <c r="F99" s="116">
        <v>1013.1</v>
      </c>
      <c r="G99">
        <v>9348</v>
      </c>
      <c r="H99" s="116"/>
      <c r="I99" s="116"/>
      <c r="L99" s="163">
        <v>42146</v>
      </c>
      <c r="M99" s="116">
        <v>202.96</v>
      </c>
      <c r="N99" s="116">
        <v>205.8</v>
      </c>
      <c r="O99" s="116">
        <v>201.61</v>
      </c>
      <c r="P99" s="116">
        <v>203.6</v>
      </c>
      <c r="Q99" s="116">
        <v>1014.8</v>
      </c>
      <c r="R99">
        <v>175206</v>
      </c>
    </row>
    <row r="100" spans="1:18" x14ac:dyDescent="0.25">
      <c r="A100" s="163">
        <v>42149</v>
      </c>
      <c r="B100" s="116">
        <v>202.8</v>
      </c>
      <c r="C100" s="116">
        <v>198.49</v>
      </c>
      <c r="D100" s="116">
        <v>197.82</v>
      </c>
      <c r="E100" s="116">
        <v>202.8</v>
      </c>
      <c r="F100" s="116">
        <v>992.45</v>
      </c>
      <c r="G100">
        <v>16305</v>
      </c>
      <c r="H100" s="116"/>
      <c r="I100" s="116"/>
      <c r="L100" s="163">
        <v>42149</v>
      </c>
      <c r="M100" s="116">
        <v>198.69</v>
      </c>
      <c r="N100" s="116">
        <v>202.96</v>
      </c>
      <c r="O100" s="116">
        <v>197.62</v>
      </c>
      <c r="P100" s="116">
        <v>202.96</v>
      </c>
      <c r="Q100" s="116">
        <v>993.45</v>
      </c>
      <c r="R100">
        <v>53787</v>
      </c>
    </row>
    <row r="101" spans="1:18" x14ac:dyDescent="0.25">
      <c r="A101" s="163">
        <v>42150</v>
      </c>
      <c r="B101" s="116">
        <v>199.8</v>
      </c>
      <c r="C101" s="116">
        <v>197.99</v>
      </c>
      <c r="D101" s="116">
        <v>196.36</v>
      </c>
      <c r="E101" s="116">
        <v>198.2</v>
      </c>
      <c r="F101" s="116">
        <v>989.95</v>
      </c>
      <c r="G101">
        <v>16491</v>
      </c>
      <c r="H101" s="116"/>
      <c r="I101" s="116"/>
      <c r="L101" s="163">
        <v>42150</v>
      </c>
      <c r="M101" s="116">
        <v>198.61</v>
      </c>
      <c r="N101" s="116">
        <v>199.83</v>
      </c>
      <c r="O101" s="116">
        <v>195</v>
      </c>
      <c r="P101" s="116">
        <v>198.56</v>
      </c>
      <c r="Q101" s="116">
        <v>993.05</v>
      </c>
      <c r="R101">
        <v>89983</v>
      </c>
    </row>
    <row r="102" spans="1:18" x14ac:dyDescent="0.25">
      <c r="A102" s="163">
        <v>42151</v>
      </c>
      <c r="B102" s="116">
        <v>202</v>
      </c>
      <c r="C102" s="116">
        <v>200.09</v>
      </c>
      <c r="D102" s="116">
        <v>194.4</v>
      </c>
      <c r="E102" s="116">
        <v>195.87</v>
      </c>
      <c r="F102" s="116">
        <v>1000.45</v>
      </c>
      <c r="G102">
        <v>18911</v>
      </c>
      <c r="H102" s="116"/>
      <c r="I102" s="116"/>
      <c r="L102" s="163">
        <v>42151</v>
      </c>
      <c r="M102" s="116">
        <v>199.5</v>
      </c>
      <c r="N102" s="116">
        <v>201.4</v>
      </c>
      <c r="O102" s="116">
        <v>194.12</v>
      </c>
      <c r="P102" s="116">
        <v>196.84</v>
      </c>
      <c r="Q102" s="116">
        <v>997.5</v>
      </c>
      <c r="R102">
        <v>37049</v>
      </c>
    </row>
    <row r="103" spans="1:18" x14ac:dyDescent="0.25">
      <c r="A103" s="163">
        <v>42152</v>
      </c>
      <c r="B103" s="116">
        <v>202.62</v>
      </c>
      <c r="C103" s="116">
        <v>201.77</v>
      </c>
      <c r="D103" s="116">
        <v>198.14</v>
      </c>
      <c r="E103" s="116">
        <v>200.53</v>
      </c>
      <c r="F103" s="116">
        <v>1008.85</v>
      </c>
      <c r="G103">
        <v>22018</v>
      </c>
      <c r="H103" s="116"/>
      <c r="I103" s="116"/>
      <c r="L103" s="163">
        <v>42152</v>
      </c>
      <c r="M103" s="116">
        <v>202.08</v>
      </c>
      <c r="N103" s="116">
        <v>203.18</v>
      </c>
      <c r="O103" s="116">
        <v>198</v>
      </c>
      <c r="P103" s="116">
        <v>199.59</v>
      </c>
      <c r="Q103" s="116">
        <v>1010.4</v>
      </c>
      <c r="R103">
        <v>60537</v>
      </c>
    </row>
    <row r="104" spans="1:18" x14ac:dyDescent="0.25">
      <c r="A104" s="163">
        <v>42153</v>
      </c>
      <c r="B104" s="116">
        <v>226.98</v>
      </c>
      <c r="C104" s="116">
        <v>220.63</v>
      </c>
      <c r="D104" s="116">
        <v>200</v>
      </c>
      <c r="E104" s="116">
        <v>200</v>
      </c>
      <c r="F104" s="116">
        <v>1103.1500000000001</v>
      </c>
      <c r="G104">
        <v>97397</v>
      </c>
      <c r="H104" s="116"/>
      <c r="I104" s="116"/>
      <c r="L104" s="163">
        <v>42153</v>
      </c>
      <c r="M104" s="116">
        <v>220.21</v>
      </c>
      <c r="N104" s="116">
        <v>227.54</v>
      </c>
      <c r="O104" s="116">
        <v>202.2</v>
      </c>
      <c r="P104" s="116">
        <v>202.2</v>
      </c>
      <c r="Q104" s="116">
        <v>1101.05</v>
      </c>
      <c r="R104">
        <v>344784</v>
      </c>
    </row>
    <row r="105" spans="1:18" x14ac:dyDescent="0.25">
      <c r="A105" s="163">
        <v>42156</v>
      </c>
      <c r="B105" s="116">
        <v>232.74</v>
      </c>
      <c r="C105" s="116">
        <v>227.85</v>
      </c>
      <c r="D105" s="116">
        <v>219.09</v>
      </c>
      <c r="E105" s="116">
        <v>224</v>
      </c>
      <c r="F105" s="116">
        <v>1139.25</v>
      </c>
      <c r="G105">
        <v>65546</v>
      </c>
      <c r="H105" s="116"/>
      <c r="I105" s="116"/>
      <c r="L105" s="163">
        <v>42156</v>
      </c>
      <c r="M105" s="116">
        <v>227.94</v>
      </c>
      <c r="N105" s="116">
        <v>233</v>
      </c>
      <c r="O105" s="116">
        <v>218.61</v>
      </c>
      <c r="P105" s="116">
        <v>223.2</v>
      </c>
      <c r="Q105" s="116">
        <v>1139.7</v>
      </c>
      <c r="R105">
        <v>304804</v>
      </c>
    </row>
    <row r="106" spans="1:18" x14ac:dyDescent="0.25">
      <c r="A106" s="163">
        <v>42157</v>
      </c>
      <c r="B106" s="116">
        <v>228</v>
      </c>
      <c r="C106" s="116">
        <v>222.33</v>
      </c>
      <c r="D106" s="116">
        <v>215.64</v>
      </c>
      <c r="E106" s="116">
        <v>227.01</v>
      </c>
      <c r="F106" s="116">
        <v>1111.6500000000001</v>
      </c>
      <c r="G106">
        <v>18994</v>
      </c>
      <c r="H106" s="116"/>
      <c r="I106" s="116"/>
      <c r="L106" s="163">
        <v>42157</v>
      </c>
      <c r="M106" s="116">
        <v>222.2</v>
      </c>
      <c r="N106" s="116">
        <v>228</v>
      </c>
      <c r="O106" s="116">
        <v>215.62</v>
      </c>
      <c r="P106" s="116">
        <v>227.6</v>
      </c>
      <c r="Q106" s="116">
        <v>1111</v>
      </c>
      <c r="R106">
        <v>109019</v>
      </c>
    </row>
    <row r="107" spans="1:18" x14ac:dyDescent="0.25">
      <c r="A107" s="163">
        <v>42158</v>
      </c>
      <c r="B107" s="116">
        <v>227.11</v>
      </c>
      <c r="C107" s="116">
        <v>211.06</v>
      </c>
      <c r="D107" s="116">
        <v>205.8</v>
      </c>
      <c r="E107" s="116">
        <v>220.69</v>
      </c>
      <c r="F107" s="116">
        <v>1055.3</v>
      </c>
      <c r="G107">
        <v>25287</v>
      </c>
      <c r="H107" s="116"/>
      <c r="I107" s="116"/>
      <c r="L107" s="163">
        <v>42158</v>
      </c>
      <c r="M107" s="116">
        <v>210.65</v>
      </c>
      <c r="N107" s="116">
        <v>227.6</v>
      </c>
      <c r="O107" s="116">
        <v>206</v>
      </c>
      <c r="P107" s="116">
        <v>220.4</v>
      </c>
      <c r="Q107" s="116">
        <v>1053.25</v>
      </c>
      <c r="R107">
        <v>133330</v>
      </c>
    </row>
    <row r="108" spans="1:18" x14ac:dyDescent="0.25">
      <c r="A108" s="163">
        <v>42159</v>
      </c>
      <c r="B108" s="116">
        <v>217.58</v>
      </c>
      <c r="C108" s="116">
        <v>215.92</v>
      </c>
      <c r="D108" s="116">
        <v>201.31</v>
      </c>
      <c r="E108" s="116">
        <v>213.2</v>
      </c>
      <c r="F108" s="116">
        <v>1079.5999999999999</v>
      </c>
      <c r="G108">
        <v>25635</v>
      </c>
      <c r="H108" s="116"/>
      <c r="I108" s="116"/>
      <c r="L108" s="163">
        <v>42159</v>
      </c>
      <c r="M108" s="116">
        <v>216.1</v>
      </c>
      <c r="N108" s="116">
        <v>217.58</v>
      </c>
      <c r="O108" s="116">
        <v>201.8</v>
      </c>
      <c r="P108" s="116">
        <v>212.8</v>
      </c>
      <c r="Q108" s="116">
        <v>1080.5</v>
      </c>
      <c r="R108">
        <v>111773</v>
      </c>
    </row>
    <row r="109" spans="1:18" x14ac:dyDescent="0.25">
      <c r="A109" s="163">
        <v>42160</v>
      </c>
      <c r="B109" s="116">
        <v>222.95</v>
      </c>
      <c r="C109" s="116">
        <v>215.87</v>
      </c>
      <c r="D109" s="116">
        <v>212</v>
      </c>
      <c r="E109" s="116">
        <v>217.4</v>
      </c>
      <c r="F109" s="116">
        <v>1079.3499999999999</v>
      </c>
      <c r="G109">
        <v>36209</v>
      </c>
      <c r="H109" s="116"/>
      <c r="I109" s="116"/>
      <c r="L109" s="163">
        <v>42160</v>
      </c>
      <c r="M109" s="116">
        <v>216.36</v>
      </c>
      <c r="N109" s="116">
        <v>222.78</v>
      </c>
      <c r="O109" s="116">
        <v>212</v>
      </c>
      <c r="P109" s="116">
        <v>216.08</v>
      </c>
      <c r="Q109" s="116">
        <v>1081.8</v>
      </c>
      <c r="R109">
        <v>173458</v>
      </c>
    </row>
    <row r="110" spans="1:18" x14ac:dyDescent="0.25">
      <c r="A110" s="163">
        <v>42163</v>
      </c>
      <c r="B110" s="116">
        <v>219.47</v>
      </c>
      <c r="C110" s="116">
        <v>211.36</v>
      </c>
      <c r="D110" s="116">
        <v>207</v>
      </c>
      <c r="E110" s="116">
        <v>218.86</v>
      </c>
      <c r="F110" s="116">
        <v>1056.8</v>
      </c>
      <c r="G110">
        <v>8996</v>
      </c>
      <c r="H110" s="116"/>
      <c r="I110" s="116"/>
      <c r="L110" s="163">
        <v>42163</v>
      </c>
      <c r="M110" s="116">
        <v>211.3</v>
      </c>
      <c r="N110" s="116">
        <v>219.8</v>
      </c>
      <c r="O110" s="116">
        <v>207</v>
      </c>
      <c r="P110" s="116">
        <v>218</v>
      </c>
      <c r="Q110" s="116">
        <v>1056.5</v>
      </c>
      <c r="R110">
        <v>99457</v>
      </c>
    </row>
    <row r="111" spans="1:18" x14ac:dyDescent="0.25">
      <c r="A111" s="163">
        <v>42164</v>
      </c>
      <c r="B111" s="116">
        <v>215.4</v>
      </c>
      <c r="C111" s="116">
        <v>209.96</v>
      </c>
      <c r="D111" s="116">
        <v>207.2</v>
      </c>
      <c r="E111" s="116">
        <v>210.16</v>
      </c>
      <c r="F111" s="116">
        <v>1049.8</v>
      </c>
      <c r="G111">
        <v>15034</v>
      </c>
      <c r="H111" s="116"/>
      <c r="I111" s="116"/>
      <c r="L111" s="163">
        <v>42164</v>
      </c>
      <c r="M111" s="116">
        <v>209.89</v>
      </c>
      <c r="N111" s="116">
        <v>215.6</v>
      </c>
      <c r="O111" s="116">
        <v>206.22</v>
      </c>
      <c r="P111" s="116">
        <v>210</v>
      </c>
      <c r="Q111" s="116">
        <v>1049.45</v>
      </c>
      <c r="R111">
        <v>87981</v>
      </c>
    </row>
    <row r="112" spans="1:18" x14ac:dyDescent="0.25">
      <c r="A112" s="163">
        <v>42165</v>
      </c>
      <c r="B112" s="116">
        <v>218.72</v>
      </c>
      <c r="C112" s="116">
        <v>215.22</v>
      </c>
      <c r="D112" s="116">
        <v>209.4</v>
      </c>
      <c r="E112" s="116">
        <v>211.02</v>
      </c>
      <c r="F112" s="116">
        <v>1076.0999999999999</v>
      </c>
      <c r="G112">
        <v>16966</v>
      </c>
      <c r="H112" s="116"/>
      <c r="I112" s="116"/>
      <c r="L112" s="163">
        <v>42165</v>
      </c>
      <c r="M112" s="116">
        <v>214.89</v>
      </c>
      <c r="N112" s="116">
        <v>218.79</v>
      </c>
      <c r="O112" s="116">
        <v>208.8</v>
      </c>
      <c r="P112" s="116">
        <v>210.38</v>
      </c>
      <c r="Q112" s="116">
        <v>1074.45</v>
      </c>
      <c r="R112">
        <v>96261</v>
      </c>
    </row>
    <row r="113" spans="1:18" x14ac:dyDescent="0.25">
      <c r="A113" s="163">
        <v>42166</v>
      </c>
      <c r="B113" s="116">
        <v>217.28</v>
      </c>
      <c r="C113" s="116">
        <v>207.44</v>
      </c>
      <c r="D113" s="116">
        <v>205.2</v>
      </c>
      <c r="E113" s="116">
        <v>216.15</v>
      </c>
      <c r="F113" s="116">
        <v>1037.2</v>
      </c>
      <c r="G113">
        <v>23737</v>
      </c>
      <c r="H113" s="116"/>
      <c r="I113" s="116"/>
      <c r="L113" s="163">
        <v>42166</v>
      </c>
      <c r="M113" s="116">
        <v>206.79</v>
      </c>
      <c r="N113" s="116">
        <v>217.32</v>
      </c>
      <c r="O113" s="116">
        <v>204.84</v>
      </c>
      <c r="P113" s="116">
        <v>216</v>
      </c>
      <c r="Q113" s="116">
        <v>1033.95</v>
      </c>
      <c r="R113">
        <v>101761</v>
      </c>
    </row>
    <row r="114" spans="1:18" x14ac:dyDescent="0.25">
      <c r="A114" s="163">
        <v>42167</v>
      </c>
      <c r="B114" s="116">
        <v>211.9</v>
      </c>
      <c r="C114" s="116">
        <v>205</v>
      </c>
      <c r="D114" s="116">
        <v>201.66</v>
      </c>
      <c r="E114" s="116">
        <v>205.8</v>
      </c>
      <c r="F114" s="116">
        <v>1025</v>
      </c>
      <c r="G114">
        <v>23695</v>
      </c>
      <c r="H114" s="116"/>
      <c r="I114" s="116"/>
      <c r="L114" s="163">
        <v>42167</v>
      </c>
      <c r="M114" s="116">
        <v>205.03</v>
      </c>
      <c r="N114" s="116">
        <v>211.8</v>
      </c>
      <c r="O114" s="116">
        <v>201.6</v>
      </c>
      <c r="P114" s="116">
        <v>205.96</v>
      </c>
      <c r="Q114" s="116">
        <v>1025.1500000000001</v>
      </c>
      <c r="R114">
        <v>100498</v>
      </c>
    </row>
    <row r="115" spans="1:18" x14ac:dyDescent="0.25">
      <c r="A115" s="163">
        <v>42170</v>
      </c>
      <c r="B115" s="116">
        <v>209.78</v>
      </c>
      <c r="C115" s="116">
        <v>205.23</v>
      </c>
      <c r="D115" s="116">
        <v>204.16</v>
      </c>
      <c r="E115" s="116">
        <v>206</v>
      </c>
      <c r="F115" s="116">
        <v>1026.1500000000001</v>
      </c>
      <c r="G115">
        <v>16305</v>
      </c>
      <c r="H115" s="116"/>
      <c r="I115" s="116"/>
      <c r="L115" s="163">
        <v>42170</v>
      </c>
      <c r="M115" s="116">
        <v>204.79</v>
      </c>
      <c r="N115" s="116">
        <v>209.82</v>
      </c>
      <c r="O115" s="116">
        <v>203.6</v>
      </c>
      <c r="P115" s="116">
        <v>205.6</v>
      </c>
      <c r="Q115" s="116">
        <v>1023.95</v>
      </c>
      <c r="R115">
        <v>71299</v>
      </c>
    </row>
    <row r="116" spans="1:18" x14ac:dyDescent="0.25">
      <c r="A116" s="163">
        <v>42171</v>
      </c>
      <c r="B116" s="116">
        <v>208.4</v>
      </c>
      <c r="C116" s="116">
        <v>206.65</v>
      </c>
      <c r="D116" s="116">
        <v>200.48</v>
      </c>
      <c r="E116" s="116">
        <v>204.96</v>
      </c>
      <c r="F116" s="116">
        <v>1033.25</v>
      </c>
      <c r="G116">
        <v>24190</v>
      </c>
      <c r="H116" s="116"/>
      <c r="I116" s="116"/>
      <c r="L116" s="163">
        <v>42171</v>
      </c>
      <c r="M116" s="116">
        <v>206.66</v>
      </c>
      <c r="N116" s="116">
        <v>209</v>
      </c>
      <c r="O116" s="116">
        <v>200.4</v>
      </c>
      <c r="P116" s="116">
        <v>204.79</v>
      </c>
      <c r="Q116" s="116">
        <v>1033.3</v>
      </c>
      <c r="R116">
        <v>86898</v>
      </c>
    </row>
    <row r="117" spans="1:18" x14ac:dyDescent="0.25">
      <c r="A117" s="163">
        <v>42172</v>
      </c>
      <c r="B117" s="116">
        <v>214.85</v>
      </c>
      <c r="C117" s="116">
        <v>207.45</v>
      </c>
      <c r="D117" s="116">
        <v>206.32</v>
      </c>
      <c r="E117" s="116">
        <v>208.58</v>
      </c>
      <c r="F117" s="116">
        <v>1037.25</v>
      </c>
      <c r="G117">
        <v>32933</v>
      </c>
      <c r="H117" s="116"/>
      <c r="I117" s="116"/>
      <c r="L117" s="163">
        <v>42172</v>
      </c>
      <c r="M117" s="116">
        <v>207.97</v>
      </c>
      <c r="N117" s="116">
        <v>214.69</v>
      </c>
      <c r="O117" s="116">
        <v>206.21</v>
      </c>
      <c r="P117" s="116">
        <v>207.43</v>
      </c>
      <c r="Q117" s="116">
        <v>1039.8499999999999</v>
      </c>
      <c r="R117">
        <v>137773</v>
      </c>
    </row>
    <row r="118" spans="1:18" x14ac:dyDescent="0.25">
      <c r="A118" s="163">
        <v>42173</v>
      </c>
      <c r="B118" s="116">
        <v>216</v>
      </c>
      <c r="C118" s="116">
        <v>214.14</v>
      </c>
      <c r="D118" s="116">
        <v>209.5</v>
      </c>
      <c r="E118" s="116">
        <v>209.8</v>
      </c>
      <c r="F118" s="116">
        <v>1070.7</v>
      </c>
      <c r="G118">
        <v>21204</v>
      </c>
      <c r="H118" s="116"/>
      <c r="I118" s="116"/>
      <c r="L118" s="163">
        <v>42173</v>
      </c>
      <c r="M118" s="116">
        <v>214.47</v>
      </c>
      <c r="N118" s="116">
        <v>216.2</v>
      </c>
      <c r="O118" s="116">
        <v>209.02</v>
      </c>
      <c r="P118" s="116">
        <v>210.4</v>
      </c>
      <c r="Q118" s="116">
        <v>1072.3499999999999</v>
      </c>
      <c r="R118">
        <v>166628</v>
      </c>
    </row>
    <row r="119" spans="1:18" x14ac:dyDescent="0.25">
      <c r="A119" s="163">
        <v>42174</v>
      </c>
      <c r="B119" s="116">
        <v>218.79</v>
      </c>
      <c r="C119" s="116">
        <v>214.36</v>
      </c>
      <c r="D119" s="116">
        <v>213.36</v>
      </c>
      <c r="E119" s="116">
        <v>216.4</v>
      </c>
      <c r="F119" s="116">
        <v>1071.8</v>
      </c>
      <c r="G119">
        <v>19593</v>
      </c>
      <c r="H119" s="116"/>
      <c r="I119" s="116"/>
      <c r="L119" s="163">
        <v>42174</v>
      </c>
      <c r="M119" s="116">
        <v>214.35</v>
      </c>
      <c r="N119" s="116">
        <v>219</v>
      </c>
      <c r="O119" s="116">
        <v>213.24</v>
      </c>
      <c r="P119" s="116">
        <v>215</v>
      </c>
      <c r="Q119" s="116">
        <v>1071.75</v>
      </c>
      <c r="R119">
        <v>148416</v>
      </c>
    </row>
    <row r="120" spans="1:18" x14ac:dyDescent="0.25">
      <c r="A120" s="163">
        <v>42177</v>
      </c>
      <c r="B120" s="116">
        <v>224.6</v>
      </c>
      <c r="C120" s="116">
        <v>222.57</v>
      </c>
      <c r="D120" s="116">
        <v>212.6</v>
      </c>
      <c r="E120" s="116">
        <v>214.43</v>
      </c>
      <c r="F120" s="116">
        <v>1112.8499999999999</v>
      </c>
      <c r="G120">
        <v>36392</v>
      </c>
      <c r="H120" s="116"/>
      <c r="I120" s="116"/>
      <c r="L120" s="163">
        <v>42177</v>
      </c>
      <c r="M120" s="116">
        <v>223.16</v>
      </c>
      <c r="N120" s="116">
        <v>225</v>
      </c>
      <c r="O120" s="116">
        <v>212.02</v>
      </c>
      <c r="P120" s="116">
        <v>214.68</v>
      </c>
      <c r="Q120" s="116">
        <v>1115.8</v>
      </c>
      <c r="R120">
        <v>213114</v>
      </c>
    </row>
    <row r="121" spans="1:18" x14ac:dyDescent="0.25">
      <c r="A121" s="163">
        <v>42178</v>
      </c>
      <c r="B121" s="116">
        <v>228.2</v>
      </c>
      <c r="C121" s="116">
        <v>223.81</v>
      </c>
      <c r="D121" s="116">
        <v>222.23</v>
      </c>
      <c r="E121" s="116">
        <v>226.2</v>
      </c>
      <c r="F121" s="116">
        <v>1119.05</v>
      </c>
      <c r="G121">
        <v>36427</v>
      </c>
      <c r="H121" s="116"/>
      <c r="I121" s="116"/>
      <c r="L121" s="163">
        <v>42178</v>
      </c>
      <c r="M121" s="116">
        <v>224.34</v>
      </c>
      <c r="N121" s="116">
        <v>229</v>
      </c>
      <c r="O121" s="116">
        <v>223</v>
      </c>
      <c r="P121" s="116">
        <v>226.8</v>
      </c>
      <c r="Q121" s="116">
        <v>1121.7</v>
      </c>
      <c r="R121">
        <v>296074</v>
      </c>
    </row>
    <row r="122" spans="1:18" x14ac:dyDescent="0.25">
      <c r="A122" s="163">
        <v>42179</v>
      </c>
      <c r="B122" s="116">
        <v>228.2</v>
      </c>
      <c r="C122" s="116">
        <v>222</v>
      </c>
      <c r="D122" s="116">
        <v>218.54</v>
      </c>
      <c r="E122" s="116">
        <v>224.49</v>
      </c>
      <c r="F122" s="116">
        <v>1110</v>
      </c>
      <c r="G122">
        <v>18092</v>
      </c>
      <c r="H122" s="116"/>
      <c r="I122" s="116"/>
      <c r="L122" s="163">
        <v>42179</v>
      </c>
      <c r="M122" s="116">
        <v>221.83</v>
      </c>
      <c r="N122" s="116">
        <v>228</v>
      </c>
      <c r="O122" s="116">
        <v>218.93</v>
      </c>
      <c r="P122" s="116">
        <v>224.4</v>
      </c>
      <c r="Q122" s="116">
        <v>1109.1500000000001</v>
      </c>
      <c r="R122">
        <v>177979</v>
      </c>
    </row>
    <row r="123" spans="1:18" x14ac:dyDescent="0.25">
      <c r="A123" s="163">
        <v>42180</v>
      </c>
      <c r="B123" s="116">
        <v>228.16</v>
      </c>
      <c r="C123" s="116">
        <v>223.79</v>
      </c>
      <c r="D123" s="116">
        <v>219.84</v>
      </c>
      <c r="E123" s="116">
        <v>220</v>
      </c>
      <c r="F123" s="116">
        <v>1118.95</v>
      </c>
      <c r="G123">
        <v>11583</v>
      </c>
      <c r="H123" s="116"/>
      <c r="I123" s="116"/>
      <c r="L123" s="163">
        <v>42180</v>
      </c>
      <c r="M123" s="116">
        <v>224.76</v>
      </c>
      <c r="N123" s="116">
        <v>228</v>
      </c>
      <c r="O123" s="116">
        <v>216.61</v>
      </c>
      <c r="P123" s="116">
        <v>216.61</v>
      </c>
      <c r="Q123" s="116">
        <v>1123.8</v>
      </c>
      <c r="R123">
        <v>67598</v>
      </c>
    </row>
    <row r="124" spans="1:18" x14ac:dyDescent="0.25">
      <c r="A124" s="163">
        <v>42181</v>
      </c>
      <c r="B124" s="116">
        <v>244.4</v>
      </c>
      <c r="C124" s="116">
        <v>239.93</v>
      </c>
      <c r="D124" s="116">
        <v>225</v>
      </c>
      <c r="E124" s="116">
        <v>226</v>
      </c>
      <c r="F124" s="116">
        <v>1199.6500000000001</v>
      </c>
      <c r="G124">
        <v>137129</v>
      </c>
      <c r="H124" s="116"/>
      <c r="I124" s="116"/>
      <c r="L124" s="163">
        <v>42181</v>
      </c>
      <c r="M124" s="116">
        <v>240.13</v>
      </c>
      <c r="N124" s="116">
        <v>244.41</v>
      </c>
      <c r="O124" s="116">
        <v>225.03</v>
      </c>
      <c r="P124" s="116">
        <v>225.76</v>
      </c>
      <c r="Q124" s="116">
        <v>1200.6500000000001</v>
      </c>
      <c r="R124">
        <v>866081</v>
      </c>
    </row>
    <row r="125" spans="1:18" x14ac:dyDescent="0.25">
      <c r="A125" s="163">
        <v>42184</v>
      </c>
      <c r="B125" s="116">
        <v>247.26</v>
      </c>
      <c r="C125" s="116">
        <v>245.09</v>
      </c>
      <c r="D125" s="116">
        <v>230.4</v>
      </c>
      <c r="E125" s="116">
        <v>238.6</v>
      </c>
      <c r="F125" s="116">
        <v>1225.45</v>
      </c>
      <c r="G125">
        <v>78771</v>
      </c>
      <c r="H125" s="116"/>
      <c r="I125" s="116"/>
      <c r="L125" s="163">
        <v>42184</v>
      </c>
      <c r="M125" s="116">
        <v>245.29</v>
      </c>
      <c r="N125" s="116">
        <v>247.2</v>
      </c>
      <c r="O125" s="116">
        <v>230.22</v>
      </c>
      <c r="P125" s="116">
        <v>234.96</v>
      </c>
      <c r="Q125" s="116">
        <v>1226.45</v>
      </c>
      <c r="R125">
        <v>665567</v>
      </c>
    </row>
    <row r="126" spans="1:18" x14ac:dyDescent="0.25">
      <c r="A126" s="163">
        <v>42185</v>
      </c>
      <c r="B126" s="116">
        <v>250.02</v>
      </c>
      <c r="C126" s="116">
        <v>245.92</v>
      </c>
      <c r="D126" s="116">
        <v>244.62</v>
      </c>
      <c r="E126" s="116">
        <v>246.22</v>
      </c>
      <c r="F126" s="116">
        <v>1229.5999999999999</v>
      </c>
      <c r="G126">
        <v>32612</v>
      </c>
      <c r="H126" s="116"/>
      <c r="I126" s="116"/>
      <c r="L126" s="163">
        <v>42185</v>
      </c>
      <c r="M126" s="116">
        <v>246.45</v>
      </c>
      <c r="N126" s="116">
        <v>250.2</v>
      </c>
      <c r="O126" s="116">
        <v>244.2</v>
      </c>
      <c r="P126" s="116">
        <v>246.8</v>
      </c>
      <c r="Q126" s="116">
        <v>1232.25</v>
      </c>
      <c r="R126">
        <v>223499</v>
      </c>
    </row>
    <row r="127" spans="1:18" x14ac:dyDescent="0.25">
      <c r="A127" s="163">
        <v>42186</v>
      </c>
      <c r="B127" s="116">
        <v>253.5</v>
      </c>
      <c r="C127" s="116">
        <v>247.84</v>
      </c>
      <c r="D127" s="116">
        <v>245.76</v>
      </c>
      <c r="E127" s="116">
        <v>249.6</v>
      </c>
      <c r="F127" s="116">
        <v>1239.2</v>
      </c>
      <c r="G127">
        <v>36586</v>
      </c>
      <c r="H127" s="116"/>
      <c r="I127" s="116"/>
      <c r="L127" s="163">
        <v>42186</v>
      </c>
      <c r="M127" s="116">
        <v>247.35</v>
      </c>
      <c r="N127" s="116">
        <v>253.6</v>
      </c>
      <c r="O127" s="116">
        <v>245</v>
      </c>
      <c r="P127" s="116">
        <v>246.4</v>
      </c>
      <c r="Q127" s="116">
        <v>1236.75</v>
      </c>
      <c r="R127">
        <v>290981</v>
      </c>
    </row>
    <row r="128" spans="1:18" x14ac:dyDescent="0.25">
      <c r="A128" s="163">
        <v>42187</v>
      </c>
      <c r="B128" s="116">
        <v>255</v>
      </c>
      <c r="C128" s="116">
        <v>251.38</v>
      </c>
      <c r="D128" s="116">
        <v>247.65</v>
      </c>
      <c r="E128" s="116">
        <v>248.4</v>
      </c>
      <c r="F128" s="116">
        <v>1256.9000000000001</v>
      </c>
      <c r="G128">
        <v>34700</v>
      </c>
      <c r="H128" s="116"/>
      <c r="I128" s="116"/>
      <c r="L128" s="163">
        <v>42187</v>
      </c>
      <c r="M128" s="116">
        <v>251.5</v>
      </c>
      <c r="N128" s="116">
        <v>255</v>
      </c>
      <c r="O128" s="116">
        <v>247.25</v>
      </c>
      <c r="P128" s="116">
        <v>250</v>
      </c>
      <c r="Q128" s="116">
        <v>1257.5</v>
      </c>
      <c r="R128">
        <v>235873</v>
      </c>
    </row>
    <row r="129" spans="1:18" x14ac:dyDescent="0.25">
      <c r="A129" s="163">
        <v>42188</v>
      </c>
      <c r="B129" s="116">
        <v>254.4</v>
      </c>
      <c r="C129" s="116">
        <v>250.28</v>
      </c>
      <c r="D129" s="116">
        <v>248.4</v>
      </c>
      <c r="E129" s="116">
        <v>251</v>
      </c>
      <c r="F129" s="116">
        <v>1251.4000000000001</v>
      </c>
      <c r="G129">
        <v>29093</v>
      </c>
      <c r="H129" s="116"/>
      <c r="I129" s="116"/>
      <c r="L129" s="163">
        <v>42188</v>
      </c>
      <c r="M129" s="116">
        <v>250.43</v>
      </c>
      <c r="N129" s="116">
        <v>254.54</v>
      </c>
      <c r="O129" s="116">
        <v>248.23</v>
      </c>
      <c r="P129" s="116">
        <v>252</v>
      </c>
      <c r="Q129" s="116">
        <v>1252.1500000000001</v>
      </c>
      <c r="R129">
        <v>140962</v>
      </c>
    </row>
    <row r="130" spans="1:18" x14ac:dyDescent="0.25">
      <c r="A130" s="163">
        <v>42191</v>
      </c>
      <c r="B130" s="116">
        <v>265.76</v>
      </c>
      <c r="C130" s="116">
        <v>264.45</v>
      </c>
      <c r="D130" s="116">
        <v>246.22</v>
      </c>
      <c r="E130" s="116">
        <v>249.4</v>
      </c>
      <c r="F130" s="116">
        <v>1322.25</v>
      </c>
      <c r="G130">
        <v>66016</v>
      </c>
      <c r="H130" s="116"/>
      <c r="I130" s="116"/>
      <c r="L130" s="163">
        <v>42191</v>
      </c>
      <c r="M130" s="116">
        <v>264.64999999999998</v>
      </c>
      <c r="N130" s="116">
        <v>265.98</v>
      </c>
      <c r="O130" s="116">
        <v>245.55</v>
      </c>
      <c r="P130" s="116">
        <v>246</v>
      </c>
      <c r="Q130" s="116">
        <v>1323.25</v>
      </c>
      <c r="R130">
        <v>478076</v>
      </c>
    </row>
    <row r="131" spans="1:18" x14ac:dyDescent="0.25">
      <c r="A131" s="163">
        <v>42192</v>
      </c>
      <c r="B131" s="116">
        <v>271.2</v>
      </c>
      <c r="C131" s="116">
        <v>265.74</v>
      </c>
      <c r="D131" s="116">
        <v>263.51</v>
      </c>
      <c r="E131" s="116">
        <v>266.60000000000002</v>
      </c>
      <c r="F131" s="116">
        <v>1328.7</v>
      </c>
      <c r="G131">
        <v>49115</v>
      </c>
      <c r="H131" s="116"/>
      <c r="I131" s="116"/>
      <c r="L131" s="163">
        <v>42192</v>
      </c>
      <c r="M131" s="116">
        <v>265.77999999999997</v>
      </c>
      <c r="N131" s="116">
        <v>271.2</v>
      </c>
      <c r="O131" s="116">
        <v>263.26</v>
      </c>
      <c r="P131" s="116">
        <v>267.58999999999997</v>
      </c>
      <c r="Q131" s="116">
        <v>1328.9</v>
      </c>
      <c r="R131">
        <v>449632</v>
      </c>
    </row>
    <row r="132" spans="1:18" x14ac:dyDescent="0.25">
      <c r="A132" s="163">
        <v>42193</v>
      </c>
      <c r="B132" s="116">
        <v>270.18</v>
      </c>
      <c r="C132" s="116">
        <v>259.87</v>
      </c>
      <c r="D132" s="116">
        <v>256.60000000000002</v>
      </c>
      <c r="E132" s="116">
        <v>263</v>
      </c>
      <c r="F132" s="116">
        <v>1299.3499999999999</v>
      </c>
      <c r="G132">
        <v>28405</v>
      </c>
      <c r="H132" s="116"/>
      <c r="I132" s="116"/>
      <c r="L132" s="163">
        <v>42193</v>
      </c>
      <c r="M132" s="116">
        <v>260.13</v>
      </c>
      <c r="N132" s="116">
        <v>270</v>
      </c>
      <c r="O132" s="116">
        <v>256.47000000000003</v>
      </c>
      <c r="P132" s="116">
        <v>262.2</v>
      </c>
      <c r="Q132" s="116">
        <v>1300.6500000000001</v>
      </c>
      <c r="R132">
        <v>394073</v>
      </c>
    </row>
    <row r="133" spans="1:18" x14ac:dyDescent="0.25">
      <c r="A133" s="163">
        <v>42194</v>
      </c>
      <c r="B133" s="116">
        <v>265.94</v>
      </c>
      <c r="C133" s="116">
        <v>260.77</v>
      </c>
      <c r="D133" s="116">
        <v>260</v>
      </c>
      <c r="E133" s="116">
        <v>260.39999999999998</v>
      </c>
      <c r="F133" s="116">
        <v>1303.8499999999999</v>
      </c>
      <c r="G133">
        <v>13985</v>
      </c>
      <c r="H133" s="116"/>
      <c r="I133" s="116"/>
      <c r="L133" s="163">
        <v>42194</v>
      </c>
      <c r="M133" s="116">
        <v>260.89</v>
      </c>
      <c r="N133" s="116">
        <v>265.8</v>
      </c>
      <c r="O133" s="116">
        <v>259.52</v>
      </c>
      <c r="P133" s="116">
        <v>260.13</v>
      </c>
      <c r="Q133" s="116">
        <v>1304.45</v>
      </c>
      <c r="R133">
        <v>182457</v>
      </c>
    </row>
    <row r="134" spans="1:18" x14ac:dyDescent="0.25">
      <c r="A134" s="163">
        <v>42195</v>
      </c>
      <c r="B134" s="116">
        <v>264.77</v>
      </c>
      <c r="C134" s="116">
        <v>261.18</v>
      </c>
      <c r="D134" s="116">
        <v>258.8</v>
      </c>
      <c r="E134" s="116">
        <v>260.64999999999998</v>
      </c>
      <c r="F134" s="116">
        <v>1305.9000000000001</v>
      </c>
      <c r="G134">
        <v>19349</v>
      </c>
      <c r="H134" s="116"/>
      <c r="I134" s="116"/>
      <c r="L134" s="163">
        <v>42195</v>
      </c>
      <c r="M134" s="116">
        <v>261.32</v>
      </c>
      <c r="N134" s="116">
        <v>265.8</v>
      </c>
      <c r="O134" s="116">
        <v>258.7</v>
      </c>
      <c r="P134" s="116">
        <v>265.8</v>
      </c>
      <c r="Q134" s="116">
        <v>1306.5999999999999</v>
      </c>
      <c r="R134">
        <v>164260</v>
      </c>
    </row>
    <row r="135" spans="1:18" x14ac:dyDescent="0.25">
      <c r="A135" s="163">
        <v>42198</v>
      </c>
      <c r="B135" s="116">
        <v>262.89999999999998</v>
      </c>
      <c r="C135" s="116">
        <v>260.83</v>
      </c>
      <c r="D135" s="116">
        <v>254.97</v>
      </c>
      <c r="E135" s="116">
        <v>261.2</v>
      </c>
      <c r="F135" s="116">
        <v>1304.1500000000001</v>
      </c>
      <c r="G135">
        <v>16565</v>
      </c>
      <c r="H135" s="116"/>
      <c r="I135" s="116"/>
      <c r="L135" s="163">
        <v>42198</v>
      </c>
      <c r="M135" s="116">
        <v>261.27</v>
      </c>
      <c r="N135" s="116">
        <v>262.89999999999998</v>
      </c>
      <c r="O135" s="116">
        <v>254.8</v>
      </c>
      <c r="P135" s="116">
        <v>261.39999999999998</v>
      </c>
      <c r="Q135" s="116">
        <v>1306.3499999999999</v>
      </c>
      <c r="R135">
        <v>125274</v>
      </c>
    </row>
    <row r="136" spans="1:18" x14ac:dyDescent="0.25">
      <c r="A136" s="163">
        <v>42199</v>
      </c>
      <c r="B136" s="116">
        <v>263.8</v>
      </c>
      <c r="C136" s="116">
        <v>262</v>
      </c>
      <c r="D136" s="116">
        <v>259.41000000000003</v>
      </c>
      <c r="E136" s="116">
        <v>261.01</v>
      </c>
      <c r="F136" s="116">
        <v>1310</v>
      </c>
      <c r="G136">
        <v>14521</v>
      </c>
      <c r="H136" s="116"/>
      <c r="I136" s="116"/>
      <c r="L136" s="163">
        <v>42199</v>
      </c>
      <c r="M136" s="116">
        <v>261.76</v>
      </c>
      <c r="N136" s="116">
        <v>263.85000000000002</v>
      </c>
      <c r="O136" s="116">
        <v>259.19</v>
      </c>
      <c r="P136" s="116">
        <v>261.60000000000002</v>
      </c>
      <c r="Q136" s="116">
        <v>1308.8</v>
      </c>
      <c r="R136">
        <v>185197</v>
      </c>
    </row>
    <row r="137" spans="1:18" x14ac:dyDescent="0.25">
      <c r="A137" s="163">
        <v>42200</v>
      </c>
      <c r="B137" s="116">
        <v>267.10000000000002</v>
      </c>
      <c r="C137" s="116">
        <v>261.60000000000002</v>
      </c>
      <c r="D137" s="116">
        <v>260.58999999999997</v>
      </c>
      <c r="E137" s="116">
        <v>262.87</v>
      </c>
      <c r="F137" s="116">
        <v>1308</v>
      </c>
      <c r="G137">
        <v>23648</v>
      </c>
      <c r="H137" s="116"/>
      <c r="I137" s="116"/>
      <c r="L137" s="163">
        <v>42200</v>
      </c>
      <c r="M137" s="116">
        <v>261.58</v>
      </c>
      <c r="N137" s="116">
        <v>267.3</v>
      </c>
      <c r="O137" s="116">
        <v>260.54000000000002</v>
      </c>
      <c r="P137" s="116">
        <v>262.60000000000002</v>
      </c>
      <c r="Q137" s="116">
        <v>1307.9000000000001</v>
      </c>
      <c r="R137">
        <v>208095</v>
      </c>
    </row>
    <row r="138" spans="1:18" x14ac:dyDescent="0.25">
      <c r="A138" s="163">
        <v>42201</v>
      </c>
      <c r="B138" s="116">
        <v>264.39999999999998</v>
      </c>
      <c r="C138" s="116">
        <v>260.42</v>
      </c>
      <c r="D138" s="116">
        <v>259.54000000000002</v>
      </c>
      <c r="E138" s="116">
        <v>264.39999999999998</v>
      </c>
      <c r="F138" s="116">
        <v>1302.0999999999999</v>
      </c>
      <c r="G138">
        <v>12737</v>
      </c>
      <c r="H138" s="116"/>
      <c r="I138" s="116"/>
      <c r="L138" s="163">
        <v>42201</v>
      </c>
      <c r="M138" s="116">
        <v>260.82</v>
      </c>
      <c r="N138" s="116">
        <v>264.88</v>
      </c>
      <c r="O138" s="116">
        <v>259.27</v>
      </c>
      <c r="P138" s="116">
        <v>263.54000000000002</v>
      </c>
      <c r="Q138" s="116">
        <v>1304.0999999999999</v>
      </c>
      <c r="R138">
        <v>107904</v>
      </c>
    </row>
    <row r="139" spans="1:18" x14ac:dyDescent="0.25">
      <c r="A139" s="163">
        <v>42202</v>
      </c>
      <c r="B139" s="116">
        <v>264.77</v>
      </c>
      <c r="C139" s="116">
        <v>261.41000000000003</v>
      </c>
      <c r="D139" s="116">
        <v>260.41000000000003</v>
      </c>
      <c r="E139" s="116">
        <v>262</v>
      </c>
      <c r="F139" s="116">
        <v>1307.05</v>
      </c>
      <c r="G139">
        <v>11329</v>
      </c>
      <c r="H139" s="116"/>
      <c r="I139" s="116"/>
      <c r="L139" s="163">
        <v>42202</v>
      </c>
      <c r="M139" s="116">
        <v>262.08</v>
      </c>
      <c r="N139" s="116">
        <v>264.99</v>
      </c>
      <c r="O139" s="116">
        <v>260.41000000000003</v>
      </c>
      <c r="P139" s="116">
        <v>261.72000000000003</v>
      </c>
      <c r="Q139" s="116">
        <v>1310.4000000000001</v>
      </c>
      <c r="R139">
        <v>130383</v>
      </c>
    </row>
    <row r="140" spans="1:18" x14ac:dyDescent="0.25">
      <c r="A140" s="163">
        <v>42205</v>
      </c>
      <c r="B140" s="116">
        <v>270.16000000000003</v>
      </c>
      <c r="C140" s="116">
        <v>269.31</v>
      </c>
      <c r="D140" s="116">
        <v>262</v>
      </c>
      <c r="E140" s="116">
        <v>263</v>
      </c>
      <c r="F140" s="116">
        <v>1346.55</v>
      </c>
      <c r="G140">
        <v>23468</v>
      </c>
      <c r="H140" s="116"/>
      <c r="I140" s="116"/>
      <c r="L140" s="163">
        <v>42205</v>
      </c>
      <c r="M140" s="116">
        <v>269.64</v>
      </c>
      <c r="N140" s="116">
        <v>270.8</v>
      </c>
      <c r="O140" s="116">
        <v>261.63</v>
      </c>
      <c r="P140" s="116">
        <v>262.39999999999998</v>
      </c>
      <c r="Q140" s="116">
        <v>1348.2</v>
      </c>
      <c r="R140">
        <v>295338</v>
      </c>
    </row>
    <row r="141" spans="1:18" x14ac:dyDescent="0.25">
      <c r="A141" s="163">
        <v>42206</v>
      </c>
      <c r="B141" s="116">
        <v>272.2</v>
      </c>
      <c r="C141" s="116">
        <v>260.60000000000002</v>
      </c>
      <c r="D141" s="116">
        <v>258.20999999999998</v>
      </c>
      <c r="E141" s="116">
        <v>271.2</v>
      </c>
      <c r="F141" s="116">
        <v>1303</v>
      </c>
      <c r="G141">
        <v>27736</v>
      </c>
      <c r="H141" s="116"/>
      <c r="I141" s="116"/>
      <c r="L141" s="163">
        <v>42206</v>
      </c>
      <c r="M141" s="116">
        <v>260.22000000000003</v>
      </c>
      <c r="N141" s="116">
        <v>272.41000000000003</v>
      </c>
      <c r="O141" s="116">
        <v>257.51</v>
      </c>
      <c r="P141" s="116">
        <v>271.36</v>
      </c>
      <c r="Q141" s="116">
        <v>1301.0999999999999</v>
      </c>
      <c r="R141">
        <v>265949</v>
      </c>
    </row>
    <row r="142" spans="1:18" x14ac:dyDescent="0.25">
      <c r="A142" s="163">
        <v>42207</v>
      </c>
      <c r="B142" s="116">
        <v>264.52999999999997</v>
      </c>
      <c r="C142" s="116">
        <v>263.12</v>
      </c>
      <c r="D142" s="116">
        <v>260.60000000000002</v>
      </c>
      <c r="E142" s="116">
        <v>260.60000000000002</v>
      </c>
      <c r="F142" s="116">
        <v>1315.6</v>
      </c>
      <c r="G142">
        <v>8647</v>
      </c>
      <c r="H142" s="116"/>
      <c r="I142" s="116"/>
      <c r="L142" s="163">
        <v>42207</v>
      </c>
      <c r="M142" s="116">
        <v>263.12</v>
      </c>
      <c r="N142" s="116">
        <v>264.39999999999998</v>
      </c>
      <c r="O142" s="116">
        <v>260.2</v>
      </c>
      <c r="P142" s="116">
        <v>260.22000000000003</v>
      </c>
      <c r="Q142" s="116">
        <v>1315.6</v>
      </c>
      <c r="R142">
        <v>100994</v>
      </c>
    </row>
    <row r="143" spans="1:18" x14ac:dyDescent="0.25">
      <c r="A143" s="163">
        <v>42208</v>
      </c>
      <c r="B143" s="116">
        <v>263.93</v>
      </c>
      <c r="C143" s="116">
        <v>261.69</v>
      </c>
      <c r="D143" s="116">
        <v>259.2</v>
      </c>
      <c r="E143" s="116">
        <v>263.93</v>
      </c>
      <c r="F143" s="116">
        <v>1308.45</v>
      </c>
      <c r="G143">
        <v>9704</v>
      </c>
      <c r="H143" s="116"/>
      <c r="I143" s="116"/>
      <c r="L143" s="163">
        <v>42208</v>
      </c>
      <c r="M143" s="116">
        <v>261.66000000000003</v>
      </c>
      <c r="N143" s="116">
        <v>264</v>
      </c>
      <c r="O143" s="116">
        <v>259.11</v>
      </c>
      <c r="P143" s="116">
        <v>264</v>
      </c>
      <c r="Q143" s="116">
        <v>1308.3</v>
      </c>
      <c r="R143">
        <v>79407</v>
      </c>
    </row>
    <row r="144" spans="1:18" x14ac:dyDescent="0.25">
      <c r="A144" s="163">
        <v>42209</v>
      </c>
      <c r="B144" s="116">
        <v>263.60000000000002</v>
      </c>
      <c r="C144" s="116">
        <v>259.45999999999998</v>
      </c>
      <c r="D144" s="116">
        <v>258.2</v>
      </c>
      <c r="E144" s="116">
        <v>263.39999999999998</v>
      </c>
      <c r="F144" s="116">
        <v>1297.3</v>
      </c>
      <c r="G144">
        <v>6918</v>
      </c>
      <c r="H144" s="116"/>
      <c r="I144" s="116"/>
      <c r="L144" s="163">
        <v>42209</v>
      </c>
      <c r="M144" s="116">
        <v>259.8</v>
      </c>
      <c r="N144" s="116">
        <v>263.70999999999998</v>
      </c>
      <c r="O144" s="116">
        <v>258.68</v>
      </c>
      <c r="P144" s="116">
        <v>262.60000000000002</v>
      </c>
      <c r="Q144" s="116">
        <v>1299</v>
      </c>
      <c r="R144">
        <v>50316</v>
      </c>
    </row>
    <row r="145" spans="1:18" x14ac:dyDescent="0.25">
      <c r="A145" s="163">
        <v>42212</v>
      </c>
      <c r="B145" s="116">
        <v>259.92</v>
      </c>
      <c r="C145" s="116">
        <v>255.85</v>
      </c>
      <c r="D145" s="116">
        <v>254.08</v>
      </c>
      <c r="E145" s="116">
        <v>259.91000000000003</v>
      </c>
      <c r="F145" s="116">
        <v>1279.25</v>
      </c>
      <c r="G145">
        <v>11780</v>
      </c>
      <c r="H145" s="116"/>
      <c r="I145" s="116"/>
      <c r="L145" s="163">
        <v>42212</v>
      </c>
      <c r="M145" s="116">
        <v>256.02999999999997</v>
      </c>
      <c r="N145" s="116">
        <v>260.64</v>
      </c>
      <c r="O145" s="116">
        <v>254.06</v>
      </c>
      <c r="P145" s="116">
        <v>259.8</v>
      </c>
      <c r="Q145" s="116">
        <v>1280.1500000000001</v>
      </c>
      <c r="R145">
        <v>95002</v>
      </c>
    </row>
    <row r="146" spans="1:18" x14ac:dyDescent="0.25">
      <c r="A146" s="163">
        <v>42213</v>
      </c>
      <c r="B146" s="116">
        <v>264.5</v>
      </c>
      <c r="C146" s="116">
        <v>261.74</v>
      </c>
      <c r="D146" s="116">
        <v>254</v>
      </c>
      <c r="E146" s="116">
        <v>255</v>
      </c>
      <c r="F146" s="116">
        <v>1308.7</v>
      </c>
      <c r="G146">
        <v>16477</v>
      </c>
      <c r="H146" s="116"/>
      <c r="I146" s="116"/>
      <c r="L146" s="163">
        <v>42213</v>
      </c>
      <c r="M146" s="116">
        <v>262.08999999999997</v>
      </c>
      <c r="N146" s="116">
        <v>265</v>
      </c>
      <c r="O146" s="116">
        <v>252.04</v>
      </c>
      <c r="P146" s="116">
        <v>256.58</v>
      </c>
      <c r="Q146" s="116">
        <v>1310.45</v>
      </c>
      <c r="R146">
        <v>214763</v>
      </c>
    </row>
    <row r="147" spans="1:18" x14ac:dyDescent="0.25">
      <c r="A147" s="163">
        <v>42214</v>
      </c>
      <c r="B147" s="116">
        <v>264</v>
      </c>
      <c r="C147" s="116">
        <v>262.08999999999997</v>
      </c>
      <c r="D147" s="116">
        <v>261.3</v>
      </c>
      <c r="E147" s="116">
        <v>263.22000000000003</v>
      </c>
      <c r="F147" s="116">
        <v>1310.45</v>
      </c>
      <c r="G147">
        <v>6285</v>
      </c>
      <c r="H147" s="116"/>
      <c r="I147" s="116"/>
      <c r="L147" s="163">
        <v>42214</v>
      </c>
      <c r="M147" s="116">
        <v>262.22000000000003</v>
      </c>
      <c r="N147" s="116">
        <v>264.08</v>
      </c>
      <c r="O147" s="116">
        <v>261</v>
      </c>
      <c r="P147" s="116">
        <v>263</v>
      </c>
      <c r="Q147" s="116">
        <v>1311.1</v>
      </c>
      <c r="R147">
        <v>69697</v>
      </c>
    </row>
    <row r="148" spans="1:18" x14ac:dyDescent="0.25">
      <c r="A148" s="163">
        <v>42215</v>
      </c>
      <c r="B148" s="116">
        <v>277</v>
      </c>
      <c r="C148" s="116">
        <v>275.16000000000003</v>
      </c>
      <c r="D148" s="116">
        <v>262.2</v>
      </c>
      <c r="E148" s="116">
        <v>262.60000000000002</v>
      </c>
      <c r="F148" s="116">
        <v>1375.8</v>
      </c>
      <c r="G148">
        <v>39647</v>
      </c>
      <c r="H148" s="116"/>
      <c r="I148" s="116"/>
      <c r="L148" s="163">
        <v>42215</v>
      </c>
      <c r="M148" s="116">
        <v>275.56</v>
      </c>
      <c r="N148" s="116">
        <v>277.39999999999998</v>
      </c>
      <c r="O148" s="116">
        <v>261.82</v>
      </c>
      <c r="P148" s="116">
        <v>264.5</v>
      </c>
      <c r="Q148" s="116">
        <v>1377.8</v>
      </c>
      <c r="R148">
        <v>442755</v>
      </c>
    </row>
    <row r="149" spans="1:18" x14ac:dyDescent="0.25">
      <c r="A149" s="163">
        <v>42216</v>
      </c>
      <c r="B149" s="116">
        <v>284.77999999999997</v>
      </c>
      <c r="C149" s="116">
        <v>278.57</v>
      </c>
      <c r="D149" s="116">
        <v>273.39999999999998</v>
      </c>
      <c r="E149" s="116">
        <v>279</v>
      </c>
      <c r="F149" s="116">
        <v>1392.85</v>
      </c>
      <c r="G149">
        <v>42261</v>
      </c>
      <c r="H149" s="116"/>
      <c r="I149" s="116"/>
      <c r="L149" s="163">
        <v>42216</v>
      </c>
      <c r="M149" s="116">
        <v>278.13</v>
      </c>
      <c r="N149" s="116">
        <v>284.7</v>
      </c>
      <c r="O149" s="116">
        <v>273.45</v>
      </c>
      <c r="P149" s="116">
        <v>278</v>
      </c>
      <c r="Q149" s="116">
        <v>1390.65</v>
      </c>
      <c r="R149">
        <v>419171</v>
      </c>
    </row>
    <row r="150" spans="1:18" x14ac:dyDescent="0.25">
      <c r="A150" s="163">
        <v>42219</v>
      </c>
      <c r="B150" s="116">
        <v>283</v>
      </c>
      <c r="C150" s="116">
        <v>277.08</v>
      </c>
      <c r="D150" s="116">
        <v>274.62</v>
      </c>
      <c r="E150" s="116">
        <v>275.38</v>
      </c>
      <c r="F150" s="116">
        <v>1385.4</v>
      </c>
      <c r="G150">
        <v>17797</v>
      </c>
      <c r="H150" s="116"/>
      <c r="I150" s="116"/>
      <c r="L150" s="163">
        <v>42219</v>
      </c>
      <c r="M150" s="116">
        <v>277.01</v>
      </c>
      <c r="N150" s="116">
        <v>283.20999999999998</v>
      </c>
      <c r="O150" s="116">
        <v>273.77999999999997</v>
      </c>
      <c r="P150" s="116">
        <v>273.94</v>
      </c>
      <c r="Q150" s="116">
        <v>1385.05</v>
      </c>
      <c r="R150">
        <v>121361</v>
      </c>
    </row>
    <row r="151" spans="1:18" x14ac:dyDescent="0.25">
      <c r="A151" s="163">
        <v>42220</v>
      </c>
      <c r="B151" s="116">
        <v>294.2</v>
      </c>
      <c r="C151" s="116">
        <v>293.08</v>
      </c>
      <c r="D151" s="116">
        <v>274.82</v>
      </c>
      <c r="E151" s="116">
        <v>278.88</v>
      </c>
      <c r="F151" s="116">
        <v>1465.4</v>
      </c>
      <c r="G151">
        <v>85037</v>
      </c>
      <c r="H151" s="116"/>
      <c r="I151" s="116"/>
      <c r="L151" s="163">
        <v>42220</v>
      </c>
      <c r="M151" s="116">
        <v>292.74</v>
      </c>
      <c r="N151" s="116">
        <v>294.48</v>
      </c>
      <c r="O151" s="116">
        <v>274.14</v>
      </c>
      <c r="P151" s="116">
        <v>277.60000000000002</v>
      </c>
      <c r="Q151" s="116">
        <v>1463.7</v>
      </c>
      <c r="R151">
        <v>460443</v>
      </c>
    </row>
    <row r="152" spans="1:18" x14ac:dyDescent="0.25">
      <c r="A152" s="163">
        <v>42221</v>
      </c>
      <c r="B152" s="116">
        <v>299.11</v>
      </c>
      <c r="C152" s="116">
        <v>293.11</v>
      </c>
      <c r="D152" s="116">
        <v>292.10000000000002</v>
      </c>
      <c r="E152" s="116">
        <v>297</v>
      </c>
      <c r="F152" s="116">
        <v>1465.55</v>
      </c>
      <c r="G152">
        <v>53012</v>
      </c>
      <c r="H152" s="116"/>
      <c r="I152" s="116"/>
      <c r="L152" s="163">
        <v>42221</v>
      </c>
      <c r="M152" s="116">
        <v>293.17</v>
      </c>
      <c r="N152" s="116">
        <v>299.77</v>
      </c>
      <c r="O152" s="116">
        <v>292</v>
      </c>
      <c r="P152" s="116">
        <v>296.60000000000002</v>
      </c>
      <c r="Q152" s="116">
        <v>1465.85</v>
      </c>
      <c r="R152">
        <v>304473</v>
      </c>
    </row>
    <row r="153" spans="1:18" x14ac:dyDescent="0.25">
      <c r="A153" s="163">
        <v>42222</v>
      </c>
      <c r="B153" s="116">
        <v>295</v>
      </c>
      <c r="C153" s="116">
        <v>288.99</v>
      </c>
      <c r="D153" s="116">
        <v>282.81</v>
      </c>
      <c r="E153" s="116">
        <v>294.8</v>
      </c>
      <c r="F153" s="116">
        <v>1444.95</v>
      </c>
      <c r="G153">
        <v>48736</v>
      </c>
      <c r="H153" s="116"/>
      <c r="I153" s="116"/>
      <c r="L153" s="163">
        <v>42222</v>
      </c>
      <c r="M153" s="116">
        <v>288.95999999999998</v>
      </c>
      <c r="N153" s="116">
        <v>295.33</v>
      </c>
      <c r="O153" s="116">
        <v>282.36</v>
      </c>
      <c r="P153" s="116">
        <v>294.8</v>
      </c>
      <c r="Q153" s="116">
        <v>1444.8</v>
      </c>
      <c r="R153">
        <v>222503</v>
      </c>
    </row>
    <row r="154" spans="1:18" x14ac:dyDescent="0.25">
      <c r="A154" s="163">
        <v>42223</v>
      </c>
      <c r="B154" s="116">
        <v>297.2</v>
      </c>
      <c r="C154" s="116">
        <v>284.08</v>
      </c>
      <c r="D154" s="116">
        <v>282.10000000000002</v>
      </c>
      <c r="E154" s="116">
        <v>293.58</v>
      </c>
      <c r="F154" s="116">
        <v>1420.4</v>
      </c>
      <c r="G154">
        <v>75275</v>
      </c>
      <c r="H154" s="116"/>
      <c r="I154" s="116"/>
      <c r="L154" s="163">
        <v>42223</v>
      </c>
      <c r="M154" s="116">
        <v>284.11</v>
      </c>
      <c r="N154" s="116">
        <v>295</v>
      </c>
      <c r="O154" s="116">
        <v>281.83999999999997</v>
      </c>
      <c r="P154" s="116">
        <v>293.8</v>
      </c>
      <c r="Q154" s="116">
        <v>1420.55</v>
      </c>
      <c r="R154">
        <v>359801</v>
      </c>
    </row>
    <row r="155" spans="1:18" x14ac:dyDescent="0.25">
      <c r="A155" s="163">
        <v>42226</v>
      </c>
      <c r="B155" s="116">
        <v>289</v>
      </c>
      <c r="C155" s="116">
        <v>283.33999999999997</v>
      </c>
      <c r="D155" s="116">
        <v>281.56</v>
      </c>
      <c r="E155" s="116">
        <v>286.17</v>
      </c>
      <c r="F155" s="116">
        <v>1416.7</v>
      </c>
      <c r="G155">
        <v>21820</v>
      </c>
      <c r="H155" s="116"/>
      <c r="I155" s="116"/>
      <c r="L155" s="163">
        <v>42226</v>
      </c>
      <c r="M155" s="116">
        <v>283.29000000000002</v>
      </c>
      <c r="N155" s="116">
        <v>288.99</v>
      </c>
      <c r="O155" s="116">
        <v>281.62</v>
      </c>
      <c r="P155" s="116">
        <v>287.94</v>
      </c>
      <c r="Q155" s="116">
        <v>1416.45</v>
      </c>
      <c r="R155">
        <v>135373</v>
      </c>
    </row>
    <row r="156" spans="1:18" x14ac:dyDescent="0.25">
      <c r="A156" s="163">
        <v>42227</v>
      </c>
      <c r="B156" s="116">
        <v>287.57</v>
      </c>
      <c r="C156" s="116">
        <v>277.95999999999998</v>
      </c>
      <c r="D156" s="116">
        <v>275</v>
      </c>
      <c r="E156" s="116">
        <v>285</v>
      </c>
      <c r="F156" s="116">
        <v>1389.8</v>
      </c>
      <c r="G156">
        <v>22820</v>
      </c>
      <c r="H156" s="116"/>
      <c r="I156" s="116"/>
      <c r="L156" s="163">
        <v>42227</v>
      </c>
      <c r="M156" s="116">
        <v>278.08</v>
      </c>
      <c r="N156" s="116">
        <v>287.77999999999997</v>
      </c>
      <c r="O156" s="116">
        <v>274.82</v>
      </c>
      <c r="P156" s="116">
        <v>285.54000000000002</v>
      </c>
      <c r="Q156" s="116">
        <v>1390.4</v>
      </c>
      <c r="R156">
        <v>203646</v>
      </c>
    </row>
    <row r="157" spans="1:18" x14ac:dyDescent="0.25">
      <c r="A157" s="163">
        <v>42228</v>
      </c>
      <c r="B157" s="116">
        <v>278</v>
      </c>
      <c r="C157" s="116">
        <v>263.10000000000002</v>
      </c>
      <c r="D157" s="116">
        <v>261</v>
      </c>
      <c r="E157" s="116">
        <v>277.60000000000002</v>
      </c>
      <c r="F157" s="116">
        <v>1315.5</v>
      </c>
      <c r="G157">
        <v>27573</v>
      </c>
      <c r="H157" s="116"/>
      <c r="I157" s="116"/>
      <c r="L157" s="163">
        <v>42228</v>
      </c>
      <c r="M157" s="116">
        <v>262.94</v>
      </c>
      <c r="N157" s="116">
        <v>278</v>
      </c>
      <c r="O157" s="116">
        <v>260.3</v>
      </c>
      <c r="P157" s="116">
        <v>276.79000000000002</v>
      </c>
      <c r="Q157" s="116">
        <v>1314.7</v>
      </c>
      <c r="R157">
        <v>173114</v>
      </c>
    </row>
    <row r="158" spans="1:18" x14ac:dyDescent="0.25">
      <c r="A158" s="163">
        <v>42229</v>
      </c>
      <c r="B158" s="116">
        <v>268</v>
      </c>
      <c r="C158" s="116">
        <v>256.66000000000003</v>
      </c>
      <c r="D158" s="116">
        <v>253.4</v>
      </c>
      <c r="E158" s="116">
        <v>265.8</v>
      </c>
      <c r="F158" s="116">
        <v>1283.3</v>
      </c>
      <c r="G158">
        <v>37977</v>
      </c>
      <c r="H158" s="116"/>
      <c r="I158" s="116"/>
      <c r="L158" s="163">
        <v>42229</v>
      </c>
      <c r="M158" s="116">
        <v>256.67</v>
      </c>
      <c r="N158" s="116">
        <v>267.8</v>
      </c>
      <c r="O158" s="116">
        <v>253.4</v>
      </c>
      <c r="P158" s="116">
        <v>265.19</v>
      </c>
      <c r="Q158" s="116">
        <v>1283.3499999999999</v>
      </c>
      <c r="R158">
        <v>186734</v>
      </c>
    </row>
    <row r="159" spans="1:18" x14ac:dyDescent="0.25">
      <c r="A159" s="163">
        <v>42230</v>
      </c>
      <c r="B159" s="116">
        <v>266.98</v>
      </c>
      <c r="C159" s="116">
        <v>263.52999999999997</v>
      </c>
      <c r="D159" s="116">
        <v>258.02</v>
      </c>
      <c r="E159" s="116">
        <v>258.02</v>
      </c>
      <c r="F159" s="116">
        <v>1317.65</v>
      </c>
      <c r="G159">
        <v>20069</v>
      </c>
      <c r="H159" s="116"/>
      <c r="I159" s="116"/>
      <c r="L159" s="163">
        <v>42230</v>
      </c>
      <c r="M159" s="116">
        <v>263.62</v>
      </c>
      <c r="N159" s="116">
        <v>266.97000000000003</v>
      </c>
      <c r="O159" s="116">
        <v>257.86</v>
      </c>
      <c r="P159" s="116">
        <v>259.5</v>
      </c>
      <c r="Q159" s="116">
        <v>1318.1</v>
      </c>
      <c r="R159">
        <v>129283</v>
      </c>
    </row>
    <row r="160" spans="1:18" x14ac:dyDescent="0.25">
      <c r="A160" s="163">
        <v>42233</v>
      </c>
      <c r="B160" s="116">
        <v>265.16000000000003</v>
      </c>
      <c r="C160" s="116">
        <v>259.33999999999997</v>
      </c>
      <c r="D160" s="116">
        <v>257.2</v>
      </c>
      <c r="E160" s="116">
        <v>263.38</v>
      </c>
      <c r="F160" s="116">
        <v>1296.7</v>
      </c>
      <c r="G160">
        <v>13619</v>
      </c>
      <c r="H160" s="116"/>
      <c r="I160" s="116"/>
      <c r="L160" s="163">
        <v>42233</v>
      </c>
      <c r="M160" s="116">
        <v>259.39</v>
      </c>
      <c r="N160" s="116">
        <v>265.16000000000003</v>
      </c>
      <c r="O160" s="116">
        <v>257</v>
      </c>
      <c r="P160" s="116">
        <v>264</v>
      </c>
      <c r="Q160" s="116">
        <v>1296.95</v>
      </c>
      <c r="R160">
        <v>98649</v>
      </c>
    </row>
    <row r="161" spans="1:18" x14ac:dyDescent="0.25">
      <c r="A161" s="163">
        <v>42234</v>
      </c>
      <c r="B161" s="116">
        <v>276.02999999999997</v>
      </c>
      <c r="C161" s="116">
        <v>270.89999999999998</v>
      </c>
      <c r="D161" s="116">
        <v>260.42</v>
      </c>
      <c r="E161" s="116">
        <v>260.42</v>
      </c>
      <c r="F161" s="116">
        <v>1354.5</v>
      </c>
      <c r="G161">
        <v>25696</v>
      </c>
      <c r="H161" s="116"/>
      <c r="I161" s="116"/>
      <c r="L161" s="163">
        <v>42234</v>
      </c>
      <c r="M161" s="116">
        <v>271.18</v>
      </c>
      <c r="N161" s="116">
        <v>276</v>
      </c>
      <c r="O161" s="116">
        <v>257.2</v>
      </c>
      <c r="P161" s="116">
        <v>257.2</v>
      </c>
      <c r="Q161" s="116">
        <v>1355.9</v>
      </c>
      <c r="R161">
        <v>195313</v>
      </c>
    </row>
    <row r="162" spans="1:18" x14ac:dyDescent="0.25">
      <c r="A162" s="163">
        <v>42235</v>
      </c>
      <c r="B162" s="116">
        <v>277.98</v>
      </c>
      <c r="C162" s="116">
        <v>269.58</v>
      </c>
      <c r="D162" s="116">
        <v>267.39999999999998</v>
      </c>
      <c r="E162" s="116">
        <v>276.2</v>
      </c>
      <c r="F162" s="116">
        <v>1347.9</v>
      </c>
      <c r="G162">
        <v>30483</v>
      </c>
      <c r="H162" s="116"/>
      <c r="I162" s="116"/>
      <c r="L162" s="163">
        <v>42235</v>
      </c>
      <c r="M162" s="116">
        <v>269.35000000000002</v>
      </c>
      <c r="N162" s="116">
        <v>277.45999999999998</v>
      </c>
      <c r="O162" s="116">
        <v>267.2</v>
      </c>
      <c r="P162" s="116">
        <v>276.8</v>
      </c>
      <c r="Q162" s="116">
        <v>1346.75</v>
      </c>
      <c r="R162">
        <v>281769</v>
      </c>
    </row>
    <row r="163" spans="1:18" x14ac:dyDescent="0.25">
      <c r="A163" s="163">
        <v>42236</v>
      </c>
      <c r="B163" s="116">
        <v>270.99</v>
      </c>
      <c r="C163" s="116">
        <v>259.35000000000002</v>
      </c>
      <c r="D163" s="116">
        <v>257.89999999999998</v>
      </c>
      <c r="E163" s="116">
        <v>270</v>
      </c>
      <c r="F163" s="116">
        <v>1296.75</v>
      </c>
      <c r="G163">
        <v>24659</v>
      </c>
      <c r="H163" s="116"/>
      <c r="I163" s="116"/>
      <c r="L163" s="163">
        <v>42236</v>
      </c>
      <c r="M163" s="116">
        <v>259.63</v>
      </c>
      <c r="N163" s="116">
        <v>271.08</v>
      </c>
      <c r="O163" s="116">
        <v>258.08</v>
      </c>
      <c r="P163" s="116">
        <v>269.35000000000002</v>
      </c>
      <c r="Q163" s="116">
        <v>1298.1500000000001</v>
      </c>
      <c r="R163">
        <v>177543</v>
      </c>
    </row>
    <row r="164" spans="1:18" x14ac:dyDescent="0.25">
      <c r="A164" s="163">
        <v>42237</v>
      </c>
      <c r="B164" s="116">
        <v>259.33999999999997</v>
      </c>
      <c r="C164" s="116">
        <v>253.94</v>
      </c>
      <c r="D164" s="116">
        <v>247</v>
      </c>
      <c r="E164" s="116">
        <v>254.4</v>
      </c>
      <c r="F164" s="116">
        <v>1269.7</v>
      </c>
      <c r="G164">
        <v>30852</v>
      </c>
      <c r="H164" s="116"/>
      <c r="I164" s="116"/>
      <c r="L164" s="163">
        <v>42237</v>
      </c>
      <c r="M164" s="116">
        <v>253.75</v>
      </c>
      <c r="N164" s="116">
        <v>259.11</v>
      </c>
      <c r="O164" s="116">
        <v>246.52</v>
      </c>
      <c r="P164" s="116">
        <v>255.33</v>
      </c>
      <c r="Q164" s="116">
        <v>1268.75</v>
      </c>
      <c r="R164">
        <v>219792</v>
      </c>
    </row>
    <row r="165" spans="1:18" x14ac:dyDescent="0.25">
      <c r="A165" s="163">
        <v>42240</v>
      </c>
      <c r="B165" s="116">
        <v>245</v>
      </c>
      <c r="C165" s="116">
        <v>215.08</v>
      </c>
      <c r="D165" s="116">
        <v>209</v>
      </c>
      <c r="E165" s="116">
        <v>245</v>
      </c>
      <c r="F165" s="116">
        <v>1075.4000000000001</v>
      </c>
      <c r="G165">
        <v>57746</v>
      </c>
      <c r="H165" s="116"/>
      <c r="I165" s="116"/>
      <c r="L165" s="163">
        <v>42240</v>
      </c>
      <c r="M165" s="116">
        <v>215.1</v>
      </c>
      <c r="N165" s="116">
        <v>245.16</v>
      </c>
      <c r="O165" s="116">
        <v>210.25</v>
      </c>
      <c r="P165" s="116">
        <v>241.22</v>
      </c>
      <c r="Q165" s="116">
        <v>1075.5</v>
      </c>
      <c r="R165">
        <v>347650</v>
      </c>
    </row>
    <row r="166" spans="1:18" x14ac:dyDescent="0.25">
      <c r="A166" s="163">
        <v>42241</v>
      </c>
      <c r="B166" s="116">
        <v>235.49</v>
      </c>
      <c r="C166" s="116">
        <v>231.21</v>
      </c>
      <c r="D166" s="116">
        <v>203.8</v>
      </c>
      <c r="E166" s="116">
        <v>216</v>
      </c>
      <c r="F166" s="116">
        <v>1156.05</v>
      </c>
      <c r="G166">
        <v>47250</v>
      </c>
      <c r="H166" s="116"/>
      <c r="I166" s="116"/>
      <c r="L166" s="163">
        <v>42241</v>
      </c>
      <c r="M166" s="116">
        <v>230.8</v>
      </c>
      <c r="N166" s="116">
        <v>235.77</v>
      </c>
      <c r="O166" s="116">
        <v>203.57</v>
      </c>
      <c r="P166" s="116">
        <v>219</v>
      </c>
      <c r="Q166" s="116">
        <v>1154</v>
      </c>
      <c r="R166">
        <v>291460</v>
      </c>
    </row>
    <row r="167" spans="1:18" x14ac:dyDescent="0.25">
      <c r="A167" s="163">
        <v>42242</v>
      </c>
      <c r="B167" s="116">
        <v>240</v>
      </c>
      <c r="C167" s="116">
        <v>235.25</v>
      </c>
      <c r="D167" s="116">
        <v>222</v>
      </c>
      <c r="E167" s="116">
        <v>233</v>
      </c>
      <c r="F167" s="116">
        <v>1176.25</v>
      </c>
      <c r="G167">
        <v>37156</v>
      </c>
      <c r="H167" s="116"/>
      <c r="I167" s="116"/>
      <c r="L167" s="163">
        <v>42242</v>
      </c>
      <c r="M167" s="116">
        <v>235.33</v>
      </c>
      <c r="N167" s="116">
        <v>239.8</v>
      </c>
      <c r="O167" s="116">
        <v>222.25</v>
      </c>
      <c r="P167" s="116">
        <v>231.05</v>
      </c>
      <c r="Q167" s="116">
        <v>1176.6500000000001</v>
      </c>
      <c r="R167">
        <v>253280</v>
      </c>
    </row>
    <row r="168" spans="1:18" x14ac:dyDescent="0.25">
      <c r="A168" s="163">
        <v>42243</v>
      </c>
      <c r="B168" s="116">
        <v>243.96</v>
      </c>
      <c r="C168" s="116">
        <v>239.33</v>
      </c>
      <c r="D168" s="116">
        <v>235.79</v>
      </c>
      <c r="E168" s="116">
        <v>237.6</v>
      </c>
      <c r="F168" s="116">
        <v>1196.6500000000001</v>
      </c>
      <c r="G168">
        <v>18283</v>
      </c>
      <c r="H168" s="116"/>
      <c r="I168" s="116"/>
      <c r="L168" s="163">
        <v>42243</v>
      </c>
      <c r="M168" s="116">
        <v>239.33</v>
      </c>
      <c r="N168" s="116">
        <v>244</v>
      </c>
      <c r="O168" s="116">
        <v>235.7</v>
      </c>
      <c r="P168" s="116">
        <v>240</v>
      </c>
      <c r="Q168" s="116">
        <v>1196.6500000000001</v>
      </c>
      <c r="R168">
        <v>150489</v>
      </c>
    </row>
    <row r="169" spans="1:18" x14ac:dyDescent="0.25">
      <c r="A169" s="163">
        <v>42244</v>
      </c>
      <c r="B169" s="116">
        <v>247.8</v>
      </c>
      <c r="C169" s="116">
        <v>239.93</v>
      </c>
      <c r="D169" s="116">
        <v>237.86</v>
      </c>
      <c r="E169" s="116">
        <v>241.62</v>
      </c>
      <c r="F169" s="116">
        <v>1199.6500000000001</v>
      </c>
      <c r="G169">
        <v>20179</v>
      </c>
      <c r="H169" s="116"/>
      <c r="I169" s="116"/>
      <c r="L169" s="163">
        <v>42244</v>
      </c>
      <c r="M169" s="116">
        <v>239.87</v>
      </c>
      <c r="N169" s="116">
        <v>247.94</v>
      </c>
      <c r="O169" s="116">
        <v>237.55</v>
      </c>
      <c r="P169" s="116">
        <v>242.6</v>
      </c>
      <c r="Q169" s="116">
        <v>1199.3499999999999</v>
      </c>
      <c r="R169">
        <v>137233</v>
      </c>
    </row>
    <row r="170" spans="1:18" x14ac:dyDescent="0.25">
      <c r="A170" s="163">
        <v>42247</v>
      </c>
      <c r="B170" s="116">
        <v>240</v>
      </c>
      <c r="C170" s="116">
        <v>235.8</v>
      </c>
      <c r="D170" s="116">
        <v>232.2</v>
      </c>
      <c r="E170" s="116">
        <v>240</v>
      </c>
      <c r="F170" s="116">
        <v>1179</v>
      </c>
      <c r="G170">
        <v>15036</v>
      </c>
      <c r="H170" s="116"/>
      <c r="I170" s="116"/>
      <c r="L170" s="163">
        <v>42247</v>
      </c>
      <c r="M170" s="116">
        <v>235.67</v>
      </c>
      <c r="N170" s="116">
        <v>242.2</v>
      </c>
      <c r="O170" s="116">
        <v>232</v>
      </c>
      <c r="P170" s="116">
        <v>242.2</v>
      </c>
      <c r="Q170" s="116">
        <v>1178.3499999999999</v>
      </c>
      <c r="R170">
        <v>196337</v>
      </c>
    </row>
    <row r="171" spans="1:18" x14ac:dyDescent="0.25">
      <c r="A171" s="163">
        <v>42248</v>
      </c>
      <c r="B171" s="116">
        <v>234.83</v>
      </c>
      <c r="C171" s="116">
        <v>227.34</v>
      </c>
      <c r="D171" s="116">
        <v>226.26</v>
      </c>
      <c r="E171" s="116">
        <v>231.98</v>
      </c>
      <c r="F171" s="116">
        <v>1136.7</v>
      </c>
      <c r="G171">
        <v>15674</v>
      </c>
      <c r="H171" s="116"/>
      <c r="I171" s="116"/>
      <c r="L171" s="163">
        <v>42248</v>
      </c>
      <c r="M171" s="116">
        <v>228.08</v>
      </c>
      <c r="N171" s="116">
        <v>234.8</v>
      </c>
      <c r="O171" s="116">
        <v>226.26</v>
      </c>
      <c r="P171" s="116">
        <v>230.2</v>
      </c>
      <c r="Q171" s="116">
        <v>1140.4000000000001</v>
      </c>
      <c r="R171">
        <v>156280</v>
      </c>
    </row>
    <row r="172" spans="1:18" x14ac:dyDescent="0.25">
      <c r="A172" s="163">
        <v>42249</v>
      </c>
      <c r="B172" s="116">
        <v>229.2</v>
      </c>
      <c r="C172" s="116">
        <v>223.75</v>
      </c>
      <c r="D172" s="116">
        <v>220.2</v>
      </c>
      <c r="E172" s="116">
        <v>226</v>
      </c>
      <c r="F172" s="116">
        <v>1118.75</v>
      </c>
      <c r="G172">
        <v>24466</v>
      </c>
      <c r="H172" s="116"/>
      <c r="I172" s="116"/>
      <c r="L172" s="163">
        <v>42249</v>
      </c>
      <c r="M172" s="116">
        <v>222.99</v>
      </c>
      <c r="N172" s="116">
        <v>229.8</v>
      </c>
      <c r="O172" s="116">
        <v>220.8</v>
      </c>
      <c r="P172" s="116">
        <v>226.44</v>
      </c>
      <c r="Q172" s="116">
        <v>1114.95</v>
      </c>
      <c r="R172">
        <v>267244</v>
      </c>
    </row>
    <row r="173" spans="1:18" x14ac:dyDescent="0.25">
      <c r="A173" s="163">
        <v>42250</v>
      </c>
      <c r="B173" s="116">
        <v>235.98</v>
      </c>
      <c r="C173" s="116">
        <v>230.86</v>
      </c>
      <c r="D173" s="116">
        <v>223.81</v>
      </c>
      <c r="E173" s="116">
        <v>225.94</v>
      </c>
      <c r="F173" s="116">
        <v>1154.3</v>
      </c>
      <c r="G173">
        <v>31075</v>
      </c>
      <c r="H173" s="116"/>
      <c r="I173" s="116"/>
      <c r="L173" s="163">
        <v>42250</v>
      </c>
      <c r="M173" s="116">
        <v>230.94</v>
      </c>
      <c r="N173" s="116">
        <v>236.2</v>
      </c>
      <c r="O173" s="116">
        <v>223.2</v>
      </c>
      <c r="P173" s="116">
        <v>225.54</v>
      </c>
      <c r="Q173" s="116">
        <v>1154.7</v>
      </c>
      <c r="R173">
        <v>235788</v>
      </c>
    </row>
    <row r="174" spans="1:18" x14ac:dyDescent="0.25">
      <c r="A174" s="163">
        <v>42251</v>
      </c>
      <c r="B174" s="116">
        <v>229.53</v>
      </c>
      <c r="C174" s="116">
        <v>221.1</v>
      </c>
      <c r="D174" s="116">
        <v>215</v>
      </c>
      <c r="E174" s="116">
        <v>229</v>
      </c>
      <c r="F174" s="116">
        <v>1105.5</v>
      </c>
      <c r="G174">
        <v>41183</v>
      </c>
      <c r="H174" s="116"/>
      <c r="I174" s="116"/>
      <c r="L174" s="163">
        <v>42251</v>
      </c>
      <c r="M174" s="116">
        <v>221.11</v>
      </c>
      <c r="N174" s="116">
        <v>230.94</v>
      </c>
      <c r="O174" s="116">
        <v>215</v>
      </c>
      <c r="P174" s="116">
        <v>230.94</v>
      </c>
      <c r="Q174" s="116">
        <v>1105.55</v>
      </c>
      <c r="R174">
        <v>279795</v>
      </c>
    </row>
    <row r="175" spans="1:18" x14ac:dyDescent="0.25">
      <c r="A175" s="163">
        <v>42254</v>
      </c>
      <c r="B175" s="116">
        <v>224.74</v>
      </c>
      <c r="C175" s="116">
        <v>215.19</v>
      </c>
      <c r="D175" s="116">
        <v>212</v>
      </c>
      <c r="E175" s="116">
        <v>222.88</v>
      </c>
      <c r="F175" s="116">
        <v>1075.95</v>
      </c>
      <c r="G175">
        <v>22094</v>
      </c>
      <c r="H175" s="116"/>
      <c r="I175" s="116"/>
      <c r="L175" s="163">
        <v>42254</v>
      </c>
      <c r="M175" s="116">
        <v>214.6</v>
      </c>
      <c r="N175" s="116">
        <v>224.97</v>
      </c>
      <c r="O175" s="116">
        <v>210.96</v>
      </c>
      <c r="P175" s="116">
        <v>224</v>
      </c>
      <c r="Q175" s="116">
        <v>1073</v>
      </c>
      <c r="R175">
        <v>122358</v>
      </c>
    </row>
    <row r="176" spans="1:18" x14ac:dyDescent="0.25">
      <c r="A176" s="163">
        <v>42255</v>
      </c>
      <c r="B176" s="116">
        <v>221.39</v>
      </c>
      <c r="C176" s="116">
        <v>219.55</v>
      </c>
      <c r="D176" s="116">
        <v>209.6</v>
      </c>
      <c r="E176" s="116">
        <v>215.02</v>
      </c>
      <c r="F176" s="116">
        <v>1097.75</v>
      </c>
      <c r="G176">
        <v>21915</v>
      </c>
      <c r="H176" s="116"/>
      <c r="I176" s="116"/>
      <c r="L176" s="163">
        <v>42255</v>
      </c>
      <c r="M176" s="116">
        <v>219.23</v>
      </c>
      <c r="N176" s="116">
        <v>221.39</v>
      </c>
      <c r="O176" s="116">
        <v>209.11</v>
      </c>
      <c r="P176" s="116">
        <v>213.97</v>
      </c>
      <c r="Q176" s="116">
        <v>1096.1500000000001</v>
      </c>
      <c r="R176">
        <v>213470</v>
      </c>
    </row>
    <row r="177" spans="1:18" x14ac:dyDescent="0.25">
      <c r="A177" s="163">
        <v>42256</v>
      </c>
      <c r="B177" s="116">
        <v>227.14</v>
      </c>
      <c r="C177" s="116">
        <v>220.46</v>
      </c>
      <c r="D177" s="116">
        <v>219.3</v>
      </c>
      <c r="E177" s="116">
        <v>222</v>
      </c>
      <c r="F177" s="116">
        <v>1102.3</v>
      </c>
      <c r="G177">
        <v>13750</v>
      </c>
      <c r="H177" s="116"/>
      <c r="I177" s="116"/>
      <c r="L177" s="163">
        <v>42256</v>
      </c>
      <c r="M177" s="116">
        <v>220.44</v>
      </c>
      <c r="N177" s="116">
        <v>227.25</v>
      </c>
      <c r="O177" s="116">
        <v>219.23</v>
      </c>
      <c r="P177" s="116">
        <v>221.54</v>
      </c>
      <c r="Q177" s="116">
        <v>1102.2</v>
      </c>
      <c r="R177">
        <v>142878</v>
      </c>
    </row>
    <row r="178" spans="1:18" x14ac:dyDescent="0.25">
      <c r="A178" s="163">
        <v>42257</v>
      </c>
      <c r="B178" s="116">
        <v>223.2</v>
      </c>
      <c r="C178" s="116">
        <v>222.05</v>
      </c>
      <c r="D178" s="116">
        <v>210.47</v>
      </c>
      <c r="E178" s="116">
        <v>218</v>
      </c>
      <c r="F178" s="116">
        <v>1110.25</v>
      </c>
      <c r="G178">
        <v>25722</v>
      </c>
      <c r="H178" s="116"/>
      <c r="I178" s="116"/>
      <c r="L178" s="163">
        <v>42257</v>
      </c>
      <c r="M178" s="116">
        <v>221.53</v>
      </c>
      <c r="N178" s="116">
        <v>222.82</v>
      </c>
      <c r="O178" s="116">
        <v>210</v>
      </c>
      <c r="P178" s="116">
        <v>214.5</v>
      </c>
      <c r="Q178" s="116">
        <v>1107.6500000000001</v>
      </c>
      <c r="R178">
        <v>210444</v>
      </c>
    </row>
    <row r="179" spans="1:18" x14ac:dyDescent="0.25">
      <c r="A179" s="163">
        <v>42258</v>
      </c>
      <c r="B179" s="116">
        <v>235.6</v>
      </c>
      <c r="C179" s="116">
        <v>229.09</v>
      </c>
      <c r="D179" s="116">
        <v>226.61</v>
      </c>
      <c r="E179" s="116">
        <v>230</v>
      </c>
      <c r="F179" s="116">
        <v>1145.45</v>
      </c>
      <c r="G179">
        <v>28526</v>
      </c>
      <c r="H179" s="116"/>
      <c r="I179" s="116"/>
      <c r="L179" s="163">
        <v>42258</v>
      </c>
      <c r="M179" s="116">
        <v>229.94</v>
      </c>
      <c r="N179" s="116">
        <v>235.98</v>
      </c>
      <c r="O179" s="116">
        <v>226.4</v>
      </c>
      <c r="P179" s="116">
        <v>228</v>
      </c>
      <c r="Q179" s="116">
        <v>1149.7</v>
      </c>
      <c r="R179">
        <v>367373</v>
      </c>
    </row>
    <row r="180" spans="1:18" x14ac:dyDescent="0.25">
      <c r="A180" s="163">
        <v>42261</v>
      </c>
      <c r="B180" s="116">
        <v>232.48</v>
      </c>
      <c r="C180" s="116">
        <v>231.16</v>
      </c>
      <c r="D180" s="116">
        <v>225.6</v>
      </c>
      <c r="E180" s="116">
        <v>229</v>
      </c>
      <c r="F180" s="116">
        <v>1155.8</v>
      </c>
      <c r="G180">
        <v>17844</v>
      </c>
      <c r="H180" s="116"/>
      <c r="I180" s="116"/>
      <c r="L180" s="163">
        <v>42261</v>
      </c>
      <c r="M180" s="116">
        <v>231.37</v>
      </c>
      <c r="N180" s="116">
        <v>232.8</v>
      </c>
      <c r="O180" s="116">
        <v>225.23</v>
      </c>
      <c r="P180" s="116">
        <v>232.47</v>
      </c>
      <c r="Q180" s="116">
        <v>1156.8499999999999</v>
      </c>
      <c r="R180">
        <v>172235</v>
      </c>
    </row>
    <row r="181" spans="1:18" x14ac:dyDescent="0.25">
      <c r="A181" s="163">
        <v>42262</v>
      </c>
      <c r="B181" s="116">
        <v>234.4</v>
      </c>
      <c r="C181" s="116">
        <v>229.26</v>
      </c>
      <c r="D181" s="116">
        <v>228</v>
      </c>
      <c r="E181" s="116">
        <v>231.5</v>
      </c>
      <c r="F181" s="116">
        <v>1146.3</v>
      </c>
      <c r="G181">
        <v>16640</v>
      </c>
      <c r="H181" s="116"/>
      <c r="I181" s="116"/>
      <c r="L181" s="163">
        <v>42262</v>
      </c>
      <c r="M181" s="116">
        <v>228.86</v>
      </c>
      <c r="N181" s="116">
        <v>234.55</v>
      </c>
      <c r="O181" s="116">
        <v>227.64</v>
      </c>
      <c r="P181" s="116">
        <v>231.37</v>
      </c>
      <c r="Q181" s="116">
        <v>1144.3</v>
      </c>
      <c r="R181">
        <v>118730</v>
      </c>
    </row>
    <row r="182" spans="1:18" x14ac:dyDescent="0.25">
      <c r="A182" s="163">
        <v>42263</v>
      </c>
      <c r="B182" s="116">
        <v>231.28</v>
      </c>
      <c r="C182" s="116">
        <v>223.96</v>
      </c>
      <c r="D182" s="116">
        <v>220</v>
      </c>
      <c r="E182" s="116">
        <v>231</v>
      </c>
      <c r="F182" s="116">
        <v>1119.8</v>
      </c>
      <c r="G182">
        <v>23962</v>
      </c>
      <c r="H182" s="116"/>
      <c r="I182" s="116"/>
      <c r="L182" s="163">
        <v>42263</v>
      </c>
      <c r="M182" s="116">
        <v>224.25</v>
      </c>
      <c r="N182" s="116">
        <v>231.63</v>
      </c>
      <c r="O182" s="116">
        <v>219.8</v>
      </c>
      <c r="P182" s="116">
        <v>231</v>
      </c>
      <c r="Q182" s="116">
        <v>1121.25</v>
      </c>
      <c r="R182">
        <v>154563</v>
      </c>
    </row>
    <row r="183" spans="1:18" x14ac:dyDescent="0.25">
      <c r="A183" s="163">
        <v>42265</v>
      </c>
      <c r="B183" s="116">
        <v>230.91</v>
      </c>
      <c r="C183" s="116">
        <v>229.29</v>
      </c>
      <c r="D183" s="116">
        <v>224.4</v>
      </c>
      <c r="E183" s="116">
        <v>226.8</v>
      </c>
      <c r="F183" s="116">
        <v>1146.45</v>
      </c>
      <c r="G183">
        <v>17629</v>
      </c>
      <c r="H183" s="116"/>
      <c r="I183" s="116"/>
      <c r="L183" s="163">
        <v>42265</v>
      </c>
      <c r="M183" s="116">
        <v>229.35</v>
      </c>
      <c r="N183" s="116">
        <v>230.88</v>
      </c>
      <c r="O183" s="116">
        <v>224.24</v>
      </c>
      <c r="P183" s="116">
        <v>229.18</v>
      </c>
      <c r="Q183" s="116">
        <v>1146.75</v>
      </c>
      <c r="R183">
        <v>244967</v>
      </c>
    </row>
    <row r="184" spans="1:18" x14ac:dyDescent="0.25">
      <c r="A184" s="163">
        <v>42268</v>
      </c>
      <c r="B184" s="116">
        <v>231.6</v>
      </c>
      <c r="C184" s="116">
        <v>228.02</v>
      </c>
      <c r="D184" s="116">
        <v>225.01</v>
      </c>
      <c r="E184" s="116">
        <v>227.4</v>
      </c>
      <c r="F184" s="116">
        <v>1140.0999999999999</v>
      </c>
      <c r="G184">
        <v>7854</v>
      </c>
      <c r="H184" s="116"/>
      <c r="I184" s="116"/>
      <c r="L184" s="163">
        <v>42268</v>
      </c>
      <c r="M184" s="116">
        <v>228.1</v>
      </c>
      <c r="N184" s="116">
        <v>231.8</v>
      </c>
      <c r="O184" s="116">
        <v>225.2</v>
      </c>
      <c r="P184" s="116">
        <v>227.32</v>
      </c>
      <c r="Q184" s="116">
        <v>1140.5</v>
      </c>
      <c r="R184">
        <v>151585</v>
      </c>
    </row>
    <row r="185" spans="1:18" x14ac:dyDescent="0.25">
      <c r="A185" s="163">
        <v>42269</v>
      </c>
      <c r="B185" s="116">
        <v>239.6</v>
      </c>
      <c r="C185" s="116">
        <v>225.12</v>
      </c>
      <c r="D185" s="116">
        <v>223.2</v>
      </c>
      <c r="E185" s="116">
        <v>230</v>
      </c>
      <c r="F185" s="116">
        <v>1125.5999999999999</v>
      </c>
      <c r="G185">
        <v>31879</v>
      </c>
      <c r="H185" s="116"/>
      <c r="I185" s="116"/>
      <c r="L185" s="163">
        <v>42269</v>
      </c>
      <c r="M185" s="116">
        <v>225.23</v>
      </c>
      <c r="N185" s="116">
        <v>239.6</v>
      </c>
      <c r="O185" s="116">
        <v>223</v>
      </c>
      <c r="P185" s="116">
        <v>229</v>
      </c>
      <c r="Q185" s="116">
        <v>1126.1500000000001</v>
      </c>
      <c r="R185">
        <v>362811</v>
      </c>
    </row>
    <row r="186" spans="1:18" x14ac:dyDescent="0.25">
      <c r="A186" s="163">
        <v>42270</v>
      </c>
      <c r="B186" s="116">
        <v>228.48</v>
      </c>
      <c r="C186" s="116">
        <v>225.85</v>
      </c>
      <c r="D186" s="116">
        <v>217.8</v>
      </c>
      <c r="E186" s="116">
        <v>224</v>
      </c>
      <c r="F186" s="116">
        <v>1129.25</v>
      </c>
      <c r="G186">
        <v>21134</v>
      </c>
      <c r="H186" s="116"/>
      <c r="I186" s="116"/>
      <c r="L186" s="163">
        <v>42270</v>
      </c>
      <c r="M186" s="116">
        <v>226.02</v>
      </c>
      <c r="N186" s="116">
        <v>228.33</v>
      </c>
      <c r="O186" s="116">
        <v>217.58</v>
      </c>
      <c r="P186" s="116">
        <v>222.4</v>
      </c>
      <c r="Q186" s="116">
        <v>1130.0999999999999</v>
      </c>
      <c r="R186">
        <v>130697</v>
      </c>
    </row>
    <row r="187" spans="1:18" x14ac:dyDescent="0.25">
      <c r="A187" s="163">
        <v>42271</v>
      </c>
      <c r="B187" s="116">
        <v>230</v>
      </c>
      <c r="C187" s="116">
        <v>225.61</v>
      </c>
      <c r="D187" s="116">
        <v>223.2</v>
      </c>
      <c r="E187" s="116">
        <v>226</v>
      </c>
      <c r="F187" s="116">
        <v>1128.05</v>
      </c>
      <c r="G187">
        <v>16077</v>
      </c>
      <c r="H187" s="116"/>
      <c r="I187" s="116"/>
      <c r="L187" s="163">
        <v>42271</v>
      </c>
      <c r="M187" s="116">
        <v>225.68</v>
      </c>
      <c r="N187" s="116">
        <v>230</v>
      </c>
      <c r="O187" s="116">
        <v>223.44</v>
      </c>
      <c r="P187" s="116">
        <v>225.68</v>
      </c>
      <c r="Q187" s="116">
        <v>1128.4000000000001</v>
      </c>
      <c r="R187">
        <v>212144</v>
      </c>
    </row>
    <row r="188" spans="1:18" x14ac:dyDescent="0.25">
      <c r="A188" s="163">
        <v>42275</v>
      </c>
      <c r="B188" s="116">
        <v>231.4</v>
      </c>
      <c r="C188" s="116">
        <v>224.39</v>
      </c>
      <c r="D188" s="116">
        <v>223.26</v>
      </c>
      <c r="E188" s="116">
        <v>226</v>
      </c>
      <c r="F188" s="116">
        <v>1121.95</v>
      </c>
      <c r="G188">
        <v>18596</v>
      </c>
      <c r="H188" s="116"/>
      <c r="I188" s="116"/>
      <c r="L188" s="163">
        <v>42275</v>
      </c>
      <c r="M188" s="116">
        <v>224.41</v>
      </c>
      <c r="N188" s="116">
        <v>231.4</v>
      </c>
      <c r="O188" s="116">
        <v>223.56</v>
      </c>
      <c r="P188" s="116">
        <v>225.68</v>
      </c>
      <c r="Q188" s="116">
        <v>1122.05</v>
      </c>
      <c r="R188">
        <v>91553</v>
      </c>
    </row>
    <row r="189" spans="1:18" x14ac:dyDescent="0.25">
      <c r="A189" s="163">
        <v>42276</v>
      </c>
      <c r="B189" s="116">
        <v>228.87</v>
      </c>
      <c r="C189" s="116">
        <v>225.69</v>
      </c>
      <c r="D189" s="116">
        <v>221.22</v>
      </c>
      <c r="E189" s="116">
        <v>223.8</v>
      </c>
      <c r="F189" s="116">
        <v>1128.45</v>
      </c>
      <c r="G189">
        <v>12951</v>
      </c>
      <c r="H189" s="116"/>
      <c r="I189" s="116"/>
      <c r="L189" s="163">
        <v>42276</v>
      </c>
      <c r="M189" s="116">
        <v>226.01</v>
      </c>
      <c r="N189" s="116">
        <v>229.4</v>
      </c>
      <c r="O189" s="116">
        <v>221.02</v>
      </c>
      <c r="P189" s="116">
        <v>223.65</v>
      </c>
      <c r="Q189" s="116">
        <v>1130.05</v>
      </c>
      <c r="R189">
        <v>111528</v>
      </c>
    </row>
    <row r="190" spans="1:18" x14ac:dyDescent="0.25">
      <c r="A190" s="163">
        <v>42277</v>
      </c>
      <c r="B190" s="116">
        <v>229.14</v>
      </c>
      <c r="C190" s="116">
        <v>224.43</v>
      </c>
      <c r="D190" s="116">
        <v>220.25</v>
      </c>
      <c r="E190" s="116">
        <v>228.2</v>
      </c>
      <c r="F190" s="116">
        <v>1122.1500000000001</v>
      </c>
      <c r="G190">
        <v>19012</v>
      </c>
      <c r="H190" s="116"/>
      <c r="I190" s="116"/>
      <c r="L190" s="163">
        <v>42277</v>
      </c>
      <c r="M190" s="116">
        <v>224.72</v>
      </c>
      <c r="N190" s="116">
        <v>229.21</v>
      </c>
      <c r="O190" s="116">
        <v>220.53</v>
      </c>
      <c r="P190" s="116">
        <v>226.8</v>
      </c>
      <c r="Q190" s="116">
        <v>1123.5999999999999</v>
      </c>
      <c r="R190">
        <v>148964</v>
      </c>
    </row>
    <row r="191" spans="1:18" x14ac:dyDescent="0.25">
      <c r="A191" s="163">
        <v>42278</v>
      </c>
      <c r="B191" s="116">
        <v>229.07</v>
      </c>
      <c r="C191" s="116">
        <v>226.02</v>
      </c>
      <c r="D191" s="116">
        <v>223.6</v>
      </c>
      <c r="E191" s="116">
        <v>225</v>
      </c>
      <c r="F191" s="116">
        <v>1130.0999999999999</v>
      </c>
      <c r="G191">
        <v>14788</v>
      </c>
      <c r="H191" s="116"/>
      <c r="I191" s="116"/>
      <c r="L191" s="163">
        <v>42278</v>
      </c>
      <c r="M191" s="116">
        <v>225.96</v>
      </c>
      <c r="N191" s="116">
        <v>229.18</v>
      </c>
      <c r="O191" s="116">
        <v>223.91</v>
      </c>
      <c r="P191" s="116">
        <v>228</v>
      </c>
      <c r="Q191" s="116">
        <v>1129.8</v>
      </c>
      <c r="R191">
        <v>94538</v>
      </c>
    </row>
    <row r="192" spans="1:18" x14ac:dyDescent="0.25">
      <c r="A192" s="163">
        <v>42282</v>
      </c>
      <c r="B192" s="116">
        <v>238.96</v>
      </c>
      <c r="C192" s="116">
        <v>237.31</v>
      </c>
      <c r="D192" s="116">
        <v>227.47</v>
      </c>
      <c r="E192" s="116">
        <v>229.6</v>
      </c>
      <c r="F192" s="116">
        <v>1186.55</v>
      </c>
      <c r="G192">
        <v>29258</v>
      </c>
      <c r="H192" s="116"/>
      <c r="I192" s="116"/>
      <c r="L192" s="163">
        <v>42282</v>
      </c>
      <c r="M192" s="116">
        <v>236.65</v>
      </c>
      <c r="N192" s="116">
        <v>238.79</v>
      </c>
      <c r="O192" s="116">
        <v>227.8</v>
      </c>
      <c r="P192" s="116">
        <v>228</v>
      </c>
      <c r="Q192" s="116">
        <v>1183.25</v>
      </c>
      <c r="R192">
        <v>246466</v>
      </c>
    </row>
    <row r="193" spans="1:18" x14ac:dyDescent="0.25">
      <c r="A193" s="163">
        <v>42283</v>
      </c>
      <c r="B193" s="116">
        <v>242</v>
      </c>
      <c r="C193" s="116">
        <v>237.61</v>
      </c>
      <c r="D193" s="116">
        <v>233.4</v>
      </c>
      <c r="E193" s="116">
        <v>240</v>
      </c>
      <c r="F193" s="116">
        <v>1188.05</v>
      </c>
      <c r="G193">
        <v>30985</v>
      </c>
      <c r="H193" s="116"/>
      <c r="I193" s="116"/>
      <c r="L193" s="163">
        <v>42283</v>
      </c>
      <c r="M193" s="116">
        <v>237.26</v>
      </c>
      <c r="N193" s="116">
        <v>241.8</v>
      </c>
      <c r="O193" s="116">
        <v>233.2</v>
      </c>
      <c r="P193" s="116">
        <v>238.94</v>
      </c>
      <c r="Q193" s="116">
        <v>1186.3</v>
      </c>
      <c r="R193">
        <v>225088</v>
      </c>
    </row>
    <row r="194" spans="1:18" x14ac:dyDescent="0.25">
      <c r="A194" s="163">
        <v>42284</v>
      </c>
      <c r="B194" s="116">
        <v>248.6</v>
      </c>
      <c r="C194" s="116">
        <v>246.83</v>
      </c>
      <c r="D194" s="116">
        <v>232</v>
      </c>
      <c r="E194" s="116">
        <v>232</v>
      </c>
      <c r="F194" s="116">
        <v>1234.1500000000001</v>
      </c>
      <c r="G194">
        <v>43716</v>
      </c>
      <c r="H194" s="116"/>
      <c r="I194" s="116"/>
      <c r="L194" s="163">
        <v>42284</v>
      </c>
      <c r="M194" s="116">
        <v>247.39</v>
      </c>
      <c r="N194" s="116">
        <v>248.83</v>
      </c>
      <c r="O194" s="116">
        <v>234.21</v>
      </c>
      <c r="P194" s="116">
        <v>234.21</v>
      </c>
      <c r="Q194" s="116">
        <v>1236.95</v>
      </c>
      <c r="R194">
        <v>416364</v>
      </c>
    </row>
    <row r="195" spans="1:18" x14ac:dyDescent="0.25">
      <c r="A195" s="163">
        <v>42285</v>
      </c>
      <c r="B195" s="116">
        <v>250.37</v>
      </c>
      <c r="C195" s="116">
        <v>245.69</v>
      </c>
      <c r="D195" s="116">
        <v>244.01</v>
      </c>
      <c r="E195" s="116">
        <v>249.8</v>
      </c>
      <c r="F195" s="116">
        <v>1228.45</v>
      </c>
      <c r="G195">
        <v>23562</v>
      </c>
      <c r="H195" s="116"/>
      <c r="I195" s="116"/>
      <c r="L195" s="163">
        <v>42285</v>
      </c>
      <c r="M195" s="116">
        <v>246.03</v>
      </c>
      <c r="N195" s="116">
        <v>250.48</v>
      </c>
      <c r="O195" s="116">
        <v>243.43</v>
      </c>
      <c r="P195" s="116">
        <v>249.16</v>
      </c>
      <c r="Q195" s="116">
        <v>1230.1500000000001</v>
      </c>
      <c r="R195">
        <v>269781</v>
      </c>
    </row>
    <row r="196" spans="1:18" x14ac:dyDescent="0.25">
      <c r="A196" s="163">
        <v>42286</v>
      </c>
      <c r="B196" s="116">
        <v>249.4</v>
      </c>
      <c r="C196" s="116">
        <v>243.89</v>
      </c>
      <c r="D196" s="116">
        <v>240</v>
      </c>
      <c r="E196" s="116">
        <v>246.96</v>
      </c>
      <c r="F196" s="116">
        <v>1219.45</v>
      </c>
      <c r="G196">
        <v>13188</v>
      </c>
      <c r="H196" s="116"/>
      <c r="I196" s="116"/>
      <c r="L196" s="163">
        <v>42286</v>
      </c>
      <c r="M196" s="116">
        <v>243.51</v>
      </c>
      <c r="N196" s="116">
        <v>249.6</v>
      </c>
      <c r="O196" s="116">
        <v>240</v>
      </c>
      <c r="P196" s="116">
        <v>246.03</v>
      </c>
      <c r="Q196" s="116">
        <v>1217.55</v>
      </c>
      <c r="R196">
        <v>112289</v>
      </c>
    </row>
    <row r="197" spans="1:18" x14ac:dyDescent="0.25">
      <c r="A197" s="163">
        <v>42289</v>
      </c>
      <c r="B197" s="116">
        <v>247.98</v>
      </c>
      <c r="C197" s="116">
        <v>245.61</v>
      </c>
      <c r="D197" s="116">
        <v>241.8</v>
      </c>
      <c r="E197" s="116">
        <v>245</v>
      </c>
      <c r="F197" s="116">
        <v>1228.05</v>
      </c>
      <c r="G197">
        <v>13160</v>
      </c>
      <c r="H197" s="116"/>
      <c r="I197" s="116"/>
      <c r="L197" s="163">
        <v>42289</v>
      </c>
      <c r="M197" s="116">
        <v>245.23</v>
      </c>
      <c r="N197" s="116">
        <v>248</v>
      </c>
      <c r="O197" s="116">
        <v>241.51</v>
      </c>
      <c r="P197" s="116">
        <v>243.91</v>
      </c>
      <c r="Q197" s="116">
        <v>1226.1500000000001</v>
      </c>
      <c r="R197">
        <v>110138</v>
      </c>
    </row>
    <row r="198" spans="1:18" x14ac:dyDescent="0.25">
      <c r="A198" s="163">
        <v>42290</v>
      </c>
      <c r="B198" s="116">
        <v>247.2</v>
      </c>
      <c r="C198" s="116">
        <v>245.47</v>
      </c>
      <c r="D198" s="116">
        <v>243.62</v>
      </c>
      <c r="E198" s="116">
        <v>243.63</v>
      </c>
      <c r="F198" s="116">
        <v>1227.3499999999999</v>
      </c>
      <c r="G198">
        <v>11945</v>
      </c>
      <c r="H198" s="116"/>
      <c r="I198" s="116"/>
      <c r="L198" s="163">
        <v>42290</v>
      </c>
      <c r="M198" s="116">
        <v>245.19</v>
      </c>
      <c r="N198" s="116">
        <v>247.4</v>
      </c>
      <c r="O198" s="116">
        <v>242.5</v>
      </c>
      <c r="P198" s="116">
        <v>246.95</v>
      </c>
      <c r="Q198" s="116">
        <v>1225.95</v>
      </c>
      <c r="R198">
        <v>55350</v>
      </c>
    </row>
    <row r="199" spans="1:18" x14ac:dyDescent="0.25">
      <c r="A199" s="163">
        <v>42291</v>
      </c>
      <c r="B199" s="116">
        <v>254.39</v>
      </c>
      <c r="C199" s="116">
        <v>253.02</v>
      </c>
      <c r="D199" s="116">
        <v>245</v>
      </c>
      <c r="E199" s="116">
        <v>246</v>
      </c>
      <c r="F199" s="116">
        <v>1265.0999999999999</v>
      </c>
      <c r="G199">
        <v>38725</v>
      </c>
      <c r="H199" s="116"/>
      <c r="I199" s="116"/>
      <c r="L199" s="163">
        <v>42291</v>
      </c>
      <c r="M199" s="116">
        <v>253.73</v>
      </c>
      <c r="N199" s="116">
        <v>255.27</v>
      </c>
      <c r="O199" s="116">
        <v>244.78</v>
      </c>
      <c r="P199" s="116">
        <v>245.5</v>
      </c>
      <c r="Q199" s="116">
        <v>1268.6500000000001</v>
      </c>
      <c r="R199">
        <v>269160</v>
      </c>
    </row>
    <row r="200" spans="1:18" x14ac:dyDescent="0.25">
      <c r="A200" s="163">
        <v>42292</v>
      </c>
      <c r="B200" s="116">
        <v>256</v>
      </c>
      <c r="C200" s="116">
        <v>252.84</v>
      </c>
      <c r="D200" s="116">
        <v>250.83</v>
      </c>
      <c r="E200" s="116">
        <v>255.73</v>
      </c>
      <c r="F200" s="116">
        <v>1264.2</v>
      </c>
      <c r="G200">
        <v>10836</v>
      </c>
      <c r="H200" s="116"/>
      <c r="I200" s="116"/>
      <c r="L200" s="163">
        <v>42292</v>
      </c>
      <c r="M200" s="116">
        <v>253.22</v>
      </c>
      <c r="N200" s="116">
        <v>255.9</v>
      </c>
      <c r="O200" s="116">
        <v>250.51</v>
      </c>
      <c r="P200" s="116">
        <v>254.8</v>
      </c>
      <c r="Q200" s="116">
        <v>1266.0999999999999</v>
      </c>
      <c r="R200">
        <v>100978</v>
      </c>
    </row>
    <row r="201" spans="1:18" x14ac:dyDescent="0.25">
      <c r="A201" s="163">
        <v>42293</v>
      </c>
      <c r="B201" s="116">
        <v>263</v>
      </c>
      <c r="C201" s="116">
        <v>259.92</v>
      </c>
      <c r="D201" s="116">
        <v>251.19</v>
      </c>
      <c r="E201" s="116">
        <v>253.44</v>
      </c>
      <c r="F201" s="116">
        <v>1299.5999999999999</v>
      </c>
      <c r="G201">
        <v>19080</v>
      </c>
      <c r="H201" s="116"/>
      <c r="I201" s="116"/>
      <c r="L201" s="163">
        <v>42293</v>
      </c>
      <c r="M201" s="116">
        <v>260.55</v>
      </c>
      <c r="N201" s="116">
        <v>263.16000000000003</v>
      </c>
      <c r="O201" s="116">
        <v>251</v>
      </c>
      <c r="P201" s="116">
        <v>254</v>
      </c>
      <c r="Q201" s="116">
        <v>1302.75</v>
      </c>
      <c r="R201">
        <v>159833</v>
      </c>
    </row>
    <row r="202" spans="1:18" x14ac:dyDescent="0.25">
      <c r="A202" s="163">
        <v>42296</v>
      </c>
      <c r="B202" s="116">
        <v>267.39999999999998</v>
      </c>
      <c r="C202" s="116">
        <v>265.69</v>
      </c>
      <c r="D202" s="116">
        <v>259.18</v>
      </c>
      <c r="E202" s="116">
        <v>262</v>
      </c>
      <c r="F202" s="116">
        <v>1328.45</v>
      </c>
      <c r="G202">
        <v>23954</v>
      </c>
      <c r="H202" s="116"/>
      <c r="I202" s="116"/>
      <c r="L202" s="163">
        <v>42296</v>
      </c>
      <c r="M202" s="116">
        <v>265.77999999999997</v>
      </c>
      <c r="N202" s="116">
        <v>267.48</v>
      </c>
      <c r="O202" s="116">
        <v>259</v>
      </c>
      <c r="P202" s="116">
        <v>262.05</v>
      </c>
      <c r="Q202" s="116">
        <v>1328.9</v>
      </c>
      <c r="R202">
        <v>200248</v>
      </c>
    </row>
    <row r="203" spans="1:18" x14ac:dyDescent="0.25">
      <c r="A203" s="163">
        <v>42297</v>
      </c>
      <c r="B203" s="116">
        <v>266.14999999999998</v>
      </c>
      <c r="C203" s="116">
        <v>261.68</v>
      </c>
      <c r="D203" s="116">
        <v>258.8</v>
      </c>
      <c r="E203" s="116">
        <v>266.14</v>
      </c>
      <c r="F203" s="116">
        <v>1308.4000000000001</v>
      </c>
      <c r="G203">
        <v>8919</v>
      </c>
      <c r="H203" s="116"/>
      <c r="I203" s="116"/>
      <c r="L203" s="163">
        <v>42297</v>
      </c>
      <c r="M203" s="116">
        <v>261.73</v>
      </c>
      <c r="N203" s="116">
        <v>266</v>
      </c>
      <c r="O203" s="116">
        <v>258.51</v>
      </c>
      <c r="P203" s="116">
        <v>265.95999999999998</v>
      </c>
      <c r="Q203" s="116">
        <v>1308.6500000000001</v>
      </c>
      <c r="R203">
        <v>81529</v>
      </c>
    </row>
    <row r="204" spans="1:18" x14ac:dyDescent="0.25">
      <c r="A204" s="163">
        <v>42298</v>
      </c>
      <c r="B204" s="116">
        <v>264.69</v>
      </c>
      <c r="C204" s="116">
        <v>260.86</v>
      </c>
      <c r="D204" s="116">
        <v>258.39999999999998</v>
      </c>
      <c r="E204" s="116">
        <v>262.79000000000002</v>
      </c>
      <c r="F204" s="116">
        <v>1304.3</v>
      </c>
      <c r="G204">
        <v>7354</v>
      </c>
      <c r="H204" s="116"/>
      <c r="I204" s="116"/>
      <c r="L204" s="163">
        <v>42298</v>
      </c>
      <c r="M204" s="116">
        <v>260.91000000000003</v>
      </c>
      <c r="N204" s="116">
        <v>264.87</v>
      </c>
      <c r="O204" s="116">
        <v>258.16000000000003</v>
      </c>
      <c r="P204" s="116">
        <v>261.8</v>
      </c>
      <c r="Q204" s="116">
        <v>1304.55</v>
      </c>
      <c r="R204">
        <v>90685</v>
      </c>
    </row>
    <row r="205" spans="1:18" x14ac:dyDescent="0.25">
      <c r="A205" s="163">
        <v>42300</v>
      </c>
      <c r="B205" s="116">
        <v>264.06</v>
      </c>
      <c r="C205" s="116">
        <v>258.58999999999997</v>
      </c>
      <c r="D205" s="116">
        <v>256.7</v>
      </c>
      <c r="E205" s="116">
        <v>262.2</v>
      </c>
      <c r="F205" s="116">
        <v>1292.95</v>
      </c>
      <c r="G205">
        <v>9166</v>
      </c>
      <c r="H205" s="116"/>
      <c r="I205" s="116"/>
      <c r="L205" s="163">
        <v>42300</v>
      </c>
      <c r="M205" s="116">
        <v>258.27</v>
      </c>
      <c r="N205" s="116">
        <v>263.89999999999998</v>
      </c>
      <c r="O205" s="116">
        <v>256.35000000000002</v>
      </c>
      <c r="P205" s="116">
        <v>261.2</v>
      </c>
      <c r="Q205" s="116">
        <v>1291.3499999999999</v>
      </c>
      <c r="R205">
        <v>83017</v>
      </c>
    </row>
    <row r="206" spans="1:18" x14ac:dyDescent="0.25">
      <c r="A206" s="163">
        <v>42303</v>
      </c>
      <c r="B206" s="116">
        <v>263.54000000000002</v>
      </c>
      <c r="C206" s="116">
        <v>259.10000000000002</v>
      </c>
      <c r="D206" s="116">
        <v>257.82</v>
      </c>
      <c r="E206" s="116">
        <v>259.60000000000002</v>
      </c>
      <c r="F206" s="116">
        <v>1295.5</v>
      </c>
      <c r="G206">
        <v>25207</v>
      </c>
      <c r="H206" s="116"/>
      <c r="I206" s="116"/>
      <c r="L206" s="163">
        <v>42303</v>
      </c>
      <c r="M206" s="116">
        <v>259.56</v>
      </c>
      <c r="N206" s="116">
        <v>263.52999999999997</v>
      </c>
      <c r="O206" s="116">
        <v>257.2</v>
      </c>
      <c r="P206" s="116">
        <v>258.8</v>
      </c>
      <c r="Q206" s="116">
        <v>1297.8</v>
      </c>
      <c r="R206">
        <v>116966</v>
      </c>
    </row>
    <row r="207" spans="1:18" x14ac:dyDescent="0.25">
      <c r="A207" s="163">
        <v>42304</v>
      </c>
      <c r="B207" s="116">
        <v>262.31</v>
      </c>
      <c r="C207" s="116">
        <v>260.72000000000003</v>
      </c>
      <c r="D207" s="116">
        <v>256.97000000000003</v>
      </c>
      <c r="E207" s="116">
        <v>257.39999999999998</v>
      </c>
      <c r="F207" s="116">
        <v>1303.5999999999999</v>
      </c>
      <c r="G207">
        <v>8264</v>
      </c>
      <c r="H207" s="116"/>
      <c r="I207" s="116"/>
      <c r="L207" s="163">
        <v>42304</v>
      </c>
      <c r="M207" s="116">
        <v>260.82</v>
      </c>
      <c r="N207" s="116">
        <v>262.22000000000003</v>
      </c>
      <c r="O207" s="116">
        <v>250.3</v>
      </c>
      <c r="P207" s="116">
        <v>259.19</v>
      </c>
      <c r="Q207" s="116">
        <v>1304.0999999999999</v>
      </c>
      <c r="R207">
        <v>65036</v>
      </c>
    </row>
    <row r="208" spans="1:18" x14ac:dyDescent="0.25">
      <c r="A208" s="163">
        <v>42305</v>
      </c>
      <c r="B208" s="116">
        <v>273.86</v>
      </c>
      <c r="C208" s="116">
        <v>270.66000000000003</v>
      </c>
      <c r="D208" s="116">
        <v>262</v>
      </c>
      <c r="E208" s="116">
        <v>262</v>
      </c>
      <c r="F208" s="116">
        <v>1353.3</v>
      </c>
      <c r="G208">
        <v>37191</v>
      </c>
      <c r="H208" s="116"/>
      <c r="I208" s="116"/>
      <c r="L208" s="163">
        <v>42305</v>
      </c>
      <c r="M208" s="116">
        <v>271.55</v>
      </c>
      <c r="N208" s="116">
        <v>275.72000000000003</v>
      </c>
      <c r="O208" s="116">
        <v>260.8</v>
      </c>
      <c r="P208" s="116">
        <v>261</v>
      </c>
      <c r="Q208" s="116">
        <v>1357.75</v>
      </c>
      <c r="R208">
        <v>352769</v>
      </c>
    </row>
    <row r="209" spans="1:18" x14ac:dyDescent="0.25">
      <c r="A209" s="163">
        <v>42306</v>
      </c>
      <c r="B209" s="116">
        <v>278.60000000000002</v>
      </c>
      <c r="C209" s="116">
        <v>270.99</v>
      </c>
      <c r="D209" s="116">
        <v>269.82</v>
      </c>
      <c r="E209" s="116">
        <v>274</v>
      </c>
      <c r="F209" s="116">
        <v>1354.95</v>
      </c>
      <c r="G209">
        <v>25565</v>
      </c>
      <c r="H209" s="116"/>
      <c r="I209" s="116"/>
      <c r="L209" s="163">
        <v>42306</v>
      </c>
      <c r="M209" s="116">
        <v>271.73</v>
      </c>
      <c r="N209" s="116">
        <v>278.44</v>
      </c>
      <c r="O209" s="116">
        <v>270.24</v>
      </c>
      <c r="P209" s="116">
        <v>273.39999999999998</v>
      </c>
      <c r="Q209" s="116">
        <v>1358.65</v>
      </c>
      <c r="R209">
        <v>321169</v>
      </c>
    </row>
    <row r="210" spans="1:18" x14ac:dyDescent="0.25">
      <c r="A210" s="163">
        <v>42307</v>
      </c>
      <c r="B210" s="116">
        <v>275.98</v>
      </c>
      <c r="C210" s="116">
        <v>263.52999999999997</v>
      </c>
      <c r="D210" s="116">
        <v>261.16000000000003</v>
      </c>
      <c r="E210" s="116">
        <v>272.08</v>
      </c>
      <c r="F210" s="116">
        <v>1317.65</v>
      </c>
      <c r="G210">
        <v>20394</v>
      </c>
      <c r="H210" s="116"/>
      <c r="I210" s="116"/>
      <c r="L210" s="163">
        <v>42307</v>
      </c>
      <c r="M210" s="116">
        <v>264.45999999999998</v>
      </c>
      <c r="N210" s="116">
        <v>276.3</v>
      </c>
      <c r="O210" s="116">
        <v>261.56</v>
      </c>
      <c r="P210" s="116">
        <v>272.08</v>
      </c>
      <c r="Q210" s="116">
        <v>1322.3</v>
      </c>
      <c r="R210">
        <v>121279</v>
      </c>
    </row>
    <row r="211" spans="1:18" x14ac:dyDescent="0.25">
      <c r="A211" s="163">
        <v>42310</v>
      </c>
      <c r="B211" s="116">
        <v>267.87</v>
      </c>
      <c r="C211" s="116">
        <v>265.45</v>
      </c>
      <c r="D211" s="116">
        <v>258.91000000000003</v>
      </c>
      <c r="E211" s="116">
        <v>265.98</v>
      </c>
      <c r="F211" s="116">
        <v>1327.25</v>
      </c>
      <c r="G211">
        <v>11555</v>
      </c>
      <c r="H211" s="116"/>
      <c r="I211" s="116"/>
      <c r="L211" s="163">
        <v>42310</v>
      </c>
      <c r="M211" s="116">
        <v>265.58</v>
      </c>
      <c r="N211" s="116">
        <v>267.8</v>
      </c>
      <c r="O211" s="116">
        <v>258.86</v>
      </c>
      <c r="P211" s="116">
        <v>266.45</v>
      </c>
      <c r="Q211" s="116">
        <v>1327.9</v>
      </c>
      <c r="R211">
        <v>86589</v>
      </c>
    </row>
    <row r="212" spans="1:18" x14ac:dyDescent="0.25">
      <c r="A212" s="163">
        <v>42311</v>
      </c>
      <c r="B212" s="116">
        <v>268.91000000000003</v>
      </c>
      <c r="C212" s="116">
        <v>266.77999999999997</v>
      </c>
      <c r="D212" s="116">
        <v>263</v>
      </c>
      <c r="E212" s="116">
        <v>264</v>
      </c>
      <c r="F212" s="116">
        <v>1333.9</v>
      </c>
      <c r="G212">
        <v>13571</v>
      </c>
      <c r="H212" s="116"/>
      <c r="I212" s="116"/>
      <c r="L212" s="163">
        <v>42311</v>
      </c>
      <c r="M212" s="116">
        <v>267.13</v>
      </c>
      <c r="N212" s="116">
        <v>269.17</v>
      </c>
      <c r="O212" s="116">
        <v>262.99</v>
      </c>
      <c r="P212" s="116">
        <v>265.8</v>
      </c>
      <c r="Q212" s="116">
        <v>1335.65</v>
      </c>
      <c r="R212">
        <v>94386</v>
      </c>
    </row>
    <row r="213" spans="1:18" x14ac:dyDescent="0.25">
      <c r="A213" s="163">
        <v>42312</v>
      </c>
      <c r="B213" s="116">
        <v>269.93</v>
      </c>
      <c r="C213" s="116">
        <v>265.69</v>
      </c>
      <c r="D213" s="116">
        <v>264.07</v>
      </c>
      <c r="E213" s="116">
        <v>268.99</v>
      </c>
      <c r="F213" s="116">
        <v>1328.45</v>
      </c>
      <c r="G213">
        <v>8968</v>
      </c>
      <c r="H213" s="116"/>
      <c r="I213" s="116"/>
      <c r="L213" s="163">
        <v>42312</v>
      </c>
      <c r="M213" s="116">
        <v>265.92</v>
      </c>
      <c r="N213" s="116">
        <v>269.74</v>
      </c>
      <c r="O213" s="116">
        <v>264.05</v>
      </c>
      <c r="P213" s="116">
        <v>267.2</v>
      </c>
      <c r="Q213" s="116">
        <v>1329.6</v>
      </c>
      <c r="R213">
        <v>72047</v>
      </c>
    </row>
    <row r="214" spans="1:18" x14ac:dyDescent="0.25">
      <c r="A214" s="163">
        <v>42313</v>
      </c>
      <c r="B214" s="116">
        <v>266.76</v>
      </c>
      <c r="C214" s="116">
        <v>263.7</v>
      </c>
      <c r="D214" s="116">
        <v>260.23</v>
      </c>
      <c r="E214" s="116">
        <v>265.01</v>
      </c>
      <c r="F214" s="116">
        <v>1318.5</v>
      </c>
      <c r="G214">
        <v>24389</v>
      </c>
      <c r="H214" s="116"/>
      <c r="I214" s="116"/>
      <c r="L214" s="163">
        <v>42313</v>
      </c>
      <c r="M214" s="116">
        <v>263.55</v>
      </c>
      <c r="N214" s="116">
        <v>266.61</v>
      </c>
      <c r="O214" s="116">
        <v>260.22000000000003</v>
      </c>
      <c r="P214" s="116">
        <v>265.95999999999998</v>
      </c>
      <c r="Q214" s="116">
        <v>1317.75</v>
      </c>
      <c r="R214">
        <v>73864</v>
      </c>
    </row>
    <row r="215" spans="1:18" x14ac:dyDescent="0.25">
      <c r="A215" s="163">
        <v>42314</v>
      </c>
      <c r="B215" s="116">
        <v>264.87</v>
      </c>
      <c r="C215" s="116">
        <v>259.16000000000003</v>
      </c>
      <c r="D215" s="116">
        <v>251.82</v>
      </c>
      <c r="E215" s="116">
        <v>263.89999999999998</v>
      </c>
      <c r="F215" s="116">
        <v>1295.8</v>
      </c>
      <c r="G215">
        <v>25672</v>
      </c>
      <c r="H215" s="116"/>
      <c r="I215" s="116"/>
      <c r="L215" s="163">
        <v>42314</v>
      </c>
      <c r="M215" s="116">
        <v>258.39</v>
      </c>
      <c r="N215" s="116">
        <v>265.2</v>
      </c>
      <c r="O215" s="116">
        <v>251.5</v>
      </c>
      <c r="P215" s="116">
        <v>263.25</v>
      </c>
      <c r="Q215" s="116">
        <v>1291.95</v>
      </c>
      <c r="R215">
        <v>174622</v>
      </c>
    </row>
    <row r="216" spans="1:18" x14ac:dyDescent="0.25">
      <c r="A216" s="163">
        <v>42317</v>
      </c>
      <c r="B216" s="116">
        <v>261</v>
      </c>
      <c r="C216" s="116">
        <v>258.41000000000003</v>
      </c>
      <c r="D216" s="116">
        <v>246.6</v>
      </c>
      <c r="E216" s="116">
        <v>250</v>
      </c>
      <c r="F216" s="116">
        <v>1292.05</v>
      </c>
      <c r="G216">
        <v>16765</v>
      </c>
      <c r="H216" s="116"/>
      <c r="I216" s="116"/>
      <c r="L216" s="163">
        <v>42317</v>
      </c>
      <c r="M216" s="116">
        <v>258.35000000000002</v>
      </c>
      <c r="N216" s="116">
        <v>260.88</v>
      </c>
      <c r="O216" s="116">
        <v>246.23</v>
      </c>
      <c r="P216" s="116">
        <v>249</v>
      </c>
      <c r="Q216" s="116">
        <v>1291.75</v>
      </c>
      <c r="R216">
        <v>96426</v>
      </c>
    </row>
    <row r="217" spans="1:18" x14ac:dyDescent="0.25">
      <c r="A217" s="163">
        <v>42318</v>
      </c>
      <c r="B217" s="116">
        <v>259.63</v>
      </c>
      <c r="C217" s="116">
        <v>253.35</v>
      </c>
      <c r="D217" s="116">
        <v>251.42</v>
      </c>
      <c r="E217" s="116">
        <v>257</v>
      </c>
      <c r="F217" s="116">
        <v>1266.75</v>
      </c>
      <c r="G217">
        <v>16265</v>
      </c>
      <c r="H217" s="116"/>
      <c r="I217" s="116"/>
      <c r="L217" s="163">
        <v>42318</v>
      </c>
      <c r="M217" s="116">
        <v>253.2</v>
      </c>
      <c r="N217" s="116">
        <v>259.93</v>
      </c>
      <c r="O217" s="116">
        <v>251.02</v>
      </c>
      <c r="P217" s="116">
        <v>257.8</v>
      </c>
      <c r="Q217" s="116">
        <v>1266</v>
      </c>
      <c r="R217">
        <v>93424</v>
      </c>
    </row>
    <row r="218" spans="1:18" x14ac:dyDescent="0.25">
      <c r="A218" s="163">
        <v>42319</v>
      </c>
      <c r="B218" s="116">
        <v>257.08</v>
      </c>
      <c r="C218" s="116">
        <v>254.96</v>
      </c>
      <c r="D218" s="116">
        <v>253.4</v>
      </c>
      <c r="E218" s="116">
        <v>253.4</v>
      </c>
      <c r="F218" s="116">
        <v>1274.8</v>
      </c>
      <c r="G218">
        <v>3389</v>
      </c>
      <c r="H218" s="116"/>
      <c r="I218" s="116"/>
      <c r="L218" s="163">
        <v>42319</v>
      </c>
      <c r="M218" s="116">
        <v>254.24</v>
      </c>
      <c r="N218" s="116">
        <v>256.2</v>
      </c>
      <c r="O218" s="116">
        <v>253.2</v>
      </c>
      <c r="P218" s="116">
        <v>254.34</v>
      </c>
      <c r="Q218" s="116">
        <v>1271.2</v>
      </c>
      <c r="R218">
        <v>16663</v>
      </c>
    </row>
    <row r="219" spans="1:18" x14ac:dyDescent="0.25">
      <c r="A219" s="163">
        <v>42321</v>
      </c>
      <c r="B219" s="116">
        <v>253.6</v>
      </c>
      <c r="C219" s="116">
        <v>245.04</v>
      </c>
      <c r="D219" s="116">
        <v>232.03</v>
      </c>
      <c r="E219" s="116">
        <v>251.83</v>
      </c>
      <c r="F219" s="116">
        <v>1225.2</v>
      </c>
      <c r="G219">
        <v>36363</v>
      </c>
      <c r="H219" s="116"/>
      <c r="I219" s="116"/>
      <c r="L219" s="163">
        <v>42321</v>
      </c>
      <c r="M219" s="116">
        <v>244.82</v>
      </c>
      <c r="N219" s="116">
        <v>254.3</v>
      </c>
      <c r="O219" s="116">
        <v>231.33</v>
      </c>
      <c r="P219" s="116">
        <v>254.3</v>
      </c>
      <c r="Q219" s="116">
        <v>1224.0999999999999</v>
      </c>
      <c r="R219">
        <v>276058</v>
      </c>
    </row>
    <row r="220" spans="1:18" x14ac:dyDescent="0.25">
      <c r="A220" s="163">
        <v>42324</v>
      </c>
      <c r="B220" s="116">
        <v>254.86</v>
      </c>
      <c r="C220" s="116">
        <v>252.71</v>
      </c>
      <c r="D220" s="116">
        <v>240.4</v>
      </c>
      <c r="E220" s="116">
        <v>244.44</v>
      </c>
      <c r="F220" s="116">
        <v>1263.55</v>
      </c>
      <c r="G220">
        <v>22837</v>
      </c>
      <c r="H220" s="116"/>
      <c r="I220" s="116"/>
      <c r="L220" s="163">
        <v>42324</v>
      </c>
      <c r="M220" s="116">
        <v>253.02</v>
      </c>
      <c r="N220" s="116">
        <v>254.4</v>
      </c>
      <c r="O220" s="116">
        <v>240.52</v>
      </c>
      <c r="P220" s="116">
        <v>247.99</v>
      </c>
      <c r="Q220" s="116">
        <v>1265.0999999999999</v>
      </c>
      <c r="R220">
        <v>128150</v>
      </c>
    </row>
    <row r="221" spans="1:18" x14ac:dyDescent="0.25">
      <c r="A221" s="163">
        <v>42325</v>
      </c>
      <c r="B221" s="116">
        <v>258</v>
      </c>
      <c r="C221" s="116">
        <v>256.39</v>
      </c>
      <c r="D221" s="116">
        <v>250</v>
      </c>
      <c r="E221" s="116">
        <v>255</v>
      </c>
      <c r="F221" s="116">
        <v>1281.95</v>
      </c>
      <c r="G221">
        <v>23970</v>
      </c>
      <c r="H221" s="116"/>
      <c r="I221" s="116"/>
      <c r="L221" s="163">
        <v>42325</v>
      </c>
      <c r="M221" s="116">
        <v>256.89</v>
      </c>
      <c r="N221" s="116">
        <v>258</v>
      </c>
      <c r="O221" s="116">
        <v>249.75</v>
      </c>
      <c r="P221" s="116">
        <v>255.6</v>
      </c>
      <c r="Q221" s="116">
        <v>1284.45</v>
      </c>
      <c r="R221">
        <v>138160</v>
      </c>
    </row>
    <row r="222" spans="1:18" x14ac:dyDescent="0.25">
      <c r="A222" s="163">
        <v>42326</v>
      </c>
      <c r="B222" s="116">
        <v>258.23</v>
      </c>
      <c r="C222" s="116">
        <v>247.31</v>
      </c>
      <c r="D222" s="116">
        <v>246.22</v>
      </c>
      <c r="E222" s="116">
        <v>255.05</v>
      </c>
      <c r="F222" s="116">
        <v>1236.55</v>
      </c>
      <c r="G222">
        <v>21900</v>
      </c>
      <c r="H222" s="116"/>
      <c r="I222" s="116"/>
      <c r="L222" s="163">
        <v>42326</v>
      </c>
      <c r="M222" s="116">
        <v>247.13</v>
      </c>
      <c r="N222" s="116">
        <v>258.39999999999998</v>
      </c>
      <c r="O222" s="116">
        <v>245.4</v>
      </c>
      <c r="P222" s="116">
        <v>255.3</v>
      </c>
      <c r="Q222" s="116">
        <v>1235.6500000000001</v>
      </c>
      <c r="R222">
        <v>132067</v>
      </c>
    </row>
    <row r="223" spans="1:18" x14ac:dyDescent="0.25">
      <c r="A223" s="163">
        <v>42327</v>
      </c>
      <c r="B223" s="116">
        <v>254.8</v>
      </c>
      <c r="C223" s="116">
        <v>253.4</v>
      </c>
      <c r="D223" s="116">
        <v>248.39</v>
      </c>
      <c r="E223" s="116">
        <v>249.48</v>
      </c>
      <c r="F223" s="116">
        <v>1267</v>
      </c>
      <c r="G223">
        <v>16716</v>
      </c>
      <c r="H223" s="116"/>
      <c r="I223" s="116"/>
      <c r="L223" s="163">
        <v>42327</v>
      </c>
      <c r="M223" s="116">
        <v>253.54</v>
      </c>
      <c r="N223" s="116">
        <v>255</v>
      </c>
      <c r="O223" s="116">
        <v>248.06</v>
      </c>
      <c r="P223" s="116">
        <v>249.76</v>
      </c>
      <c r="Q223" s="116">
        <v>1267.7</v>
      </c>
      <c r="R223">
        <v>103442</v>
      </c>
    </row>
    <row r="224" spans="1:18" x14ac:dyDescent="0.25">
      <c r="A224" s="163">
        <v>42328</v>
      </c>
      <c r="B224" s="116">
        <v>258.39999999999998</v>
      </c>
      <c r="C224" s="116">
        <v>254.91</v>
      </c>
      <c r="D224" s="116">
        <v>252.48</v>
      </c>
      <c r="E224" s="116">
        <v>254.96</v>
      </c>
      <c r="F224" s="116">
        <v>1274.55</v>
      </c>
      <c r="G224">
        <v>15905</v>
      </c>
      <c r="H224" s="116"/>
      <c r="I224" s="116"/>
      <c r="L224" s="163">
        <v>42328</v>
      </c>
      <c r="M224" s="116">
        <v>255.34</v>
      </c>
      <c r="N224" s="116">
        <v>258.38</v>
      </c>
      <c r="O224" s="116">
        <v>252.02</v>
      </c>
      <c r="P224" s="116">
        <v>253.2</v>
      </c>
      <c r="Q224" s="116">
        <v>1276.7</v>
      </c>
      <c r="R224">
        <v>118317</v>
      </c>
    </row>
    <row r="225" spans="1:18" x14ac:dyDescent="0.25">
      <c r="A225" s="163">
        <v>42331</v>
      </c>
      <c r="B225" s="116">
        <v>257.8</v>
      </c>
      <c r="C225" s="116">
        <v>250.82</v>
      </c>
      <c r="D225" s="116">
        <v>249.61</v>
      </c>
      <c r="E225" s="116">
        <v>255.41</v>
      </c>
      <c r="F225" s="116">
        <v>1254.0999999999999</v>
      </c>
      <c r="G225">
        <v>24664</v>
      </c>
      <c r="H225" s="116"/>
      <c r="I225" s="116"/>
      <c r="L225" s="163">
        <v>42331</v>
      </c>
      <c r="M225" s="116">
        <v>250.95</v>
      </c>
      <c r="N225" s="116">
        <v>258.08</v>
      </c>
      <c r="O225" s="116">
        <v>249.71</v>
      </c>
      <c r="P225" s="116">
        <v>255.6</v>
      </c>
      <c r="Q225" s="116">
        <v>1254.75</v>
      </c>
      <c r="R225">
        <v>86652</v>
      </c>
    </row>
    <row r="226" spans="1:18" x14ac:dyDescent="0.25">
      <c r="A226" s="163">
        <v>42332</v>
      </c>
      <c r="B226" s="116">
        <v>254.15</v>
      </c>
      <c r="C226" s="116">
        <v>250.85</v>
      </c>
      <c r="D226" s="116">
        <v>248.68</v>
      </c>
      <c r="E226" s="116">
        <v>251.4</v>
      </c>
      <c r="F226" s="116">
        <v>1254.25</v>
      </c>
      <c r="G226">
        <v>5015</v>
      </c>
      <c r="H226" s="116"/>
      <c r="I226" s="116"/>
      <c r="L226" s="163">
        <v>42332</v>
      </c>
      <c r="M226" s="116">
        <v>250.87</v>
      </c>
      <c r="N226" s="116">
        <v>254.23</v>
      </c>
      <c r="O226" s="116">
        <v>248.46</v>
      </c>
      <c r="P226" s="116">
        <v>252.2</v>
      </c>
      <c r="Q226" s="116">
        <v>1254.3499999999999</v>
      </c>
      <c r="R226">
        <v>63707</v>
      </c>
    </row>
    <row r="227" spans="1:18" x14ac:dyDescent="0.25">
      <c r="A227" s="163">
        <v>42334</v>
      </c>
      <c r="B227" s="116">
        <v>252.54</v>
      </c>
      <c r="C227" s="116">
        <v>248.22</v>
      </c>
      <c r="D227" s="116">
        <v>247.4</v>
      </c>
      <c r="E227" s="116">
        <v>252</v>
      </c>
      <c r="F227" s="116">
        <v>1241.0999999999999</v>
      </c>
      <c r="G227">
        <v>11573</v>
      </c>
      <c r="H227" s="116"/>
      <c r="I227" s="116"/>
      <c r="L227" s="163">
        <v>42334</v>
      </c>
      <c r="M227" s="116">
        <v>248.89</v>
      </c>
      <c r="N227" s="116">
        <v>253.38</v>
      </c>
      <c r="O227" s="116">
        <v>247.02</v>
      </c>
      <c r="P227" s="116">
        <v>253.38</v>
      </c>
      <c r="Q227" s="116">
        <v>1244.45</v>
      </c>
      <c r="R227">
        <v>107637</v>
      </c>
    </row>
    <row r="228" spans="1:18" x14ac:dyDescent="0.25">
      <c r="A228" s="163">
        <v>42335</v>
      </c>
      <c r="B228" s="116">
        <v>252.18</v>
      </c>
      <c r="C228" s="116">
        <v>249.89</v>
      </c>
      <c r="D228" s="116">
        <v>246.24</v>
      </c>
      <c r="E228" s="116">
        <v>249.67</v>
      </c>
      <c r="F228" s="116">
        <v>1249.45</v>
      </c>
      <c r="G228">
        <v>12526</v>
      </c>
      <c r="H228" s="116"/>
      <c r="I228" s="116"/>
      <c r="L228" s="163">
        <v>42335</v>
      </c>
      <c r="M228" s="116">
        <v>250.53</v>
      </c>
      <c r="N228" s="116">
        <v>252.01</v>
      </c>
      <c r="O228" s="116">
        <v>246.21</v>
      </c>
      <c r="P228" s="116">
        <v>248</v>
      </c>
      <c r="Q228" s="116">
        <v>1252.6500000000001</v>
      </c>
      <c r="R228">
        <v>91620</v>
      </c>
    </row>
    <row r="229" spans="1:18" x14ac:dyDescent="0.25">
      <c r="A229" s="163">
        <v>42338</v>
      </c>
      <c r="B229" s="116">
        <v>255.6</v>
      </c>
      <c r="C229" s="116">
        <v>254.76</v>
      </c>
      <c r="D229" s="116">
        <v>248.94</v>
      </c>
      <c r="E229" s="116">
        <v>249.86</v>
      </c>
      <c r="F229" s="116">
        <v>1273.8</v>
      </c>
      <c r="G229">
        <v>16313</v>
      </c>
      <c r="H229" s="116"/>
      <c r="I229" s="116"/>
      <c r="L229" s="163">
        <v>42338</v>
      </c>
      <c r="M229" s="116">
        <v>255.14</v>
      </c>
      <c r="N229" s="116">
        <v>256.02999999999997</v>
      </c>
      <c r="O229" s="116">
        <v>249.17</v>
      </c>
      <c r="P229" s="116">
        <v>250.86</v>
      </c>
      <c r="Q229" s="116">
        <v>1275.7</v>
      </c>
      <c r="R229">
        <v>113498</v>
      </c>
    </row>
    <row r="230" spans="1:18" x14ac:dyDescent="0.25">
      <c r="A230" s="163">
        <v>42339</v>
      </c>
      <c r="B230" s="116">
        <v>257.16000000000003</v>
      </c>
      <c r="C230" s="116">
        <v>252.99</v>
      </c>
      <c r="D230" s="116">
        <v>251.8</v>
      </c>
      <c r="E230" s="116">
        <v>256</v>
      </c>
      <c r="F230" s="116">
        <v>1264.95</v>
      </c>
      <c r="G230">
        <v>12655</v>
      </c>
      <c r="H230" s="116"/>
      <c r="I230" s="116"/>
      <c r="L230" s="163">
        <v>42339</v>
      </c>
      <c r="M230" s="116">
        <v>252.93</v>
      </c>
      <c r="N230" s="116">
        <v>257.89</v>
      </c>
      <c r="O230" s="116">
        <v>251.55</v>
      </c>
      <c r="P230" s="116">
        <v>255</v>
      </c>
      <c r="Q230" s="116">
        <v>1264.6500000000001</v>
      </c>
      <c r="R230">
        <v>75952</v>
      </c>
    </row>
    <row r="231" spans="1:18" x14ac:dyDescent="0.25">
      <c r="A231" s="163">
        <v>42340</v>
      </c>
      <c r="B231" s="116">
        <v>254.88</v>
      </c>
      <c r="C231" s="116">
        <v>247.1</v>
      </c>
      <c r="D231" s="116">
        <v>243.27</v>
      </c>
      <c r="E231" s="116">
        <v>253.08</v>
      </c>
      <c r="F231" s="116">
        <v>1235.5</v>
      </c>
      <c r="G231">
        <v>15726</v>
      </c>
      <c r="H231" s="116"/>
      <c r="I231" s="116"/>
      <c r="L231" s="163">
        <v>42340</v>
      </c>
      <c r="M231" s="116">
        <v>246.94</v>
      </c>
      <c r="N231" s="116">
        <v>255.19</v>
      </c>
      <c r="O231" s="116">
        <v>243.1</v>
      </c>
      <c r="P231" s="116">
        <v>255.19</v>
      </c>
      <c r="Q231" s="116">
        <v>1234.7</v>
      </c>
      <c r="R231">
        <v>100593</v>
      </c>
    </row>
    <row r="232" spans="1:18" x14ac:dyDescent="0.25">
      <c r="A232" s="163">
        <v>42341</v>
      </c>
      <c r="B232" s="116">
        <v>250.49</v>
      </c>
      <c r="C232" s="116">
        <v>246.27</v>
      </c>
      <c r="D232" s="116">
        <v>244</v>
      </c>
      <c r="E232" s="116">
        <v>247</v>
      </c>
      <c r="F232" s="116">
        <v>1231.3499999999999</v>
      </c>
      <c r="G232">
        <v>12904</v>
      </c>
      <c r="H232" s="116"/>
      <c r="I232" s="116"/>
      <c r="L232" s="163">
        <v>42341</v>
      </c>
      <c r="M232" s="116">
        <v>245.89</v>
      </c>
      <c r="N232" s="116">
        <v>250.6</v>
      </c>
      <c r="O232" s="116">
        <v>244</v>
      </c>
      <c r="P232" s="116">
        <v>245.41</v>
      </c>
      <c r="Q232" s="116">
        <v>1229.45</v>
      </c>
      <c r="R232">
        <v>83874</v>
      </c>
    </row>
    <row r="233" spans="1:18" x14ac:dyDescent="0.25">
      <c r="A233" s="163">
        <v>42342</v>
      </c>
      <c r="B233" s="116">
        <v>247.8</v>
      </c>
      <c r="C233" s="116">
        <v>246.7</v>
      </c>
      <c r="D233" s="116">
        <v>242.8</v>
      </c>
      <c r="E233" s="116">
        <v>245</v>
      </c>
      <c r="F233" s="116">
        <v>1233.5</v>
      </c>
      <c r="G233">
        <v>43624</v>
      </c>
      <c r="H233" s="116"/>
      <c r="I233" s="116"/>
      <c r="L233" s="163">
        <v>42342</v>
      </c>
      <c r="M233" s="116">
        <v>245.59</v>
      </c>
      <c r="N233" s="116">
        <v>247.8</v>
      </c>
      <c r="O233" s="116">
        <v>242.86</v>
      </c>
      <c r="P233" s="116">
        <v>243.96</v>
      </c>
      <c r="Q233" s="116">
        <v>1227.95</v>
      </c>
      <c r="R233">
        <v>71350</v>
      </c>
    </row>
    <row r="234" spans="1:18" x14ac:dyDescent="0.25">
      <c r="A234" s="163">
        <v>42345</v>
      </c>
      <c r="B234" s="116">
        <v>248.9</v>
      </c>
      <c r="C234" s="116">
        <v>244.2</v>
      </c>
      <c r="D234" s="116">
        <v>242.23</v>
      </c>
      <c r="E234" s="116">
        <v>247.99</v>
      </c>
      <c r="F234" s="116">
        <v>1221</v>
      </c>
      <c r="G234">
        <v>14194</v>
      </c>
      <c r="H234" s="116"/>
      <c r="I234" s="116"/>
      <c r="L234" s="163">
        <v>42345</v>
      </c>
      <c r="M234" s="116">
        <v>244.58</v>
      </c>
      <c r="N234" s="116">
        <v>249.19</v>
      </c>
      <c r="O234" s="116">
        <v>242</v>
      </c>
      <c r="P234" s="116">
        <v>246.9</v>
      </c>
      <c r="Q234" s="116">
        <v>1222.9000000000001</v>
      </c>
      <c r="R234">
        <v>66110</v>
      </c>
    </row>
    <row r="235" spans="1:18" x14ac:dyDescent="0.25">
      <c r="A235" s="163">
        <v>42346</v>
      </c>
      <c r="B235" s="116">
        <v>246.24</v>
      </c>
      <c r="C235" s="116">
        <v>242.69</v>
      </c>
      <c r="D235" s="116">
        <v>241.65</v>
      </c>
      <c r="E235" s="116">
        <v>244.97</v>
      </c>
      <c r="F235" s="116">
        <v>1213.45</v>
      </c>
      <c r="G235">
        <v>4728</v>
      </c>
      <c r="H235" s="116"/>
      <c r="I235" s="116"/>
      <c r="L235" s="163">
        <v>42346</v>
      </c>
      <c r="M235" s="116">
        <v>242.92</v>
      </c>
      <c r="N235" s="116">
        <v>246.2</v>
      </c>
      <c r="O235" s="116">
        <v>241.95</v>
      </c>
      <c r="P235" s="116">
        <v>243.6</v>
      </c>
      <c r="Q235" s="116">
        <v>1214.5999999999999</v>
      </c>
      <c r="R235">
        <v>61775</v>
      </c>
    </row>
    <row r="236" spans="1:18" x14ac:dyDescent="0.25">
      <c r="A236" s="163">
        <v>42347</v>
      </c>
      <c r="B236" s="116">
        <v>243.66</v>
      </c>
      <c r="C236" s="116">
        <v>237.85</v>
      </c>
      <c r="D236" s="116">
        <v>235.5</v>
      </c>
      <c r="E236" s="116">
        <v>242.2</v>
      </c>
      <c r="F236" s="116">
        <v>1189.25</v>
      </c>
      <c r="G236">
        <v>18295</v>
      </c>
      <c r="H236" s="116"/>
      <c r="I236" s="116"/>
      <c r="L236" s="163">
        <v>42347</v>
      </c>
      <c r="M236" s="116">
        <v>238.26</v>
      </c>
      <c r="N236" s="116">
        <v>243.6</v>
      </c>
      <c r="O236" s="116">
        <v>235.35</v>
      </c>
      <c r="P236" s="116">
        <v>242.4</v>
      </c>
      <c r="Q236" s="116">
        <v>1191.3</v>
      </c>
      <c r="R236">
        <v>87358</v>
      </c>
    </row>
    <row r="237" spans="1:18" x14ac:dyDescent="0.25">
      <c r="A237" s="163">
        <v>42348</v>
      </c>
      <c r="B237" s="116">
        <v>241.6</v>
      </c>
      <c r="C237" s="116">
        <v>239.31</v>
      </c>
      <c r="D237" s="116">
        <v>233.6</v>
      </c>
      <c r="E237" s="116">
        <v>238.86</v>
      </c>
      <c r="F237" s="116">
        <v>1196.55</v>
      </c>
      <c r="G237">
        <v>10713</v>
      </c>
      <c r="H237" s="116"/>
      <c r="I237" s="116"/>
      <c r="L237" s="163">
        <v>42348</v>
      </c>
      <c r="M237" s="116">
        <v>239.3</v>
      </c>
      <c r="N237" s="116">
        <v>241.41</v>
      </c>
      <c r="O237" s="116">
        <v>233.4</v>
      </c>
      <c r="P237" s="116">
        <v>238.01</v>
      </c>
      <c r="Q237" s="116">
        <v>1196.5</v>
      </c>
      <c r="R237">
        <v>121341</v>
      </c>
    </row>
    <row r="238" spans="1:18" x14ac:dyDescent="0.25">
      <c r="A238" s="163">
        <v>42349</v>
      </c>
      <c r="B238" s="116">
        <v>242.19</v>
      </c>
      <c r="C238" s="116">
        <v>237.88</v>
      </c>
      <c r="D238" s="116">
        <v>236</v>
      </c>
      <c r="E238" s="116">
        <v>240.47</v>
      </c>
      <c r="F238" s="116">
        <v>1189.4000000000001</v>
      </c>
      <c r="G238">
        <v>10114</v>
      </c>
      <c r="H238" s="116"/>
      <c r="I238" s="116"/>
      <c r="L238" s="163">
        <v>42349</v>
      </c>
      <c r="M238" s="116">
        <v>237.72</v>
      </c>
      <c r="N238" s="116">
        <v>242.2</v>
      </c>
      <c r="O238" s="116">
        <v>235.86</v>
      </c>
      <c r="P238" s="116">
        <v>240.4</v>
      </c>
      <c r="Q238" s="116">
        <v>1188.5999999999999</v>
      </c>
      <c r="R238">
        <v>105015</v>
      </c>
    </row>
    <row r="239" spans="1:18" x14ac:dyDescent="0.25">
      <c r="A239" s="163">
        <v>42352</v>
      </c>
      <c r="B239" s="116">
        <v>240.3</v>
      </c>
      <c r="C239" s="116">
        <v>235.59</v>
      </c>
      <c r="D239" s="116">
        <v>233.08</v>
      </c>
      <c r="E239" s="116">
        <v>235.2</v>
      </c>
      <c r="F239" s="116">
        <v>1177.95</v>
      </c>
      <c r="G239">
        <v>6092</v>
      </c>
      <c r="H239" s="116"/>
      <c r="I239" s="116"/>
      <c r="L239" s="163">
        <v>42352</v>
      </c>
      <c r="M239" s="116">
        <v>234.96</v>
      </c>
      <c r="N239" s="116">
        <v>240.48</v>
      </c>
      <c r="O239" s="116">
        <v>232.93</v>
      </c>
      <c r="P239" s="116">
        <v>234.63</v>
      </c>
      <c r="Q239" s="116">
        <v>1174.8</v>
      </c>
      <c r="R239">
        <v>108660</v>
      </c>
    </row>
    <row r="240" spans="1:18" x14ac:dyDescent="0.25">
      <c r="A240" s="163">
        <v>42353</v>
      </c>
      <c r="B240" s="116">
        <v>235.98</v>
      </c>
      <c r="C240" s="116">
        <v>234.49</v>
      </c>
      <c r="D240" s="116">
        <v>229.4</v>
      </c>
      <c r="E240" s="116">
        <v>235.36</v>
      </c>
      <c r="F240" s="116">
        <v>1172.45</v>
      </c>
      <c r="G240">
        <v>10806</v>
      </c>
      <c r="H240" s="116"/>
      <c r="I240" s="116"/>
      <c r="L240" s="163">
        <v>42353</v>
      </c>
      <c r="M240" s="116">
        <v>234.54</v>
      </c>
      <c r="N240" s="116">
        <v>236.8</v>
      </c>
      <c r="O240" s="116">
        <v>229.19</v>
      </c>
      <c r="P240" s="116">
        <v>235.98</v>
      </c>
      <c r="Q240" s="116">
        <v>1172.7</v>
      </c>
      <c r="R240">
        <v>136556</v>
      </c>
    </row>
    <row r="241" spans="1:18" x14ac:dyDescent="0.25">
      <c r="A241" s="163">
        <v>42354</v>
      </c>
      <c r="B241" s="116">
        <v>239.79</v>
      </c>
      <c r="C241" s="116">
        <v>237.83</v>
      </c>
      <c r="D241" s="116">
        <v>233.28</v>
      </c>
      <c r="E241" s="116">
        <v>237.94</v>
      </c>
      <c r="F241" s="116">
        <v>1189.1500000000001</v>
      </c>
      <c r="G241">
        <v>9819</v>
      </c>
      <c r="H241" s="116"/>
      <c r="I241" s="116"/>
      <c r="L241" s="163">
        <v>42354</v>
      </c>
      <c r="M241" s="116">
        <v>237.36</v>
      </c>
      <c r="N241" s="116">
        <v>240</v>
      </c>
      <c r="O241" s="116">
        <v>233.02</v>
      </c>
      <c r="P241" s="116">
        <v>235.99</v>
      </c>
      <c r="Q241" s="116">
        <v>1186.8</v>
      </c>
      <c r="R241">
        <v>108631</v>
      </c>
    </row>
    <row r="242" spans="1:18" x14ac:dyDescent="0.25">
      <c r="A242" s="163">
        <v>42355</v>
      </c>
      <c r="B242" s="116">
        <v>249.6</v>
      </c>
      <c r="C242" s="116">
        <v>248.4</v>
      </c>
      <c r="D242" s="116">
        <v>237.61</v>
      </c>
      <c r="E242" s="116">
        <v>238.15</v>
      </c>
      <c r="F242" s="116">
        <v>1242</v>
      </c>
      <c r="G242">
        <v>20478</v>
      </c>
      <c r="H242" s="116"/>
      <c r="I242" s="116"/>
      <c r="L242" s="163">
        <v>42355</v>
      </c>
      <c r="M242" s="116">
        <v>248.48</v>
      </c>
      <c r="N242" s="116">
        <v>249.63</v>
      </c>
      <c r="O242" s="116">
        <v>237.16</v>
      </c>
      <c r="P242" s="116">
        <v>239</v>
      </c>
      <c r="Q242" s="116">
        <v>1242.4000000000001</v>
      </c>
      <c r="R242">
        <v>302151</v>
      </c>
    </row>
    <row r="243" spans="1:18" x14ac:dyDescent="0.25">
      <c r="A243" s="163">
        <v>42356</v>
      </c>
      <c r="B243" s="116">
        <v>249.48</v>
      </c>
      <c r="C243" s="116">
        <v>246.73</v>
      </c>
      <c r="D243" s="116">
        <v>243.21</v>
      </c>
      <c r="E243" s="116">
        <v>247.98</v>
      </c>
      <c r="F243" s="116">
        <v>1233.6500000000001</v>
      </c>
      <c r="G243">
        <v>12961</v>
      </c>
      <c r="H243" s="116"/>
      <c r="I243" s="116"/>
      <c r="L243" s="163">
        <v>42356</v>
      </c>
      <c r="M243" s="116">
        <v>247.15</v>
      </c>
      <c r="N243" s="116">
        <v>249.6</v>
      </c>
      <c r="O243" s="116">
        <v>243.2</v>
      </c>
      <c r="P243" s="116">
        <v>248.4</v>
      </c>
      <c r="Q243" s="116">
        <v>1235.75</v>
      </c>
      <c r="R243">
        <v>146896</v>
      </c>
    </row>
    <row r="244" spans="1:18" x14ac:dyDescent="0.25">
      <c r="A244" s="163">
        <v>42359</v>
      </c>
      <c r="B244" s="116">
        <v>251.53</v>
      </c>
      <c r="C244" s="116">
        <v>248.62</v>
      </c>
      <c r="D244" s="116">
        <v>246.2</v>
      </c>
      <c r="E244" s="116">
        <v>247</v>
      </c>
      <c r="F244" s="116">
        <v>1243.0999999999999</v>
      </c>
      <c r="G244">
        <v>7836</v>
      </c>
      <c r="H244" s="116"/>
      <c r="I244" s="116"/>
      <c r="L244" s="163">
        <v>42359</v>
      </c>
      <c r="M244" s="116">
        <v>248.88</v>
      </c>
      <c r="N244" s="116">
        <v>251.8</v>
      </c>
      <c r="O244" s="116">
        <v>245.8</v>
      </c>
      <c r="P244" s="116">
        <v>249</v>
      </c>
      <c r="Q244" s="116">
        <v>1244.4000000000001</v>
      </c>
      <c r="R244">
        <v>98608</v>
      </c>
    </row>
    <row r="245" spans="1:18" x14ac:dyDescent="0.25">
      <c r="A245" s="163">
        <v>42360</v>
      </c>
      <c r="B245" s="116">
        <v>250.38</v>
      </c>
      <c r="C245" s="116">
        <v>247.79</v>
      </c>
      <c r="D245" s="116">
        <v>244.66</v>
      </c>
      <c r="E245" s="116">
        <v>249.83</v>
      </c>
      <c r="F245" s="116">
        <v>1238.95</v>
      </c>
      <c r="G245">
        <v>9526</v>
      </c>
      <c r="H245" s="116"/>
      <c r="I245" s="116"/>
      <c r="L245" s="163">
        <v>42360</v>
      </c>
      <c r="M245" s="116">
        <v>247.61</v>
      </c>
      <c r="N245" s="116">
        <v>250.18</v>
      </c>
      <c r="O245" s="116">
        <v>244.42</v>
      </c>
      <c r="P245" s="116">
        <v>249.38</v>
      </c>
      <c r="Q245" s="116">
        <v>1238.05</v>
      </c>
      <c r="R245">
        <v>129774</v>
      </c>
    </row>
    <row r="246" spans="1:18" x14ac:dyDescent="0.25">
      <c r="A246" s="163">
        <v>42361</v>
      </c>
      <c r="B246" s="116">
        <v>250.38</v>
      </c>
      <c r="C246" s="116">
        <v>246.44</v>
      </c>
      <c r="D246" s="116">
        <v>245.71</v>
      </c>
      <c r="E246" s="116">
        <v>249.82</v>
      </c>
      <c r="F246" s="116">
        <v>1232.2</v>
      </c>
      <c r="G246">
        <v>6504</v>
      </c>
      <c r="H246" s="116"/>
      <c r="I246" s="116"/>
      <c r="L246" s="163">
        <v>42361</v>
      </c>
      <c r="M246" s="116">
        <v>245.9</v>
      </c>
      <c r="N246" s="116">
        <v>250.8</v>
      </c>
      <c r="O246" s="116">
        <v>245.21</v>
      </c>
      <c r="P246" s="116">
        <v>250.8</v>
      </c>
      <c r="Q246" s="116">
        <v>1229.5</v>
      </c>
      <c r="R246">
        <v>89057</v>
      </c>
    </row>
    <row r="247" spans="1:18" x14ac:dyDescent="0.25">
      <c r="A247" s="163">
        <v>42362</v>
      </c>
      <c r="B247" s="116">
        <v>250.38</v>
      </c>
      <c r="C247" s="116">
        <v>248.25</v>
      </c>
      <c r="D247" s="116">
        <v>244.21</v>
      </c>
      <c r="E247" s="116">
        <v>246.07</v>
      </c>
      <c r="F247" s="116">
        <v>1241.25</v>
      </c>
      <c r="G247">
        <v>8275</v>
      </c>
      <c r="H247" s="116"/>
      <c r="I247" s="116"/>
      <c r="L247" s="163">
        <v>42362</v>
      </c>
      <c r="M247" s="116">
        <v>248.63</v>
      </c>
      <c r="N247" s="116">
        <v>250.3</v>
      </c>
      <c r="O247" s="116">
        <v>244.02</v>
      </c>
      <c r="P247" s="116">
        <v>246.7</v>
      </c>
      <c r="Q247" s="116">
        <v>1243.1500000000001</v>
      </c>
      <c r="R247">
        <v>87838</v>
      </c>
    </row>
    <row r="248" spans="1:18" x14ac:dyDescent="0.25">
      <c r="A248" s="163">
        <v>42366</v>
      </c>
      <c r="B248" s="116">
        <v>256.95</v>
      </c>
      <c r="C248" s="116">
        <v>254.72</v>
      </c>
      <c r="D248" s="116">
        <v>248.4</v>
      </c>
      <c r="E248" s="116">
        <v>250</v>
      </c>
      <c r="F248" s="116">
        <v>1273.5999999999999</v>
      </c>
      <c r="G248">
        <v>12942</v>
      </c>
      <c r="H248" s="116"/>
      <c r="I248" s="116"/>
      <c r="L248" s="163">
        <v>42366</v>
      </c>
      <c r="M248" s="116">
        <v>255.1</v>
      </c>
      <c r="N248" s="116">
        <v>257.17</v>
      </c>
      <c r="O248" s="116">
        <v>248.2</v>
      </c>
      <c r="P248" s="116">
        <v>250</v>
      </c>
      <c r="Q248" s="116">
        <v>1275.5</v>
      </c>
      <c r="R248">
        <v>140136</v>
      </c>
    </row>
    <row r="249" spans="1:18" x14ac:dyDescent="0.25">
      <c r="A249" s="163">
        <v>42367</v>
      </c>
      <c r="B249" s="116">
        <v>259.52999999999997</v>
      </c>
      <c r="C249" s="116">
        <v>254.91</v>
      </c>
      <c r="D249" s="116">
        <v>254.07</v>
      </c>
      <c r="E249" s="116">
        <v>257</v>
      </c>
      <c r="F249" s="116">
        <v>1274.55</v>
      </c>
      <c r="G249">
        <v>13430</v>
      </c>
      <c r="H249" s="116"/>
      <c r="I249" s="116"/>
      <c r="L249" s="163">
        <v>42367</v>
      </c>
      <c r="M249" s="116">
        <v>255.12</v>
      </c>
      <c r="N249" s="116">
        <v>258.95</v>
      </c>
      <c r="O249" s="116">
        <v>254</v>
      </c>
      <c r="P249" s="116">
        <v>258.95</v>
      </c>
      <c r="Q249" s="116">
        <v>1275.5999999999999</v>
      </c>
      <c r="R249">
        <v>107143</v>
      </c>
    </row>
    <row r="250" spans="1:18" x14ac:dyDescent="0.25">
      <c r="A250" s="163">
        <v>42368</v>
      </c>
      <c r="B250" s="116">
        <v>256.7</v>
      </c>
      <c r="C250" s="116">
        <v>253.16</v>
      </c>
      <c r="D250" s="116">
        <v>252.63</v>
      </c>
      <c r="E250" s="116">
        <v>256</v>
      </c>
      <c r="F250" s="116">
        <v>1265.8</v>
      </c>
      <c r="G250">
        <v>6465</v>
      </c>
      <c r="H250" s="116"/>
      <c r="I250" s="116"/>
      <c r="L250" s="163">
        <v>42368</v>
      </c>
      <c r="M250" s="116">
        <v>253.91</v>
      </c>
      <c r="N250" s="116">
        <v>256.93</v>
      </c>
      <c r="O250" s="116">
        <v>252.92</v>
      </c>
      <c r="P250" s="116">
        <v>256.2</v>
      </c>
      <c r="Q250" s="116">
        <v>1269.55</v>
      </c>
      <c r="R250">
        <v>63042</v>
      </c>
    </row>
    <row r="251" spans="1:18" x14ac:dyDescent="0.25">
      <c r="A251" s="163">
        <v>42369</v>
      </c>
      <c r="B251" s="116">
        <v>257.32</v>
      </c>
      <c r="C251" s="116">
        <v>252.63</v>
      </c>
      <c r="D251" s="116">
        <v>251.4</v>
      </c>
      <c r="E251" s="116">
        <v>255.9</v>
      </c>
      <c r="F251" s="116">
        <v>1263.1500000000001</v>
      </c>
      <c r="G251">
        <v>15208</v>
      </c>
      <c r="H251" s="116"/>
      <c r="I251" s="116"/>
      <c r="L251" s="163">
        <v>42369</v>
      </c>
      <c r="M251" s="116">
        <v>252.94</v>
      </c>
      <c r="N251" s="116">
        <v>257.39999999999998</v>
      </c>
      <c r="O251" s="116">
        <v>251.12</v>
      </c>
      <c r="P251" s="116">
        <v>255.6</v>
      </c>
      <c r="Q251" s="116">
        <v>1264.7</v>
      </c>
      <c r="R251">
        <v>112374</v>
      </c>
    </row>
    <row r="252" spans="1:18" x14ac:dyDescent="0.25">
      <c r="A252" s="163">
        <v>42370</v>
      </c>
      <c r="B252" s="116">
        <v>255.8</v>
      </c>
      <c r="C252" s="116">
        <v>252.28</v>
      </c>
      <c r="D252" s="116">
        <v>248.01</v>
      </c>
      <c r="E252" s="116">
        <v>248.01</v>
      </c>
      <c r="F252" s="116">
        <v>1261.4000000000001</v>
      </c>
      <c r="G252">
        <v>4801</v>
      </c>
      <c r="H252" s="116"/>
      <c r="I252" s="116"/>
      <c r="L252" s="163">
        <v>42370</v>
      </c>
      <c r="M252" s="116">
        <v>252.62</v>
      </c>
      <c r="N252" s="116">
        <v>255.97</v>
      </c>
      <c r="O252" s="116">
        <v>251.8</v>
      </c>
      <c r="P252" s="116">
        <v>253.15</v>
      </c>
      <c r="Q252" s="116">
        <v>1263.0999999999999</v>
      </c>
      <c r="R252">
        <v>41123</v>
      </c>
    </row>
    <row r="253" spans="1:18" x14ac:dyDescent="0.25">
      <c r="A253" s="163">
        <v>42373</v>
      </c>
      <c r="B253" s="116">
        <v>256</v>
      </c>
      <c r="C253" s="116">
        <v>249.04</v>
      </c>
      <c r="D253" s="116">
        <v>247.47</v>
      </c>
      <c r="E253" s="116">
        <v>253.2</v>
      </c>
      <c r="F253" s="116">
        <v>1245.2</v>
      </c>
      <c r="G253">
        <v>10419</v>
      </c>
      <c r="H253" s="116"/>
      <c r="I253" s="116"/>
      <c r="L253" s="163">
        <v>42373</v>
      </c>
      <c r="M253" s="116">
        <v>249.42</v>
      </c>
      <c r="N253" s="116">
        <v>256.19</v>
      </c>
      <c r="O253" s="116">
        <v>247</v>
      </c>
      <c r="P253" s="116">
        <v>253.16</v>
      </c>
      <c r="Q253" s="116">
        <v>1247.0999999999999</v>
      </c>
      <c r="R253">
        <v>114036</v>
      </c>
    </row>
    <row r="254" spans="1:18" x14ac:dyDescent="0.25">
      <c r="A254" s="163">
        <v>42374</v>
      </c>
      <c r="B254" s="116">
        <v>257.68</v>
      </c>
      <c r="C254" s="116">
        <v>255.97</v>
      </c>
      <c r="D254" s="116">
        <v>247.2</v>
      </c>
      <c r="E254" s="116">
        <v>247.2</v>
      </c>
      <c r="F254" s="116">
        <v>1279.8499999999999</v>
      </c>
      <c r="G254">
        <v>23542</v>
      </c>
      <c r="H254" s="116"/>
      <c r="I254" s="116"/>
      <c r="L254" s="163">
        <v>42374</v>
      </c>
      <c r="M254" s="116">
        <v>256.44</v>
      </c>
      <c r="N254" s="116">
        <v>258.2</v>
      </c>
      <c r="O254" s="116">
        <v>248.4</v>
      </c>
      <c r="P254" s="116">
        <v>250.4</v>
      </c>
      <c r="Q254" s="116">
        <v>1282.2</v>
      </c>
      <c r="R254">
        <v>121999</v>
      </c>
    </row>
    <row r="255" spans="1:18" x14ac:dyDescent="0.25">
      <c r="A255" s="163">
        <v>42375</v>
      </c>
      <c r="B255" s="116">
        <v>272.02</v>
      </c>
      <c r="C255" s="116">
        <v>268.83999999999997</v>
      </c>
      <c r="D255" s="116">
        <v>255.37</v>
      </c>
      <c r="E255" s="116">
        <v>257.79000000000002</v>
      </c>
      <c r="F255" s="116">
        <v>1344.2</v>
      </c>
      <c r="G255">
        <v>45383</v>
      </c>
      <c r="H255" s="116"/>
      <c r="I255" s="116"/>
      <c r="L255" s="163">
        <v>42375</v>
      </c>
      <c r="M255" s="116">
        <v>269.56</v>
      </c>
      <c r="N255" s="116">
        <v>272.39999999999998</v>
      </c>
      <c r="O255" s="116">
        <v>254.61</v>
      </c>
      <c r="P255" s="116">
        <v>255.8</v>
      </c>
      <c r="Q255" s="116">
        <v>1347.8</v>
      </c>
      <c r="R255">
        <v>705934</v>
      </c>
    </row>
    <row r="256" spans="1:18" x14ac:dyDescent="0.25">
      <c r="A256" s="163">
        <v>42376</v>
      </c>
      <c r="B256" s="116">
        <v>270.8</v>
      </c>
      <c r="C256" s="116">
        <v>261.20999999999998</v>
      </c>
      <c r="D256" s="116">
        <v>258.19</v>
      </c>
      <c r="E256" s="116">
        <v>270.8</v>
      </c>
      <c r="F256" s="116">
        <v>1306.05</v>
      </c>
      <c r="G256">
        <v>19763</v>
      </c>
      <c r="H256" s="116"/>
      <c r="I256" s="116"/>
      <c r="L256" s="163">
        <v>42376</v>
      </c>
      <c r="M256" s="116">
        <v>261.06</v>
      </c>
      <c r="N256" s="116">
        <v>268.8</v>
      </c>
      <c r="O256" s="116">
        <v>258.44</v>
      </c>
      <c r="P256" s="116">
        <v>268.8</v>
      </c>
      <c r="Q256" s="116">
        <v>1305.3</v>
      </c>
      <c r="R256">
        <v>325460</v>
      </c>
    </row>
    <row r="257" spans="1:18" x14ac:dyDescent="0.25">
      <c r="A257" s="163">
        <v>42377</v>
      </c>
      <c r="B257" s="116">
        <v>266</v>
      </c>
      <c r="C257" s="116">
        <v>263.26</v>
      </c>
      <c r="D257" s="116">
        <v>261.56</v>
      </c>
      <c r="E257" s="116">
        <v>263</v>
      </c>
      <c r="F257" s="116">
        <v>1316.3</v>
      </c>
      <c r="G257">
        <v>10145</v>
      </c>
      <c r="H257" s="116"/>
      <c r="I257" s="116"/>
      <c r="L257" s="163">
        <v>42377</v>
      </c>
      <c r="M257" s="116">
        <v>263.52999999999997</v>
      </c>
      <c r="N257" s="116">
        <v>266.27999999999997</v>
      </c>
      <c r="O257" s="116">
        <v>261.2</v>
      </c>
      <c r="P257" s="116">
        <v>261.2</v>
      </c>
      <c r="Q257" s="116">
        <v>1317.65</v>
      </c>
      <c r="R257">
        <v>125959</v>
      </c>
    </row>
    <row r="258" spans="1:18" x14ac:dyDescent="0.25">
      <c r="A258" s="163">
        <v>42380</v>
      </c>
      <c r="B258" s="116">
        <v>262</v>
      </c>
      <c r="C258" s="116">
        <v>259</v>
      </c>
      <c r="D258" s="116">
        <v>253.6</v>
      </c>
      <c r="E258" s="116">
        <v>262</v>
      </c>
      <c r="F258" s="116">
        <v>1295</v>
      </c>
      <c r="G258">
        <v>4369</v>
      </c>
      <c r="H258" s="116"/>
      <c r="I258" s="116"/>
      <c r="L258" s="163">
        <v>42380</v>
      </c>
      <c r="M258" s="116">
        <v>259.08999999999997</v>
      </c>
      <c r="N258" s="116">
        <v>261.95</v>
      </c>
      <c r="O258" s="116">
        <v>253</v>
      </c>
      <c r="P258" s="116">
        <v>261.8</v>
      </c>
      <c r="Q258" s="116">
        <v>1295.45</v>
      </c>
      <c r="R258">
        <v>74372</v>
      </c>
    </row>
    <row r="259" spans="1:18" x14ac:dyDescent="0.25">
      <c r="A259" s="163">
        <v>42381</v>
      </c>
      <c r="B259" s="116">
        <v>266.8</v>
      </c>
      <c r="C259" s="116">
        <v>260.74</v>
      </c>
      <c r="D259" s="116">
        <v>258</v>
      </c>
      <c r="E259" s="116">
        <v>258</v>
      </c>
      <c r="F259" s="116">
        <v>1303.7</v>
      </c>
      <c r="G259">
        <v>6674</v>
      </c>
      <c r="H259" s="116"/>
      <c r="I259" s="116"/>
      <c r="L259" s="163">
        <v>42381</v>
      </c>
      <c r="M259" s="116">
        <v>260.51</v>
      </c>
      <c r="N259" s="116">
        <v>266.95999999999998</v>
      </c>
      <c r="O259" s="116">
        <v>258.42</v>
      </c>
      <c r="P259" s="116">
        <v>261.8</v>
      </c>
      <c r="Q259" s="116">
        <v>1302.55</v>
      </c>
      <c r="R259">
        <v>120090</v>
      </c>
    </row>
    <row r="260" spans="1:18" x14ac:dyDescent="0.25">
      <c r="A260" s="163">
        <v>42382</v>
      </c>
      <c r="B260" s="116">
        <v>263.98</v>
      </c>
      <c r="C260" s="116">
        <v>252.55</v>
      </c>
      <c r="D260" s="116">
        <v>245.3</v>
      </c>
      <c r="E260" s="116">
        <v>260.77</v>
      </c>
      <c r="F260" s="116">
        <v>1262.75</v>
      </c>
      <c r="G260">
        <v>23283</v>
      </c>
      <c r="H260" s="116"/>
      <c r="I260" s="116"/>
      <c r="L260" s="163">
        <v>42382</v>
      </c>
      <c r="M260" s="116">
        <v>252.33</v>
      </c>
      <c r="N260" s="116">
        <v>264</v>
      </c>
      <c r="O260" s="116">
        <v>245.21</v>
      </c>
      <c r="P260" s="116">
        <v>262.54000000000002</v>
      </c>
      <c r="Q260" s="116">
        <v>1261.6500000000001</v>
      </c>
      <c r="R260">
        <v>322505</v>
      </c>
    </row>
    <row r="261" spans="1:18" x14ac:dyDescent="0.25">
      <c r="A261" s="163">
        <v>42383</v>
      </c>
      <c r="B261" s="116">
        <v>251</v>
      </c>
      <c r="C261" s="116">
        <v>246.58</v>
      </c>
      <c r="D261" s="116">
        <v>244.36</v>
      </c>
      <c r="E261" s="116">
        <v>250</v>
      </c>
      <c r="F261" s="116">
        <v>1232.9000000000001</v>
      </c>
      <c r="G261">
        <v>10786</v>
      </c>
      <c r="H261" s="116"/>
      <c r="I261" s="116"/>
      <c r="L261" s="163">
        <v>42383</v>
      </c>
      <c r="M261" s="116">
        <v>247</v>
      </c>
      <c r="N261" s="116">
        <v>251</v>
      </c>
      <c r="O261" s="116">
        <v>244.2</v>
      </c>
      <c r="P261" s="116">
        <v>245.23</v>
      </c>
      <c r="Q261" s="116">
        <v>1235</v>
      </c>
      <c r="R261">
        <v>148531</v>
      </c>
    </row>
    <row r="262" spans="1:18" x14ac:dyDescent="0.25">
      <c r="A262" s="163">
        <v>42384</v>
      </c>
      <c r="B262" s="116">
        <v>249.47</v>
      </c>
      <c r="C262" s="116">
        <v>241.84</v>
      </c>
      <c r="D262" s="116">
        <v>240.42</v>
      </c>
      <c r="E262" s="116">
        <v>246.82</v>
      </c>
      <c r="F262" s="116">
        <v>1209.2</v>
      </c>
      <c r="G262">
        <v>14844</v>
      </c>
      <c r="H262" s="116"/>
      <c r="I262" s="116"/>
      <c r="L262" s="163">
        <v>42384</v>
      </c>
      <c r="M262" s="116">
        <v>242.64</v>
      </c>
      <c r="N262" s="116">
        <v>249.73</v>
      </c>
      <c r="O262" s="116">
        <v>240.83</v>
      </c>
      <c r="P262" s="116">
        <v>246.6</v>
      </c>
      <c r="Q262" s="116">
        <v>1213.2</v>
      </c>
      <c r="R262">
        <v>137870</v>
      </c>
    </row>
    <row r="263" spans="1:18" x14ac:dyDescent="0.25">
      <c r="A263" s="163">
        <v>42387</v>
      </c>
      <c r="B263" s="116">
        <v>244.58</v>
      </c>
      <c r="C263" s="116">
        <v>228.37</v>
      </c>
      <c r="D263" s="116">
        <v>227.22</v>
      </c>
      <c r="E263" s="116">
        <v>242</v>
      </c>
      <c r="F263" s="116">
        <v>1141.8499999999999</v>
      </c>
      <c r="G263">
        <v>17898</v>
      </c>
      <c r="H263" s="116"/>
      <c r="I263" s="116"/>
      <c r="L263" s="163">
        <v>42387</v>
      </c>
      <c r="M263" s="116">
        <v>228.44</v>
      </c>
      <c r="N263" s="116">
        <v>245.16</v>
      </c>
      <c r="O263" s="116">
        <v>226.46</v>
      </c>
      <c r="P263" s="116">
        <v>242.1</v>
      </c>
      <c r="Q263" s="116">
        <v>1142.2</v>
      </c>
      <c r="R263">
        <v>238159</v>
      </c>
    </row>
    <row r="264" spans="1:18" x14ac:dyDescent="0.25">
      <c r="A264" s="163">
        <v>42388</v>
      </c>
      <c r="B264" s="116">
        <v>233.59</v>
      </c>
      <c r="C264" s="116">
        <v>229.2</v>
      </c>
      <c r="D264" s="116">
        <v>220.46</v>
      </c>
      <c r="E264" s="116">
        <v>226</v>
      </c>
      <c r="F264" s="116">
        <v>1146</v>
      </c>
      <c r="G264">
        <v>22433</v>
      </c>
      <c r="H264" s="116"/>
      <c r="I264" s="116"/>
      <c r="L264" s="163">
        <v>42388</v>
      </c>
      <c r="M264" s="116">
        <v>226.95</v>
      </c>
      <c r="N264" s="116">
        <v>231</v>
      </c>
      <c r="O264" s="116">
        <v>221.4</v>
      </c>
      <c r="P264" s="116">
        <v>226.4</v>
      </c>
      <c r="Q264" s="116">
        <v>1134.75</v>
      </c>
      <c r="R264">
        <v>152962</v>
      </c>
    </row>
    <row r="265" spans="1:18" x14ac:dyDescent="0.25">
      <c r="A265" s="163">
        <v>42389</v>
      </c>
      <c r="B265" s="116">
        <v>227</v>
      </c>
      <c r="C265" s="116">
        <v>221.05</v>
      </c>
      <c r="D265" s="116">
        <v>217.22</v>
      </c>
      <c r="E265" s="116">
        <v>227</v>
      </c>
      <c r="F265" s="116">
        <v>1105.25</v>
      </c>
      <c r="G265">
        <v>13276</v>
      </c>
      <c r="H265" s="116"/>
      <c r="I265" s="116"/>
      <c r="L265" s="163">
        <v>42389</v>
      </c>
      <c r="M265" s="116">
        <v>220.93</v>
      </c>
      <c r="N265" s="116">
        <v>226</v>
      </c>
      <c r="O265" s="116">
        <v>217.36</v>
      </c>
      <c r="P265" s="116">
        <v>224.4</v>
      </c>
      <c r="Q265" s="116">
        <v>1104.6500000000001</v>
      </c>
      <c r="R265">
        <v>162181</v>
      </c>
    </row>
    <row r="266" spans="1:18" x14ac:dyDescent="0.25">
      <c r="A266" s="163">
        <v>42390</v>
      </c>
      <c r="B266" s="116">
        <v>227.41</v>
      </c>
      <c r="C266" s="116">
        <v>222.9</v>
      </c>
      <c r="D266" s="116">
        <v>217.08</v>
      </c>
      <c r="E266" s="116">
        <v>223</v>
      </c>
      <c r="F266" s="116">
        <v>1114.5</v>
      </c>
      <c r="G266">
        <v>11357</v>
      </c>
      <c r="H266" s="116"/>
      <c r="I266" s="116"/>
      <c r="L266" s="163">
        <v>42390</v>
      </c>
      <c r="M266" s="116">
        <v>223.02</v>
      </c>
      <c r="N266" s="116">
        <v>227.19</v>
      </c>
      <c r="O266" s="116">
        <v>217.02</v>
      </c>
      <c r="P266" s="116">
        <v>222.8</v>
      </c>
      <c r="Q266" s="116">
        <v>1115.0999999999999</v>
      </c>
      <c r="R266">
        <v>144317</v>
      </c>
    </row>
    <row r="267" spans="1:18" x14ac:dyDescent="0.25">
      <c r="A267" s="163">
        <v>42391</v>
      </c>
      <c r="B267" s="116">
        <v>230.56</v>
      </c>
      <c r="C267" s="116">
        <v>226.86</v>
      </c>
      <c r="D267" s="116">
        <v>223.31</v>
      </c>
      <c r="E267" s="116">
        <v>224.4</v>
      </c>
      <c r="F267" s="116">
        <v>1134.3</v>
      </c>
      <c r="G267">
        <v>12191</v>
      </c>
      <c r="H267" s="116"/>
      <c r="I267" s="116"/>
      <c r="L267" s="163">
        <v>42391</v>
      </c>
      <c r="M267" s="116">
        <v>227.02</v>
      </c>
      <c r="N267" s="116">
        <v>230.85</v>
      </c>
      <c r="O267" s="116">
        <v>223.45</v>
      </c>
      <c r="P267" s="116">
        <v>223.8</v>
      </c>
      <c r="Q267" s="116">
        <v>1135.0999999999999</v>
      </c>
      <c r="R267">
        <v>145645</v>
      </c>
    </row>
    <row r="268" spans="1:18" x14ac:dyDescent="0.25">
      <c r="A268" s="163">
        <v>42394</v>
      </c>
      <c r="B268" s="116">
        <v>232.8</v>
      </c>
      <c r="C268" s="116">
        <v>225.7</v>
      </c>
      <c r="D268" s="116">
        <v>224.95</v>
      </c>
      <c r="E268" s="116">
        <v>229.65</v>
      </c>
      <c r="F268" s="116">
        <v>1128.5</v>
      </c>
      <c r="G268">
        <v>6774</v>
      </c>
      <c r="H268" s="116"/>
      <c r="I268" s="116"/>
      <c r="L268" s="163">
        <v>42394</v>
      </c>
      <c r="M268" s="116">
        <v>225.61</v>
      </c>
      <c r="N268" s="116">
        <v>232.99</v>
      </c>
      <c r="O268" s="116">
        <v>224.71</v>
      </c>
      <c r="P268" s="116">
        <v>228</v>
      </c>
      <c r="Q268" s="116">
        <v>1128.05</v>
      </c>
      <c r="R268">
        <v>118804</v>
      </c>
    </row>
    <row r="269" spans="1:18" x14ac:dyDescent="0.25">
      <c r="A269" s="163">
        <v>42396</v>
      </c>
      <c r="B269" s="116">
        <v>227.39</v>
      </c>
      <c r="C269" s="116">
        <v>222.21</v>
      </c>
      <c r="D269" s="116">
        <v>220.23</v>
      </c>
      <c r="E269" s="116">
        <v>226.56</v>
      </c>
      <c r="F269" s="116">
        <v>1111.05</v>
      </c>
      <c r="G269">
        <v>8792</v>
      </c>
      <c r="H269" s="116"/>
      <c r="I269" s="116"/>
      <c r="L269" s="163">
        <v>42396</v>
      </c>
      <c r="M269" s="116">
        <v>222.23</v>
      </c>
      <c r="N269" s="116">
        <v>227.8</v>
      </c>
      <c r="O269" s="116">
        <v>220.21</v>
      </c>
      <c r="P269" s="116">
        <v>227</v>
      </c>
      <c r="Q269" s="116">
        <v>1111.1500000000001</v>
      </c>
      <c r="R269">
        <v>123513</v>
      </c>
    </row>
    <row r="270" spans="1:18" x14ac:dyDescent="0.25">
      <c r="A270" s="163">
        <v>42397</v>
      </c>
      <c r="B270" s="116">
        <v>228.75</v>
      </c>
      <c r="C270" s="116">
        <v>227.24</v>
      </c>
      <c r="D270" s="116">
        <v>217.4</v>
      </c>
      <c r="E270" s="116">
        <v>220.8</v>
      </c>
      <c r="F270" s="116">
        <v>1136.2</v>
      </c>
      <c r="G270">
        <v>14150</v>
      </c>
      <c r="H270" s="116"/>
      <c r="I270" s="116"/>
      <c r="L270" s="163">
        <v>42397</v>
      </c>
      <c r="M270" s="116">
        <v>227.28</v>
      </c>
      <c r="N270" s="116">
        <v>228.79</v>
      </c>
      <c r="O270" s="116">
        <v>217.27</v>
      </c>
      <c r="P270" s="116">
        <v>223</v>
      </c>
      <c r="Q270" s="116">
        <v>1136.4000000000001</v>
      </c>
      <c r="R270">
        <v>349051</v>
      </c>
    </row>
    <row r="271" spans="1:18" x14ac:dyDescent="0.25">
      <c r="A271" s="163">
        <v>42398</v>
      </c>
      <c r="B271" s="116">
        <v>234.97</v>
      </c>
      <c r="C271" s="116">
        <v>233.28</v>
      </c>
      <c r="D271" s="116">
        <v>223.36</v>
      </c>
      <c r="E271" s="116">
        <v>227.28</v>
      </c>
      <c r="F271" s="116">
        <v>1166.4000000000001</v>
      </c>
      <c r="G271">
        <v>13576</v>
      </c>
      <c r="H271" s="116"/>
      <c r="I271" s="116"/>
      <c r="L271" s="163">
        <v>42398</v>
      </c>
      <c r="M271" s="116">
        <v>233.31</v>
      </c>
      <c r="N271" s="116">
        <v>234.8</v>
      </c>
      <c r="O271" s="116">
        <v>223.21</v>
      </c>
      <c r="P271" s="116">
        <v>228.8</v>
      </c>
      <c r="Q271" s="116">
        <v>1166.55</v>
      </c>
      <c r="R271">
        <v>136017</v>
      </c>
    </row>
    <row r="272" spans="1:18" x14ac:dyDescent="0.25">
      <c r="A272" s="163">
        <v>42401</v>
      </c>
      <c r="B272" s="116">
        <v>237.26</v>
      </c>
      <c r="C272" s="116">
        <v>233.28</v>
      </c>
      <c r="D272" s="116">
        <v>231.07</v>
      </c>
      <c r="E272" s="116">
        <v>232.75</v>
      </c>
      <c r="F272" s="116">
        <v>1166.4000000000001</v>
      </c>
      <c r="G272">
        <v>13249</v>
      </c>
      <c r="H272" s="116"/>
      <c r="I272" s="116"/>
      <c r="L272" s="163">
        <v>42401</v>
      </c>
      <c r="M272" s="116">
        <v>232.87</v>
      </c>
      <c r="N272" s="116">
        <v>237.11</v>
      </c>
      <c r="O272" s="116">
        <v>231</v>
      </c>
      <c r="P272" s="116">
        <v>233.31</v>
      </c>
      <c r="Q272" s="116">
        <v>1164.3499999999999</v>
      </c>
      <c r="R272">
        <v>97328</v>
      </c>
    </row>
    <row r="273" spans="1:18" x14ac:dyDescent="0.25">
      <c r="A273" s="163">
        <v>42402</v>
      </c>
      <c r="B273" s="116">
        <v>236.25</v>
      </c>
      <c r="C273" s="116">
        <v>230.07</v>
      </c>
      <c r="D273" s="116">
        <v>228.87</v>
      </c>
      <c r="E273" s="116">
        <v>231</v>
      </c>
      <c r="F273" s="116">
        <v>1150.3499999999999</v>
      </c>
      <c r="G273">
        <v>13307</v>
      </c>
      <c r="H273" s="116"/>
      <c r="I273" s="116"/>
      <c r="L273" s="163">
        <v>42402</v>
      </c>
      <c r="M273" s="116">
        <v>230.01</v>
      </c>
      <c r="N273" s="116">
        <v>236.4</v>
      </c>
      <c r="O273" s="116">
        <v>228.51</v>
      </c>
      <c r="P273" s="116">
        <v>231</v>
      </c>
      <c r="Q273" s="116">
        <v>1150.05</v>
      </c>
      <c r="R273">
        <v>90007</v>
      </c>
    </row>
    <row r="274" spans="1:18" x14ac:dyDescent="0.25">
      <c r="A274" s="163">
        <v>42403</v>
      </c>
      <c r="B274" s="116">
        <v>231</v>
      </c>
      <c r="C274" s="116">
        <v>219.88</v>
      </c>
      <c r="D274" s="116">
        <v>218.4</v>
      </c>
      <c r="E274" s="116">
        <v>231</v>
      </c>
      <c r="F274" s="116">
        <v>1099.4000000000001</v>
      </c>
      <c r="G274">
        <v>14730</v>
      </c>
      <c r="H274" s="116"/>
      <c r="I274" s="116"/>
      <c r="L274" s="163">
        <v>42403</v>
      </c>
      <c r="M274" s="116">
        <v>220.12</v>
      </c>
      <c r="N274" s="116">
        <v>228.6</v>
      </c>
      <c r="O274" s="116">
        <v>218.62</v>
      </c>
      <c r="P274" s="116">
        <v>227.6</v>
      </c>
      <c r="Q274" s="116">
        <v>1100.5999999999999</v>
      </c>
      <c r="R274">
        <v>126437</v>
      </c>
    </row>
    <row r="275" spans="1:18" x14ac:dyDescent="0.25">
      <c r="A275" s="163">
        <v>42404</v>
      </c>
      <c r="B275" s="116">
        <v>226.4</v>
      </c>
      <c r="C275" s="116">
        <v>218.41</v>
      </c>
      <c r="D275" s="116">
        <v>215</v>
      </c>
      <c r="E275" s="116">
        <v>219.8</v>
      </c>
      <c r="F275" s="116">
        <v>1092.05</v>
      </c>
      <c r="G275">
        <v>14221</v>
      </c>
      <c r="H275" s="116"/>
      <c r="I275" s="116"/>
      <c r="L275" s="163">
        <v>42404</v>
      </c>
      <c r="M275" s="116">
        <v>218.14</v>
      </c>
      <c r="N275" s="116">
        <v>226.76</v>
      </c>
      <c r="O275" s="116">
        <v>214.65</v>
      </c>
      <c r="P275" s="116">
        <v>220.8</v>
      </c>
      <c r="Q275" s="116">
        <v>1090.7</v>
      </c>
      <c r="R275">
        <v>126665</v>
      </c>
    </row>
    <row r="276" spans="1:18" x14ac:dyDescent="0.25">
      <c r="A276" s="163">
        <v>42405</v>
      </c>
      <c r="B276" s="116">
        <v>228.28</v>
      </c>
      <c r="C276" s="116">
        <v>227.14</v>
      </c>
      <c r="D276" s="116">
        <v>216.67</v>
      </c>
      <c r="E276" s="116">
        <v>220</v>
      </c>
      <c r="F276" s="116">
        <v>1135.7</v>
      </c>
      <c r="G276">
        <v>13492</v>
      </c>
      <c r="H276" s="116"/>
      <c r="I276" s="116"/>
      <c r="L276" s="163">
        <v>42405</v>
      </c>
      <c r="M276" s="116">
        <v>227.79</v>
      </c>
      <c r="N276" s="116">
        <v>228.6</v>
      </c>
      <c r="O276" s="116">
        <v>216.2</v>
      </c>
      <c r="P276" s="116">
        <v>219.04</v>
      </c>
      <c r="Q276" s="116">
        <v>1138.95</v>
      </c>
      <c r="R276">
        <v>164045</v>
      </c>
    </row>
    <row r="277" spans="1:18" x14ac:dyDescent="0.25">
      <c r="A277" s="163">
        <v>42408</v>
      </c>
      <c r="B277" s="116">
        <v>232.2</v>
      </c>
      <c r="C277" s="116">
        <v>226.71</v>
      </c>
      <c r="D277" s="116">
        <v>224.02</v>
      </c>
      <c r="E277" s="116">
        <v>224.91</v>
      </c>
      <c r="F277" s="116">
        <v>1133.55</v>
      </c>
      <c r="G277">
        <v>19030</v>
      </c>
      <c r="H277" s="116"/>
      <c r="I277" s="116"/>
      <c r="L277" s="163">
        <v>42408</v>
      </c>
      <c r="M277" s="116">
        <v>227.18</v>
      </c>
      <c r="N277" s="116">
        <v>232.4</v>
      </c>
      <c r="O277" s="116">
        <v>223.86</v>
      </c>
      <c r="P277" s="116">
        <v>227.2</v>
      </c>
      <c r="Q277" s="116">
        <v>1135.9000000000001</v>
      </c>
      <c r="R277">
        <v>127036</v>
      </c>
    </row>
    <row r="278" spans="1:18" x14ac:dyDescent="0.25">
      <c r="A278" s="163">
        <v>42409</v>
      </c>
      <c r="B278" s="116">
        <v>234</v>
      </c>
      <c r="C278" s="116">
        <v>231.33</v>
      </c>
      <c r="D278" s="116">
        <v>223.61</v>
      </c>
      <c r="E278" s="116">
        <v>227.4</v>
      </c>
      <c r="F278" s="116">
        <v>1156.6500000000001</v>
      </c>
      <c r="G278">
        <v>31022</v>
      </c>
      <c r="H278" s="116"/>
      <c r="I278" s="116"/>
      <c r="L278" s="163">
        <v>42409</v>
      </c>
      <c r="M278" s="116">
        <v>231.8</v>
      </c>
      <c r="N278" s="116">
        <v>234.21</v>
      </c>
      <c r="O278" s="116">
        <v>216</v>
      </c>
      <c r="P278" s="116">
        <v>226.58</v>
      </c>
      <c r="Q278" s="116">
        <v>1159</v>
      </c>
      <c r="R278">
        <v>239260</v>
      </c>
    </row>
    <row r="279" spans="1:18" x14ac:dyDescent="0.25">
      <c r="A279" s="163">
        <v>42410</v>
      </c>
      <c r="B279" s="116">
        <v>235.5</v>
      </c>
      <c r="C279" s="116">
        <v>230.75</v>
      </c>
      <c r="D279" s="116">
        <v>226</v>
      </c>
      <c r="E279" s="116">
        <v>230</v>
      </c>
      <c r="F279" s="116">
        <v>1153.75</v>
      </c>
      <c r="G279">
        <v>16820</v>
      </c>
      <c r="H279" s="116"/>
      <c r="I279" s="116"/>
      <c r="L279" s="163">
        <v>42410</v>
      </c>
      <c r="M279" s="116">
        <v>231.55</v>
      </c>
      <c r="N279" s="116">
        <v>235.86</v>
      </c>
      <c r="O279" s="116">
        <v>225.92</v>
      </c>
      <c r="P279" s="116">
        <v>231.8</v>
      </c>
      <c r="Q279" s="116">
        <v>1157.75</v>
      </c>
      <c r="R279">
        <v>209396</v>
      </c>
    </row>
    <row r="280" spans="1:18" x14ac:dyDescent="0.25">
      <c r="A280" s="163">
        <v>42411</v>
      </c>
      <c r="B280" s="116">
        <v>232.6</v>
      </c>
      <c r="C280" s="116">
        <v>224.77</v>
      </c>
      <c r="D280" s="116">
        <v>222.8</v>
      </c>
      <c r="E280" s="116">
        <v>231.05</v>
      </c>
      <c r="F280" s="116">
        <v>1123.8499999999999</v>
      </c>
      <c r="G280">
        <v>12937</v>
      </c>
      <c r="H280" s="116"/>
      <c r="I280" s="116"/>
      <c r="L280" s="163">
        <v>42411</v>
      </c>
      <c r="M280" s="116">
        <v>224.86</v>
      </c>
      <c r="N280" s="116">
        <v>232.46</v>
      </c>
      <c r="O280" s="116">
        <v>222.45</v>
      </c>
      <c r="P280" s="116">
        <v>230.2</v>
      </c>
      <c r="Q280" s="116">
        <v>1124.3</v>
      </c>
      <c r="R280">
        <v>176734</v>
      </c>
    </row>
    <row r="281" spans="1:18" x14ac:dyDescent="0.25">
      <c r="A281" s="163">
        <v>42412</v>
      </c>
      <c r="B281" s="116">
        <v>225.23</v>
      </c>
      <c r="C281" s="116">
        <v>218.32</v>
      </c>
      <c r="D281" s="116">
        <v>210.14</v>
      </c>
      <c r="E281" s="116">
        <v>225.22</v>
      </c>
      <c r="F281" s="116">
        <v>1091.5999999999999</v>
      </c>
      <c r="G281">
        <v>16340</v>
      </c>
      <c r="H281" s="116"/>
      <c r="I281" s="116"/>
      <c r="L281" s="163">
        <v>42412</v>
      </c>
      <c r="M281" s="116">
        <v>218.86</v>
      </c>
      <c r="N281" s="116">
        <v>226.37</v>
      </c>
      <c r="O281" s="116">
        <v>210.16</v>
      </c>
      <c r="P281" s="116">
        <v>224.8</v>
      </c>
      <c r="Q281" s="116">
        <v>1094.3</v>
      </c>
      <c r="R281">
        <v>108841</v>
      </c>
    </row>
    <row r="282" spans="1:18" x14ac:dyDescent="0.25">
      <c r="A282" s="163">
        <v>42415</v>
      </c>
      <c r="B282" s="116">
        <v>230.13</v>
      </c>
      <c r="C282" s="116">
        <v>228.07</v>
      </c>
      <c r="D282" s="116">
        <v>217</v>
      </c>
      <c r="E282" s="116">
        <v>217</v>
      </c>
      <c r="F282" s="116">
        <v>1140.3499999999999</v>
      </c>
      <c r="G282">
        <v>12254</v>
      </c>
      <c r="H282" s="116"/>
      <c r="I282" s="116"/>
      <c r="L282" s="163">
        <v>42415</v>
      </c>
      <c r="M282" s="116">
        <v>228.71</v>
      </c>
      <c r="N282" s="116">
        <v>230.37</v>
      </c>
      <c r="O282" s="116">
        <v>220</v>
      </c>
      <c r="P282" s="116">
        <v>220</v>
      </c>
      <c r="Q282" s="116">
        <v>1143.55</v>
      </c>
      <c r="R282">
        <v>197322</v>
      </c>
    </row>
    <row r="283" spans="1:18" x14ac:dyDescent="0.25">
      <c r="A283" s="163">
        <v>42416</v>
      </c>
      <c r="B283" s="116">
        <v>234</v>
      </c>
      <c r="C283" s="116">
        <v>216.64</v>
      </c>
      <c r="D283" s="116">
        <v>215.63</v>
      </c>
      <c r="E283" s="116">
        <v>228</v>
      </c>
      <c r="F283" s="116">
        <v>1083.2</v>
      </c>
      <c r="G283">
        <v>16400</v>
      </c>
      <c r="H283" s="116"/>
      <c r="I283" s="116"/>
      <c r="L283" s="163">
        <v>42416</v>
      </c>
      <c r="M283" s="116">
        <v>216.97</v>
      </c>
      <c r="N283" s="116">
        <v>230.78</v>
      </c>
      <c r="O283" s="116">
        <v>215.35</v>
      </c>
      <c r="P283" s="116">
        <v>228.01</v>
      </c>
      <c r="Q283" s="116">
        <v>1084.8499999999999</v>
      </c>
      <c r="R283">
        <v>110363</v>
      </c>
    </row>
    <row r="284" spans="1:18" x14ac:dyDescent="0.25">
      <c r="A284" s="163">
        <v>42417</v>
      </c>
      <c r="B284" s="116">
        <v>221.6</v>
      </c>
      <c r="C284" s="116">
        <v>219.42</v>
      </c>
      <c r="D284" s="116">
        <v>209.2</v>
      </c>
      <c r="E284" s="116">
        <v>216.8</v>
      </c>
      <c r="F284" s="116">
        <v>1097.0999999999999</v>
      </c>
      <c r="G284">
        <v>19983</v>
      </c>
      <c r="H284" s="116"/>
      <c r="I284" s="116"/>
      <c r="L284" s="163">
        <v>42417</v>
      </c>
      <c r="M284" s="116">
        <v>219.93</v>
      </c>
      <c r="N284" s="116">
        <v>222.63</v>
      </c>
      <c r="O284" s="116">
        <v>209.29</v>
      </c>
      <c r="P284" s="116">
        <v>217.6</v>
      </c>
      <c r="Q284" s="116">
        <v>1099.6500000000001</v>
      </c>
      <c r="R284">
        <v>218923</v>
      </c>
    </row>
    <row r="285" spans="1:18" x14ac:dyDescent="0.25">
      <c r="A285" s="163">
        <v>42418</v>
      </c>
      <c r="B285" s="116">
        <v>225.42</v>
      </c>
      <c r="C285" s="116">
        <v>219.11</v>
      </c>
      <c r="D285" s="116">
        <v>216.51</v>
      </c>
      <c r="E285" s="116">
        <v>221.11</v>
      </c>
      <c r="F285" s="116">
        <v>1095.55</v>
      </c>
      <c r="G285">
        <v>10250</v>
      </c>
      <c r="H285" s="116"/>
      <c r="I285" s="116"/>
      <c r="L285" s="163">
        <v>42418</v>
      </c>
      <c r="M285" s="116">
        <v>218.63</v>
      </c>
      <c r="N285" s="116">
        <v>225.53</v>
      </c>
      <c r="O285" s="116">
        <v>216.21</v>
      </c>
      <c r="P285" s="116">
        <v>222</v>
      </c>
      <c r="Q285" s="116">
        <v>1093.1500000000001</v>
      </c>
      <c r="R285">
        <v>82987</v>
      </c>
    </row>
    <row r="286" spans="1:18" x14ac:dyDescent="0.25">
      <c r="A286" s="163">
        <v>42419</v>
      </c>
      <c r="B286" s="116">
        <v>225.04</v>
      </c>
      <c r="C286" s="116">
        <v>221.89</v>
      </c>
      <c r="D286" s="116">
        <v>218.98</v>
      </c>
      <c r="E286" s="116">
        <v>220.53</v>
      </c>
      <c r="F286" s="116">
        <v>1109.45</v>
      </c>
      <c r="G286">
        <v>11857</v>
      </c>
      <c r="H286" s="116"/>
      <c r="I286" s="116"/>
      <c r="L286" s="163">
        <v>42419</v>
      </c>
      <c r="M286" s="116">
        <v>221.59</v>
      </c>
      <c r="N286" s="116">
        <v>225.28</v>
      </c>
      <c r="O286" s="116">
        <v>217.4</v>
      </c>
      <c r="P286" s="116">
        <v>219</v>
      </c>
      <c r="Q286" s="116">
        <v>1107.95</v>
      </c>
      <c r="R286">
        <v>99483</v>
      </c>
    </row>
    <row r="287" spans="1:18" x14ac:dyDescent="0.25">
      <c r="A287" s="163">
        <v>42422</v>
      </c>
      <c r="B287" s="116">
        <v>226</v>
      </c>
      <c r="C287" s="116">
        <v>218.37</v>
      </c>
      <c r="D287" s="116">
        <v>217.2</v>
      </c>
      <c r="E287" s="116">
        <v>226</v>
      </c>
      <c r="F287" s="116">
        <v>1091.8499999999999</v>
      </c>
      <c r="G287">
        <v>9428</v>
      </c>
      <c r="H287" s="116"/>
      <c r="I287" s="116"/>
      <c r="L287" s="163">
        <v>42422</v>
      </c>
      <c r="M287" s="116">
        <v>218.38</v>
      </c>
      <c r="N287" s="116">
        <v>224.04</v>
      </c>
      <c r="O287" s="116">
        <v>217.12</v>
      </c>
      <c r="P287" s="116">
        <v>222.2</v>
      </c>
      <c r="Q287" s="116">
        <v>1091.9000000000001</v>
      </c>
      <c r="R287">
        <v>68278</v>
      </c>
    </row>
    <row r="288" spans="1:18" x14ac:dyDescent="0.25">
      <c r="A288" s="163">
        <v>42423</v>
      </c>
      <c r="B288" s="116">
        <v>219.51</v>
      </c>
      <c r="C288" s="116">
        <v>215.43</v>
      </c>
      <c r="D288" s="116">
        <v>214.4</v>
      </c>
      <c r="E288" s="116">
        <v>218.81</v>
      </c>
      <c r="F288" s="116">
        <v>1077.1500000000001</v>
      </c>
      <c r="G288">
        <v>8644</v>
      </c>
      <c r="H288" s="116"/>
      <c r="I288" s="116"/>
      <c r="L288" s="163">
        <v>42423</v>
      </c>
      <c r="M288" s="116">
        <v>215.79</v>
      </c>
      <c r="N288" s="116">
        <v>220.59</v>
      </c>
      <c r="O288" s="116">
        <v>214.2</v>
      </c>
      <c r="P288" s="116">
        <v>218.5</v>
      </c>
      <c r="Q288" s="116">
        <v>1078.95</v>
      </c>
      <c r="R288">
        <v>119571</v>
      </c>
    </row>
    <row r="289" spans="1:18" x14ac:dyDescent="0.25">
      <c r="A289" s="163">
        <v>42424</v>
      </c>
      <c r="B289" s="116">
        <v>214.5</v>
      </c>
      <c r="C289" s="116">
        <v>209.75</v>
      </c>
      <c r="D289" s="116">
        <v>208.6</v>
      </c>
      <c r="E289" s="116">
        <v>214</v>
      </c>
      <c r="F289" s="116">
        <v>1048.75</v>
      </c>
      <c r="G289">
        <v>6574</v>
      </c>
      <c r="H289" s="116"/>
      <c r="I289" s="116"/>
      <c r="L289" s="163">
        <v>42424</v>
      </c>
      <c r="M289" s="116">
        <v>210.16</v>
      </c>
      <c r="N289" s="116">
        <v>215</v>
      </c>
      <c r="O289" s="116">
        <v>209.2</v>
      </c>
      <c r="P289" s="116">
        <v>214</v>
      </c>
      <c r="Q289" s="116">
        <v>1050.8</v>
      </c>
      <c r="R289">
        <v>77666</v>
      </c>
    </row>
    <row r="290" spans="1:18" x14ac:dyDescent="0.25">
      <c r="A290" s="163">
        <v>42425</v>
      </c>
      <c r="B290" s="116">
        <v>211.2</v>
      </c>
      <c r="C290" s="116">
        <v>207.31</v>
      </c>
      <c r="D290" s="116">
        <v>204.4</v>
      </c>
      <c r="E290" s="116">
        <v>210.4</v>
      </c>
      <c r="F290" s="116">
        <v>1036.55</v>
      </c>
      <c r="G290">
        <v>14089</v>
      </c>
      <c r="H290" s="116"/>
      <c r="I290" s="116"/>
      <c r="L290" s="163">
        <v>42425</v>
      </c>
      <c r="M290" s="116">
        <v>207.25</v>
      </c>
      <c r="N290" s="116">
        <v>212.03</v>
      </c>
      <c r="O290" s="116">
        <v>204.6</v>
      </c>
      <c r="P290" s="116">
        <v>212.03</v>
      </c>
      <c r="Q290" s="116">
        <v>1036.25</v>
      </c>
      <c r="R290">
        <v>314530</v>
      </c>
    </row>
    <row r="291" spans="1:18" x14ac:dyDescent="0.25">
      <c r="A291" s="163">
        <v>42426</v>
      </c>
      <c r="B291" s="116">
        <v>215.8</v>
      </c>
      <c r="C291" s="116">
        <v>209.73</v>
      </c>
      <c r="D291" s="116">
        <v>209.19</v>
      </c>
      <c r="E291" s="116">
        <v>215.8</v>
      </c>
      <c r="F291" s="116">
        <v>1048.6500000000001</v>
      </c>
      <c r="G291">
        <v>5941</v>
      </c>
      <c r="H291" s="116"/>
      <c r="I291" s="116"/>
      <c r="L291" s="163">
        <v>42426</v>
      </c>
      <c r="M291" s="116">
        <v>210.15</v>
      </c>
      <c r="N291" s="116">
        <v>213.4</v>
      </c>
      <c r="O291" s="116">
        <v>208.81</v>
      </c>
      <c r="P291" s="116">
        <v>209.72</v>
      </c>
      <c r="Q291" s="116">
        <v>1050.75</v>
      </c>
      <c r="R291">
        <v>87664</v>
      </c>
    </row>
    <row r="292" spans="1:18" x14ac:dyDescent="0.25">
      <c r="A292" s="163">
        <v>42429</v>
      </c>
      <c r="B292" s="116">
        <v>212.57</v>
      </c>
      <c r="C292" s="116">
        <v>211.28</v>
      </c>
      <c r="D292" s="116">
        <v>204.92</v>
      </c>
      <c r="E292" s="116">
        <v>210.41</v>
      </c>
      <c r="F292" s="116">
        <v>1056.4000000000001</v>
      </c>
      <c r="G292">
        <v>10958</v>
      </c>
      <c r="H292" s="116"/>
      <c r="I292" s="116"/>
      <c r="L292" s="163">
        <v>42429</v>
      </c>
      <c r="M292" s="116">
        <v>211.3</v>
      </c>
      <c r="N292" s="116">
        <v>212.4</v>
      </c>
      <c r="O292" s="116">
        <v>205.11</v>
      </c>
      <c r="P292" s="116">
        <v>211.4</v>
      </c>
      <c r="Q292" s="116">
        <v>1056.5</v>
      </c>
      <c r="R292">
        <v>151265</v>
      </c>
    </row>
    <row r="293" spans="1:18" x14ac:dyDescent="0.25">
      <c r="A293" s="163">
        <v>42430</v>
      </c>
      <c r="B293" s="116">
        <v>222</v>
      </c>
      <c r="C293" s="116">
        <v>221.1</v>
      </c>
      <c r="D293" s="116">
        <v>209.6</v>
      </c>
      <c r="E293" s="116">
        <v>210.45</v>
      </c>
      <c r="F293" s="116">
        <v>1105.5</v>
      </c>
      <c r="G293">
        <v>12557</v>
      </c>
      <c r="H293" s="116"/>
      <c r="I293" s="116"/>
      <c r="L293" s="163">
        <v>42430</v>
      </c>
      <c r="M293" s="116">
        <v>220.24</v>
      </c>
      <c r="N293" s="116">
        <v>221.98</v>
      </c>
      <c r="O293" s="116">
        <v>210.15</v>
      </c>
      <c r="P293" s="116">
        <v>211.4</v>
      </c>
      <c r="Q293" s="116">
        <v>1101.2</v>
      </c>
      <c r="R293">
        <v>86142</v>
      </c>
    </row>
    <row r="294" spans="1:18" x14ac:dyDescent="0.25">
      <c r="A294" s="163">
        <v>42431</v>
      </c>
      <c r="B294" s="116">
        <v>226.56</v>
      </c>
      <c r="C294" s="116">
        <v>221.17</v>
      </c>
      <c r="D294" s="116">
        <v>219.54</v>
      </c>
      <c r="E294" s="116">
        <v>224</v>
      </c>
      <c r="F294" s="116">
        <v>1105.8499999999999</v>
      </c>
      <c r="G294">
        <v>10964</v>
      </c>
      <c r="H294" s="116"/>
      <c r="I294" s="116"/>
      <c r="L294" s="163">
        <v>42431</v>
      </c>
      <c r="M294" s="116">
        <v>221.02</v>
      </c>
      <c r="N294" s="116">
        <v>226.6</v>
      </c>
      <c r="O294" s="116">
        <v>219.65</v>
      </c>
      <c r="P294" s="116">
        <v>223.24</v>
      </c>
      <c r="Q294" s="116">
        <v>1105.0999999999999</v>
      </c>
      <c r="R294">
        <v>209621</v>
      </c>
    </row>
    <row r="295" spans="1:18" x14ac:dyDescent="0.25">
      <c r="A295" s="163">
        <v>42432</v>
      </c>
      <c r="B295" s="116">
        <v>231.4</v>
      </c>
      <c r="C295" s="116">
        <v>229.77</v>
      </c>
      <c r="D295" s="116">
        <v>221.2</v>
      </c>
      <c r="E295" s="116">
        <v>222.25</v>
      </c>
      <c r="F295" s="116">
        <v>1148.8499999999999</v>
      </c>
      <c r="G295">
        <v>9692</v>
      </c>
      <c r="H295" s="116"/>
      <c r="I295" s="116"/>
      <c r="L295" s="163">
        <v>42432</v>
      </c>
      <c r="M295" s="116">
        <v>229.61</v>
      </c>
      <c r="N295" s="116">
        <v>230.98</v>
      </c>
      <c r="O295" s="116">
        <v>220.71</v>
      </c>
      <c r="P295" s="116">
        <v>222</v>
      </c>
      <c r="Q295" s="116">
        <v>1148.05</v>
      </c>
      <c r="R295">
        <v>120331</v>
      </c>
    </row>
    <row r="296" spans="1:18" x14ac:dyDescent="0.25">
      <c r="A296" s="163">
        <v>42433</v>
      </c>
      <c r="B296" s="116">
        <v>242.9</v>
      </c>
      <c r="C296" s="116">
        <v>241.56</v>
      </c>
      <c r="D296" s="116">
        <v>231</v>
      </c>
      <c r="E296" s="116">
        <v>231</v>
      </c>
      <c r="F296" s="116">
        <v>1207.8</v>
      </c>
      <c r="G296">
        <v>32726</v>
      </c>
      <c r="H296" s="116"/>
      <c r="I296" s="116"/>
      <c r="L296" s="163">
        <v>42433</v>
      </c>
      <c r="M296" s="116">
        <v>241.5</v>
      </c>
      <c r="N296" s="116">
        <v>243.24</v>
      </c>
      <c r="O296" s="116">
        <v>231.6</v>
      </c>
      <c r="P296" s="116">
        <v>232.38</v>
      </c>
      <c r="Q296" s="116">
        <v>1207.5</v>
      </c>
      <c r="R296">
        <v>233204</v>
      </c>
    </row>
    <row r="297" spans="1:18" x14ac:dyDescent="0.25">
      <c r="A297" s="163">
        <v>42437</v>
      </c>
      <c r="B297" s="116">
        <v>244.01</v>
      </c>
      <c r="C297" s="116">
        <v>235.59</v>
      </c>
      <c r="D297" s="116">
        <v>234.39</v>
      </c>
      <c r="E297" s="116">
        <v>242</v>
      </c>
      <c r="F297" s="116">
        <v>1177.95</v>
      </c>
      <c r="G297">
        <v>12750</v>
      </c>
      <c r="H297" s="116"/>
      <c r="I297" s="116"/>
      <c r="L297" s="163">
        <v>42437</v>
      </c>
      <c r="M297" s="116">
        <v>236.54</v>
      </c>
      <c r="N297" s="116">
        <v>244</v>
      </c>
      <c r="O297" s="116">
        <v>235.27</v>
      </c>
      <c r="P297" s="116">
        <v>242.4</v>
      </c>
      <c r="Q297" s="116">
        <v>1182.7</v>
      </c>
      <c r="R297">
        <v>109064</v>
      </c>
    </row>
    <row r="298" spans="1:18" x14ac:dyDescent="0.25">
      <c r="A298" s="163">
        <v>42438</v>
      </c>
      <c r="B298" s="116">
        <v>241</v>
      </c>
      <c r="C298" s="116">
        <v>239.31</v>
      </c>
      <c r="D298" s="116">
        <v>231.65</v>
      </c>
      <c r="E298" s="116">
        <v>236.2</v>
      </c>
      <c r="F298" s="116">
        <v>1196.55</v>
      </c>
      <c r="G298">
        <v>9263</v>
      </c>
      <c r="H298" s="116"/>
      <c r="I298" s="116"/>
      <c r="L298" s="163">
        <v>42438</v>
      </c>
      <c r="M298" s="116">
        <v>239.27</v>
      </c>
      <c r="N298" s="116">
        <v>240.89</v>
      </c>
      <c r="O298" s="116">
        <v>231.61</v>
      </c>
      <c r="P298" s="116">
        <v>235.4</v>
      </c>
      <c r="Q298" s="116">
        <v>1196.3499999999999</v>
      </c>
      <c r="R298">
        <v>157254</v>
      </c>
    </row>
    <row r="299" spans="1:18" x14ac:dyDescent="0.25">
      <c r="A299" s="163">
        <v>42439</v>
      </c>
      <c r="B299" s="116">
        <v>241.05</v>
      </c>
      <c r="C299" s="116">
        <v>236.8</v>
      </c>
      <c r="D299" s="116">
        <v>235.11</v>
      </c>
      <c r="E299" s="116">
        <v>240.8</v>
      </c>
      <c r="F299" s="116">
        <v>1184</v>
      </c>
      <c r="G299">
        <v>8300</v>
      </c>
      <c r="H299" s="116"/>
      <c r="I299" s="116"/>
      <c r="L299" s="163">
        <v>42439</v>
      </c>
      <c r="M299" s="116">
        <v>236.25</v>
      </c>
      <c r="N299" s="116">
        <v>241.59</v>
      </c>
      <c r="O299" s="116">
        <v>235.27</v>
      </c>
      <c r="P299" s="116">
        <v>238.88</v>
      </c>
      <c r="Q299" s="116">
        <v>1181.25</v>
      </c>
      <c r="R299">
        <v>109383</v>
      </c>
    </row>
    <row r="300" spans="1:18" x14ac:dyDescent="0.25">
      <c r="A300" s="163">
        <v>42440</v>
      </c>
      <c r="B300" s="116">
        <v>238.83</v>
      </c>
      <c r="C300" s="116">
        <v>234.87</v>
      </c>
      <c r="D300" s="116">
        <v>233.71</v>
      </c>
      <c r="E300" s="116">
        <v>236.71</v>
      </c>
      <c r="F300" s="116">
        <v>1174.3499999999999</v>
      </c>
      <c r="G300">
        <v>8126</v>
      </c>
      <c r="H300" s="116"/>
      <c r="I300" s="116"/>
      <c r="L300" s="163">
        <v>42440</v>
      </c>
      <c r="M300" s="116">
        <v>235.85</v>
      </c>
      <c r="N300" s="116">
        <v>239.08</v>
      </c>
      <c r="O300" s="116">
        <v>234</v>
      </c>
      <c r="P300" s="116">
        <v>237.59</v>
      </c>
      <c r="Q300" s="116">
        <v>1179.25</v>
      </c>
      <c r="R300">
        <v>90017</v>
      </c>
    </row>
    <row r="301" spans="1:18" x14ac:dyDescent="0.25">
      <c r="A301" s="163">
        <v>42443</v>
      </c>
      <c r="B301" s="116">
        <v>241.8</v>
      </c>
      <c r="C301" s="116">
        <v>239.6</v>
      </c>
      <c r="D301" s="116">
        <v>235</v>
      </c>
      <c r="E301" s="116">
        <v>236.62</v>
      </c>
      <c r="F301" s="116">
        <v>1198</v>
      </c>
      <c r="G301">
        <v>30553</v>
      </c>
      <c r="H301" s="116"/>
      <c r="I301" s="116"/>
      <c r="L301" s="163">
        <v>42443</v>
      </c>
      <c r="M301" s="116">
        <v>238.64</v>
      </c>
      <c r="N301" s="116">
        <v>241</v>
      </c>
      <c r="O301" s="116">
        <v>234.04</v>
      </c>
      <c r="P301" s="116">
        <v>237.02</v>
      </c>
      <c r="Q301" s="116">
        <v>1193.2</v>
      </c>
      <c r="R301">
        <v>64975</v>
      </c>
    </row>
    <row r="302" spans="1:18" x14ac:dyDescent="0.25">
      <c r="A302" s="163">
        <v>42444</v>
      </c>
      <c r="B302" s="116">
        <v>247</v>
      </c>
      <c r="C302" s="116">
        <v>240.98</v>
      </c>
      <c r="D302" s="116">
        <v>237.41</v>
      </c>
      <c r="E302" s="116">
        <v>239</v>
      </c>
      <c r="F302" s="116">
        <v>1204.9000000000001</v>
      </c>
      <c r="G302">
        <v>20042</v>
      </c>
      <c r="H302" s="116"/>
      <c r="I302" s="116"/>
      <c r="L302" s="163">
        <v>42444</v>
      </c>
      <c r="M302" s="116">
        <v>240.53</v>
      </c>
      <c r="N302" s="116">
        <v>247.2</v>
      </c>
      <c r="O302" s="116">
        <v>237.4</v>
      </c>
      <c r="P302" s="116">
        <v>240</v>
      </c>
      <c r="Q302" s="116">
        <v>1202.6500000000001</v>
      </c>
      <c r="R302">
        <v>324657</v>
      </c>
    </row>
    <row r="303" spans="1:18" x14ac:dyDescent="0.25">
      <c r="A303" s="163">
        <v>42445</v>
      </c>
      <c r="B303" s="116">
        <v>243.11</v>
      </c>
      <c r="C303" s="116">
        <v>240.34</v>
      </c>
      <c r="D303" s="116">
        <v>234.72</v>
      </c>
      <c r="E303" s="116">
        <v>241.6</v>
      </c>
      <c r="F303" s="116">
        <v>1201.7</v>
      </c>
      <c r="G303">
        <v>16568</v>
      </c>
      <c r="H303" s="116"/>
      <c r="I303" s="116"/>
      <c r="L303" s="163">
        <v>42445</v>
      </c>
      <c r="M303" s="116">
        <v>240.34</v>
      </c>
      <c r="N303" s="116">
        <v>243.19</v>
      </c>
      <c r="O303" s="116">
        <v>234</v>
      </c>
      <c r="P303" s="116">
        <v>241.98</v>
      </c>
      <c r="Q303" s="116">
        <v>1201.7</v>
      </c>
      <c r="R303">
        <v>154258</v>
      </c>
    </row>
    <row r="304" spans="1:18" x14ac:dyDescent="0.25">
      <c r="A304" s="163">
        <v>42446</v>
      </c>
      <c r="B304" s="116">
        <v>244.48</v>
      </c>
      <c r="C304" s="116">
        <v>238.29</v>
      </c>
      <c r="D304" s="116">
        <v>236.86</v>
      </c>
      <c r="E304" s="116">
        <v>242</v>
      </c>
      <c r="F304" s="116">
        <v>1191.45</v>
      </c>
      <c r="G304">
        <v>7345</v>
      </c>
      <c r="H304" s="116"/>
      <c r="I304" s="116"/>
      <c r="L304" s="163">
        <v>42446</v>
      </c>
      <c r="M304" s="116">
        <v>238.73</v>
      </c>
      <c r="N304" s="116">
        <v>244.96</v>
      </c>
      <c r="O304" s="116">
        <v>237.28</v>
      </c>
      <c r="P304" s="116">
        <v>242.02</v>
      </c>
      <c r="Q304" s="116">
        <v>1193.6500000000001</v>
      </c>
      <c r="R304">
        <v>114629</v>
      </c>
    </row>
    <row r="305" spans="1:18" x14ac:dyDescent="0.25">
      <c r="A305" s="163">
        <v>42447</v>
      </c>
      <c r="B305" s="116">
        <v>244.2</v>
      </c>
      <c r="C305" s="116">
        <v>241.72</v>
      </c>
      <c r="D305" s="116">
        <v>237.38</v>
      </c>
      <c r="E305" s="116">
        <v>241.4</v>
      </c>
      <c r="F305" s="116">
        <v>1208.5999999999999</v>
      </c>
      <c r="G305">
        <v>64643</v>
      </c>
      <c r="H305" s="116"/>
      <c r="I305" s="116"/>
      <c r="L305" s="163">
        <v>42447</v>
      </c>
      <c r="M305" s="116">
        <v>241.73</v>
      </c>
      <c r="N305" s="116">
        <v>243.45</v>
      </c>
      <c r="O305" s="116">
        <v>237.59</v>
      </c>
      <c r="P305" s="116">
        <v>240.83</v>
      </c>
      <c r="Q305" s="116">
        <v>1208.6500000000001</v>
      </c>
      <c r="R305">
        <v>106221</v>
      </c>
    </row>
    <row r="306" spans="1:18" x14ac:dyDescent="0.25">
      <c r="A306" s="163">
        <v>42450</v>
      </c>
      <c r="B306" s="116">
        <v>246.28</v>
      </c>
      <c r="C306" s="116">
        <v>244.93</v>
      </c>
      <c r="D306" s="116">
        <v>241.63</v>
      </c>
      <c r="E306" s="116">
        <v>243</v>
      </c>
      <c r="F306" s="116">
        <v>1224.6500000000001</v>
      </c>
      <c r="G306">
        <v>19150</v>
      </c>
      <c r="H306" s="116"/>
      <c r="I306" s="116"/>
      <c r="L306" s="163">
        <v>42450</v>
      </c>
      <c r="M306" s="116">
        <v>245.11</v>
      </c>
      <c r="N306" s="116">
        <v>246.5</v>
      </c>
      <c r="O306" s="116">
        <v>241.23</v>
      </c>
      <c r="P306" s="116">
        <v>241.23</v>
      </c>
      <c r="Q306" s="116">
        <v>1225.55</v>
      </c>
      <c r="R306">
        <v>194898</v>
      </c>
    </row>
    <row r="307" spans="1:18" x14ac:dyDescent="0.25">
      <c r="A307" s="163">
        <v>42451</v>
      </c>
      <c r="B307" s="116">
        <v>246.69</v>
      </c>
      <c r="C307" s="116">
        <v>245.45</v>
      </c>
      <c r="D307" s="116">
        <v>240.7</v>
      </c>
      <c r="E307" s="116">
        <v>245</v>
      </c>
      <c r="F307" s="116">
        <v>1227.25</v>
      </c>
      <c r="G307">
        <v>10152</v>
      </c>
      <c r="H307" s="116"/>
      <c r="I307" s="116"/>
      <c r="L307" s="163">
        <v>42451</v>
      </c>
      <c r="M307" s="116">
        <v>245.39</v>
      </c>
      <c r="N307" s="116">
        <v>246.94</v>
      </c>
      <c r="O307" s="116">
        <v>240.6</v>
      </c>
      <c r="P307" s="116">
        <v>245.95</v>
      </c>
      <c r="Q307" s="116">
        <v>1226.95</v>
      </c>
      <c r="R307">
        <v>152649</v>
      </c>
    </row>
    <row r="308" spans="1:18" x14ac:dyDescent="0.25">
      <c r="A308" s="163">
        <v>42452</v>
      </c>
      <c r="B308" s="116">
        <v>251.4</v>
      </c>
      <c r="C308" s="116">
        <v>249.51</v>
      </c>
      <c r="D308" s="116">
        <v>244.54</v>
      </c>
      <c r="E308" s="116">
        <v>246</v>
      </c>
      <c r="F308" s="116">
        <v>1247.55</v>
      </c>
      <c r="G308">
        <v>20085</v>
      </c>
      <c r="H308" s="116"/>
      <c r="I308" s="116"/>
      <c r="L308" s="163">
        <v>42452</v>
      </c>
      <c r="M308" s="116">
        <v>249.98</v>
      </c>
      <c r="N308" s="116">
        <v>251.71</v>
      </c>
      <c r="O308" s="116">
        <v>244.2</v>
      </c>
      <c r="P308" s="116">
        <v>246</v>
      </c>
      <c r="Q308" s="116">
        <v>1249.9000000000001</v>
      </c>
      <c r="R308">
        <v>173826</v>
      </c>
    </row>
    <row r="309" spans="1:18" x14ac:dyDescent="0.25">
      <c r="A309" s="163">
        <v>42457</v>
      </c>
      <c r="B309" s="116">
        <v>256.5</v>
      </c>
      <c r="C309" s="116">
        <v>253.42</v>
      </c>
      <c r="D309" s="116">
        <v>249.19</v>
      </c>
      <c r="E309" s="116">
        <v>251</v>
      </c>
      <c r="F309" s="116">
        <v>1267.0999999999999</v>
      </c>
      <c r="G309">
        <v>18149</v>
      </c>
      <c r="H309" s="116"/>
      <c r="I309" s="116"/>
      <c r="L309" s="163">
        <v>42457</v>
      </c>
      <c r="M309" s="116">
        <v>253.59</v>
      </c>
      <c r="N309" s="116">
        <v>256.88</v>
      </c>
      <c r="O309" s="116">
        <v>248.74</v>
      </c>
      <c r="P309" s="116">
        <v>251.16</v>
      </c>
      <c r="Q309" s="116">
        <v>1267.95</v>
      </c>
      <c r="R309">
        <v>279904</v>
      </c>
    </row>
    <row r="310" spans="1:18" x14ac:dyDescent="0.25">
      <c r="A310" s="163">
        <v>42458</v>
      </c>
      <c r="B310" s="116">
        <v>255.89</v>
      </c>
      <c r="C310" s="116">
        <v>253.74</v>
      </c>
      <c r="D310" s="116">
        <v>247.65</v>
      </c>
      <c r="E310" s="116">
        <v>250.4</v>
      </c>
      <c r="F310" s="116">
        <v>1268.7</v>
      </c>
      <c r="G310">
        <v>13083</v>
      </c>
      <c r="H310" s="116"/>
      <c r="I310" s="116"/>
      <c r="L310" s="163">
        <v>42458</v>
      </c>
      <c r="M310" s="116">
        <v>254.84</v>
      </c>
      <c r="N310" s="116">
        <v>256.93</v>
      </c>
      <c r="O310" s="116">
        <v>247.24</v>
      </c>
      <c r="P310" s="116">
        <v>255.22</v>
      </c>
      <c r="Q310" s="116">
        <v>1274.2</v>
      </c>
      <c r="R310">
        <v>140374</v>
      </c>
    </row>
    <row r="311" spans="1:18" x14ac:dyDescent="0.25">
      <c r="A311" s="163">
        <v>42459</v>
      </c>
      <c r="B311" s="116">
        <v>264.2</v>
      </c>
      <c r="C311" s="116">
        <v>260.89</v>
      </c>
      <c r="D311" s="116">
        <v>254.26</v>
      </c>
      <c r="E311" s="116">
        <v>255.45</v>
      </c>
      <c r="F311" s="116">
        <v>1304.45</v>
      </c>
      <c r="G311">
        <v>15488</v>
      </c>
      <c r="H311" s="116"/>
      <c r="I311" s="116"/>
      <c r="L311" s="163">
        <v>42459</v>
      </c>
      <c r="M311" s="116">
        <v>260.83</v>
      </c>
      <c r="N311" s="116">
        <v>264</v>
      </c>
      <c r="O311" s="116">
        <v>253.6</v>
      </c>
      <c r="P311" s="116">
        <v>255.6</v>
      </c>
      <c r="Q311" s="116">
        <v>1304.1500000000001</v>
      </c>
      <c r="R311">
        <v>130939</v>
      </c>
    </row>
    <row r="312" spans="1:18" x14ac:dyDescent="0.25">
      <c r="A312" s="163">
        <v>42460</v>
      </c>
      <c r="B312" s="116">
        <v>266.33999999999997</v>
      </c>
      <c r="C312" s="116">
        <v>261.17</v>
      </c>
      <c r="D312" s="116">
        <v>259.25</v>
      </c>
      <c r="E312" s="116">
        <v>262.58999999999997</v>
      </c>
      <c r="F312" s="116">
        <v>1305.8499999999999</v>
      </c>
      <c r="G312">
        <v>10786</v>
      </c>
      <c r="H312" s="116"/>
      <c r="I312" s="116"/>
      <c r="L312" s="163">
        <v>42460</v>
      </c>
      <c r="M312" s="116">
        <v>261.69</v>
      </c>
      <c r="N312" s="116">
        <v>266.77</v>
      </c>
      <c r="O312" s="116">
        <v>258.22000000000003</v>
      </c>
      <c r="P312" s="116">
        <v>261</v>
      </c>
      <c r="Q312" s="116">
        <v>1308.45</v>
      </c>
      <c r="R312">
        <v>242145</v>
      </c>
    </row>
    <row r="313" spans="1:18" x14ac:dyDescent="0.25">
      <c r="A313" s="163">
        <v>42461</v>
      </c>
      <c r="B313" s="116">
        <v>266.89999999999998</v>
      </c>
      <c r="C313" s="116">
        <v>255.83</v>
      </c>
      <c r="D313" s="116">
        <v>253.27</v>
      </c>
      <c r="E313" s="116">
        <v>266.89999999999998</v>
      </c>
      <c r="F313" s="116">
        <v>1279.1500000000001</v>
      </c>
      <c r="G313">
        <v>5644</v>
      </c>
      <c r="H313" s="116"/>
      <c r="I313" s="116"/>
      <c r="L313" s="163">
        <v>42461</v>
      </c>
      <c r="M313" s="116">
        <v>255.88</v>
      </c>
      <c r="N313" s="116">
        <v>259</v>
      </c>
      <c r="O313" s="116">
        <v>252.9</v>
      </c>
      <c r="P313" s="116">
        <v>259</v>
      </c>
      <c r="Q313" s="116">
        <v>1279.4000000000001</v>
      </c>
      <c r="R313">
        <v>114315</v>
      </c>
    </row>
    <row r="314" spans="1:18" x14ac:dyDescent="0.25">
      <c r="A314" s="163">
        <v>42464</v>
      </c>
      <c r="B314" s="116">
        <v>258</v>
      </c>
      <c r="C314" s="116">
        <v>254.69</v>
      </c>
      <c r="D314" s="116">
        <v>251.69</v>
      </c>
      <c r="E314" s="116">
        <v>258</v>
      </c>
      <c r="F314" s="116">
        <v>1273.45</v>
      </c>
      <c r="G314">
        <v>2932</v>
      </c>
      <c r="H314" s="116"/>
      <c r="I314" s="116"/>
      <c r="L314" s="163">
        <v>42464</v>
      </c>
      <c r="M314" s="116">
        <v>255.7</v>
      </c>
      <c r="N314" s="116">
        <v>257.87</v>
      </c>
      <c r="O314" s="116">
        <v>254.4</v>
      </c>
      <c r="P314" s="116">
        <v>256.8</v>
      </c>
      <c r="Q314" s="116">
        <v>1278.5</v>
      </c>
      <c r="R314">
        <v>46487</v>
      </c>
    </row>
    <row r="315" spans="1:18" x14ac:dyDescent="0.25">
      <c r="A315" s="163">
        <v>42465</v>
      </c>
      <c r="B315" s="116">
        <v>255.61</v>
      </c>
      <c r="C315" s="116">
        <v>246.18</v>
      </c>
      <c r="D315" s="116">
        <v>245.46</v>
      </c>
      <c r="E315" s="116">
        <v>253.82</v>
      </c>
      <c r="F315" s="116">
        <v>1230.9000000000001</v>
      </c>
      <c r="G315">
        <v>6265</v>
      </c>
      <c r="H315" s="116"/>
      <c r="I315" s="116"/>
      <c r="L315" s="163">
        <v>42465</v>
      </c>
      <c r="M315" s="116">
        <v>246.33</v>
      </c>
      <c r="N315" s="116">
        <v>256.08</v>
      </c>
      <c r="O315" s="116">
        <v>245.4</v>
      </c>
      <c r="P315" s="116">
        <v>254.13</v>
      </c>
      <c r="Q315" s="116">
        <v>1231.6500000000001</v>
      </c>
      <c r="R315">
        <v>110141</v>
      </c>
    </row>
    <row r="316" spans="1:18" x14ac:dyDescent="0.25">
      <c r="A316" s="163">
        <v>42466</v>
      </c>
      <c r="B316" s="116">
        <v>260</v>
      </c>
      <c r="C316" s="116">
        <v>257.27999999999997</v>
      </c>
      <c r="D316" s="116">
        <v>246.28</v>
      </c>
      <c r="E316" s="116">
        <v>247.26</v>
      </c>
      <c r="F316" s="116">
        <v>1286.4000000000001</v>
      </c>
      <c r="G316">
        <v>20721</v>
      </c>
      <c r="H316" s="116"/>
      <c r="I316" s="116"/>
      <c r="L316" s="163">
        <v>42466</v>
      </c>
      <c r="M316" s="116">
        <v>257.36</v>
      </c>
      <c r="N316" s="116">
        <v>259.97000000000003</v>
      </c>
      <c r="O316" s="116">
        <v>246</v>
      </c>
      <c r="P316" s="116">
        <v>246.6</v>
      </c>
      <c r="Q316" s="116">
        <v>1286.8</v>
      </c>
      <c r="R316">
        <v>177486</v>
      </c>
    </row>
    <row r="317" spans="1:18" x14ac:dyDescent="0.25">
      <c r="A317" s="163">
        <v>42467</v>
      </c>
      <c r="B317" s="116">
        <v>257.10000000000002</v>
      </c>
      <c r="C317" s="116">
        <v>252.39</v>
      </c>
      <c r="D317" s="116">
        <v>251.51</v>
      </c>
      <c r="E317" s="116">
        <v>254.8</v>
      </c>
      <c r="F317" s="116">
        <v>1261.95</v>
      </c>
      <c r="G317">
        <v>6474</v>
      </c>
      <c r="H317" s="116"/>
      <c r="I317" s="116"/>
      <c r="L317" s="163">
        <v>42467</v>
      </c>
      <c r="M317" s="116">
        <v>252.04</v>
      </c>
      <c r="N317" s="116">
        <v>256.95</v>
      </c>
      <c r="O317" s="116">
        <v>251.15</v>
      </c>
      <c r="P317" s="116">
        <v>251.15</v>
      </c>
      <c r="Q317" s="116">
        <v>1260.2</v>
      </c>
      <c r="R317">
        <v>94148</v>
      </c>
    </row>
    <row r="318" spans="1:18" x14ac:dyDescent="0.25">
      <c r="A318" s="163">
        <v>42468</v>
      </c>
      <c r="B318" s="116">
        <v>258.76</v>
      </c>
      <c r="C318" s="116">
        <v>257.18</v>
      </c>
      <c r="D318" s="116">
        <v>250</v>
      </c>
      <c r="E318" s="116">
        <v>251</v>
      </c>
      <c r="F318" s="116">
        <v>1285.9000000000001</v>
      </c>
      <c r="G318">
        <v>8252</v>
      </c>
      <c r="H318" s="116"/>
      <c r="I318" s="116"/>
      <c r="L318" s="163">
        <v>42468</v>
      </c>
      <c r="M318" s="116">
        <v>255.85</v>
      </c>
      <c r="N318" s="116">
        <v>257.7</v>
      </c>
      <c r="O318" s="116">
        <v>249.04</v>
      </c>
      <c r="P318" s="116">
        <v>249.6</v>
      </c>
      <c r="Q318" s="116">
        <v>1279.25</v>
      </c>
      <c r="R318">
        <v>70372</v>
      </c>
    </row>
    <row r="319" spans="1:18" x14ac:dyDescent="0.25">
      <c r="A319" s="163">
        <v>42471</v>
      </c>
      <c r="B319" s="116">
        <v>261.2</v>
      </c>
      <c r="C319" s="116">
        <v>259</v>
      </c>
      <c r="D319" s="116">
        <v>253.89</v>
      </c>
      <c r="E319" s="116">
        <v>256.94</v>
      </c>
      <c r="F319" s="116">
        <v>1295</v>
      </c>
      <c r="G319">
        <v>9380</v>
      </c>
      <c r="H319" s="116"/>
      <c r="I319" s="116"/>
      <c r="L319" s="163">
        <v>42471</v>
      </c>
      <c r="M319" s="116">
        <v>258.88</v>
      </c>
      <c r="N319" s="116">
        <v>261.39999999999998</v>
      </c>
      <c r="O319" s="116">
        <v>253.42</v>
      </c>
      <c r="P319" s="116">
        <v>259</v>
      </c>
      <c r="Q319" s="116">
        <v>1294.4000000000001</v>
      </c>
      <c r="R319">
        <v>89586</v>
      </c>
    </row>
    <row r="320" spans="1:18" x14ac:dyDescent="0.25">
      <c r="A320" s="163">
        <v>42472</v>
      </c>
      <c r="B320" s="116">
        <v>264.42</v>
      </c>
      <c r="C320" s="116">
        <v>260.61</v>
      </c>
      <c r="D320" s="116">
        <v>256.8</v>
      </c>
      <c r="E320" s="116">
        <v>257</v>
      </c>
      <c r="F320" s="116">
        <v>1303.05</v>
      </c>
      <c r="G320">
        <v>14217</v>
      </c>
      <c r="H320" s="116"/>
      <c r="I320" s="116"/>
      <c r="L320" s="163">
        <v>42472</v>
      </c>
      <c r="M320" s="116">
        <v>260.39</v>
      </c>
      <c r="N320" s="116">
        <v>264.75</v>
      </c>
      <c r="O320" s="116">
        <v>257.49</v>
      </c>
      <c r="P320" s="116">
        <v>257.58999999999997</v>
      </c>
      <c r="Q320" s="116">
        <v>1301.95</v>
      </c>
      <c r="R320">
        <v>170934</v>
      </c>
    </row>
    <row r="321" spans="1:18" x14ac:dyDescent="0.25">
      <c r="A321" s="163">
        <v>42473</v>
      </c>
      <c r="B321" s="116">
        <v>276</v>
      </c>
      <c r="C321" s="116">
        <v>274.36</v>
      </c>
      <c r="D321" s="116">
        <v>260.39999999999998</v>
      </c>
      <c r="E321" s="116">
        <v>260.39999999999998</v>
      </c>
      <c r="F321" s="116">
        <v>1371.8</v>
      </c>
      <c r="G321">
        <v>27626</v>
      </c>
      <c r="H321" s="116"/>
      <c r="I321" s="116"/>
      <c r="L321" s="163">
        <v>42473</v>
      </c>
      <c r="M321" s="116">
        <v>274.86</v>
      </c>
      <c r="N321" s="116">
        <v>276.77999999999997</v>
      </c>
      <c r="O321" s="116">
        <v>262</v>
      </c>
      <c r="P321" s="116">
        <v>262</v>
      </c>
      <c r="Q321" s="116">
        <v>1374.3</v>
      </c>
      <c r="R321">
        <v>314003</v>
      </c>
    </row>
    <row r="322" spans="1:18" x14ac:dyDescent="0.25">
      <c r="A322" s="163">
        <v>42478</v>
      </c>
      <c r="B322" s="116">
        <v>283</v>
      </c>
      <c r="C322" s="116">
        <v>277.29000000000002</v>
      </c>
      <c r="D322" s="116">
        <v>275.79000000000002</v>
      </c>
      <c r="E322" s="116">
        <v>277</v>
      </c>
      <c r="F322" s="116">
        <v>1386.45</v>
      </c>
      <c r="G322">
        <v>20336</v>
      </c>
      <c r="H322" s="116"/>
      <c r="I322" s="116"/>
      <c r="L322" s="163">
        <v>42478</v>
      </c>
      <c r="M322" s="116">
        <v>277.27</v>
      </c>
      <c r="N322" s="116">
        <v>282.98</v>
      </c>
      <c r="O322" s="116">
        <v>276</v>
      </c>
      <c r="P322" s="116">
        <v>276.95999999999998</v>
      </c>
      <c r="Q322" s="116">
        <v>1386.35</v>
      </c>
      <c r="R322">
        <v>274235</v>
      </c>
    </row>
    <row r="323" spans="1:18" x14ac:dyDescent="0.25">
      <c r="A323" s="163">
        <v>42480</v>
      </c>
      <c r="B323" s="116">
        <v>282.3</v>
      </c>
      <c r="C323" s="116">
        <v>278.93</v>
      </c>
      <c r="D323" s="116">
        <v>276.81</v>
      </c>
      <c r="E323" s="116">
        <v>280</v>
      </c>
      <c r="F323" s="116">
        <v>1394.65</v>
      </c>
      <c r="G323">
        <v>7104</v>
      </c>
      <c r="H323" s="116"/>
      <c r="I323" s="116"/>
      <c r="L323" s="163">
        <v>42480</v>
      </c>
      <c r="M323" s="116">
        <v>279.51</v>
      </c>
      <c r="N323" s="116">
        <v>282.38</v>
      </c>
      <c r="O323" s="116">
        <v>276.55</v>
      </c>
      <c r="P323" s="116">
        <v>277.57</v>
      </c>
      <c r="Q323" s="116">
        <v>1397.55</v>
      </c>
      <c r="R323">
        <v>102405</v>
      </c>
    </row>
    <row r="324" spans="1:18" x14ac:dyDescent="0.25">
      <c r="A324" s="163">
        <v>42481</v>
      </c>
      <c r="B324" s="116">
        <v>282.8</v>
      </c>
      <c r="C324" s="116">
        <v>271.57</v>
      </c>
      <c r="D324" s="116">
        <v>270.39999999999998</v>
      </c>
      <c r="E324" s="116">
        <v>280.07</v>
      </c>
      <c r="F324" s="116">
        <v>1357.85</v>
      </c>
      <c r="G324">
        <v>10216</v>
      </c>
      <c r="H324" s="116"/>
      <c r="I324" s="116"/>
      <c r="L324" s="163">
        <v>42481</v>
      </c>
      <c r="M324" s="116">
        <v>271.76</v>
      </c>
      <c r="N324" s="116">
        <v>283.2</v>
      </c>
      <c r="O324" s="116">
        <v>270.39999999999998</v>
      </c>
      <c r="P324" s="116">
        <v>280</v>
      </c>
      <c r="Q324" s="116">
        <v>1358.8</v>
      </c>
      <c r="R324">
        <v>138289</v>
      </c>
    </row>
    <row r="325" spans="1:18" x14ac:dyDescent="0.25">
      <c r="A325" s="163">
        <v>42482</v>
      </c>
      <c r="B325" s="116">
        <v>275</v>
      </c>
      <c r="C325" s="116">
        <v>270.94</v>
      </c>
      <c r="D325" s="116">
        <v>266.64</v>
      </c>
      <c r="E325" s="116">
        <v>273</v>
      </c>
      <c r="F325" s="116">
        <v>1354.7</v>
      </c>
      <c r="G325">
        <v>8585</v>
      </c>
      <c r="H325" s="116"/>
      <c r="I325" s="116"/>
      <c r="L325" s="163">
        <v>42482</v>
      </c>
      <c r="M325" s="116">
        <v>270.95999999999998</v>
      </c>
      <c r="N325" s="116">
        <v>272.83</v>
      </c>
      <c r="O325" s="116">
        <v>266.39999999999998</v>
      </c>
      <c r="P325" s="116">
        <v>271.58</v>
      </c>
      <c r="Q325" s="116">
        <v>1354.8</v>
      </c>
      <c r="R325">
        <v>115682</v>
      </c>
    </row>
    <row r="326" spans="1:18" x14ac:dyDescent="0.25">
      <c r="A326" s="163">
        <v>42485</v>
      </c>
      <c r="B326" s="116">
        <v>274.35000000000002</v>
      </c>
      <c r="C326" s="116">
        <v>270.05</v>
      </c>
      <c r="D326" s="116">
        <v>267.60000000000002</v>
      </c>
      <c r="E326" s="116">
        <v>271.8</v>
      </c>
      <c r="F326" s="116">
        <v>1350.25</v>
      </c>
      <c r="G326">
        <v>6979</v>
      </c>
      <c r="H326" s="116"/>
      <c r="I326" s="116"/>
      <c r="L326" s="163">
        <v>42485</v>
      </c>
      <c r="M326" s="116">
        <v>269.5</v>
      </c>
      <c r="N326" s="116">
        <v>274.36</v>
      </c>
      <c r="O326" s="116">
        <v>267.23</v>
      </c>
      <c r="P326" s="116">
        <v>272.39999999999998</v>
      </c>
      <c r="Q326" s="116">
        <v>1347.5</v>
      </c>
      <c r="R326">
        <v>103356</v>
      </c>
    </row>
    <row r="327" spans="1:18" x14ac:dyDescent="0.25">
      <c r="A327" s="163">
        <v>42486</v>
      </c>
      <c r="B327" s="116">
        <v>272.05</v>
      </c>
      <c r="C327" s="116">
        <v>269.60000000000002</v>
      </c>
      <c r="D327" s="116">
        <v>268.3</v>
      </c>
      <c r="E327" s="116">
        <v>270.41000000000003</v>
      </c>
      <c r="F327" s="116">
        <v>1348</v>
      </c>
      <c r="G327">
        <v>7477</v>
      </c>
      <c r="H327" s="116"/>
      <c r="I327" s="116"/>
      <c r="L327" s="163">
        <v>42486</v>
      </c>
      <c r="M327" s="116">
        <v>269.81</v>
      </c>
      <c r="N327" s="116">
        <v>272.29000000000002</v>
      </c>
      <c r="O327" s="116">
        <v>268.07</v>
      </c>
      <c r="P327" s="116">
        <v>269.20999999999998</v>
      </c>
      <c r="Q327" s="116">
        <v>1349.05</v>
      </c>
      <c r="R327">
        <v>210047</v>
      </c>
    </row>
    <row r="328" spans="1:18" x14ac:dyDescent="0.25">
      <c r="A328" s="163">
        <v>42487</v>
      </c>
      <c r="B328" s="116">
        <v>272.14999999999998</v>
      </c>
      <c r="C328" s="116">
        <v>271.2</v>
      </c>
      <c r="D328" s="116">
        <v>267.76</v>
      </c>
      <c r="E328" s="116">
        <v>269.8</v>
      </c>
      <c r="F328" s="116">
        <v>1356</v>
      </c>
      <c r="G328">
        <v>70742</v>
      </c>
      <c r="H328" s="116"/>
      <c r="I328" s="116"/>
      <c r="L328" s="163">
        <v>42487</v>
      </c>
      <c r="M328" s="116">
        <v>271.14999999999998</v>
      </c>
      <c r="N328" s="116">
        <v>272.48</v>
      </c>
      <c r="O328" s="116">
        <v>268.02</v>
      </c>
      <c r="P328" s="116">
        <v>272</v>
      </c>
      <c r="Q328" s="116">
        <v>1355.75</v>
      </c>
      <c r="R328">
        <v>85830</v>
      </c>
    </row>
    <row r="329" spans="1:18" x14ac:dyDescent="0.25">
      <c r="A329" s="163">
        <v>42488</v>
      </c>
      <c r="B329" s="116">
        <v>273.8</v>
      </c>
      <c r="C329" s="116">
        <v>268.02</v>
      </c>
      <c r="D329" s="116">
        <v>266.99</v>
      </c>
      <c r="E329" s="116">
        <v>271.60000000000002</v>
      </c>
      <c r="F329" s="116">
        <v>1340.1</v>
      </c>
      <c r="G329">
        <v>5305</v>
      </c>
      <c r="H329" s="116"/>
      <c r="I329" s="116"/>
      <c r="L329" s="163">
        <v>42488</v>
      </c>
      <c r="M329" s="116">
        <v>268.51</v>
      </c>
      <c r="N329" s="116">
        <v>273.89999999999998</v>
      </c>
      <c r="O329" s="116">
        <v>267.2</v>
      </c>
      <c r="P329" s="116">
        <v>271.2</v>
      </c>
      <c r="Q329" s="116">
        <v>1342.55</v>
      </c>
      <c r="R329">
        <v>164590</v>
      </c>
    </row>
    <row r="330" spans="1:18" x14ac:dyDescent="0.25">
      <c r="A330" s="163">
        <v>42489</v>
      </c>
      <c r="B330" s="116">
        <v>273.60000000000002</v>
      </c>
      <c r="C330" s="116">
        <v>272.33</v>
      </c>
      <c r="D330" s="116">
        <v>263.52999999999997</v>
      </c>
      <c r="E330" s="116">
        <v>268.02</v>
      </c>
      <c r="F330" s="116">
        <v>1361.65</v>
      </c>
      <c r="G330">
        <v>10271</v>
      </c>
      <c r="H330" s="116"/>
      <c r="I330" s="116"/>
      <c r="L330" s="163">
        <v>42489</v>
      </c>
      <c r="M330" s="116">
        <v>272.93</v>
      </c>
      <c r="N330" s="116">
        <v>274</v>
      </c>
      <c r="O330" s="116">
        <v>263.49</v>
      </c>
      <c r="P330" s="116">
        <v>268.39999999999998</v>
      </c>
      <c r="Q330" s="116">
        <v>1364.65</v>
      </c>
      <c r="R330">
        <v>118635</v>
      </c>
    </row>
    <row r="331" spans="1:18" x14ac:dyDescent="0.25">
      <c r="A331" s="163">
        <v>42492</v>
      </c>
      <c r="B331" s="116">
        <v>277.45</v>
      </c>
      <c r="C331" s="116">
        <v>271.45</v>
      </c>
      <c r="D331" s="116">
        <v>270.49</v>
      </c>
      <c r="E331" s="116">
        <v>272.8</v>
      </c>
      <c r="F331" s="116">
        <v>1357.25</v>
      </c>
      <c r="G331">
        <v>12451</v>
      </c>
      <c r="H331" s="116"/>
      <c r="I331" s="116"/>
      <c r="L331" s="163">
        <v>42492</v>
      </c>
      <c r="M331" s="116">
        <v>271.81</v>
      </c>
      <c r="N331" s="116">
        <v>277.49</v>
      </c>
      <c r="O331" s="116">
        <v>270.44</v>
      </c>
      <c r="P331" s="116">
        <v>272.04000000000002</v>
      </c>
      <c r="Q331" s="116">
        <v>1359.05</v>
      </c>
      <c r="R331">
        <v>107253</v>
      </c>
    </row>
    <row r="332" spans="1:18" x14ac:dyDescent="0.25">
      <c r="A332" s="163">
        <v>42493</v>
      </c>
      <c r="B332" s="116">
        <v>274.99</v>
      </c>
      <c r="C332" s="116">
        <v>267.99</v>
      </c>
      <c r="D332" s="116">
        <v>266.74</v>
      </c>
      <c r="E332" s="116">
        <v>274.2</v>
      </c>
      <c r="F332" s="116">
        <v>1339.95</v>
      </c>
      <c r="G332">
        <v>11211</v>
      </c>
      <c r="H332" s="116"/>
      <c r="I332" s="116"/>
      <c r="L332" s="163">
        <v>42493</v>
      </c>
      <c r="M332" s="116">
        <v>268.41000000000003</v>
      </c>
      <c r="N332" s="116">
        <v>275.02999999999997</v>
      </c>
      <c r="O332" s="116">
        <v>267.24</v>
      </c>
      <c r="P332" s="116">
        <v>272</v>
      </c>
      <c r="Q332" s="116">
        <v>1342.05</v>
      </c>
      <c r="R332">
        <v>71941</v>
      </c>
    </row>
    <row r="333" spans="1:18" x14ac:dyDescent="0.25">
      <c r="A333" s="163">
        <v>42494</v>
      </c>
      <c r="B333" s="116">
        <v>270.89999999999998</v>
      </c>
      <c r="C333" s="116">
        <v>267.87</v>
      </c>
      <c r="D333" s="116">
        <v>266.92</v>
      </c>
      <c r="E333" s="116">
        <v>269</v>
      </c>
      <c r="F333" s="116">
        <v>1339.35</v>
      </c>
      <c r="G333">
        <v>4425</v>
      </c>
      <c r="H333" s="116"/>
      <c r="I333" s="116"/>
      <c r="L333" s="163">
        <v>42494</v>
      </c>
      <c r="M333" s="116">
        <v>267.29000000000002</v>
      </c>
      <c r="N333" s="116">
        <v>271.68</v>
      </c>
      <c r="O333" s="116">
        <v>266.5</v>
      </c>
      <c r="P333" s="116">
        <v>268</v>
      </c>
      <c r="Q333" s="116">
        <v>1336.45</v>
      </c>
      <c r="R333">
        <v>54856</v>
      </c>
    </row>
    <row r="334" spans="1:18" x14ac:dyDescent="0.25">
      <c r="A334" s="163">
        <v>42495</v>
      </c>
      <c r="B334" s="116">
        <v>283</v>
      </c>
      <c r="C334" s="116">
        <v>276.32</v>
      </c>
      <c r="D334" s="116">
        <v>267.62</v>
      </c>
      <c r="E334" s="116">
        <v>268.02</v>
      </c>
      <c r="F334" s="116">
        <v>1381.6</v>
      </c>
      <c r="G334">
        <v>39979</v>
      </c>
      <c r="H334" s="116"/>
      <c r="I334" s="116"/>
      <c r="L334" s="163">
        <v>42495</v>
      </c>
      <c r="M334" s="116">
        <v>276.73</v>
      </c>
      <c r="N334" s="116">
        <v>283.31</v>
      </c>
      <c r="O334" s="116">
        <v>267.39999999999998</v>
      </c>
      <c r="P334" s="116">
        <v>269</v>
      </c>
      <c r="Q334" s="116">
        <v>1383.65</v>
      </c>
      <c r="R334">
        <v>380309</v>
      </c>
    </row>
    <row r="335" spans="1:18" x14ac:dyDescent="0.25">
      <c r="A335" s="163">
        <v>42496</v>
      </c>
      <c r="B335" s="116">
        <v>278.2</v>
      </c>
      <c r="C335" s="116">
        <v>272.66000000000003</v>
      </c>
      <c r="D335" s="116">
        <v>270.5</v>
      </c>
      <c r="E335" s="116">
        <v>278.2</v>
      </c>
      <c r="F335" s="116">
        <v>1363.3</v>
      </c>
      <c r="G335">
        <v>8517</v>
      </c>
      <c r="H335" s="116"/>
      <c r="I335" s="116"/>
      <c r="L335" s="163">
        <v>42496</v>
      </c>
      <c r="M335" s="116">
        <v>272.75</v>
      </c>
      <c r="N335" s="116">
        <v>278.39</v>
      </c>
      <c r="O335" s="116">
        <v>270.23</v>
      </c>
      <c r="P335" s="116">
        <v>276.86</v>
      </c>
      <c r="Q335" s="116">
        <v>1363.75</v>
      </c>
      <c r="R335">
        <v>88690</v>
      </c>
    </row>
    <row r="336" spans="1:18" x14ac:dyDescent="0.25">
      <c r="A336" s="163">
        <v>42499</v>
      </c>
      <c r="B336" s="116">
        <v>284.32</v>
      </c>
      <c r="C336" s="116">
        <v>283.49</v>
      </c>
      <c r="D336" s="116">
        <v>274</v>
      </c>
      <c r="E336" s="116">
        <v>275</v>
      </c>
      <c r="F336" s="116">
        <v>1417.45</v>
      </c>
      <c r="G336">
        <v>15722</v>
      </c>
      <c r="H336" s="116"/>
      <c r="I336" s="116"/>
      <c r="L336" s="163">
        <v>42499</v>
      </c>
      <c r="M336" s="116">
        <v>283.37</v>
      </c>
      <c r="N336" s="116">
        <v>284.51</v>
      </c>
      <c r="O336" s="116">
        <v>273.95</v>
      </c>
      <c r="P336" s="116">
        <v>276.99</v>
      </c>
      <c r="Q336" s="116">
        <v>1416.85</v>
      </c>
      <c r="R336">
        <v>221366</v>
      </c>
    </row>
    <row r="337" spans="1:18" x14ac:dyDescent="0.25">
      <c r="A337" s="163">
        <v>42500</v>
      </c>
      <c r="B337" s="116">
        <v>288.39999999999998</v>
      </c>
      <c r="C337" s="116">
        <v>282.49</v>
      </c>
      <c r="D337" s="116">
        <v>280.2</v>
      </c>
      <c r="E337" s="116">
        <v>286</v>
      </c>
      <c r="F337" s="116">
        <v>1412.45</v>
      </c>
      <c r="G337">
        <v>25205</v>
      </c>
      <c r="H337" s="116"/>
      <c r="I337" s="116"/>
      <c r="L337" s="163">
        <v>42500</v>
      </c>
      <c r="M337" s="116">
        <v>282.5</v>
      </c>
      <c r="N337" s="116">
        <v>288.3</v>
      </c>
      <c r="O337" s="116">
        <v>279.64999999999998</v>
      </c>
      <c r="P337" s="116">
        <v>284.87</v>
      </c>
      <c r="Q337" s="116">
        <v>1412.5</v>
      </c>
      <c r="R337">
        <v>235294</v>
      </c>
    </row>
    <row r="338" spans="1:18" x14ac:dyDescent="0.25">
      <c r="A338" s="163">
        <v>42501</v>
      </c>
      <c r="B338" s="116">
        <v>293.45</v>
      </c>
      <c r="C338" s="116">
        <v>287.24</v>
      </c>
      <c r="D338" s="116">
        <v>281.82</v>
      </c>
      <c r="E338" s="116">
        <v>284</v>
      </c>
      <c r="F338" s="116">
        <v>1436.2</v>
      </c>
      <c r="G338">
        <v>98827</v>
      </c>
      <c r="H338" s="116"/>
      <c r="I338" s="116"/>
      <c r="L338" s="163">
        <v>42501</v>
      </c>
      <c r="M338" s="116">
        <v>287.55</v>
      </c>
      <c r="N338" s="116">
        <v>293.76</v>
      </c>
      <c r="O338" s="116">
        <v>280.51</v>
      </c>
      <c r="P338" s="116">
        <v>284.60000000000002</v>
      </c>
      <c r="Q338" s="116">
        <v>1437.75</v>
      </c>
      <c r="R338">
        <v>619335</v>
      </c>
    </row>
    <row r="339" spans="1:18" x14ac:dyDescent="0.25">
      <c r="A339" s="163">
        <v>42502</v>
      </c>
      <c r="B339" s="116">
        <v>292</v>
      </c>
      <c r="C339" s="116">
        <v>276.94</v>
      </c>
      <c r="D339" s="116">
        <v>273</v>
      </c>
      <c r="E339" s="116">
        <v>288.56</v>
      </c>
      <c r="F339" s="116">
        <v>1384.7</v>
      </c>
      <c r="G339">
        <v>48634</v>
      </c>
      <c r="H339" s="116"/>
      <c r="I339" s="116"/>
      <c r="L339" s="163">
        <v>42502</v>
      </c>
      <c r="M339" s="116">
        <v>277.44</v>
      </c>
      <c r="N339" s="116">
        <v>291</v>
      </c>
      <c r="O339" s="116">
        <v>273.26</v>
      </c>
      <c r="P339" s="116">
        <v>289</v>
      </c>
      <c r="Q339" s="116">
        <v>1387.2</v>
      </c>
      <c r="R339">
        <v>306204</v>
      </c>
    </row>
    <row r="340" spans="1:18" x14ac:dyDescent="0.25">
      <c r="A340" s="163">
        <v>42503</v>
      </c>
      <c r="B340" s="116">
        <v>274.2</v>
      </c>
      <c r="C340" s="116">
        <v>252.51</v>
      </c>
      <c r="D340" s="116">
        <v>248</v>
      </c>
      <c r="E340" s="116">
        <v>274</v>
      </c>
      <c r="F340" s="116">
        <v>1262.55</v>
      </c>
      <c r="G340">
        <v>150933</v>
      </c>
      <c r="H340" s="116"/>
      <c r="I340" s="116"/>
      <c r="L340" s="163">
        <v>42503</v>
      </c>
      <c r="M340" s="116">
        <v>252.24</v>
      </c>
      <c r="N340" s="116">
        <v>273.8</v>
      </c>
      <c r="O340" s="116">
        <v>246.96</v>
      </c>
      <c r="P340" s="116">
        <v>273.8</v>
      </c>
      <c r="Q340" s="116">
        <v>1261.2</v>
      </c>
      <c r="R340">
        <v>1051312</v>
      </c>
    </row>
    <row r="341" spans="1:18" x14ac:dyDescent="0.25">
      <c r="A341" s="163">
        <v>42506</v>
      </c>
      <c r="B341" s="116">
        <v>257.08</v>
      </c>
      <c r="C341" s="116">
        <v>252.25</v>
      </c>
      <c r="D341" s="116">
        <v>247.4</v>
      </c>
      <c r="E341" s="116">
        <v>254</v>
      </c>
      <c r="F341" s="116">
        <v>1261.25</v>
      </c>
      <c r="G341">
        <v>61696</v>
      </c>
      <c r="H341" s="116"/>
      <c r="I341" s="116"/>
      <c r="L341" s="163">
        <v>42506</v>
      </c>
      <c r="M341" s="116">
        <v>252.03</v>
      </c>
      <c r="N341" s="116">
        <v>257.39</v>
      </c>
      <c r="O341" s="116">
        <v>247.06</v>
      </c>
      <c r="P341" s="116">
        <v>252.59</v>
      </c>
      <c r="Q341" s="116">
        <v>1260.1500000000001</v>
      </c>
      <c r="R341">
        <v>552578</v>
      </c>
    </row>
    <row r="342" spans="1:18" x14ac:dyDescent="0.25">
      <c r="A342" s="163">
        <v>42507</v>
      </c>
      <c r="B342" s="116">
        <v>255.59</v>
      </c>
      <c r="C342" s="116">
        <v>252.8</v>
      </c>
      <c r="D342" s="116">
        <v>251</v>
      </c>
      <c r="E342" s="116">
        <v>254.2</v>
      </c>
      <c r="F342" s="116">
        <v>1264</v>
      </c>
      <c r="G342">
        <v>27961</v>
      </c>
      <c r="H342" s="116"/>
      <c r="I342" s="116"/>
      <c r="L342" s="163">
        <v>42507</v>
      </c>
      <c r="M342" s="116">
        <v>252.89</v>
      </c>
      <c r="N342" s="116">
        <v>255.6</v>
      </c>
      <c r="O342" s="116">
        <v>250.25</v>
      </c>
      <c r="P342" s="116">
        <v>253.1</v>
      </c>
      <c r="Q342" s="116">
        <v>1264.45</v>
      </c>
      <c r="R342">
        <v>315044</v>
      </c>
    </row>
    <row r="343" spans="1:18" x14ac:dyDescent="0.25">
      <c r="A343" s="163">
        <v>42508</v>
      </c>
      <c r="B343" s="116">
        <v>254.4</v>
      </c>
      <c r="C343" s="116">
        <v>253.09</v>
      </c>
      <c r="D343" s="116">
        <v>249</v>
      </c>
      <c r="E343" s="116">
        <v>252</v>
      </c>
      <c r="F343" s="116">
        <v>1265.45</v>
      </c>
      <c r="G343">
        <v>11264</v>
      </c>
      <c r="H343" s="116"/>
      <c r="I343" s="116"/>
      <c r="L343" s="163">
        <v>42508</v>
      </c>
      <c r="M343" s="116">
        <v>252.88</v>
      </c>
      <c r="N343" s="116">
        <v>254.58</v>
      </c>
      <c r="O343" s="116">
        <v>248.79</v>
      </c>
      <c r="P343" s="116">
        <v>250.24</v>
      </c>
      <c r="Q343" s="116">
        <v>1264.4000000000001</v>
      </c>
      <c r="R343">
        <v>232117</v>
      </c>
    </row>
    <row r="344" spans="1:18" x14ac:dyDescent="0.25">
      <c r="A344" s="163">
        <v>42509</v>
      </c>
      <c r="B344" s="116">
        <v>257.2</v>
      </c>
      <c r="C344" s="116">
        <v>247.2</v>
      </c>
      <c r="D344" s="116">
        <v>245.5</v>
      </c>
      <c r="E344" s="116">
        <v>252.8</v>
      </c>
      <c r="F344" s="116">
        <v>1236</v>
      </c>
      <c r="G344">
        <v>29727</v>
      </c>
      <c r="H344" s="116"/>
      <c r="I344" s="116"/>
      <c r="L344" s="163">
        <v>42509</v>
      </c>
      <c r="M344" s="116">
        <v>246.47</v>
      </c>
      <c r="N344" s="116">
        <v>257.60000000000002</v>
      </c>
      <c r="O344" s="116">
        <v>244.49</v>
      </c>
      <c r="P344" s="116">
        <v>254.4</v>
      </c>
      <c r="Q344" s="116">
        <v>1232.3499999999999</v>
      </c>
      <c r="R344">
        <v>258718</v>
      </c>
    </row>
    <row r="345" spans="1:18" x14ac:dyDescent="0.25">
      <c r="A345" s="163">
        <v>42510</v>
      </c>
      <c r="B345" s="116">
        <v>247.24</v>
      </c>
      <c r="C345" s="116">
        <v>240.13</v>
      </c>
      <c r="D345" s="116">
        <v>234.84</v>
      </c>
      <c r="E345" s="116">
        <v>246</v>
      </c>
      <c r="F345" s="116">
        <v>1200.6500000000001</v>
      </c>
      <c r="G345">
        <v>34855</v>
      </c>
      <c r="H345" s="116"/>
      <c r="I345" s="116"/>
      <c r="L345" s="163">
        <v>42510</v>
      </c>
      <c r="M345" s="116">
        <v>240.17</v>
      </c>
      <c r="N345" s="116">
        <v>247.2</v>
      </c>
      <c r="O345" s="116">
        <v>234.6</v>
      </c>
      <c r="P345" s="116">
        <v>246.4</v>
      </c>
      <c r="Q345" s="116">
        <v>1200.8499999999999</v>
      </c>
      <c r="R345">
        <v>258620</v>
      </c>
    </row>
    <row r="346" spans="1:18" x14ac:dyDescent="0.25">
      <c r="A346" s="163">
        <v>42513</v>
      </c>
      <c r="B346" s="116">
        <v>243.4</v>
      </c>
      <c r="C346" s="116">
        <v>237.24</v>
      </c>
      <c r="D346" s="116">
        <v>235.02</v>
      </c>
      <c r="E346" s="116">
        <v>242.95</v>
      </c>
      <c r="F346" s="116">
        <v>1186.2</v>
      </c>
      <c r="G346">
        <v>25791</v>
      </c>
      <c r="H346" s="116"/>
      <c r="I346" s="116"/>
      <c r="L346" s="163">
        <v>42513</v>
      </c>
      <c r="M346" s="116">
        <v>237.04</v>
      </c>
      <c r="N346" s="116">
        <v>243.56</v>
      </c>
      <c r="O346" s="116">
        <v>235.1</v>
      </c>
      <c r="P346" s="116">
        <v>242.01</v>
      </c>
      <c r="Q346" s="116">
        <v>1185.2</v>
      </c>
      <c r="R346">
        <v>215144</v>
      </c>
    </row>
    <row r="347" spans="1:18" x14ac:dyDescent="0.25">
      <c r="A347" s="163">
        <v>42514</v>
      </c>
      <c r="B347" s="116">
        <v>242.98</v>
      </c>
      <c r="C347" s="116">
        <v>240.94</v>
      </c>
      <c r="D347" s="116">
        <v>233.1</v>
      </c>
      <c r="E347" s="116">
        <v>236.86</v>
      </c>
      <c r="F347" s="116">
        <v>1204.7</v>
      </c>
      <c r="G347">
        <v>29363</v>
      </c>
      <c r="H347" s="116"/>
      <c r="I347" s="116"/>
      <c r="L347" s="163">
        <v>42514</v>
      </c>
      <c r="M347" s="116">
        <v>241.16</v>
      </c>
      <c r="N347" s="116">
        <v>243</v>
      </c>
      <c r="O347" s="116">
        <v>233.07</v>
      </c>
      <c r="P347" s="116">
        <v>237.04</v>
      </c>
      <c r="Q347" s="116">
        <v>1205.8</v>
      </c>
      <c r="R347">
        <v>254127</v>
      </c>
    </row>
    <row r="348" spans="1:18" x14ac:dyDescent="0.25">
      <c r="A348" s="163">
        <v>42515</v>
      </c>
      <c r="B348" s="116">
        <v>248</v>
      </c>
      <c r="C348" s="116">
        <v>246.72</v>
      </c>
      <c r="D348" s="116">
        <v>239.96</v>
      </c>
      <c r="E348" s="116">
        <v>240</v>
      </c>
      <c r="F348" s="116">
        <v>1233.5999999999999</v>
      </c>
      <c r="G348">
        <v>19779</v>
      </c>
      <c r="H348" s="116"/>
      <c r="I348" s="116"/>
      <c r="L348" s="163">
        <v>42515</v>
      </c>
      <c r="M348" s="116">
        <v>247</v>
      </c>
      <c r="N348" s="116">
        <v>248.44</v>
      </c>
      <c r="O348" s="116">
        <v>239.77</v>
      </c>
      <c r="P348" s="116">
        <v>243.4</v>
      </c>
      <c r="Q348" s="116">
        <v>1235</v>
      </c>
      <c r="R348">
        <v>203945</v>
      </c>
    </row>
    <row r="349" spans="1:18" x14ac:dyDescent="0.25">
      <c r="A349" s="163">
        <v>42516</v>
      </c>
      <c r="B349" s="116">
        <v>249.8</v>
      </c>
      <c r="C349" s="116">
        <v>247.56</v>
      </c>
      <c r="D349" s="116">
        <v>244.75</v>
      </c>
      <c r="E349" s="116">
        <v>248</v>
      </c>
      <c r="F349" s="116">
        <v>1237.8</v>
      </c>
      <c r="G349">
        <v>14351</v>
      </c>
      <c r="H349" s="116"/>
      <c r="I349" s="116"/>
      <c r="L349" s="163">
        <v>42516</v>
      </c>
      <c r="M349" s="116">
        <v>247.13</v>
      </c>
      <c r="N349" s="116">
        <v>249.86</v>
      </c>
      <c r="O349" s="116">
        <v>245.2</v>
      </c>
      <c r="P349" s="116">
        <v>247</v>
      </c>
      <c r="Q349" s="116">
        <v>1235.6500000000001</v>
      </c>
      <c r="R349">
        <v>230568</v>
      </c>
    </row>
    <row r="350" spans="1:18" x14ac:dyDescent="0.25">
      <c r="A350" s="163">
        <v>42517</v>
      </c>
      <c r="B350" s="116">
        <v>254</v>
      </c>
      <c r="C350" s="116">
        <v>251.72</v>
      </c>
      <c r="D350" s="116">
        <v>246.13</v>
      </c>
      <c r="E350" s="116">
        <v>248.31</v>
      </c>
      <c r="F350" s="116">
        <v>1258.5999999999999</v>
      </c>
      <c r="G350">
        <v>20229</v>
      </c>
      <c r="H350" s="116"/>
      <c r="I350" s="116"/>
      <c r="L350" s="163">
        <v>42517</v>
      </c>
      <c r="M350" s="116">
        <v>252.11</v>
      </c>
      <c r="N350" s="116">
        <v>254</v>
      </c>
      <c r="O350" s="116">
        <v>245.88</v>
      </c>
      <c r="P350" s="116">
        <v>247.98</v>
      </c>
      <c r="Q350" s="116">
        <v>1260.55</v>
      </c>
      <c r="R350">
        <v>144879</v>
      </c>
    </row>
    <row r="351" spans="1:18" x14ac:dyDescent="0.25">
      <c r="A351" s="163">
        <v>42520</v>
      </c>
      <c r="B351" s="116">
        <v>261.2</v>
      </c>
      <c r="C351" s="116">
        <v>260.20999999999998</v>
      </c>
      <c r="D351" s="116">
        <v>253.16</v>
      </c>
      <c r="E351" s="116">
        <v>254</v>
      </c>
      <c r="F351" s="116">
        <v>1301.05</v>
      </c>
      <c r="G351">
        <v>24977</v>
      </c>
      <c r="H351" s="116"/>
      <c r="I351" s="116"/>
      <c r="L351" s="163">
        <v>42520</v>
      </c>
      <c r="M351" s="116">
        <v>260.52999999999997</v>
      </c>
      <c r="N351" s="116">
        <v>261.56</v>
      </c>
      <c r="O351" s="116">
        <v>253.13</v>
      </c>
      <c r="P351" s="116">
        <v>254</v>
      </c>
      <c r="Q351" s="116">
        <v>1302.6500000000001</v>
      </c>
      <c r="R351">
        <v>273086</v>
      </c>
    </row>
    <row r="352" spans="1:18" x14ac:dyDescent="0.25">
      <c r="A352" s="163">
        <v>42521</v>
      </c>
      <c r="B352" s="116">
        <v>262</v>
      </c>
      <c r="C352" s="116">
        <v>258.97000000000003</v>
      </c>
      <c r="D352" s="116">
        <v>257.39999999999998</v>
      </c>
      <c r="E352" s="116">
        <v>260.66000000000003</v>
      </c>
      <c r="F352" s="116">
        <v>1294.8499999999999</v>
      </c>
      <c r="G352">
        <v>11425</v>
      </c>
      <c r="H352" s="116"/>
      <c r="I352" s="116"/>
      <c r="L352" s="163">
        <v>42521</v>
      </c>
      <c r="M352" s="116">
        <v>259.42</v>
      </c>
      <c r="N352" s="116">
        <v>262.2</v>
      </c>
      <c r="O352" s="116">
        <v>257.2</v>
      </c>
      <c r="P352" s="116">
        <v>262.2</v>
      </c>
      <c r="Q352" s="116">
        <v>1297.0999999999999</v>
      </c>
      <c r="R352">
        <v>293150</v>
      </c>
    </row>
    <row r="353" spans="1:18" x14ac:dyDescent="0.25">
      <c r="A353" s="163">
        <v>42522</v>
      </c>
      <c r="B353" s="116">
        <v>261.8</v>
      </c>
      <c r="C353" s="116">
        <v>256.66000000000003</v>
      </c>
      <c r="D353" s="116">
        <v>253.61</v>
      </c>
      <c r="E353" s="116">
        <v>259.20999999999998</v>
      </c>
      <c r="F353" s="116">
        <v>1283.3</v>
      </c>
      <c r="G353">
        <v>11257</v>
      </c>
      <c r="H353" s="116"/>
      <c r="I353" s="116"/>
      <c r="L353" s="163">
        <v>42522</v>
      </c>
      <c r="M353" s="116">
        <v>257.57</v>
      </c>
      <c r="N353" s="116">
        <v>261.89999999999998</v>
      </c>
      <c r="O353" s="116">
        <v>253.43</v>
      </c>
      <c r="P353" s="116">
        <v>260</v>
      </c>
      <c r="Q353" s="116">
        <v>1287.8499999999999</v>
      </c>
      <c r="R353">
        <v>140531</v>
      </c>
    </row>
    <row r="354" spans="1:18" x14ac:dyDescent="0.25">
      <c r="A354" s="163">
        <v>42523</v>
      </c>
      <c r="B354" s="116">
        <v>257.8</v>
      </c>
      <c r="C354" s="116">
        <v>256.52</v>
      </c>
      <c r="D354" s="116">
        <v>252.4</v>
      </c>
      <c r="E354" s="116">
        <v>254.02</v>
      </c>
      <c r="F354" s="116">
        <v>1282.5999999999999</v>
      </c>
      <c r="G354">
        <v>6660</v>
      </c>
      <c r="H354" s="116"/>
      <c r="I354" s="116"/>
      <c r="L354" s="163">
        <v>42523</v>
      </c>
      <c r="M354" s="116">
        <v>257.18</v>
      </c>
      <c r="N354" s="116">
        <v>258.18</v>
      </c>
      <c r="O354" s="116">
        <v>252.31</v>
      </c>
      <c r="P354" s="116">
        <v>253</v>
      </c>
      <c r="Q354" s="116">
        <v>1285.9000000000001</v>
      </c>
      <c r="R354">
        <v>126260</v>
      </c>
    </row>
    <row r="355" spans="1:18" x14ac:dyDescent="0.25">
      <c r="A355" s="163">
        <v>42524</v>
      </c>
      <c r="B355" s="116">
        <v>258.56</v>
      </c>
      <c r="C355" s="116">
        <v>251.06</v>
      </c>
      <c r="D355" s="116">
        <v>250</v>
      </c>
      <c r="E355" s="116">
        <v>257.8</v>
      </c>
      <c r="F355" s="116">
        <v>1255.3</v>
      </c>
      <c r="G355">
        <v>11673</v>
      </c>
      <c r="H355" s="116"/>
      <c r="I355" s="116"/>
      <c r="L355" s="163">
        <v>42524</v>
      </c>
      <c r="M355" s="116">
        <v>250.97</v>
      </c>
      <c r="N355" s="116">
        <v>259</v>
      </c>
      <c r="O355" s="116">
        <v>250</v>
      </c>
      <c r="P355" s="116">
        <v>259</v>
      </c>
      <c r="Q355" s="116">
        <v>1254.8499999999999</v>
      </c>
      <c r="R355">
        <v>82745</v>
      </c>
    </row>
    <row r="356" spans="1:18" x14ac:dyDescent="0.25">
      <c r="A356" s="163">
        <v>42527</v>
      </c>
      <c r="B356" s="116">
        <v>255.18</v>
      </c>
      <c r="C356" s="116">
        <v>252.7</v>
      </c>
      <c r="D356" s="116">
        <v>248.8</v>
      </c>
      <c r="E356" s="116">
        <v>253.7</v>
      </c>
      <c r="F356" s="116">
        <v>1263.5</v>
      </c>
      <c r="G356">
        <v>8429</v>
      </c>
      <c r="H356" s="116"/>
      <c r="I356" s="116"/>
      <c r="L356" s="163">
        <v>42527</v>
      </c>
      <c r="M356" s="116">
        <v>252.77</v>
      </c>
      <c r="N356" s="116">
        <v>255.18</v>
      </c>
      <c r="O356" s="116">
        <v>247.94</v>
      </c>
      <c r="P356" s="116">
        <v>249.02</v>
      </c>
      <c r="Q356" s="116">
        <v>1263.8499999999999</v>
      </c>
      <c r="R356">
        <v>62875</v>
      </c>
    </row>
    <row r="357" spans="1:18" x14ac:dyDescent="0.25">
      <c r="A357" s="163">
        <v>42528</v>
      </c>
      <c r="B357" s="116">
        <v>255.25</v>
      </c>
      <c r="C357" s="116">
        <v>253</v>
      </c>
      <c r="D357" s="116">
        <v>250.6</v>
      </c>
      <c r="E357" s="116">
        <v>254</v>
      </c>
      <c r="F357" s="116">
        <v>1265</v>
      </c>
      <c r="G357">
        <v>13867</v>
      </c>
      <c r="H357" s="116"/>
      <c r="I357" s="116"/>
      <c r="L357" s="163">
        <v>42528</v>
      </c>
      <c r="M357" s="116">
        <v>252.95</v>
      </c>
      <c r="N357" s="116">
        <v>254.94</v>
      </c>
      <c r="O357" s="116">
        <v>250.35</v>
      </c>
      <c r="P357" s="116">
        <v>253.04</v>
      </c>
      <c r="Q357" s="116">
        <v>1264.75</v>
      </c>
      <c r="R357">
        <v>118134</v>
      </c>
    </row>
    <row r="358" spans="1:18" x14ac:dyDescent="0.25">
      <c r="A358" s="163">
        <v>42529</v>
      </c>
      <c r="B358" s="116">
        <v>253.09</v>
      </c>
      <c r="C358" s="116">
        <v>251.84</v>
      </c>
      <c r="D358" s="116">
        <v>250.07</v>
      </c>
      <c r="E358" s="116">
        <v>252.03</v>
      </c>
      <c r="F358" s="116">
        <v>1259.2</v>
      </c>
      <c r="G358">
        <v>4690</v>
      </c>
      <c r="H358" s="116"/>
      <c r="I358" s="116"/>
      <c r="L358" s="163">
        <v>42529</v>
      </c>
      <c r="M358" s="116">
        <v>251.4</v>
      </c>
      <c r="N358" s="116">
        <v>253.36</v>
      </c>
      <c r="O358" s="116">
        <v>250.14</v>
      </c>
      <c r="P358" s="116">
        <v>252</v>
      </c>
      <c r="Q358" s="116">
        <v>1257</v>
      </c>
      <c r="R358">
        <v>41716</v>
      </c>
    </row>
    <row r="359" spans="1:18" x14ac:dyDescent="0.25">
      <c r="A359" s="163">
        <v>42530</v>
      </c>
      <c r="B359" s="116">
        <v>254.66</v>
      </c>
      <c r="C359" s="116">
        <v>253.46</v>
      </c>
      <c r="D359" s="116">
        <v>247.89</v>
      </c>
      <c r="E359" s="116">
        <v>250.45</v>
      </c>
      <c r="F359" s="116">
        <v>1267.3</v>
      </c>
      <c r="G359">
        <v>11694</v>
      </c>
      <c r="H359" s="116"/>
      <c r="I359" s="116"/>
      <c r="L359" s="163">
        <v>42530</v>
      </c>
      <c r="M359" s="116">
        <v>253.76</v>
      </c>
      <c r="N359" s="116">
        <v>254.96</v>
      </c>
      <c r="O359" s="116">
        <v>247.57</v>
      </c>
      <c r="P359" s="116">
        <v>252</v>
      </c>
      <c r="Q359" s="116">
        <v>1268.8</v>
      </c>
      <c r="R359">
        <v>189963</v>
      </c>
    </row>
    <row r="360" spans="1:18" x14ac:dyDescent="0.25">
      <c r="A360" s="163">
        <v>42531</v>
      </c>
      <c r="B360" s="116">
        <v>256</v>
      </c>
      <c r="C360" s="116">
        <v>250.7</v>
      </c>
      <c r="D360" s="116">
        <v>249.33</v>
      </c>
      <c r="E360" s="116">
        <v>254.4</v>
      </c>
      <c r="F360" s="116">
        <v>1253.5</v>
      </c>
      <c r="G360">
        <v>17301</v>
      </c>
      <c r="H360" s="116"/>
      <c r="I360" s="116"/>
      <c r="L360" s="163">
        <v>42531</v>
      </c>
      <c r="M360" s="116">
        <v>250.05</v>
      </c>
      <c r="N360" s="116">
        <v>256.29000000000002</v>
      </c>
      <c r="O360" s="116">
        <v>248.66</v>
      </c>
      <c r="P360" s="116">
        <v>254</v>
      </c>
      <c r="Q360" s="116">
        <v>1250.25</v>
      </c>
      <c r="R360">
        <v>174658</v>
      </c>
    </row>
    <row r="361" spans="1:18" x14ac:dyDescent="0.25">
      <c r="A361" s="163">
        <v>42534</v>
      </c>
      <c r="B361" s="116">
        <v>260.38</v>
      </c>
      <c r="C361" s="116">
        <v>259.18</v>
      </c>
      <c r="D361" s="116">
        <v>246.8</v>
      </c>
      <c r="E361" s="116">
        <v>249.6</v>
      </c>
      <c r="F361" s="116">
        <v>1295.9000000000001</v>
      </c>
      <c r="G361">
        <v>22587</v>
      </c>
      <c r="H361" s="116"/>
      <c r="I361" s="116"/>
      <c r="L361" s="163">
        <v>42534</v>
      </c>
      <c r="M361" s="116">
        <v>259.88</v>
      </c>
      <c r="N361" s="116">
        <v>261.60000000000002</v>
      </c>
      <c r="O361" s="116">
        <v>246.43</v>
      </c>
      <c r="P361" s="116">
        <v>250</v>
      </c>
      <c r="Q361" s="116">
        <v>1299.4000000000001</v>
      </c>
      <c r="R361">
        <v>334202</v>
      </c>
    </row>
    <row r="362" spans="1:18" x14ac:dyDescent="0.25">
      <c r="A362" s="163">
        <v>42535</v>
      </c>
      <c r="B362" s="116">
        <v>262.16000000000003</v>
      </c>
      <c r="C362" s="116">
        <v>253.72</v>
      </c>
      <c r="D362" s="116">
        <v>252</v>
      </c>
      <c r="E362" s="116">
        <v>262</v>
      </c>
      <c r="F362" s="116">
        <v>1268.5999999999999</v>
      </c>
      <c r="G362">
        <v>19385</v>
      </c>
      <c r="H362" s="116"/>
      <c r="I362" s="116"/>
      <c r="L362" s="163">
        <v>42535</v>
      </c>
      <c r="M362" s="116">
        <v>252.46</v>
      </c>
      <c r="N362" s="116">
        <v>262.19</v>
      </c>
      <c r="O362" s="116">
        <v>251.23</v>
      </c>
      <c r="P362" s="116">
        <v>262.19</v>
      </c>
      <c r="Q362" s="116">
        <v>1262.3</v>
      </c>
      <c r="R362">
        <v>252663</v>
      </c>
    </row>
    <row r="363" spans="1:18" x14ac:dyDescent="0.25">
      <c r="A363" s="163">
        <v>42536</v>
      </c>
      <c r="B363" s="116">
        <v>257.29000000000002</v>
      </c>
      <c r="C363" s="116">
        <v>256.5</v>
      </c>
      <c r="D363" s="116">
        <v>253.11</v>
      </c>
      <c r="E363" s="116">
        <v>253.81</v>
      </c>
      <c r="F363" s="116">
        <v>1282.5</v>
      </c>
      <c r="G363">
        <v>11575</v>
      </c>
      <c r="H363" s="116"/>
      <c r="I363" s="116"/>
      <c r="L363" s="163">
        <v>42536</v>
      </c>
      <c r="M363" s="116">
        <v>256.87</v>
      </c>
      <c r="N363" s="116">
        <v>257.39999999999998</v>
      </c>
      <c r="O363" s="116">
        <v>253.14</v>
      </c>
      <c r="P363" s="116">
        <v>253.71</v>
      </c>
      <c r="Q363" s="116">
        <v>1284.3499999999999</v>
      </c>
      <c r="R363">
        <v>225179</v>
      </c>
    </row>
    <row r="364" spans="1:18" x14ac:dyDescent="0.25">
      <c r="A364" s="163">
        <v>42537</v>
      </c>
      <c r="B364" s="116">
        <v>256.39999999999998</v>
      </c>
      <c r="C364" s="116">
        <v>252.8</v>
      </c>
      <c r="D364" s="116">
        <v>251.57</v>
      </c>
      <c r="E364" s="116">
        <v>256</v>
      </c>
      <c r="F364" s="116">
        <v>1264</v>
      </c>
      <c r="G364">
        <v>9533</v>
      </c>
      <c r="H364" s="116"/>
      <c r="I364" s="116"/>
      <c r="L364" s="163">
        <v>42537</v>
      </c>
      <c r="M364" s="116">
        <v>252.67</v>
      </c>
      <c r="N364" s="116">
        <v>257.16000000000003</v>
      </c>
      <c r="O364" s="116">
        <v>251.2</v>
      </c>
      <c r="P364" s="116">
        <v>256.99</v>
      </c>
      <c r="Q364" s="116">
        <v>1263.3499999999999</v>
      </c>
      <c r="R364">
        <v>76517</v>
      </c>
    </row>
    <row r="365" spans="1:18" x14ac:dyDescent="0.25">
      <c r="A365" s="163">
        <v>42538</v>
      </c>
      <c r="B365" s="116">
        <v>256.39999999999998</v>
      </c>
      <c r="C365" s="116">
        <v>251.6</v>
      </c>
      <c r="D365" s="116">
        <v>250.32</v>
      </c>
      <c r="E365" s="116">
        <v>254.55</v>
      </c>
      <c r="F365" s="116">
        <v>1258</v>
      </c>
      <c r="G365">
        <v>7567</v>
      </c>
      <c r="H365" s="116"/>
      <c r="I365" s="116"/>
      <c r="L365" s="163">
        <v>42538</v>
      </c>
      <c r="M365" s="116">
        <v>251.21</v>
      </c>
      <c r="N365" s="116">
        <v>256.58</v>
      </c>
      <c r="O365" s="116">
        <v>250.68</v>
      </c>
      <c r="P365" s="116">
        <v>253.06</v>
      </c>
      <c r="Q365" s="116">
        <v>1256.05</v>
      </c>
      <c r="R365">
        <v>81991</v>
      </c>
    </row>
    <row r="366" spans="1:18" x14ac:dyDescent="0.25">
      <c r="A366" s="163">
        <v>42541</v>
      </c>
      <c r="B366" s="116">
        <v>254.2</v>
      </c>
      <c r="C366" s="116">
        <v>253.38</v>
      </c>
      <c r="D366" s="116">
        <v>249.04</v>
      </c>
      <c r="E366" s="116">
        <v>250.21</v>
      </c>
      <c r="F366" s="116">
        <v>1266.9000000000001</v>
      </c>
      <c r="G366">
        <v>10526</v>
      </c>
      <c r="H366" s="116"/>
      <c r="I366" s="116"/>
      <c r="L366" s="163">
        <v>42541</v>
      </c>
      <c r="M366" s="116">
        <v>253.74</v>
      </c>
      <c r="N366" s="116">
        <v>255</v>
      </c>
      <c r="O366" s="116">
        <v>248.71</v>
      </c>
      <c r="P366" s="116">
        <v>251.2</v>
      </c>
      <c r="Q366" s="116">
        <v>1268.7</v>
      </c>
      <c r="R366">
        <v>129469</v>
      </c>
    </row>
    <row r="367" spans="1:18" x14ac:dyDescent="0.25">
      <c r="A367" s="163">
        <v>42542</v>
      </c>
      <c r="B367" s="116">
        <v>255.2</v>
      </c>
      <c r="C367" s="116">
        <v>252.37</v>
      </c>
      <c r="D367" s="116">
        <v>251.42</v>
      </c>
      <c r="E367" s="116">
        <v>255.2</v>
      </c>
      <c r="F367" s="116">
        <v>1261.8499999999999</v>
      </c>
      <c r="G367">
        <v>3128</v>
      </c>
      <c r="H367" s="116"/>
      <c r="I367" s="116"/>
      <c r="L367" s="163">
        <v>42542</v>
      </c>
      <c r="M367" s="116">
        <v>252.38</v>
      </c>
      <c r="N367" s="116">
        <v>256</v>
      </c>
      <c r="O367" s="116">
        <v>251.31</v>
      </c>
      <c r="P367" s="116">
        <v>255.99</v>
      </c>
      <c r="Q367" s="116">
        <v>1261.9000000000001</v>
      </c>
      <c r="R367">
        <v>70032</v>
      </c>
    </row>
    <row r="368" spans="1:18" x14ac:dyDescent="0.25">
      <c r="A368" s="163">
        <v>42543</v>
      </c>
      <c r="B368" s="116">
        <v>253.6</v>
      </c>
      <c r="C368" s="116">
        <v>251</v>
      </c>
      <c r="D368" s="116">
        <v>250.2</v>
      </c>
      <c r="E368" s="116">
        <v>252.99</v>
      </c>
      <c r="F368" s="116">
        <v>1255</v>
      </c>
      <c r="G368">
        <v>6684</v>
      </c>
      <c r="H368" s="116"/>
      <c r="I368" s="116"/>
      <c r="L368" s="163">
        <v>42543</v>
      </c>
      <c r="M368" s="116">
        <v>250.74</v>
      </c>
      <c r="N368" s="116">
        <v>253.96</v>
      </c>
      <c r="O368" s="116">
        <v>250.09</v>
      </c>
      <c r="P368" s="116">
        <v>252.38</v>
      </c>
      <c r="Q368" s="116">
        <v>1253.7</v>
      </c>
      <c r="R368">
        <v>68501</v>
      </c>
    </row>
    <row r="369" spans="1:18" x14ac:dyDescent="0.25">
      <c r="A369" s="163">
        <v>42544</v>
      </c>
      <c r="B369" s="116">
        <v>251.81</v>
      </c>
      <c r="C369" s="116">
        <v>250.32</v>
      </c>
      <c r="D369" s="116">
        <v>249.7</v>
      </c>
      <c r="E369" s="116">
        <v>250.33</v>
      </c>
      <c r="F369" s="116">
        <v>1251.5999999999999</v>
      </c>
      <c r="G369">
        <v>5016</v>
      </c>
      <c r="H369" s="116"/>
      <c r="I369" s="116"/>
      <c r="L369" s="163">
        <v>42544</v>
      </c>
      <c r="M369" s="116">
        <v>250.2</v>
      </c>
      <c r="N369" s="116">
        <v>251.79</v>
      </c>
      <c r="O369" s="116">
        <v>249.6</v>
      </c>
      <c r="P369" s="116">
        <v>251.4</v>
      </c>
      <c r="Q369" s="116">
        <v>1251</v>
      </c>
      <c r="R369">
        <v>66627</v>
      </c>
    </row>
    <row r="370" spans="1:18" x14ac:dyDescent="0.25">
      <c r="A370" s="163">
        <v>42545</v>
      </c>
      <c r="B370" s="116">
        <v>251.89</v>
      </c>
      <c r="C370" s="116">
        <v>250.52</v>
      </c>
      <c r="D370" s="116">
        <v>239.96</v>
      </c>
      <c r="E370" s="116">
        <v>244</v>
      </c>
      <c r="F370" s="116">
        <v>1252.5999999999999</v>
      </c>
      <c r="G370">
        <v>14438</v>
      </c>
      <c r="H370" s="116"/>
      <c r="I370" s="116"/>
      <c r="L370" s="163">
        <v>42545</v>
      </c>
      <c r="M370" s="116">
        <v>250.59</v>
      </c>
      <c r="N370" s="116">
        <v>252</v>
      </c>
      <c r="O370" s="116">
        <v>239.33</v>
      </c>
      <c r="P370" s="116">
        <v>244.3</v>
      </c>
      <c r="Q370" s="116">
        <v>1252.95</v>
      </c>
      <c r="R370">
        <v>119862</v>
      </c>
    </row>
    <row r="371" spans="1:18" x14ac:dyDescent="0.25">
      <c r="A371" s="163">
        <v>42548</v>
      </c>
      <c r="B371" s="116">
        <v>254.45</v>
      </c>
      <c r="C371" s="116">
        <v>253.44</v>
      </c>
      <c r="D371" s="116">
        <v>250.4</v>
      </c>
      <c r="E371" s="116">
        <v>250.4</v>
      </c>
      <c r="F371" s="116">
        <v>1267.2</v>
      </c>
      <c r="G371">
        <v>5330</v>
      </c>
      <c r="H371" s="116"/>
      <c r="I371" s="116"/>
      <c r="L371" s="163">
        <v>42548</v>
      </c>
      <c r="M371" s="116">
        <v>253.32</v>
      </c>
      <c r="N371" s="116">
        <v>254.8</v>
      </c>
      <c r="O371" s="116">
        <v>250.2</v>
      </c>
      <c r="P371" s="116">
        <v>252.2</v>
      </c>
      <c r="Q371" s="116">
        <v>1266.5999999999999</v>
      </c>
      <c r="R371">
        <v>64769</v>
      </c>
    </row>
    <row r="372" spans="1:18" x14ac:dyDescent="0.25">
      <c r="A372" s="163">
        <v>42549</v>
      </c>
      <c r="B372" s="116">
        <v>257</v>
      </c>
      <c r="C372" s="116">
        <v>255.88</v>
      </c>
      <c r="D372" s="116">
        <v>253.41</v>
      </c>
      <c r="E372" s="116">
        <v>253.53</v>
      </c>
      <c r="F372" s="116">
        <v>1279.4000000000001</v>
      </c>
      <c r="G372">
        <v>8739</v>
      </c>
      <c r="H372" s="116"/>
      <c r="I372" s="116"/>
      <c r="L372" s="163">
        <v>42549</v>
      </c>
      <c r="M372" s="116">
        <v>256.13</v>
      </c>
      <c r="N372" s="116">
        <v>257.08</v>
      </c>
      <c r="O372" s="116">
        <v>253</v>
      </c>
      <c r="P372" s="116">
        <v>254.96</v>
      </c>
      <c r="Q372" s="116">
        <v>1280.6500000000001</v>
      </c>
      <c r="R372">
        <v>77012</v>
      </c>
    </row>
    <row r="373" spans="1:18" x14ac:dyDescent="0.25">
      <c r="A373" s="163">
        <v>42550</v>
      </c>
      <c r="B373" s="116">
        <v>259.60000000000002</v>
      </c>
      <c r="C373" s="116">
        <v>258.64999999999998</v>
      </c>
      <c r="D373" s="116">
        <v>256.64999999999998</v>
      </c>
      <c r="E373" s="116">
        <v>256.66000000000003</v>
      </c>
      <c r="F373" s="116">
        <v>1293.25</v>
      </c>
      <c r="G373">
        <v>12461</v>
      </c>
      <c r="H373" s="116"/>
      <c r="I373" s="116"/>
      <c r="L373" s="163">
        <v>42550</v>
      </c>
      <c r="M373" s="116">
        <v>258.91000000000003</v>
      </c>
      <c r="N373" s="116">
        <v>259.8</v>
      </c>
      <c r="O373" s="116">
        <v>256</v>
      </c>
      <c r="P373" s="116">
        <v>256.60000000000002</v>
      </c>
      <c r="Q373" s="116">
        <v>1294.55</v>
      </c>
      <c r="R373">
        <v>75768</v>
      </c>
    </row>
    <row r="374" spans="1:18" x14ac:dyDescent="0.25">
      <c r="A374" s="163">
        <v>42551</v>
      </c>
      <c r="B374" s="116">
        <v>264.8</v>
      </c>
      <c r="C374" s="116">
        <v>262.43</v>
      </c>
      <c r="D374" s="116">
        <v>258.60000000000002</v>
      </c>
      <c r="E374" s="116">
        <v>261.97000000000003</v>
      </c>
      <c r="F374" s="116">
        <v>1312.15</v>
      </c>
      <c r="G374">
        <v>14025</v>
      </c>
      <c r="H374" s="116"/>
      <c r="I374" s="116"/>
      <c r="L374" s="163">
        <v>42551</v>
      </c>
      <c r="M374" s="116">
        <v>262.57</v>
      </c>
      <c r="N374" s="116">
        <v>264.94</v>
      </c>
      <c r="O374" s="116">
        <v>258.14</v>
      </c>
      <c r="P374" s="116">
        <v>260.22000000000003</v>
      </c>
      <c r="Q374" s="116">
        <v>1312.85</v>
      </c>
      <c r="R374">
        <v>411199</v>
      </c>
    </row>
    <row r="375" spans="1:18" x14ac:dyDescent="0.25">
      <c r="A375" s="163">
        <v>42552</v>
      </c>
      <c r="B375" s="116">
        <v>265.2</v>
      </c>
      <c r="C375" s="116">
        <v>263.41000000000003</v>
      </c>
      <c r="D375" s="116">
        <v>262</v>
      </c>
      <c r="E375" s="116">
        <v>262</v>
      </c>
      <c r="F375" s="116">
        <v>1317.05</v>
      </c>
      <c r="G375">
        <v>14718</v>
      </c>
      <c r="H375" s="116"/>
      <c r="I375" s="116"/>
      <c r="L375" s="163">
        <v>42552</v>
      </c>
      <c r="M375" s="116">
        <v>262.87</v>
      </c>
      <c r="N375" s="116">
        <v>265.49</v>
      </c>
      <c r="O375" s="116">
        <v>262</v>
      </c>
      <c r="P375" s="116">
        <v>262.60000000000002</v>
      </c>
      <c r="Q375" s="116">
        <v>1314.35</v>
      </c>
      <c r="R375">
        <v>52567</v>
      </c>
    </row>
    <row r="376" spans="1:18" x14ac:dyDescent="0.25">
      <c r="A376" s="163">
        <v>42555</v>
      </c>
      <c r="B376" s="116">
        <v>266.5</v>
      </c>
      <c r="C376" s="116">
        <v>263.48</v>
      </c>
      <c r="D376" s="116">
        <v>262.26</v>
      </c>
      <c r="E376" s="116">
        <v>263.41000000000003</v>
      </c>
      <c r="F376" s="116">
        <v>1317.4</v>
      </c>
      <c r="G376">
        <v>12279</v>
      </c>
      <c r="H376" s="116"/>
      <c r="I376" s="116"/>
      <c r="L376" s="163">
        <v>42555</v>
      </c>
      <c r="M376" s="116">
        <v>263.95999999999998</v>
      </c>
      <c r="N376" s="116">
        <v>266.85000000000002</v>
      </c>
      <c r="O376" s="116">
        <v>262.22000000000003</v>
      </c>
      <c r="P376" s="116">
        <v>265.5</v>
      </c>
      <c r="Q376" s="116">
        <v>1319.8</v>
      </c>
      <c r="R376">
        <v>78191</v>
      </c>
    </row>
    <row r="377" spans="1:18" x14ac:dyDescent="0.25">
      <c r="A377" s="163">
        <v>42556</v>
      </c>
      <c r="B377" s="116">
        <v>266.60000000000002</v>
      </c>
      <c r="C377" s="116">
        <v>262.16000000000003</v>
      </c>
      <c r="D377" s="116">
        <v>260.88</v>
      </c>
      <c r="E377" s="116">
        <v>265.2</v>
      </c>
      <c r="F377" s="116">
        <v>1310.8</v>
      </c>
      <c r="G377">
        <v>7411</v>
      </c>
      <c r="H377" s="116"/>
      <c r="I377" s="116"/>
      <c r="L377" s="163">
        <v>42556</v>
      </c>
      <c r="M377" s="116">
        <v>262.08999999999997</v>
      </c>
      <c r="N377" s="116">
        <v>266.79000000000002</v>
      </c>
      <c r="O377" s="116">
        <v>261.01</v>
      </c>
      <c r="P377" s="116">
        <v>263.39999999999998</v>
      </c>
      <c r="Q377" s="116">
        <v>1310.45</v>
      </c>
      <c r="R377">
        <v>59876</v>
      </c>
    </row>
    <row r="378" spans="1:18" x14ac:dyDescent="0.25">
      <c r="A378" s="163">
        <v>42558</v>
      </c>
      <c r="B378" s="116">
        <v>268.82</v>
      </c>
      <c r="C378" s="116">
        <v>265.62</v>
      </c>
      <c r="D378" s="116">
        <v>262</v>
      </c>
      <c r="E378" s="116">
        <v>262</v>
      </c>
      <c r="F378" s="116">
        <v>1328.1</v>
      </c>
      <c r="G378">
        <v>23354</v>
      </c>
      <c r="H378" s="116"/>
      <c r="I378" s="116"/>
      <c r="L378" s="163">
        <v>42558</v>
      </c>
      <c r="M378" s="116">
        <v>265.02</v>
      </c>
      <c r="N378" s="116">
        <v>268.77999999999997</v>
      </c>
      <c r="O378" s="116">
        <v>261.45</v>
      </c>
      <c r="P378" s="116">
        <v>263</v>
      </c>
      <c r="Q378" s="116">
        <v>1325.1</v>
      </c>
      <c r="R378">
        <v>223056</v>
      </c>
    </row>
    <row r="379" spans="1:18" x14ac:dyDescent="0.25">
      <c r="A379" s="163">
        <v>42559</v>
      </c>
      <c r="B379" s="116">
        <v>267.8</v>
      </c>
      <c r="C379" s="116">
        <v>261.45</v>
      </c>
      <c r="D379" s="116">
        <v>259.22000000000003</v>
      </c>
      <c r="E379" s="116">
        <v>267</v>
      </c>
      <c r="F379" s="116">
        <v>1307.25</v>
      </c>
      <c r="G379">
        <v>9084</v>
      </c>
      <c r="H379" s="116"/>
      <c r="I379" s="116"/>
      <c r="L379" s="163">
        <v>42559</v>
      </c>
      <c r="M379" s="116">
        <v>261.95</v>
      </c>
      <c r="N379" s="116">
        <v>267.74</v>
      </c>
      <c r="O379" s="116">
        <v>259.20999999999998</v>
      </c>
      <c r="P379" s="116">
        <v>266</v>
      </c>
      <c r="Q379" s="116">
        <v>1309.75</v>
      </c>
      <c r="R379">
        <v>87863</v>
      </c>
    </row>
    <row r="380" spans="1:18" x14ac:dyDescent="0.25">
      <c r="A380" s="163">
        <v>42562</v>
      </c>
      <c r="B380" s="116">
        <v>266.58999999999997</v>
      </c>
      <c r="C380" s="116">
        <v>263.17</v>
      </c>
      <c r="D380" s="116">
        <v>262.3</v>
      </c>
      <c r="E380" s="116">
        <v>264.99</v>
      </c>
      <c r="F380" s="116">
        <v>1315.85</v>
      </c>
      <c r="G380">
        <v>7866</v>
      </c>
      <c r="H380" s="116"/>
      <c r="I380" s="116"/>
      <c r="L380" s="163">
        <v>42562</v>
      </c>
      <c r="M380" s="116">
        <v>263.3</v>
      </c>
      <c r="N380" s="116">
        <v>267</v>
      </c>
      <c r="O380" s="116">
        <v>262.44</v>
      </c>
      <c r="P380" s="116">
        <v>265</v>
      </c>
      <c r="Q380" s="116">
        <v>1316.5</v>
      </c>
      <c r="R380">
        <v>50318</v>
      </c>
    </row>
    <row r="381" spans="1:18" x14ac:dyDescent="0.25">
      <c r="A381" s="163">
        <v>42563</v>
      </c>
      <c r="B381" s="116">
        <v>272</v>
      </c>
      <c r="C381" s="116">
        <v>270.18</v>
      </c>
      <c r="D381" s="116">
        <v>264.8</v>
      </c>
      <c r="E381" s="116">
        <v>264.8</v>
      </c>
      <c r="F381" s="116">
        <v>1350.9</v>
      </c>
      <c r="G381">
        <v>21913</v>
      </c>
      <c r="H381" s="116"/>
      <c r="I381" s="116"/>
      <c r="L381" s="163">
        <v>42563</v>
      </c>
      <c r="M381" s="116">
        <v>270.68</v>
      </c>
      <c r="N381" s="116">
        <v>272.27999999999997</v>
      </c>
      <c r="O381" s="116">
        <v>264</v>
      </c>
      <c r="P381" s="116">
        <v>264.39999999999998</v>
      </c>
      <c r="Q381" s="116">
        <v>1353.4</v>
      </c>
      <c r="R381">
        <v>182860</v>
      </c>
    </row>
    <row r="382" spans="1:18" x14ac:dyDescent="0.25">
      <c r="A382" s="163">
        <v>42564</v>
      </c>
      <c r="B382" s="116">
        <v>273</v>
      </c>
      <c r="C382" s="116">
        <v>268.02999999999997</v>
      </c>
      <c r="D382" s="116">
        <v>266.16000000000003</v>
      </c>
      <c r="E382" s="116">
        <v>271</v>
      </c>
      <c r="F382" s="116">
        <v>1340.15</v>
      </c>
      <c r="G382">
        <v>7784</v>
      </c>
      <c r="H382" s="116"/>
      <c r="I382" s="116"/>
      <c r="L382" s="163">
        <v>42564</v>
      </c>
      <c r="M382" s="116">
        <v>267.85000000000002</v>
      </c>
      <c r="N382" s="116">
        <v>272.58999999999997</v>
      </c>
      <c r="O382" s="116">
        <v>267</v>
      </c>
      <c r="P382" s="116">
        <v>270.39999999999998</v>
      </c>
      <c r="Q382" s="116">
        <v>1339.25</v>
      </c>
      <c r="R382">
        <v>70750</v>
      </c>
    </row>
    <row r="383" spans="1:18" x14ac:dyDescent="0.25">
      <c r="A383" s="163">
        <v>42565</v>
      </c>
      <c r="B383" s="116">
        <v>287.38</v>
      </c>
      <c r="C383" s="116">
        <v>274.58</v>
      </c>
      <c r="D383" s="116">
        <v>270.39999999999998</v>
      </c>
      <c r="E383" s="116">
        <v>270.39999999999998</v>
      </c>
      <c r="F383" s="116">
        <v>1372.9</v>
      </c>
      <c r="G383">
        <v>116166</v>
      </c>
      <c r="H383" s="116"/>
      <c r="I383" s="116"/>
      <c r="L383" s="163">
        <v>42565</v>
      </c>
      <c r="M383" s="116">
        <v>274.82</v>
      </c>
      <c r="N383" s="116">
        <v>287.39999999999998</v>
      </c>
      <c r="O383" s="116">
        <v>272</v>
      </c>
      <c r="P383" s="116">
        <v>272.60000000000002</v>
      </c>
      <c r="Q383" s="116">
        <v>1374.1</v>
      </c>
      <c r="R383">
        <v>1061621</v>
      </c>
    </row>
    <row r="384" spans="1:18" x14ac:dyDescent="0.25">
      <c r="A384" s="163">
        <v>42566</v>
      </c>
      <c r="B384" s="116">
        <v>276</v>
      </c>
      <c r="C384" s="116">
        <v>268.23</v>
      </c>
      <c r="D384" s="116">
        <v>265.47000000000003</v>
      </c>
      <c r="E384" s="116">
        <v>275.04000000000002</v>
      </c>
      <c r="F384" s="116">
        <v>1341.15</v>
      </c>
      <c r="G384">
        <v>35564</v>
      </c>
      <c r="H384" s="116"/>
      <c r="I384" s="116"/>
      <c r="L384" s="163">
        <v>42566</v>
      </c>
      <c r="M384" s="116">
        <v>267.47000000000003</v>
      </c>
      <c r="N384" s="116">
        <v>276</v>
      </c>
      <c r="O384" s="116">
        <v>265.8</v>
      </c>
      <c r="P384" s="116">
        <v>276</v>
      </c>
      <c r="Q384" s="116">
        <v>1337.35</v>
      </c>
      <c r="R384">
        <v>165153</v>
      </c>
    </row>
    <row r="385" spans="1:18" x14ac:dyDescent="0.25">
      <c r="A385" s="163">
        <v>42569</v>
      </c>
      <c r="B385" s="116">
        <v>273.60000000000002</v>
      </c>
      <c r="C385" s="116">
        <v>268.05</v>
      </c>
      <c r="D385" s="116">
        <v>265</v>
      </c>
      <c r="E385" s="116">
        <v>268</v>
      </c>
      <c r="F385" s="116">
        <v>1340.25</v>
      </c>
      <c r="G385">
        <v>18735</v>
      </c>
      <c r="H385" s="116"/>
      <c r="I385" s="116"/>
      <c r="L385" s="163">
        <v>42569</v>
      </c>
      <c r="M385" s="116">
        <v>267.95</v>
      </c>
      <c r="N385" s="116">
        <v>273.8</v>
      </c>
      <c r="O385" s="116">
        <v>264.51</v>
      </c>
      <c r="P385" s="116">
        <v>269.60000000000002</v>
      </c>
      <c r="Q385" s="116">
        <v>1339.75</v>
      </c>
      <c r="R385">
        <v>142318</v>
      </c>
    </row>
    <row r="386" spans="1:18" x14ac:dyDescent="0.25">
      <c r="A386" s="163">
        <v>42570</v>
      </c>
      <c r="B386" s="116">
        <v>270.61</v>
      </c>
      <c r="C386" s="116">
        <v>267.58999999999997</v>
      </c>
      <c r="D386" s="116">
        <v>264.8</v>
      </c>
      <c r="E386" s="116">
        <v>270.27</v>
      </c>
      <c r="F386" s="116">
        <v>1337.95</v>
      </c>
      <c r="G386">
        <v>11650</v>
      </c>
      <c r="H386" s="116"/>
      <c r="I386" s="116"/>
      <c r="L386" s="163">
        <v>42570</v>
      </c>
      <c r="M386" s="116">
        <v>266.69</v>
      </c>
      <c r="N386" s="116">
        <v>270.62</v>
      </c>
      <c r="O386" s="116">
        <v>264.87</v>
      </c>
      <c r="P386" s="116">
        <v>268.38</v>
      </c>
      <c r="Q386" s="116">
        <v>1333.45</v>
      </c>
      <c r="R386">
        <v>96930</v>
      </c>
    </row>
    <row r="387" spans="1:18" x14ac:dyDescent="0.25">
      <c r="A387" s="163">
        <v>42571</v>
      </c>
      <c r="B387" s="116">
        <v>272.89</v>
      </c>
      <c r="C387" s="116">
        <v>270.43</v>
      </c>
      <c r="D387" s="116">
        <v>266.60000000000002</v>
      </c>
      <c r="E387" s="116">
        <v>267.14</v>
      </c>
      <c r="F387" s="116">
        <v>1352.15</v>
      </c>
      <c r="G387">
        <v>16018</v>
      </c>
      <c r="H387" s="116"/>
      <c r="I387" s="116"/>
      <c r="L387" s="163">
        <v>42571</v>
      </c>
      <c r="M387" s="116">
        <v>270.17</v>
      </c>
      <c r="N387" s="116">
        <v>273</v>
      </c>
      <c r="O387" s="116">
        <v>265.8</v>
      </c>
      <c r="P387" s="116">
        <v>266.33999999999997</v>
      </c>
      <c r="Q387" s="116">
        <v>1350.85</v>
      </c>
      <c r="R387">
        <v>124348</v>
      </c>
    </row>
    <row r="388" spans="1:18" x14ac:dyDescent="0.25">
      <c r="A388" s="163">
        <v>42572</v>
      </c>
      <c r="B388" s="116">
        <v>277.25</v>
      </c>
      <c r="C388" s="116">
        <v>273.16000000000003</v>
      </c>
      <c r="D388" s="116">
        <v>268</v>
      </c>
      <c r="E388" s="116">
        <v>268</v>
      </c>
      <c r="F388" s="116">
        <v>1365.8</v>
      </c>
      <c r="G388">
        <v>23939</v>
      </c>
      <c r="H388" s="116"/>
      <c r="I388" s="116"/>
      <c r="L388" s="163">
        <v>42572</v>
      </c>
      <c r="M388" s="116">
        <v>272.94</v>
      </c>
      <c r="N388" s="116">
        <v>277.60000000000002</v>
      </c>
      <c r="O388" s="116">
        <v>268.52</v>
      </c>
      <c r="P388" s="116">
        <v>270.60000000000002</v>
      </c>
      <c r="Q388" s="116">
        <v>1364.7</v>
      </c>
      <c r="R388">
        <v>209226</v>
      </c>
    </row>
    <row r="389" spans="1:18" x14ac:dyDescent="0.25">
      <c r="A389" s="163">
        <v>42573</v>
      </c>
      <c r="B389" s="116">
        <v>279.60000000000002</v>
      </c>
      <c r="C389" s="116">
        <v>277.95</v>
      </c>
      <c r="D389" s="116">
        <v>272.5</v>
      </c>
      <c r="E389" s="116">
        <v>274.48</v>
      </c>
      <c r="F389" s="116">
        <v>1389.75</v>
      </c>
      <c r="G389">
        <v>12946</v>
      </c>
      <c r="H389" s="116"/>
      <c r="I389" s="116"/>
      <c r="L389" s="163">
        <v>42573</v>
      </c>
      <c r="M389" s="116">
        <v>278.58</v>
      </c>
      <c r="N389" s="116">
        <v>279.60000000000002</v>
      </c>
      <c r="O389" s="116">
        <v>272.11</v>
      </c>
      <c r="P389" s="116">
        <v>273.2</v>
      </c>
      <c r="Q389" s="116">
        <v>1392.9</v>
      </c>
      <c r="R389">
        <v>174663</v>
      </c>
    </row>
    <row r="390" spans="1:18" x14ac:dyDescent="0.25">
      <c r="A390" s="163">
        <v>42576</v>
      </c>
      <c r="B390" s="116">
        <v>281.39999999999998</v>
      </c>
      <c r="C390" s="116">
        <v>278.22000000000003</v>
      </c>
      <c r="D390" s="116">
        <v>275</v>
      </c>
      <c r="E390" s="116">
        <v>278</v>
      </c>
      <c r="F390" s="116">
        <v>1391.1</v>
      </c>
      <c r="G390">
        <v>12641</v>
      </c>
      <c r="H390" s="116"/>
      <c r="I390" s="116"/>
      <c r="L390" s="163">
        <v>42576</v>
      </c>
      <c r="M390" s="116">
        <v>278.12</v>
      </c>
      <c r="N390" s="116">
        <v>281.60000000000002</v>
      </c>
      <c r="O390" s="116">
        <v>275</v>
      </c>
      <c r="P390" s="116">
        <v>279</v>
      </c>
      <c r="Q390" s="116">
        <v>1390.6</v>
      </c>
      <c r="R390">
        <v>195136</v>
      </c>
    </row>
    <row r="391" spans="1:18" x14ac:dyDescent="0.25">
      <c r="A391" s="163">
        <v>42577</v>
      </c>
      <c r="B391" s="116">
        <v>283.83999999999997</v>
      </c>
      <c r="C391" s="116">
        <v>277.86</v>
      </c>
      <c r="D391" s="116">
        <v>276.97000000000003</v>
      </c>
      <c r="E391" s="116">
        <v>281</v>
      </c>
      <c r="F391" s="116">
        <v>1389.3</v>
      </c>
      <c r="G391">
        <v>15489</v>
      </c>
      <c r="H391" s="116"/>
      <c r="I391" s="116"/>
      <c r="L391" s="163">
        <v>42577</v>
      </c>
      <c r="M391" s="116">
        <v>278.20999999999998</v>
      </c>
      <c r="N391" s="116">
        <v>283.61</v>
      </c>
      <c r="O391" s="116">
        <v>277.25</v>
      </c>
      <c r="P391" s="116">
        <v>280.39999999999998</v>
      </c>
      <c r="Q391" s="116">
        <v>1391.05</v>
      </c>
      <c r="R391">
        <v>217235</v>
      </c>
    </row>
    <row r="392" spans="1:18" x14ac:dyDescent="0.25">
      <c r="A392" s="163">
        <v>42578</v>
      </c>
      <c r="B392" s="116">
        <v>283.60000000000002</v>
      </c>
      <c r="C392" s="116">
        <v>282.38</v>
      </c>
      <c r="D392" s="116">
        <v>277.98</v>
      </c>
      <c r="E392" s="116">
        <v>282</v>
      </c>
      <c r="F392" s="116">
        <v>1411.9</v>
      </c>
      <c r="G392">
        <v>13066</v>
      </c>
      <c r="H392" s="116"/>
      <c r="I392" s="116"/>
      <c r="L392" s="163">
        <v>42578</v>
      </c>
      <c r="M392" s="116">
        <v>282.33</v>
      </c>
      <c r="N392" s="116">
        <v>283.77</v>
      </c>
      <c r="O392" s="116">
        <v>278.20999999999998</v>
      </c>
      <c r="P392" s="116">
        <v>279</v>
      </c>
      <c r="Q392" s="116">
        <v>1411.65</v>
      </c>
      <c r="R392">
        <v>191348</v>
      </c>
    </row>
    <row r="393" spans="1:18" x14ac:dyDescent="0.25">
      <c r="A393" s="163">
        <v>42579</v>
      </c>
      <c r="B393" s="116">
        <v>286</v>
      </c>
      <c r="C393" s="116">
        <v>284.8</v>
      </c>
      <c r="D393" s="116">
        <v>281.12</v>
      </c>
      <c r="E393" s="116">
        <v>283</v>
      </c>
      <c r="F393" s="116">
        <v>1424</v>
      </c>
      <c r="G393">
        <v>18186</v>
      </c>
      <c r="H393" s="116"/>
      <c r="I393" s="116"/>
      <c r="L393" s="163">
        <v>42579</v>
      </c>
      <c r="M393" s="116">
        <v>285.20999999999998</v>
      </c>
      <c r="N393" s="116">
        <v>286.39999999999998</v>
      </c>
      <c r="O393" s="116">
        <v>280.8</v>
      </c>
      <c r="P393" s="116">
        <v>282.39999999999998</v>
      </c>
      <c r="Q393" s="116">
        <v>1426.05</v>
      </c>
      <c r="R393">
        <v>225908</v>
      </c>
    </row>
    <row r="394" spans="1:18" x14ac:dyDescent="0.25">
      <c r="A394" s="163">
        <v>42580</v>
      </c>
      <c r="B394" s="116">
        <v>294</v>
      </c>
      <c r="C394" s="116">
        <v>292.25</v>
      </c>
      <c r="D394" s="116">
        <v>286</v>
      </c>
      <c r="E394" s="116">
        <v>286</v>
      </c>
      <c r="F394" s="116">
        <v>1461.25</v>
      </c>
      <c r="G394">
        <v>22484</v>
      </c>
      <c r="H394" s="116"/>
      <c r="I394" s="116"/>
      <c r="L394" s="163">
        <v>42580</v>
      </c>
      <c r="M394" s="116">
        <v>293.16000000000003</v>
      </c>
      <c r="N394" s="116">
        <v>294.48</v>
      </c>
      <c r="O394" s="116">
        <v>285.98</v>
      </c>
      <c r="P394" s="116">
        <v>285.98</v>
      </c>
      <c r="Q394" s="116">
        <v>1465.8</v>
      </c>
      <c r="R394">
        <v>207206</v>
      </c>
    </row>
    <row r="395" spans="1:18" x14ac:dyDescent="0.25">
      <c r="A395" s="163">
        <v>42583</v>
      </c>
      <c r="B395" s="116">
        <v>305.60000000000002</v>
      </c>
      <c r="C395" s="116">
        <v>302.74</v>
      </c>
      <c r="D395" s="116">
        <v>294</v>
      </c>
      <c r="E395" s="116">
        <v>294</v>
      </c>
      <c r="F395" s="116">
        <v>1513.7</v>
      </c>
      <c r="G395">
        <v>30564</v>
      </c>
      <c r="H395" s="116"/>
      <c r="I395" s="116"/>
      <c r="L395" s="163">
        <v>42583</v>
      </c>
      <c r="M395" s="116">
        <v>302.57</v>
      </c>
      <c r="N395" s="116">
        <v>305.60000000000002</v>
      </c>
      <c r="O395" s="116">
        <v>294.05</v>
      </c>
      <c r="P395" s="116">
        <v>294.05</v>
      </c>
      <c r="Q395" s="116">
        <v>1512.85</v>
      </c>
      <c r="R395">
        <v>415584</v>
      </c>
    </row>
    <row r="396" spans="1:18" x14ac:dyDescent="0.25">
      <c r="A396" s="163">
        <v>42584</v>
      </c>
      <c r="B396" s="116">
        <v>305.39999999999998</v>
      </c>
      <c r="C396" s="116">
        <v>297.45999999999998</v>
      </c>
      <c r="D396" s="116">
        <v>295.60000000000002</v>
      </c>
      <c r="E396" s="116">
        <v>303</v>
      </c>
      <c r="F396" s="116">
        <v>1487.3</v>
      </c>
      <c r="G396">
        <v>16708</v>
      </c>
      <c r="H396" s="116"/>
      <c r="I396" s="116"/>
      <c r="L396" s="163">
        <v>42584</v>
      </c>
      <c r="M396" s="116">
        <v>298.8</v>
      </c>
      <c r="N396" s="116">
        <v>304.95999999999998</v>
      </c>
      <c r="O396" s="116">
        <v>294.95</v>
      </c>
      <c r="P396" s="116">
        <v>304.2</v>
      </c>
      <c r="Q396" s="116">
        <v>1494</v>
      </c>
      <c r="R396">
        <v>177278</v>
      </c>
    </row>
    <row r="397" spans="1:18" x14ac:dyDescent="0.25">
      <c r="A397" s="163">
        <v>42585</v>
      </c>
      <c r="B397" s="116">
        <v>301.52999999999997</v>
      </c>
      <c r="C397" s="116">
        <v>294.64</v>
      </c>
      <c r="D397" s="116">
        <v>290.25</v>
      </c>
      <c r="E397" s="116">
        <v>299</v>
      </c>
      <c r="F397" s="116">
        <v>1473.2</v>
      </c>
      <c r="G397">
        <v>8579</v>
      </c>
      <c r="H397" s="116"/>
      <c r="I397" s="116"/>
      <c r="L397" s="163">
        <v>42585</v>
      </c>
      <c r="M397" s="116">
        <v>295.17</v>
      </c>
      <c r="N397" s="116">
        <v>301.04000000000002</v>
      </c>
      <c r="O397" s="116">
        <v>294</v>
      </c>
      <c r="P397" s="116">
        <v>299.8</v>
      </c>
      <c r="Q397" s="116">
        <v>1475.85</v>
      </c>
      <c r="R397">
        <v>181841</v>
      </c>
    </row>
    <row r="398" spans="1:18" x14ac:dyDescent="0.25">
      <c r="A398" s="163">
        <v>42586</v>
      </c>
      <c r="B398" s="116">
        <v>303</v>
      </c>
      <c r="C398" s="116">
        <v>300.52</v>
      </c>
      <c r="D398" s="116">
        <v>292.76</v>
      </c>
      <c r="E398" s="116">
        <v>299.99</v>
      </c>
      <c r="F398" s="116">
        <v>1502.6</v>
      </c>
      <c r="G398">
        <v>11766</v>
      </c>
      <c r="H398" s="116"/>
      <c r="I398" s="116"/>
      <c r="L398" s="163">
        <v>42586</v>
      </c>
      <c r="M398" s="116">
        <v>300.66000000000003</v>
      </c>
      <c r="N398" s="116">
        <v>302.79000000000002</v>
      </c>
      <c r="O398" s="116">
        <v>292.44</v>
      </c>
      <c r="P398" s="116">
        <v>297.38</v>
      </c>
      <c r="Q398" s="116">
        <v>1503.3</v>
      </c>
      <c r="R398">
        <v>168431</v>
      </c>
    </row>
    <row r="399" spans="1:18" x14ac:dyDescent="0.25">
      <c r="A399" s="163">
        <v>42587</v>
      </c>
      <c r="B399" s="116">
        <v>309.60000000000002</v>
      </c>
      <c r="C399" s="116">
        <v>306.32</v>
      </c>
      <c r="D399" s="116">
        <v>302</v>
      </c>
      <c r="E399" s="116">
        <v>302</v>
      </c>
      <c r="F399" s="116">
        <v>1531.6</v>
      </c>
      <c r="G399">
        <v>23678</v>
      </c>
      <c r="H399" s="116"/>
      <c r="I399" s="116"/>
      <c r="L399" s="163">
        <v>42587</v>
      </c>
      <c r="M399" s="116">
        <v>306.37</v>
      </c>
      <c r="N399" s="116">
        <v>309.89999999999998</v>
      </c>
      <c r="O399" s="116">
        <v>302</v>
      </c>
      <c r="P399" s="116">
        <v>302</v>
      </c>
      <c r="Q399" s="116">
        <v>1531.85</v>
      </c>
      <c r="R399">
        <v>209755</v>
      </c>
    </row>
    <row r="400" spans="1:18" x14ac:dyDescent="0.25">
      <c r="A400" s="163">
        <v>42590</v>
      </c>
      <c r="B400" s="116">
        <v>310.95999999999998</v>
      </c>
      <c r="C400" s="116">
        <v>307.62</v>
      </c>
      <c r="D400" s="116">
        <v>299.60000000000002</v>
      </c>
      <c r="E400" s="116">
        <v>308</v>
      </c>
      <c r="F400" s="116">
        <v>1538.1</v>
      </c>
      <c r="G400">
        <v>20839</v>
      </c>
      <c r="H400" s="116"/>
      <c r="I400" s="116"/>
      <c r="L400" s="163">
        <v>42590</v>
      </c>
      <c r="M400" s="116">
        <v>307.81</v>
      </c>
      <c r="N400" s="116">
        <v>311.2</v>
      </c>
      <c r="O400" s="116">
        <v>299.2</v>
      </c>
      <c r="P400" s="116">
        <v>309.2</v>
      </c>
      <c r="Q400" s="116">
        <v>1539.05</v>
      </c>
      <c r="R400">
        <v>229122</v>
      </c>
    </row>
    <row r="401" spans="1:18" x14ac:dyDescent="0.25">
      <c r="A401" s="163">
        <v>42591</v>
      </c>
      <c r="B401" s="116">
        <v>337.6</v>
      </c>
      <c r="C401" s="116">
        <v>316.06</v>
      </c>
      <c r="D401" s="116">
        <v>310.83999999999997</v>
      </c>
      <c r="E401" s="116">
        <v>312.98</v>
      </c>
      <c r="F401" s="116">
        <v>1580.3</v>
      </c>
      <c r="G401">
        <v>240747</v>
      </c>
      <c r="H401" s="116"/>
      <c r="I401" s="116"/>
      <c r="L401" s="163">
        <v>42591</v>
      </c>
      <c r="M401" s="116">
        <v>316.18</v>
      </c>
      <c r="N401" s="116">
        <v>337.74</v>
      </c>
      <c r="O401" s="116">
        <v>310</v>
      </c>
      <c r="P401" s="116">
        <v>312.98</v>
      </c>
      <c r="Q401" s="116">
        <v>1580.9</v>
      </c>
      <c r="R401">
        <v>2093549</v>
      </c>
    </row>
    <row r="402" spans="1:18" x14ac:dyDescent="0.25">
      <c r="A402" s="163">
        <v>42592</v>
      </c>
      <c r="B402" s="116">
        <v>325.60000000000002</v>
      </c>
      <c r="C402" s="116">
        <v>312.07</v>
      </c>
      <c r="D402" s="116">
        <v>310.2</v>
      </c>
      <c r="E402" s="116">
        <v>317.60000000000002</v>
      </c>
      <c r="F402" s="116">
        <v>1560.35</v>
      </c>
      <c r="G402">
        <v>66994</v>
      </c>
      <c r="H402" s="116"/>
      <c r="I402" s="116"/>
      <c r="L402" s="163">
        <v>42592</v>
      </c>
      <c r="M402" s="116">
        <v>312.31</v>
      </c>
      <c r="N402" s="116">
        <v>325.72000000000003</v>
      </c>
      <c r="O402" s="116">
        <v>309.60000000000002</v>
      </c>
      <c r="P402" s="116">
        <v>316.18</v>
      </c>
      <c r="Q402" s="116">
        <v>1561.55</v>
      </c>
      <c r="R402">
        <v>876130</v>
      </c>
    </row>
    <row r="403" spans="1:18" x14ac:dyDescent="0.25">
      <c r="A403" s="163">
        <v>42593</v>
      </c>
      <c r="B403" s="116">
        <v>315.89</v>
      </c>
      <c r="C403" s="116">
        <v>311.02999999999997</v>
      </c>
      <c r="D403" s="116">
        <v>307.64999999999998</v>
      </c>
      <c r="E403" s="116">
        <v>313.27</v>
      </c>
      <c r="F403" s="116">
        <v>1555.15</v>
      </c>
      <c r="G403">
        <v>21644</v>
      </c>
      <c r="H403" s="116"/>
      <c r="I403" s="116"/>
      <c r="L403" s="163">
        <v>42593</v>
      </c>
      <c r="M403" s="116">
        <v>311.75</v>
      </c>
      <c r="N403" s="116">
        <v>316.99</v>
      </c>
      <c r="O403" s="116">
        <v>307.62</v>
      </c>
      <c r="P403" s="116">
        <v>314.24</v>
      </c>
      <c r="Q403" s="116">
        <v>1558.75</v>
      </c>
      <c r="R403">
        <v>239385</v>
      </c>
    </row>
    <row r="404" spans="1:18" x14ac:dyDescent="0.25">
      <c r="A404" s="163">
        <v>42594</v>
      </c>
      <c r="B404" s="116">
        <v>319.56</v>
      </c>
      <c r="C404" s="116">
        <v>316.38</v>
      </c>
      <c r="D404" s="116">
        <v>312.39999999999998</v>
      </c>
      <c r="E404" s="116">
        <v>312.39999999999998</v>
      </c>
      <c r="F404" s="116">
        <v>1581.9</v>
      </c>
      <c r="G404">
        <v>16435</v>
      </c>
      <c r="H404" s="116"/>
      <c r="I404" s="116"/>
      <c r="L404" s="163">
        <v>42594</v>
      </c>
      <c r="M404" s="116">
        <v>316.76</v>
      </c>
      <c r="N404" s="116">
        <v>319.58999999999997</v>
      </c>
      <c r="O404" s="116">
        <v>312</v>
      </c>
      <c r="P404" s="116">
        <v>312.99</v>
      </c>
      <c r="Q404" s="116">
        <v>1583.8</v>
      </c>
      <c r="R404">
        <v>212754</v>
      </c>
    </row>
    <row r="405" spans="1:18" x14ac:dyDescent="0.25">
      <c r="A405" s="163">
        <v>42598</v>
      </c>
      <c r="B405" s="116">
        <v>318.14999999999998</v>
      </c>
      <c r="C405" s="116">
        <v>316.48</v>
      </c>
      <c r="D405" s="116">
        <v>310.19</v>
      </c>
      <c r="E405" s="116">
        <v>315.55</v>
      </c>
      <c r="F405" s="116">
        <v>1582.4</v>
      </c>
      <c r="G405">
        <v>11145</v>
      </c>
      <c r="H405" s="116"/>
      <c r="I405" s="116"/>
      <c r="L405" s="163">
        <v>42598</v>
      </c>
      <c r="M405" s="116">
        <v>316.66000000000003</v>
      </c>
      <c r="N405" s="116">
        <v>318.37</v>
      </c>
      <c r="O405" s="116">
        <v>309.98</v>
      </c>
      <c r="P405" s="116">
        <v>317.58999999999997</v>
      </c>
      <c r="Q405" s="116">
        <v>1583.3</v>
      </c>
      <c r="R405">
        <v>130431</v>
      </c>
    </row>
    <row r="406" spans="1:18" x14ac:dyDescent="0.25">
      <c r="A406" s="163">
        <v>42599</v>
      </c>
      <c r="B406" s="116">
        <v>325.77999999999997</v>
      </c>
      <c r="C406" s="116">
        <v>321.87</v>
      </c>
      <c r="D406" s="116">
        <v>316.39</v>
      </c>
      <c r="E406" s="116">
        <v>316.60000000000002</v>
      </c>
      <c r="F406" s="116">
        <v>1609.35</v>
      </c>
      <c r="G406">
        <v>27362</v>
      </c>
      <c r="H406" s="116"/>
      <c r="I406" s="116"/>
      <c r="L406" s="163">
        <v>42599</v>
      </c>
      <c r="M406" s="116">
        <v>322.23</v>
      </c>
      <c r="N406" s="116">
        <v>325.94</v>
      </c>
      <c r="O406" s="116">
        <v>314</v>
      </c>
      <c r="P406" s="116">
        <v>314</v>
      </c>
      <c r="Q406" s="116">
        <v>1611.15</v>
      </c>
      <c r="R406">
        <v>283484</v>
      </c>
    </row>
    <row r="407" spans="1:18" x14ac:dyDescent="0.25">
      <c r="A407" s="163">
        <v>42600</v>
      </c>
      <c r="B407" s="116">
        <v>326.99</v>
      </c>
      <c r="C407" s="116">
        <v>323.70999999999998</v>
      </c>
      <c r="D407" s="116">
        <v>312.5</v>
      </c>
      <c r="E407" s="116">
        <v>323</v>
      </c>
      <c r="F407" s="116">
        <v>1618.55</v>
      </c>
      <c r="G407">
        <v>17552</v>
      </c>
      <c r="H407" s="116"/>
      <c r="I407" s="116"/>
      <c r="L407" s="163">
        <v>42600</v>
      </c>
      <c r="M407" s="116">
        <v>324.17</v>
      </c>
      <c r="N407" s="116">
        <v>327</v>
      </c>
      <c r="O407" s="116">
        <v>309.54000000000002</v>
      </c>
      <c r="P407" s="116">
        <v>321.77999999999997</v>
      </c>
      <c r="Q407" s="116">
        <v>1620.85</v>
      </c>
      <c r="R407">
        <v>289920</v>
      </c>
    </row>
    <row r="408" spans="1:18" x14ac:dyDescent="0.25">
      <c r="A408" s="163">
        <v>42601</v>
      </c>
      <c r="B408" s="116">
        <v>328.2</v>
      </c>
      <c r="C408" s="116">
        <v>322.58</v>
      </c>
      <c r="D408" s="116">
        <v>321.56</v>
      </c>
      <c r="E408" s="116">
        <v>323.60000000000002</v>
      </c>
      <c r="F408" s="116">
        <v>1612.9</v>
      </c>
      <c r="G408">
        <v>17515</v>
      </c>
      <c r="H408" s="116"/>
      <c r="I408" s="116"/>
      <c r="L408" s="163">
        <v>42601</v>
      </c>
      <c r="M408" s="116">
        <v>322.56</v>
      </c>
      <c r="N408" s="116">
        <v>327.95</v>
      </c>
      <c r="O408" s="116">
        <v>321.7</v>
      </c>
      <c r="P408" s="116">
        <v>323.89999999999998</v>
      </c>
      <c r="Q408" s="116">
        <v>1612.8</v>
      </c>
      <c r="R408">
        <v>188871</v>
      </c>
    </row>
    <row r="409" spans="1:18" x14ac:dyDescent="0.25">
      <c r="A409" s="163">
        <v>42604</v>
      </c>
      <c r="B409" s="116">
        <v>326</v>
      </c>
      <c r="C409" s="116">
        <v>324.79000000000002</v>
      </c>
      <c r="D409" s="116">
        <v>322.60000000000002</v>
      </c>
      <c r="E409" s="116">
        <v>322.60000000000002</v>
      </c>
      <c r="F409" s="116">
        <v>1623.95</v>
      </c>
      <c r="G409">
        <v>8767</v>
      </c>
      <c r="H409" s="116"/>
      <c r="I409" s="116"/>
      <c r="L409" s="163">
        <v>42604</v>
      </c>
      <c r="M409" s="116">
        <v>324.76</v>
      </c>
      <c r="N409" s="116">
        <v>326.39999999999998</v>
      </c>
      <c r="O409" s="116">
        <v>321.70999999999998</v>
      </c>
      <c r="P409" s="116">
        <v>323.99</v>
      </c>
      <c r="Q409" s="116">
        <v>1623.8</v>
      </c>
      <c r="R409">
        <v>132837</v>
      </c>
    </row>
    <row r="410" spans="1:18" x14ac:dyDescent="0.25">
      <c r="A410" s="163">
        <v>42605</v>
      </c>
      <c r="B410" s="116">
        <v>333.45</v>
      </c>
      <c r="C410" s="116">
        <v>332.21</v>
      </c>
      <c r="D410" s="116">
        <v>324.45</v>
      </c>
      <c r="E410" s="116">
        <v>325.05</v>
      </c>
      <c r="F410" s="116">
        <v>1661.05</v>
      </c>
      <c r="G410">
        <v>27078</v>
      </c>
      <c r="H410" s="116"/>
      <c r="I410" s="116"/>
      <c r="L410" s="163">
        <v>42605</v>
      </c>
      <c r="M410" s="116">
        <v>331.86</v>
      </c>
      <c r="N410" s="116">
        <v>333.25</v>
      </c>
      <c r="O410" s="116">
        <v>324.2</v>
      </c>
      <c r="P410" s="116">
        <v>324.60000000000002</v>
      </c>
      <c r="Q410" s="116">
        <v>1659.3</v>
      </c>
      <c r="R410">
        <v>280253</v>
      </c>
    </row>
    <row r="411" spans="1:18" x14ac:dyDescent="0.25">
      <c r="A411" s="163">
        <v>42606</v>
      </c>
      <c r="B411" s="116">
        <v>338.2</v>
      </c>
      <c r="C411" s="116">
        <v>336.21</v>
      </c>
      <c r="D411" s="116">
        <v>330.11</v>
      </c>
      <c r="E411" s="116">
        <v>332.6</v>
      </c>
      <c r="F411" s="116">
        <v>1681.05</v>
      </c>
      <c r="G411">
        <v>16193</v>
      </c>
      <c r="H411" s="116"/>
      <c r="I411" s="116"/>
      <c r="L411" s="163">
        <v>42606</v>
      </c>
      <c r="M411" s="116">
        <v>336.27</v>
      </c>
      <c r="N411" s="116">
        <v>338.4</v>
      </c>
      <c r="O411" s="116">
        <v>330.19</v>
      </c>
      <c r="P411" s="116">
        <v>332.2</v>
      </c>
      <c r="Q411" s="116">
        <v>1681.35</v>
      </c>
      <c r="R411">
        <v>219842</v>
      </c>
    </row>
    <row r="412" spans="1:18" x14ac:dyDescent="0.25">
      <c r="A412" s="163">
        <v>42607</v>
      </c>
      <c r="B412" s="116">
        <v>342</v>
      </c>
      <c r="C412" s="116">
        <v>336.16</v>
      </c>
      <c r="D412" s="116">
        <v>333.59</v>
      </c>
      <c r="E412" s="116">
        <v>340</v>
      </c>
      <c r="F412" s="116">
        <v>1680.8</v>
      </c>
      <c r="G412">
        <v>19951</v>
      </c>
      <c r="H412" s="116"/>
      <c r="I412" s="116"/>
      <c r="L412" s="163">
        <v>42607</v>
      </c>
      <c r="M412" s="116">
        <v>335.84</v>
      </c>
      <c r="N412" s="116">
        <v>341.89</v>
      </c>
      <c r="O412" s="116">
        <v>333.4</v>
      </c>
      <c r="P412" s="116">
        <v>336.2</v>
      </c>
      <c r="Q412" s="116">
        <v>1679.2</v>
      </c>
      <c r="R412">
        <v>274453</v>
      </c>
    </row>
    <row r="413" spans="1:18" x14ac:dyDescent="0.25">
      <c r="A413" s="163">
        <v>42608</v>
      </c>
      <c r="B413" s="116">
        <v>342.35</v>
      </c>
      <c r="C413" s="116">
        <v>334.95</v>
      </c>
      <c r="D413" s="116">
        <v>332.7</v>
      </c>
      <c r="E413" s="116">
        <v>339.8</v>
      </c>
      <c r="F413" s="116">
        <v>1674.75</v>
      </c>
      <c r="G413">
        <v>16525</v>
      </c>
      <c r="H413" s="116"/>
      <c r="I413" s="116"/>
      <c r="L413" s="163">
        <v>42608</v>
      </c>
      <c r="M413" s="116">
        <v>334.93</v>
      </c>
      <c r="N413" s="116">
        <v>342.4</v>
      </c>
      <c r="O413" s="116">
        <v>333</v>
      </c>
      <c r="P413" s="116">
        <v>337.28</v>
      </c>
      <c r="Q413" s="116">
        <v>1674.65</v>
      </c>
      <c r="R413">
        <v>232597</v>
      </c>
    </row>
    <row r="414" spans="1:18" x14ac:dyDescent="0.25">
      <c r="A414" s="163">
        <v>42611</v>
      </c>
      <c r="B414" s="116">
        <v>336.8</v>
      </c>
      <c r="C414" s="116">
        <v>334.06</v>
      </c>
      <c r="D414" s="116">
        <v>332.15</v>
      </c>
      <c r="E414" s="116">
        <v>334.01</v>
      </c>
      <c r="F414" s="116">
        <v>1670.3</v>
      </c>
      <c r="G414">
        <v>5793</v>
      </c>
      <c r="H414" s="116"/>
      <c r="I414" s="116"/>
      <c r="L414" s="163">
        <v>42611</v>
      </c>
      <c r="M414" s="116">
        <v>334.13</v>
      </c>
      <c r="N414" s="116">
        <v>336.7</v>
      </c>
      <c r="O414" s="116">
        <v>331.73</v>
      </c>
      <c r="P414" s="116">
        <v>334.78</v>
      </c>
      <c r="Q414" s="116">
        <v>1670.65</v>
      </c>
      <c r="R414">
        <v>97281</v>
      </c>
    </row>
    <row r="415" spans="1:18" x14ac:dyDescent="0.25">
      <c r="A415" s="163">
        <v>42612</v>
      </c>
      <c r="B415" s="116">
        <v>339.61</v>
      </c>
      <c r="C415" s="116">
        <v>337.1</v>
      </c>
      <c r="D415" s="116">
        <v>335.4</v>
      </c>
      <c r="E415" s="116">
        <v>335.99</v>
      </c>
      <c r="F415" s="116">
        <v>1685.5</v>
      </c>
      <c r="G415">
        <v>7348</v>
      </c>
      <c r="H415" s="116"/>
      <c r="I415" s="116"/>
      <c r="L415" s="163">
        <v>42612</v>
      </c>
      <c r="M415" s="116">
        <v>337.31</v>
      </c>
      <c r="N415" s="116">
        <v>339.8</v>
      </c>
      <c r="O415" s="116">
        <v>331.53</v>
      </c>
      <c r="P415" s="116">
        <v>336</v>
      </c>
      <c r="Q415" s="116">
        <v>1686.55</v>
      </c>
      <c r="R415">
        <v>90706</v>
      </c>
    </row>
    <row r="416" spans="1:18" x14ac:dyDescent="0.25">
      <c r="A416" s="163">
        <v>42613</v>
      </c>
      <c r="B416" s="116">
        <v>344.89</v>
      </c>
      <c r="C416" s="116">
        <v>343.52</v>
      </c>
      <c r="D416" s="116">
        <v>336.8</v>
      </c>
      <c r="E416" s="116">
        <v>337.2</v>
      </c>
      <c r="F416" s="116">
        <v>1717.6</v>
      </c>
      <c r="G416">
        <v>23178</v>
      </c>
      <c r="H416" s="116"/>
      <c r="I416" s="116"/>
      <c r="L416" s="163">
        <v>42613</v>
      </c>
      <c r="M416" s="116">
        <v>344.3</v>
      </c>
      <c r="N416" s="116">
        <v>346</v>
      </c>
      <c r="O416" s="116">
        <v>336.62</v>
      </c>
      <c r="P416" s="116">
        <v>339.4</v>
      </c>
      <c r="Q416" s="116">
        <v>1721.5</v>
      </c>
      <c r="R416">
        <v>321510</v>
      </c>
    </row>
    <row r="417" spans="1:18" x14ac:dyDescent="0.25">
      <c r="A417" s="163">
        <v>42614</v>
      </c>
      <c r="B417" s="116">
        <v>349.94</v>
      </c>
      <c r="C417" s="116">
        <v>342.86</v>
      </c>
      <c r="D417" s="116">
        <v>341</v>
      </c>
      <c r="E417" s="116">
        <v>344</v>
      </c>
      <c r="F417" s="116">
        <v>1714.3</v>
      </c>
      <c r="G417">
        <v>17908</v>
      </c>
      <c r="H417" s="116"/>
      <c r="I417" s="116"/>
      <c r="L417" s="163">
        <v>42614</v>
      </c>
      <c r="M417" s="116">
        <v>342.73</v>
      </c>
      <c r="N417" s="116">
        <v>350</v>
      </c>
      <c r="O417" s="116">
        <v>341.1</v>
      </c>
      <c r="P417" s="116">
        <v>345.98</v>
      </c>
      <c r="Q417" s="116">
        <v>1713.65</v>
      </c>
      <c r="R417">
        <v>204744</v>
      </c>
    </row>
    <row r="418" spans="1:18" x14ac:dyDescent="0.25">
      <c r="A418" s="163">
        <v>42615</v>
      </c>
      <c r="B418" s="116">
        <v>346.7</v>
      </c>
      <c r="C418" s="116">
        <v>340.24</v>
      </c>
      <c r="D418" s="116">
        <v>339.58</v>
      </c>
      <c r="E418" s="116">
        <v>343.4</v>
      </c>
      <c r="F418" s="116">
        <v>1701.2</v>
      </c>
      <c r="G418">
        <v>11538</v>
      </c>
      <c r="H418" s="116"/>
      <c r="I418" s="116"/>
      <c r="L418" s="163">
        <v>42615</v>
      </c>
      <c r="M418" s="116">
        <v>341</v>
      </c>
      <c r="N418" s="116">
        <v>346.8</v>
      </c>
      <c r="O418" s="116">
        <v>339.85</v>
      </c>
      <c r="P418" s="116">
        <v>343.2</v>
      </c>
      <c r="Q418" s="116">
        <v>1705</v>
      </c>
      <c r="R418">
        <v>130983</v>
      </c>
    </row>
    <row r="419" spans="1:18" x14ac:dyDescent="0.25">
      <c r="A419" s="163">
        <v>42619</v>
      </c>
      <c r="B419" s="116">
        <v>345.29</v>
      </c>
      <c r="C419" s="116">
        <v>343.15</v>
      </c>
      <c r="D419" s="116">
        <v>341.12</v>
      </c>
      <c r="E419" s="116">
        <v>343.16</v>
      </c>
      <c r="F419" s="116">
        <v>1715.75</v>
      </c>
      <c r="G419">
        <v>7003</v>
      </c>
      <c r="H419" s="116"/>
      <c r="I419" s="116"/>
      <c r="L419" s="163">
        <v>42619</v>
      </c>
      <c r="M419" s="116">
        <v>343.5</v>
      </c>
      <c r="N419" s="116">
        <v>345.91</v>
      </c>
      <c r="O419" s="116">
        <v>340.8</v>
      </c>
      <c r="P419" s="116">
        <v>344.51</v>
      </c>
      <c r="Q419" s="116">
        <v>1717.5</v>
      </c>
      <c r="R419">
        <v>83901</v>
      </c>
    </row>
    <row r="420" spans="1:18" x14ac:dyDescent="0.25">
      <c r="A420" s="163">
        <v>42620</v>
      </c>
      <c r="B420" s="116">
        <v>349.4</v>
      </c>
      <c r="C420" s="116">
        <v>346.59</v>
      </c>
      <c r="D420" s="116">
        <v>343.6</v>
      </c>
      <c r="E420" s="116">
        <v>343.6</v>
      </c>
      <c r="F420" s="116">
        <v>1732.95</v>
      </c>
      <c r="G420">
        <v>11233</v>
      </c>
      <c r="H420" s="116"/>
      <c r="I420" s="116"/>
      <c r="L420" s="163">
        <v>42620</v>
      </c>
      <c r="M420" s="116">
        <v>346.8</v>
      </c>
      <c r="N420" s="116">
        <v>349.8</v>
      </c>
      <c r="O420" s="116">
        <v>343.51</v>
      </c>
      <c r="P420" s="116">
        <v>345</v>
      </c>
      <c r="Q420" s="116">
        <v>1734</v>
      </c>
      <c r="R420">
        <v>154832</v>
      </c>
    </row>
    <row r="421" spans="1:18" x14ac:dyDescent="0.25">
      <c r="A421" s="163">
        <v>42621</v>
      </c>
      <c r="B421" s="116">
        <v>351</v>
      </c>
      <c r="C421" s="116">
        <v>345.66</v>
      </c>
      <c r="D421" s="116">
        <v>344</v>
      </c>
      <c r="E421" s="116">
        <v>346</v>
      </c>
      <c r="F421" s="116">
        <v>1728.3</v>
      </c>
      <c r="G421">
        <v>9160</v>
      </c>
      <c r="H421" s="116"/>
      <c r="I421" s="116"/>
      <c r="L421" s="163">
        <v>42621</v>
      </c>
      <c r="M421" s="116">
        <v>346.08</v>
      </c>
      <c r="N421" s="116">
        <v>350.97</v>
      </c>
      <c r="O421" s="116">
        <v>344</v>
      </c>
      <c r="P421" s="116">
        <v>347</v>
      </c>
      <c r="Q421" s="116">
        <v>1730.4</v>
      </c>
      <c r="R421">
        <v>117617</v>
      </c>
    </row>
    <row r="422" spans="1:18" x14ac:dyDescent="0.25">
      <c r="A422" s="163">
        <v>42622</v>
      </c>
      <c r="B422" s="116">
        <v>347.42</v>
      </c>
      <c r="C422" s="116">
        <v>342.86</v>
      </c>
      <c r="D422" s="116">
        <v>342.21</v>
      </c>
      <c r="E422" s="116">
        <v>345</v>
      </c>
      <c r="F422" s="116">
        <v>1714.3</v>
      </c>
      <c r="G422">
        <v>5661</v>
      </c>
      <c r="H422" s="116"/>
      <c r="I422" s="116"/>
      <c r="L422" s="163">
        <v>42622</v>
      </c>
      <c r="M422" s="116">
        <v>343.65</v>
      </c>
      <c r="N422" s="116">
        <v>347.8</v>
      </c>
      <c r="O422" s="116">
        <v>342.5</v>
      </c>
      <c r="P422" s="116">
        <v>346.21</v>
      </c>
      <c r="Q422" s="116">
        <v>1718.25</v>
      </c>
      <c r="R422">
        <v>72503</v>
      </c>
    </row>
    <row r="423" spans="1:18" x14ac:dyDescent="0.25">
      <c r="A423" s="163">
        <v>42625</v>
      </c>
      <c r="B423" s="116">
        <v>340</v>
      </c>
      <c r="C423" s="116">
        <v>324.89</v>
      </c>
      <c r="D423" s="116">
        <v>323.39999999999998</v>
      </c>
      <c r="E423" s="116">
        <v>340</v>
      </c>
      <c r="F423" s="116">
        <v>1624.45</v>
      </c>
      <c r="G423">
        <v>18148</v>
      </c>
      <c r="H423" s="116"/>
      <c r="I423" s="116"/>
      <c r="L423" s="163">
        <v>42625</v>
      </c>
      <c r="M423" s="116">
        <v>325.05</v>
      </c>
      <c r="N423" s="116">
        <v>336.23</v>
      </c>
      <c r="O423" s="116">
        <v>323.51</v>
      </c>
      <c r="P423" s="116">
        <v>326.60000000000002</v>
      </c>
      <c r="Q423" s="116">
        <v>1625.25</v>
      </c>
      <c r="R423">
        <v>134380</v>
      </c>
    </row>
    <row r="424" spans="1:18" x14ac:dyDescent="0.25">
      <c r="A424" s="163">
        <v>42627</v>
      </c>
      <c r="B424" s="116">
        <v>334.28</v>
      </c>
      <c r="C424" s="116">
        <v>330.66</v>
      </c>
      <c r="D424" s="116">
        <v>325</v>
      </c>
      <c r="E424" s="116">
        <v>325</v>
      </c>
      <c r="F424" s="116">
        <v>1653.3</v>
      </c>
      <c r="G424">
        <v>6370</v>
      </c>
      <c r="H424" s="116"/>
      <c r="I424" s="116"/>
      <c r="L424" s="163">
        <v>42627</v>
      </c>
      <c r="M424" s="116">
        <v>330.6</v>
      </c>
      <c r="N424" s="116">
        <v>333.6</v>
      </c>
      <c r="O424" s="116">
        <v>325.33999999999997</v>
      </c>
      <c r="P424" s="116">
        <v>325.91000000000003</v>
      </c>
      <c r="Q424" s="116">
        <v>1653</v>
      </c>
      <c r="R424">
        <v>61944</v>
      </c>
    </row>
    <row r="425" spans="1:18" x14ac:dyDescent="0.25">
      <c r="A425" s="163">
        <v>42628</v>
      </c>
      <c r="B425" s="116">
        <v>335.7</v>
      </c>
      <c r="C425" s="116">
        <v>328.56</v>
      </c>
      <c r="D425" s="116">
        <v>327.39999999999998</v>
      </c>
      <c r="E425" s="116">
        <v>331.19</v>
      </c>
      <c r="F425" s="116">
        <v>1642.8</v>
      </c>
      <c r="G425">
        <v>6339</v>
      </c>
      <c r="H425" s="116"/>
      <c r="I425" s="116"/>
      <c r="L425" s="163">
        <v>42628</v>
      </c>
      <c r="M425" s="116">
        <v>328.06</v>
      </c>
      <c r="N425" s="116">
        <v>335.58</v>
      </c>
      <c r="O425" s="116">
        <v>327.10000000000002</v>
      </c>
      <c r="P425" s="116">
        <v>331</v>
      </c>
      <c r="Q425" s="116">
        <v>1640.3</v>
      </c>
      <c r="R425">
        <v>118371</v>
      </c>
    </row>
    <row r="426" spans="1:18" x14ac:dyDescent="0.25">
      <c r="A426" s="163">
        <v>42629</v>
      </c>
      <c r="B426" s="116">
        <v>333</v>
      </c>
      <c r="C426" s="116">
        <v>325</v>
      </c>
      <c r="D426" s="116">
        <v>323.44</v>
      </c>
      <c r="E426" s="116">
        <v>331.51</v>
      </c>
      <c r="F426" s="116">
        <v>1625</v>
      </c>
      <c r="G426">
        <v>210420</v>
      </c>
      <c r="H426" s="116"/>
      <c r="I426" s="116"/>
      <c r="L426" s="163">
        <v>42629</v>
      </c>
      <c r="M426" s="116">
        <v>324.98</v>
      </c>
      <c r="N426" s="116">
        <v>337</v>
      </c>
      <c r="O426" s="116">
        <v>322.57</v>
      </c>
      <c r="P426" s="116">
        <v>330</v>
      </c>
      <c r="Q426" s="116">
        <v>1624.9</v>
      </c>
      <c r="R426">
        <v>317481</v>
      </c>
    </row>
    <row r="427" spans="1:18" x14ac:dyDescent="0.25">
      <c r="A427" s="163">
        <v>42632</v>
      </c>
      <c r="B427" s="116">
        <v>329.6</v>
      </c>
      <c r="C427" s="116">
        <v>327.08</v>
      </c>
      <c r="D427" s="116">
        <v>325.27</v>
      </c>
      <c r="E427" s="116">
        <v>327.60000000000002</v>
      </c>
      <c r="F427" s="116">
        <v>1635.4</v>
      </c>
      <c r="G427">
        <v>4293</v>
      </c>
      <c r="H427" s="116"/>
      <c r="I427" s="116"/>
      <c r="L427" s="163">
        <v>42632</v>
      </c>
      <c r="M427" s="116">
        <v>327.24</v>
      </c>
      <c r="N427" s="116">
        <v>329.8</v>
      </c>
      <c r="O427" s="116">
        <v>325</v>
      </c>
      <c r="P427" s="116">
        <v>326</v>
      </c>
      <c r="Q427" s="116">
        <v>1636.2</v>
      </c>
      <c r="R427">
        <v>85229</v>
      </c>
    </row>
    <row r="428" spans="1:18" x14ac:dyDescent="0.25">
      <c r="A428" s="163">
        <v>42633</v>
      </c>
      <c r="B428" s="116">
        <v>328.4</v>
      </c>
      <c r="C428" s="116">
        <v>324.87</v>
      </c>
      <c r="D428" s="116">
        <v>324</v>
      </c>
      <c r="E428" s="116">
        <v>325.62</v>
      </c>
      <c r="F428" s="116">
        <v>1624.35</v>
      </c>
      <c r="G428">
        <v>2054</v>
      </c>
      <c r="H428" s="116"/>
      <c r="I428" s="116"/>
      <c r="L428" s="163">
        <v>42633</v>
      </c>
      <c r="M428" s="116">
        <v>325.29000000000002</v>
      </c>
      <c r="N428" s="116">
        <v>328.94</v>
      </c>
      <c r="O428" s="116">
        <v>324.60000000000002</v>
      </c>
      <c r="P428" s="116">
        <v>327</v>
      </c>
      <c r="Q428" s="116">
        <v>1626.45</v>
      </c>
      <c r="R428">
        <v>59262</v>
      </c>
    </row>
    <row r="429" spans="1:18" x14ac:dyDescent="0.25">
      <c r="A429" s="163">
        <v>42634</v>
      </c>
      <c r="B429" s="116">
        <v>325.74</v>
      </c>
      <c r="C429" s="116">
        <v>321.83</v>
      </c>
      <c r="D429" s="116">
        <v>318.58</v>
      </c>
      <c r="E429" s="116">
        <v>325.60000000000002</v>
      </c>
      <c r="F429" s="116">
        <v>1609.15</v>
      </c>
      <c r="G429">
        <v>8257</v>
      </c>
      <c r="H429" s="116"/>
      <c r="I429" s="116"/>
      <c r="L429" s="163">
        <v>42634</v>
      </c>
      <c r="M429" s="116">
        <v>321.88</v>
      </c>
      <c r="N429" s="116">
        <v>326.01</v>
      </c>
      <c r="O429" s="116">
        <v>319.39999999999998</v>
      </c>
      <c r="P429" s="116">
        <v>325.2</v>
      </c>
      <c r="Q429" s="116">
        <v>1609.4</v>
      </c>
      <c r="R429">
        <v>92222</v>
      </c>
    </row>
    <row r="430" spans="1:18" x14ac:dyDescent="0.25">
      <c r="A430" s="163">
        <v>42635</v>
      </c>
      <c r="B430" s="116">
        <v>329.25</v>
      </c>
      <c r="C430" s="116">
        <v>324.63</v>
      </c>
      <c r="D430" s="116">
        <v>323.2</v>
      </c>
      <c r="E430" s="116">
        <v>323.2</v>
      </c>
      <c r="F430" s="116">
        <v>1623.15</v>
      </c>
      <c r="G430">
        <v>7515</v>
      </c>
      <c r="H430" s="116"/>
      <c r="I430" s="116"/>
      <c r="L430" s="163">
        <v>42635</v>
      </c>
      <c r="M430" s="116">
        <v>324.83999999999997</v>
      </c>
      <c r="N430" s="116">
        <v>330</v>
      </c>
      <c r="O430" s="116">
        <v>323.20999999999998</v>
      </c>
      <c r="P430" s="116">
        <v>326</v>
      </c>
      <c r="Q430" s="116">
        <v>1624.2</v>
      </c>
      <c r="R430">
        <v>88903</v>
      </c>
    </row>
    <row r="431" spans="1:18" x14ac:dyDescent="0.25">
      <c r="A431" s="163">
        <v>42636</v>
      </c>
      <c r="B431" s="116">
        <v>360.74</v>
      </c>
      <c r="C431" s="116">
        <v>357.81</v>
      </c>
      <c r="D431" s="116">
        <v>327.20999999999998</v>
      </c>
      <c r="E431" s="116">
        <v>327.56</v>
      </c>
      <c r="F431" s="116">
        <v>1789.05</v>
      </c>
      <c r="G431">
        <v>154273</v>
      </c>
      <c r="H431" s="116"/>
      <c r="I431" s="116"/>
      <c r="L431" s="163">
        <v>42636</v>
      </c>
      <c r="M431" s="116">
        <v>357.57</v>
      </c>
      <c r="N431" s="116">
        <v>360</v>
      </c>
      <c r="O431" s="116">
        <v>325.76</v>
      </c>
      <c r="P431" s="116">
        <v>328.96</v>
      </c>
      <c r="Q431" s="116">
        <v>1787.85</v>
      </c>
      <c r="R431">
        <v>1428246</v>
      </c>
    </row>
    <row r="432" spans="1:18" x14ac:dyDescent="0.25">
      <c r="A432" s="163">
        <v>42639</v>
      </c>
      <c r="B432" s="116">
        <v>361.91</v>
      </c>
      <c r="C432" s="116">
        <v>357.47</v>
      </c>
      <c r="D432" s="116">
        <v>352.54</v>
      </c>
      <c r="E432" s="116">
        <v>356.2</v>
      </c>
      <c r="F432" s="116">
        <v>1787.35</v>
      </c>
      <c r="G432">
        <v>61332</v>
      </c>
      <c r="H432" s="116"/>
      <c r="I432" s="116"/>
      <c r="L432" s="163">
        <v>42639</v>
      </c>
      <c r="M432" s="116">
        <v>357.52</v>
      </c>
      <c r="N432" s="116">
        <v>362.2</v>
      </c>
      <c r="O432" s="116">
        <v>352.58</v>
      </c>
      <c r="P432" s="116">
        <v>355.8</v>
      </c>
      <c r="Q432" s="116">
        <v>1787.6</v>
      </c>
      <c r="R432">
        <v>574713</v>
      </c>
    </row>
    <row r="433" spans="1:18" x14ac:dyDescent="0.25">
      <c r="A433" s="163">
        <v>42640</v>
      </c>
      <c r="B433" s="116">
        <v>364.81</v>
      </c>
      <c r="C433" s="116">
        <v>353.44</v>
      </c>
      <c r="D433" s="116">
        <v>351.54</v>
      </c>
      <c r="E433" s="116">
        <v>357.4</v>
      </c>
      <c r="F433" s="116">
        <v>1767.2</v>
      </c>
      <c r="G433">
        <v>46181</v>
      </c>
      <c r="H433" s="116"/>
      <c r="I433" s="116"/>
      <c r="L433" s="163">
        <v>42640</v>
      </c>
      <c r="M433" s="116">
        <v>353.3</v>
      </c>
      <c r="N433" s="116">
        <v>364.96</v>
      </c>
      <c r="O433" s="116">
        <v>351.65</v>
      </c>
      <c r="P433" s="116">
        <v>358.24</v>
      </c>
      <c r="Q433" s="116">
        <v>1766.5</v>
      </c>
      <c r="R433">
        <v>568101</v>
      </c>
    </row>
    <row r="434" spans="1:18" x14ac:dyDescent="0.25">
      <c r="A434" s="163">
        <v>42641</v>
      </c>
      <c r="B434" s="116">
        <v>361.6</v>
      </c>
      <c r="C434" s="116">
        <v>359.72</v>
      </c>
      <c r="D434" s="116">
        <v>354.06</v>
      </c>
      <c r="E434" s="116">
        <v>355.4</v>
      </c>
      <c r="F434" s="116">
        <v>1798.6</v>
      </c>
      <c r="G434">
        <v>15810</v>
      </c>
      <c r="H434" s="116"/>
      <c r="I434" s="116"/>
      <c r="L434" s="163">
        <v>42641</v>
      </c>
      <c r="M434" s="116">
        <v>359.11</v>
      </c>
      <c r="N434" s="116">
        <v>361.8</v>
      </c>
      <c r="O434" s="116">
        <v>354.42</v>
      </c>
      <c r="P434" s="116">
        <v>354.62</v>
      </c>
      <c r="Q434" s="116">
        <v>1795.55</v>
      </c>
      <c r="R434">
        <v>203241</v>
      </c>
    </row>
    <row r="435" spans="1:18" x14ac:dyDescent="0.25">
      <c r="A435" s="163">
        <v>42642</v>
      </c>
      <c r="B435" s="116">
        <v>364.4</v>
      </c>
      <c r="C435" s="116">
        <v>350.17</v>
      </c>
      <c r="D435" s="116">
        <v>334.38</v>
      </c>
      <c r="E435" s="116">
        <v>356.4</v>
      </c>
      <c r="F435" s="116">
        <v>1750.85</v>
      </c>
      <c r="G435">
        <v>25404</v>
      </c>
      <c r="H435" s="116"/>
      <c r="I435" s="116"/>
      <c r="L435" s="163">
        <v>42642</v>
      </c>
      <c r="M435" s="116">
        <v>350.56</v>
      </c>
      <c r="N435" s="116">
        <v>364.63</v>
      </c>
      <c r="O435" s="116">
        <v>334</v>
      </c>
      <c r="P435" s="116">
        <v>361.4</v>
      </c>
      <c r="Q435" s="116">
        <v>1752.8</v>
      </c>
      <c r="R435">
        <v>406675</v>
      </c>
    </row>
    <row r="436" spans="1:18" x14ac:dyDescent="0.25">
      <c r="A436" s="163">
        <v>42643</v>
      </c>
      <c r="B436" s="116">
        <v>357</v>
      </c>
      <c r="C436" s="116">
        <v>355.02</v>
      </c>
      <c r="D436" s="116">
        <v>342</v>
      </c>
      <c r="E436" s="116">
        <v>342.4</v>
      </c>
      <c r="F436" s="116">
        <v>1775.1</v>
      </c>
      <c r="G436">
        <v>10866</v>
      </c>
      <c r="H436" s="116"/>
      <c r="I436" s="116"/>
      <c r="L436" s="163">
        <v>42643</v>
      </c>
      <c r="M436" s="116">
        <v>355.54</v>
      </c>
      <c r="N436" s="116">
        <v>357</v>
      </c>
      <c r="O436" s="116">
        <v>349.07</v>
      </c>
      <c r="P436" s="116">
        <v>350.41</v>
      </c>
      <c r="Q436" s="116">
        <v>1777.7</v>
      </c>
      <c r="R436">
        <v>197869</v>
      </c>
    </row>
    <row r="437" spans="1:18" x14ac:dyDescent="0.25">
      <c r="A437" s="163">
        <v>42646</v>
      </c>
      <c r="B437" s="116">
        <v>384.95</v>
      </c>
      <c r="C437" s="116">
        <v>381.46</v>
      </c>
      <c r="D437" s="116">
        <v>356</v>
      </c>
      <c r="E437" s="116">
        <v>358</v>
      </c>
      <c r="F437" s="116">
        <v>1907.3</v>
      </c>
      <c r="G437">
        <v>55794</v>
      </c>
      <c r="H437" s="116"/>
      <c r="I437" s="116"/>
      <c r="L437" s="163">
        <v>42646</v>
      </c>
      <c r="M437" s="116">
        <v>381.68</v>
      </c>
      <c r="N437" s="116">
        <v>385</v>
      </c>
      <c r="O437" s="116">
        <v>355.02</v>
      </c>
      <c r="P437" s="116">
        <v>358</v>
      </c>
      <c r="Q437" s="116">
        <v>1908.4</v>
      </c>
      <c r="R437">
        <v>572860</v>
      </c>
    </row>
    <row r="438" spans="1:18" x14ac:dyDescent="0.25">
      <c r="A438" s="163">
        <v>42647</v>
      </c>
      <c r="B438" s="116">
        <v>384.73</v>
      </c>
      <c r="C438" s="116">
        <v>373.13</v>
      </c>
      <c r="D438" s="116">
        <v>371.01</v>
      </c>
      <c r="E438" s="116">
        <v>383.8</v>
      </c>
      <c r="F438" s="116">
        <v>1865.65</v>
      </c>
      <c r="G438">
        <v>24548</v>
      </c>
      <c r="H438" s="116"/>
      <c r="I438" s="116"/>
      <c r="L438" s="163">
        <v>42647</v>
      </c>
      <c r="M438" s="116">
        <v>373.38</v>
      </c>
      <c r="N438" s="116">
        <v>385.59</v>
      </c>
      <c r="O438" s="116">
        <v>371.08</v>
      </c>
      <c r="P438" s="116">
        <v>383.8</v>
      </c>
      <c r="Q438" s="116">
        <v>1866.9</v>
      </c>
      <c r="R438">
        <v>276290</v>
      </c>
    </row>
    <row r="439" spans="1:18" x14ac:dyDescent="0.25">
      <c r="A439" s="163">
        <v>42648</v>
      </c>
      <c r="B439" s="116">
        <v>393.9</v>
      </c>
      <c r="C439" s="116">
        <v>385.4</v>
      </c>
      <c r="D439" s="116">
        <v>374.99</v>
      </c>
      <c r="E439" s="116">
        <v>384</v>
      </c>
      <c r="F439" s="116">
        <v>1927</v>
      </c>
      <c r="G439">
        <v>76895</v>
      </c>
      <c r="H439" s="116"/>
      <c r="I439" s="116"/>
      <c r="L439" s="163">
        <v>42648</v>
      </c>
      <c r="M439" s="116">
        <v>384.89</v>
      </c>
      <c r="N439" s="116">
        <v>394</v>
      </c>
      <c r="O439" s="116">
        <v>374.62</v>
      </c>
      <c r="P439" s="116">
        <v>375.34</v>
      </c>
      <c r="Q439" s="116">
        <v>1924.45</v>
      </c>
      <c r="R439">
        <v>853189</v>
      </c>
    </row>
    <row r="440" spans="1:18" x14ac:dyDescent="0.25">
      <c r="A440" s="163">
        <v>42649</v>
      </c>
      <c r="B440" s="116">
        <v>388.8</v>
      </c>
      <c r="C440" s="116">
        <v>378.53</v>
      </c>
      <c r="D440" s="116">
        <v>375</v>
      </c>
      <c r="E440" s="116">
        <v>386</v>
      </c>
      <c r="F440" s="116">
        <v>1892.65</v>
      </c>
      <c r="G440">
        <v>35588</v>
      </c>
      <c r="H440" s="116"/>
      <c r="I440" s="116"/>
      <c r="L440" s="163">
        <v>42649</v>
      </c>
      <c r="M440" s="116">
        <v>378.09</v>
      </c>
      <c r="N440" s="116">
        <v>389.26</v>
      </c>
      <c r="O440" s="116">
        <v>374.4</v>
      </c>
      <c r="P440" s="116">
        <v>387.5</v>
      </c>
      <c r="Q440" s="116">
        <v>1890.45</v>
      </c>
      <c r="R440">
        <v>355072</v>
      </c>
    </row>
    <row r="441" spans="1:18" x14ac:dyDescent="0.25">
      <c r="A441" s="163">
        <v>42650</v>
      </c>
      <c r="B441" s="116">
        <v>389</v>
      </c>
      <c r="C441" s="116">
        <v>379</v>
      </c>
      <c r="D441" s="116">
        <v>376.1</v>
      </c>
      <c r="E441" s="116">
        <v>379.63</v>
      </c>
      <c r="F441" s="116">
        <v>1895</v>
      </c>
      <c r="G441">
        <v>29044</v>
      </c>
      <c r="H441" s="116"/>
      <c r="I441" s="116"/>
      <c r="L441" s="163">
        <v>42650</v>
      </c>
      <c r="M441" s="116">
        <v>378.78</v>
      </c>
      <c r="N441" s="116">
        <v>389.12</v>
      </c>
      <c r="O441" s="116">
        <v>376</v>
      </c>
      <c r="P441" s="116">
        <v>379.76</v>
      </c>
      <c r="Q441" s="116">
        <v>1893.9</v>
      </c>
      <c r="R441">
        <v>394783</v>
      </c>
    </row>
    <row r="442" spans="1:18" x14ac:dyDescent="0.25">
      <c r="A442" s="163">
        <v>42653</v>
      </c>
      <c r="B442" s="116">
        <v>385.05</v>
      </c>
      <c r="C442" s="116">
        <v>378.96</v>
      </c>
      <c r="D442" s="116">
        <v>378.01</v>
      </c>
      <c r="E442" s="116">
        <v>384</v>
      </c>
      <c r="F442" s="116">
        <v>1894.8</v>
      </c>
      <c r="G442">
        <v>10225</v>
      </c>
      <c r="H442" s="116"/>
      <c r="I442" s="116"/>
      <c r="L442" s="163">
        <v>42653</v>
      </c>
      <c r="M442" s="116">
        <v>379.26</v>
      </c>
      <c r="N442" s="116">
        <v>385.55</v>
      </c>
      <c r="O442" s="116">
        <v>378</v>
      </c>
      <c r="P442" s="116">
        <v>382</v>
      </c>
      <c r="Q442" s="116">
        <v>1896.3</v>
      </c>
      <c r="R442">
        <v>185931</v>
      </c>
    </row>
    <row r="443" spans="1:18" x14ac:dyDescent="0.25">
      <c r="A443" s="163">
        <v>42656</v>
      </c>
      <c r="B443" s="116">
        <v>379.76</v>
      </c>
      <c r="C443" s="116">
        <v>375.18</v>
      </c>
      <c r="D443" s="116">
        <v>370.4</v>
      </c>
      <c r="E443" s="116">
        <v>379.2</v>
      </c>
      <c r="F443" s="116">
        <v>1875.9</v>
      </c>
      <c r="G443">
        <v>9428</v>
      </c>
      <c r="H443" s="116"/>
      <c r="I443" s="116"/>
      <c r="L443" s="163">
        <v>42656</v>
      </c>
      <c r="M443" s="116">
        <v>375.24</v>
      </c>
      <c r="N443" s="116">
        <v>379.8</v>
      </c>
      <c r="O443" s="116">
        <v>370.12</v>
      </c>
      <c r="P443" s="116">
        <v>378.96</v>
      </c>
      <c r="Q443" s="116">
        <v>1876.2</v>
      </c>
      <c r="R443">
        <v>193400</v>
      </c>
    </row>
    <row r="444" spans="1:18" x14ac:dyDescent="0.25">
      <c r="A444" s="163">
        <v>42657</v>
      </c>
      <c r="B444" s="116">
        <v>378.48</v>
      </c>
      <c r="C444" s="116">
        <v>374.22</v>
      </c>
      <c r="D444" s="116">
        <v>363.37</v>
      </c>
      <c r="E444" s="116">
        <v>376.84</v>
      </c>
      <c r="F444" s="116">
        <v>1871.1</v>
      </c>
      <c r="G444">
        <v>5475</v>
      </c>
      <c r="H444" s="116"/>
      <c r="I444" s="116"/>
      <c r="L444" s="163">
        <v>42657</v>
      </c>
      <c r="M444" s="116">
        <v>374.02</v>
      </c>
      <c r="N444" s="116">
        <v>378.8</v>
      </c>
      <c r="O444" s="116">
        <v>372.61</v>
      </c>
      <c r="P444" s="116">
        <v>377.8</v>
      </c>
      <c r="Q444" s="116">
        <v>1870.1</v>
      </c>
      <c r="R444">
        <v>119367</v>
      </c>
    </row>
    <row r="445" spans="1:18" x14ac:dyDescent="0.25">
      <c r="A445" s="163">
        <v>42660</v>
      </c>
      <c r="B445" s="116">
        <v>377.98</v>
      </c>
      <c r="C445" s="116">
        <v>368.15</v>
      </c>
      <c r="D445" s="116">
        <v>363.78</v>
      </c>
      <c r="E445" s="116">
        <v>373.11</v>
      </c>
      <c r="F445" s="116">
        <v>1840.75</v>
      </c>
      <c r="G445">
        <v>11432</v>
      </c>
      <c r="H445" s="116"/>
      <c r="I445" s="116"/>
      <c r="L445" s="163">
        <v>42660</v>
      </c>
      <c r="M445" s="116">
        <v>367.95</v>
      </c>
      <c r="N445" s="116">
        <v>377.99</v>
      </c>
      <c r="O445" s="116">
        <v>363.14</v>
      </c>
      <c r="P445" s="116">
        <v>375.4</v>
      </c>
      <c r="Q445" s="116">
        <v>1839.75</v>
      </c>
      <c r="R445">
        <v>157446</v>
      </c>
    </row>
    <row r="446" spans="1:18" x14ac:dyDescent="0.25">
      <c r="A446" s="163">
        <v>42661</v>
      </c>
      <c r="B446" s="116">
        <v>375.49</v>
      </c>
      <c r="C446" s="116">
        <v>374.09</v>
      </c>
      <c r="D446" s="116">
        <v>366</v>
      </c>
      <c r="E446" s="116">
        <v>366</v>
      </c>
      <c r="F446" s="116">
        <v>1870.45</v>
      </c>
      <c r="G446">
        <v>14305</v>
      </c>
      <c r="H446" s="116"/>
      <c r="I446" s="116"/>
      <c r="L446" s="163">
        <v>42661</v>
      </c>
      <c r="M446" s="116">
        <v>374.1</v>
      </c>
      <c r="N446" s="116">
        <v>375.66</v>
      </c>
      <c r="O446" s="116">
        <v>364.93</v>
      </c>
      <c r="P446" s="116">
        <v>367.78</v>
      </c>
      <c r="Q446" s="116">
        <v>1870.5</v>
      </c>
      <c r="R446">
        <v>182707</v>
      </c>
    </row>
    <row r="447" spans="1:18" x14ac:dyDescent="0.25">
      <c r="A447" s="163">
        <v>42662</v>
      </c>
      <c r="B447" s="116">
        <v>376.79</v>
      </c>
      <c r="C447" s="116">
        <v>374.1</v>
      </c>
      <c r="D447" s="116">
        <v>369.6</v>
      </c>
      <c r="E447" s="116">
        <v>375.16</v>
      </c>
      <c r="F447" s="116">
        <v>1870.5</v>
      </c>
      <c r="G447">
        <v>5735</v>
      </c>
      <c r="H447" s="116"/>
      <c r="I447" s="116"/>
      <c r="L447" s="163">
        <v>42662</v>
      </c>
      <c r="M447" s="116">
        <v>374.01</v>
      </c>
      <c r="N447" s="116">
        <v>376.98</v>
      </c>
      <c r="O447" s="116">
        <v>369</v>
      </c>
      <c r="P447" s="116">
        <v>374.24</v>
      </c>
      <c r="Q447" s="116">
        <v>1870.05</v>
      </c>
      <c r="R447">
        <v>134698</v>
      </c>
    </row>
    <row r="448" spans="1:18" x14ac:dyDescent="0.25">
      <c r="A448" s="163">
        <v>42663</v>
      </c>
      <c r="B448" s="116">
        <v>387.5</v>
      </c>
      <c r="C448" s="116">
        <v>384.9</v>
      </c>
      <c r="D448" s="116">
        <v>372.65</v>
      </c>
      <c r="E448" s="116">
        <v>374</v>
      </c>
      <c r="F448" s="116">
        <v>1924.5</v>
      </c>
      <c r="G448">
        <v>37382</v>
      </c>
      <c r="H448" s="116"/>
      <c r="I448" s="116"/>
      <c r="L448" s="163">
        <v>42663</v>
      </c>
      <c r="M448" s="116">
        <v>384.97</v>
      </c>
      <c r="N448" s="116">
        <v>387.54</v>
      </c>
      <c r="O448" s="116">
        <v>372.22</v>
      </c>
      <c r="P448" s="116">
        <v>374.1</v>
      </c>
      <c r="Q448" s="116">
        <v>1924.85</v>
      </c>
      <c r="R448">
        <v>361719</v>
      </c>
    </row>
    <row r="449" spans="1:18" x14ac:dyDescent="0.25">
      <c r="A449" s="163">
        <v>42664</v>
      </c>
      <c r="B449" s="116">
        <v>391.81</v>
      </c>
      <c r="C449" s="116">
        <v>381.58</v>
      </c>
      <c r="D449" s="116">
        <v>379.47</v>
      </c>
      <c r="E449" s="116">
        <v>384.43</v>
      </c>
      <c r="F449" s="116">
        <v>1907.9</v>
      </c>
      <c r="G449">
        <v>43210</v>
      </c>
      <c r="H449" s="116"/>
      <c r="I449" s="116"/>
      <c r="L449" s="163">
        <v>42664</v>
      </c>
      <c r="M449" s="116">
        <v>382.72</v>
      </c>
      <c r="N449" s="116">
        <v>391.68</v>
      </c>
      <c r="O449" s="116">
        <v>380.64</v>
      </c>
      <c r="P449" s="116">
        <v>385.8</v>
      </c>
      <c r="Q449" s="116">
        <v>1913.6</v>
      </c>
      <c r="R449">
        <v>358333</v>
      </c>
    </row>
    <row r="450" spans="1:18" x14ac:dyDescent="0.25">
      <c r="A450" s="163">
        <v>42667</v>
      </c>
      <c r="B450" s="116">
        <v>387</v>
      </c>
      <c r="C450" s="116">
        <v>376.57</v>
      </c>
      <c r="D450" s="116">
        <v>376</v>
      </c>
      <c r="E450" s="116">
        <v>387</v>
      </c>
      <c r="F450" s="116">
        <v>1882.85</v>
      </c>
      <c r="G450">
        <v>7847</v>
      </c>
      <c r="H450" s="116"/>
      <c r="I450" s="116"/>
      <c r="L450" s="163">
        <v>42667</v>
      </c>
      <c r="M450" s="116">
        <v>376.58</v>
      </c>
      <c r="N450" s="116">
        <v>386.07</v>
      </c>
      <c r="O450" s="116">
        <v>375.61</v>
      </c>
      <c r="P450" s="116">
        <v>386.07</v>
      </c>
      <c r="Q450" s="116">
        <v>1882.9</v>
      </c>
      <c r="R450">
        <v>130654</v>
      </c>
    </row>
    <row r="451" spans="1:18" x14ac:dyDescent="0.25">
      <c r="A451" s="163">
        <v>42668</v>
      </c>
      <c r="B451" s="116">
        <v>379.01</v>
      </c>
      <c r="C451" s="116">
        <v>375.17</v>
      </c>
      <c r="D451" s="116">
        <v>373.24</v>
      </c>
      <c r="E451" s="116">
        <v>377.03</v>
      </c>
      <c r="F451" s="116">
        <v>1875.85</v>
      </c>
      <c r="G451">
        <v>6091</v>
      </c>
      <c r="H451" s="116"/>
      <c r="I451" s="116"/>
      <c r="L451" s="163">
        <v>42668</v>
      </c>
      <c r="M451" s="116">
        <v>375.04</v>
      </c>
      <c r="N451" s="116">
        <v>378.67</v>
      </c>
      <c r="O451" s="116">
        <v>373.12</v>
      </c>
      <c r="P451" s="116">
        <v>376.2</v>
      </c>
      <c r="Q451" s="116">
        <v>1875.2</v>
      </c>
      <c r="R451">
        <v>92395</v>
      </c>
    </row>
    <row r="452" spans="1:18" x14ac:dyDescent="0.25">
      <c r="A452" s="163">
        <v>42669</v>
      </c>
      <c r="B452" s="116">
        <v>375</v>
      </c>
      <c r="C452" s="116">
        <v>370.36</v>
      </c>
      <c r="D452" s="116">
        <v>366.69</v>
      </c>
      <c r="E452" s="116">
        <v>375</v>
      </c>
      <c r="F452" s="116">
        <v>1851.8</v>
      </c>
      <c r="G452">
        <v>4201</v>
      </c>
      <c r="H452" s="116"/>
      <c r="I452" s="116"/>
      <c r="L452" s="163">
        <v>42669</v>
      </c>
      <c r="M452" s="116">
        <v>369.55</v>
      </c>
      <c r="N452" s="116">
        <v>376</v>
      </c>
      <c r="O452" s="116">
        <v>367.57</v>
      </c>
      <c r="P452" s="116">
        <v>375.6</v>
      </c>
      <c r="Q452" s="116">
        <v>1847.75</v>
      </c>
      <c r="R452">
        <v>62079</v>
      </c>
    </row>
    <row r="453" spans="1:18" x14ac:dyDescent="0.25">
      <c r="A453" s="163">
        <v>42670</v>
      </c>
      <c r="B453" s="116">
        <v>369</v>
      </c>
      <c r="C453" s="116">
        <v>361.36</v>
      </c>
      <c r="D453" s="116">
        <v>358.4</v>
      </c>
      <c r="E453" s="116">
        <v>369</v>
      </c>
      <c r="F453" s="116">
        <v>1806.8</v>
      </c>
      <c r="G453">
        <v>6547</v>
      </c>
      <c r="H453" s="116"/>
      <c r="I453" s="116"/>
      <c r="L453" s="163">
        <v>42670</v>
      </c>
      <c r="M453" s="116">
        <v>361.95</v>
      </c>
      <c r="N453" s="116">
        <v>370.8</v>
      </c>
      <c r="O453" s="116">
        <v>358.11</v>
      </c>
      <c r="P453" s="116">
        <v>368.8</v>
      </c>
      <c r="Q453" s="116">
        <v>1809.75</v>
      </c>
      <c r="R453">
        <v>139338</v>
      </c>
    </row>
    <row r="454" spans="1:18" x14ac:dyDescent="0.25">
      <c r="A454" s="163">
        <v>42671</v>
      </c>
      <c r="B454" s="116">
        <v>369.57</v>
      </c>
      <c r="C454" s="116">
        <v>364.53</v>
      </c>
      <c r="D454" s="116">
        <v>362.46</v>
      </c>
      <c r="E454" s="116">
        <v>363.59</v>
      </c>
      <c r="F454" s="116">
        <v>1822.65</v>
      </c>
      <c r="G454">
        <v>7027</v>
      </c>
      <c r="H454" s="116"/>
      <c r="I454" s="116"/>
      <c r="L454" s="163">
        <v>42671</v>
      </c>
      <c r="M454" s="116">
        <v>364.19</v>
      </c>
      <c r="N454" s="116">
        <v>369.28</v>
      </c>
      <c r="O454" s="116">
        <v>361.03</v>
      </c>
      <c r="P454" s="116">
        <v>362</v>
      </c>
      <c r="Q454" s="116">
        <v>1820.95</v>
      </c>
      <c r="R454">
        <v>116308</v>
      </c>
    </row>
    <row r="455" spans="1:18" x14ac:dyDescent="0.25">
      <c r="A455" s="163">
        <v>42673</v>
      </c>
      <c r="B455" s="116">
        <v>367.8</v>
      </c>
      <c r="C455" s="116">
        <v>364.35</v>
      </c>
      <c r="D455" s="116">
        <v>363.05</v>
      </c>
      <c r="E455" s="116">
        <v>367.6</v>
      </c>
      <c r="F455" s="116">
        <v>1821.75</v>
      </c>
      <c r="G455">
        <v>2154</v>
      </c>
      <c r="H455" s="116"/>
      <c r="I455" s="116"/>
      <c r="L455" s="163">
        <v>42673</v>
      </c>
      <c r="M455" s="116">
        <v>365.3</v>
      </c>
      <c r="N455" s="116">
        <v>368.18</v>
      </c>
      <c r="O455" s="116">
        <v>364.1</v>
      </c>
      <c r="P455" s="116">
        <v>365.96</v>
      </c>
      <c r="Q455" s="116">
        <v>1826.5</v>
      </c>
      <c r="R455">
        <v>13462</v>
      </c>
    </row>
    <row r="456" spans="1:18" x14ac:dyDescent="0.25">
      <c r="A456" s="163">
        <v>42675</v>
      </c>
      <c r="B456" s="116">
        <v>369.14</v>
      </c>
      <c r="C456" s="116">
        <v>362.5</v>
      </c>
      <c r="D456" s="116">
        <v>361.44</v>
      </c>
      <c r="E456" s="116">
        <v>367.35</v>
      </c>
      <c r="F456" s="116">
        <v>1812.5</v>
      </c>
      <c r="G456">
        <v>4909</v>
      </c>
      <c r="H456" s="116"/>
      <c r="I456" s="116"/>
      <c r="L456" s="163">
        <v>42675</v>
      </c>
      <c r="M456" s="116">
        <v>362.72</v>
      </c>
      <c r="N456" s="116">
        <v>370</v>
      </c>
      <c r="O456" s="116">
        <v>361.52</v>
      </c>
      <c r="P456" s="116">
        <v>367.14</v>
      </c>
      <c r="Q456" s="116">
        <v>1813.6</v>
      </c>
      <c r="R456">
        <v>65441</v>
      </c>
    </row>
    <row r="457" spans="1:18" x14ac:dyDescent="0.25">
      <c r="A457" s="163">
        <v>42676</v>
      </c>
      <c r="B457" s="116">
        <v>361</v>
      </c>
      <c r="C457" s="116">
        <v>347.18</v>
      </c>
      <c r="D457" s="116">
        <v>344.69</v>
      </c>
      <c r="E457" s="116">
        <v>361</v>
      </c>
      <c r="F457" s="116">
        <v>1735.9</v>
      </c>
      <c r="G457">
        <v>14402</v>
      </c>
      <c r="H457" s="116"/>
      <c r="I457" s="116"/>
      <c r="L457" s="163">
        <v>42676</v>
      </c>
      <c r="M457" s="116">
        <v>347.05</v>
      </c>
      <c r="N457" s="116">
        <v>360</v>
      </c>
      <c r="O457" s="116">
        <v>344.49</v>
      </c>
      <c r="P457" s="116">
        <v>359.01</v>
      </c>
      <c r="Q457" s="116">
        <v>1735.25</v>
      </c>
      <c r="R457">
        <v>131560</v>
      </c>
    </row>
    <row r="458" spans="1:18" x14ac:dyDescent="0.25">
      <c r="A458" s="163">
        <v>42677</v>
      </c>
      <c r="B458" s="116">
        <v>355</v>
      </c>
      <c r="C458" s="116">
        <v>347.9</v>
      </c>
      <c r="D458" s="116">
        <v>342.69</v>
      </c>
      <c r="E458" s="116">
        <v>346</v>
      </c>
      <c r="F458" s="116">
        <v>1739.5</v>
      </c>
      <c r="G458">
        <v>12832</v>
      </c>
      <c r="H458" s="116"/>
      <c r="I458" s="116"/>
      <c r="L458" s="163">
        <v>42677</v>
      </c>
      <c r="M458" s="116">
        <v>347.63</v>
      </c>
      <c r="N458" s="116">
        <v>355.4</v>
      </c>
      <c r="O458" s="116">
        <v>342.45</v>
      </c>
      <c r="P458" s="116">
        <v>342.45</v>
      </c>
      <c r="Q458" s="116">
        <v>1738.15</v>
      </c>
      <c r="R458">
        <v>120266</v>
      </c>
    </row>
    <row r="459" spans="1:18" x14ac:dyDescent="0.25">
      <c r="A459" s="163">
        <v>42678</v>
      </c>
      <c r="B459" s="116">
        <v>349.8</v>
      </c>
      <c r="C459" s="116">
        <v>340.72</v>
      </c>
      <c r="D459" s="116">
        <v>330.4</v>
      </c>
      <c r="E459" s="116">
        <v>349</v>
      </c>
      <c r="F459" s="116">
        <v>1703.6</v>
      </c>
      <c r="G459">
        <v>19887</v>
      </c>
      <c r="H459" s="116"/>
      <c r="I459" s="116"/>
      <c r="L459" s="163">
        <v>42678</v>
      </c>
      <c r="M459" s="116">
        <v>340.68</v>
      </c>
      <c r="N459" s="116">
        <v>350.2</v>
      </c>
      <c r="O459" s="116">
        <v>330.3</v>
      </c>
      <c r="P459" s="116">
        <v>350.2</v>
      </c>
      <c r="Q459" s="116">
        <v>1703.4</v>
      </c>
      <c r="R459">
        <v>212470</v>
      </c>
    </row>
    <row r="460" spans="1:18" x14ac:dyDescent="0.25">
      <c r="A460" s="163">
        <v>42681</v>
      </c>
      <c r="B460" s="116">
        <v>346.52</v>
      </c>
      <c r="C460" s="116">
        <v>343.84</v>
      </c>
      <c r="D460" s="116">
        <v>341.3</v>
      </c>
      <c r="E460" s="116">
        <v>345.41</v>
      </c>
      <c r="F460" s="116">
        <v>1719.2</v>
      </c>
      <c r="G460">
        <v>87008</v>
      </c>
      <c r="H460" s="116"/>
      <c r="I460" s="116"/>
      <c r="L460" s="163">
        <v>42681</v>
      </c>
      <c r="M460" s="116">
        <v>343.8</v>
      </c>
      <c r="N460" s="116">
        <v>347.83</v>
      </c>
      <c r="O460" s="116">
        <v>341</v>
      </c>
      <c r="P460" s="116">
        <v>345.8</v>
      </c>
      <c r="Q460" s="116">
        <v>1719</v>
      </c>
      <c r="R460">
        <v>294130</v>
      </c>
    </row>
    <row r="461" spans="1:18" x14ac:dyDescent="0.25">
      <c r="A461" s="163">
        <v>42682</v>
      </c>
      <c r="B461" s="116">
        <v>352.51</v>
      </c>
      <c r="C461" s="116">
        <v>349.24</v>
      </c>
      <c r="D461" s="116">
        <v>343.76</v>
      </c>
      <c r="E461" s="116">
        <v>344.49</v>
      </c>
      <c r="F461" s="116">
        <v>1746.2</v>
      </c>
      <c r="G461">
        <v>7890</v>
      </c>
      <c r="H461" s="116"/>
      <c r="I461" s="116"/>
      <c r="L461" s="163">
        <v>42682</v>
      </c>
      <c r="M461" s="116">
        <v>348.78</v>
      </c>
      <c r="N461" s="116">
        <v>353</v>
      </c>
      <c r="O461" s="116">
        <v>344</v>
      </c>
      <c r="P461" s="116">
        <v>347</v>
      </c>
      <c r="Q461" s="116">
        <v>1743.9</v>
      </c>
      <c r="R461">
        <v>167138</v>
      </c>
    </row>
    <row r="462" spans="1:18" x14ac:dyDescent="0.25">
      <c r="A462" s="163">
        <v>42683</v>
      </c>
      <c r="B462" s="116">
        <v>345.56</v>
      </c>
      <c r="C462" s="116">
        <v>340.36</v>
      </c>
      <c r="D462" s="116">
        <v>316.01</v>
      </c>
      <c r="E462" s="116">
        <v>326.8</v>
      </c>
      <c r="F462" s="116">
        <v>1701.8</v>
      </c>
      <c r="G462">
        <v>21493</v>
      </c>
      <c r="H462" s="116"/>
      <c r="I462" s="116"/>
      <c r="L462" s="163">
        <v>42683</v>
      </c>
      <c r="M462" s="116">
        <v>341.3</v>
      </c>
      <c r="N462" s="116">
        <v>346.05</v>
      </c>
      <c r="O462" s="116">
        <v>314.52</v>
      </c>
      <c r="P462" s="116">
        <v>314.52</v>
      </c>
      <c r="Q462" s="116">
        <v>1706.5</v>
      </c>
      <c r="R462">
        <v>252535</v>
      </c>
    </row>
    <row r="463" spans="1:18" x14ac:dyDescent="0.25">
      <c r="A463" s="163">
        <v>42684</v>
      </c>
      <c r="B463" s="116">
        <v>356.55</v>
      </c>
      <c r="C463" s="116">
        <v>350.63</v>
      </c>
      <c r="D463" s="116">
        <v>339.8</v>
      </c>
      <c r="E463" s="116">
        <v>346.7</v>
      </c>
      <c r="F463" s="116">
        <v>1753.15</v>
      </c>
      <c r="G463">
        <v>16161</v>
      </c>
      <c r="H463" s="116"/>
      <c r="I463" s="116"/>
      <c r="L463" s="163">
        <v>42684</v>
      </c>
      <c r="M463" s="116">
        <v>350.24</v>
      </c>
      <c r="N463" s="116">
        <v>356.8</v>
      </c>
      <c r="O463" s="116">
        <v>346.4</v>
      </c>
      <c r="P463" s="116">
        <v>350</v>
      </c>
      <c r="Q463" s="116">
        <v>1751.2</v>
      </c>
      <c r="R463">
        <v>139459</v>
      </c>
    </row>
    <row r="464" spans="1:18" x14ac:dyDescent="0.25">
      <c r="A464" s="163">
        <v>42685</v>
      </c>
      <c r="B464" s="116">
        <v>350.04</v>
      </c>
      <c r="C464" s="116">
        <v>337.41</v>
      </c>
      <c r="D464" s="116">
        <v>335.42</v>
      </c>
      <c r="E464" s="116">
        <v>349</v>
      </c>
      <c r="F464" s="116">
        <v>1687.05</v>
      </c>
      <c r="G464">
        <v>9083</v>
      </c>
      <c r="H464" s="116"/>
      <c r="I464" s="116"/>
      <c r="L464" s="163">
        <v>42685</v>
      </c>
      <c r="M464" s="116">
        <v>338.11</v>
      </c>
      <c r="N464" s="116">
        <v>349.81</v>
      </c>
      <c r="O464" s="116">
        <v>336</v>
      </c>
      <c r="P464" s="116">
        <v>348</v>
      </c>
      <c r="Q464" s="116">
        <v>1690.55</v>
      </c>
      <c r="R464">
        <v>141318</v>
      </c>
    </row>
    <row r="465" spans="1:18" x14ac:dyDescent="0.25">
      <c r="A465" s="163">
        <v>42689</v>
      </c>
      <c r="B465" s="116">
        <v>334</v>
      </c>
      <c r="C465" s="116">
        <v>324.10000000000002</v>
      </c>
      <c r="D465" s="116">
        <v>320.39999999999998</v>
      </c>
      <c r="E465" s="116">
        <v>334</v>
      </c>
      <c r="F465" s="116">
        <v>1620.5</v>
      </c>
      <c r="G465">
        <v>13848</v>
      </c>
      <c r="H465" s="116"/>
      <c r="I465" s="116"/>
      <c r="L465" s="163">
        <v>42689</v>
      </c>
      <c r="M465" s="116">
        <v>323.2</v>
      </c>
      <c r="N465" s="116">
        <v>333.24</v>
      </c>
      <c r="O465" s="116">
        <v>319.97000000000003</v>
      </c>
      <c r="P465" s="116">
        <v>333.2</v>
      </c>
      <c r="Q465" s="116">
        <v>1616</v>
      </c>
      <c r="R465">
        <v>411882</v>
      </c>
    </row>
    <row r="466" spans="1:18" x14ac:dyDescent="0.25">
      <c r="A466" s="163">
        <v>42690</v>
      </c>
      <c r="B466" s="116">
        <v>335.43</v>
      </c>
      <c r="C466" s="116">
        <v>304.60000000000002</v>
      </c>
      <c r="D466" s="116">
        <v>303</v>
      </c>
      <c r="E466" s="116">
        <v>324.10000000000002</v>
      </c>
      <c r="F466" s="116">
        <v>1523</v>
      </c>
      <c r="G466">
        <v>25616</v>
      </c>
      <c r="H466" s="116"/>
      <c r="I466" s="116"/>
      <c r="L466" s="163">
        <v>42690</v>
      </c>
      <c r="M466" s="116">
        <v>304.95999999999998</v>
      </c>
      <c r="N466" s="116">
        <v>335.61</v>
      </c>
      <c r="O466" s="116">
        <v>303.20999999999998</v>
      </c>
      <c r="P466" s="116">
        <v>328</v>
      </c>
      <c r="Q466" s="116">
        <v>1524.8</v>
      </c>
      <c r="R466">
        <v>310529</v>
      </c>
    </row>
    <row r="467" spans="1:18" x14ac:dyDescent="0.25">
      <c r="A467" s="163">
        <v>42691</v>
      </c>
      <c r="B467" s="116">
        <v>303</v>
      </c>
      <c r="C467" s="116">
        <v>292.39</v>
      </c>
      <c r="D467" s="116">
        <v>283.61</v>
      </c>
      <c r="E467" s="116">
        <v>300.2</v>
      </c>
      <c r="F467" s="116">
        <v>1461.95</v>
      </c>
      <c r="G467">
        <v>44524</v>
      </c>
      <c r="H467" s="116"/>
      <c r="I467" s="116"/>
      <c r="L467" s="163">
        <v>42691</v>
      </c>
      <c r="M467" s="116">
        <v>292.61</v>
      </c>
      <c r="N467" s="116">
        <v>303.8</v>
      </c>
      <c r="O467" s="116">
        <v>283</v>
      </c>
      <c r="P467" s="116">
        <v>301.22000000000003</v>
      </c>
      <c r="Q467" s="116">
        <v>1463.05</v>
      </c>
      <c r="R467">
        <v>723859</v>
      </c>
    </row>
    <row r="468" spans="1:18" x14ac:dyDescent="0.25">
      <c r="A468" s="163">
        <v>42692</v>
      </c>
      <c r="B468" s="116">
        <v>293.36</v>
      </c>
      <c r="C468" s="116">
        <v>285.63</v>
      </c>
      <c r="D468" s="116">
        <v>270.43</v>
      </c>
      <c r="E468" s="116">
        <v>290.02999999999997</v>
      </c>
      <c r="F468" s="116">
        <v>1428.15</v>
      </c>
      <c r="G468">
        <v>53016</v>
      </c>
      <c r="H468" s="116"/>
      <c r="I468" s="116"/>
      <c r="L468" s="163">
        <v>42692</v>
      </c>
      <c r="M468" s="116">
        <v>285.23</v>
      </c>
      <c r="N468" s="116">
        <v>294.39999999999998</v>
      </c>
      <c r="O468" s="116">
        <v>270.2</v>
      </c>
      <c r="P468" s="116">
        <v>294.39999999999998</v>
      </c>
      <c r="Q468" s="116">
        <v>1426.15</v>
      </c>
      <c r="R468">
        <v>682876</v>
      </c>
    </row>
    <row r="469" spans="1:18" x14ac:dyDescent="0.25">
      <c r="A469" s="163">
        <v>42695</v>
      </c>
      <c r="B469" s="116">
        <v>299.41000000000003</v>
      </c>
      <c r="C469" s="116">
        <v>287.26</v>
      </c>
      <c r="D469" s="116">
        <v>281.06</v>
      </c>
      <c r="E469" s="116">
        <v>281.06</v>
      </c>
      <c r="F469" s="116">
        <v>1436.3</v>
      </c>
      <c r="G469">
        <v>33743</v>
      </c>
      <c r="H469" s="116"/>
      <c r="I469" s="116"/>
      <c r="L469" s="163">
        <v>42695</v>
      </c>
      <c r="M469" s="116">
        <v>287.01</v>
      </c>
      <c r="N469" s="116">
        <v>299.8</v>
      </c>
      <c r="O469" s="116">
        <v>280.92</v>
      </c>
      <c r="P469" s="116">
        <v>285.25</v>
      </c>
      <c r="Q469" s="116">
        <v>1435.05</v>
      </c>
      <c r="R469">
        <v>705022</v>
      </c>
    </row>
    <row r="470" spans="1:18" x14ac:dyDescent="0.25">
      <c r="A470" s="163">
        <v>42696</v>
      </c>
      <c r="B470" s="116">
        <v>293.58</v>
      </c>
      <c r="C470" s="116">
        <v>288.11</v>
      </c>
      <c r="D470" s="116">
        <v>283.23</v>
      </c>
      <c r="E470" s="116">
        <v>285.39999999999998</v>
      </c>
      <c r="F470" s="116">
        <v>1440.55</v>
      </c>
      <c r="G470">
        <v>14245</v>
      </c>
      <c r="H470" s="116"/>
      <c r="I470" s="116"/>
      <c r="L470" s="163">
        <v>42696</v>
      </c>
      <c r="M470" s="116">
        <v>287.52</v>
      </c>
      <c r="N470" s="116">
        <v>293.76</v>
      </c>
      <c r="O470" s="116">
        <v>283.08999999999997</v>
      </c>
      <c r="P470" s="116">
        <v>290.99</v>
      </c>
      <c r="Q470" s="116">
        <v>1437.6</v>
      </c>
      <c r="R470">
        <v>214472</v>
      </c>
    </row>
    <row r="471" spans="1:18" x14ac:dyDescent="0.25">
      <c r="A471" s="163">
        <v>42697</v>
      </c>
      <c r="B471" s="116">
        <v>295.16000000000003</v>
      </c>
      <c r="C471" s="116">
        <v>293.39999999999998</v>
      </c>
      <c r="D471" s="116">
        <v>288.5</v>
      </c>
      <c r="E471" s="116">
        <v>288.5</v>
      </c>
      <c r="F471" s="116">
        <v>1467</v>
      </c>
      <c r="G471">
        <v>18651</v>
      </c>
      <c r="H471" s="116"/>
      <c r="I471" s="116"/>
      <c r="L471" s="163">
        <v>42697</v>
      </c>
      <c r="M471" s="116">
        <v>292.89999999999998</v>
      </c>
      <c r="N471" s="116">
        <v>295.36</v>
      </c>
      <c r="O471" s="116">
        <v>288.39999999999998</v>
      </c>
      <c r="P471" s="116">
        <v>290.8</v>
      </c>
      <c r="Q471" s="116">
        <v>1464.5</v>
      </c>
      <c r="R471">
        <v>218892</v>
      </c>
    </row>
    <row r="472" spans="1:18" x14ac:dyDescent="0.25">
      <c r="A472" s="163">
        <v>42698</v>
      </c>
      <c r="B472" s="116">
        <v>296.52999999999997</v>
      </c>
      <c r="C472" s="116">
        <v>290.14999999999998</v>
      </c>
      <c r="D472" s="116">
        <v>287.82</v>
      </c>
      <c r="E472" s="116">
        <v>291</v>
      </c>
      <c r="F472" s="116">
        <v>1450.75</v>
      </c>
      <c r="G472">
        <v>16199</v>
      </c>
      <c r="H472" s="116"/>
      <c r="I472" s="116"/>
      <c r="L472" s="163">
        <v>42698</v>
      </c>
      <c r="M472" s="116">
        <v>290.39999999999998</v>
      </c>
      <c r="N472" s="116">
        <v>296.2</v>
      </c>
      <c r="O472" s="116">
        <v>287.43</v>
      </c>
      <c r="P472" s="116">
        <v>291.39999999999998</v>
      </c>
      <c r="Q472" s="116">
        <v>1452</v>
      </c>
      <c r="R472">
        <v>228539</v>
      </c>
    </row>
    <row r="473" spans="1:18" x14ac:dyDescent="0.25">
      <c r="A473" s="163">
        <v>42699</v>
      </c>
      <c r="B473" s="116">
        <v>310.07</v>
      </c>
      <c r="C473" s="116">
        <v>306.42</v>
      </c>
      <c r="D473" s="116">
        <v>293.43</v>
      </c>
      <c r="E473" s="116">
        <v>294.8</v>
      </c>
      <c r="F473" s="116">
        <v>1532.1</v>
      </c>
      <c r="G473">
        <v>25486</v>
      </c>
      <c r="H473" s="116"/>
      <c r="I473" s="116"/>
      <c r="L473" s="163">
        <v>42699</v>
      </c>
      <c r="M473" s="116">
        <v>305.99</v>
      </c>
      <c r="N473" s="116">
        <v>309.77999999999997</v>
      </c>
      <c r="O473" s="116">
        <v>291.23</v>
      </c>
      <c r="P473" s="116">
        <v>293</v>
      </c>
      <c r="Q473" s="116">
        <v>1529.95</v>
      </c>
      <c r="R473">
        <v>298435</v>
      </c>
    </row>
    <row r="474" spans="1:18" x14ac:dyDescent="0.25">
      <c r="A474" s="163">
        <v>42702</v>
      </c>
      <c r="B474" s="116">
        <v>311.95</v>
      </c>
      <c r="C474" s="116">
        <v>304.85000000000002</v>
      </c>
      <c r="D474" s="116">
        <v>303.60000000000002</v>
      </c>
      <c r="E474" s="116">
        <v>307</v>
      </c>
      <c r="F474" s="116">
        <v>1524.25</v>
      </c>
      <c r="G474">
        <v>23407</v>
      </c>
      <c r="H474" s="116"/>
      <c r="I474" s="116"/>
      <c r="L474" s="163">
        <v>42702</v>
      </c>
      <c r="M474" s="116">
        <v>305.69</v>
      </c>
      <c r="N474" s="116">
        <v>311.04000000000002</v>
      </c>
      <c r="O474" s="116">
        <v>304.22000000000003</v>
      </c>
      <c r="P474" s="116">
        <v>308</v>
      </c>
      <c r="Q474" s="116">
        <v>1528.45</v>
      </c>
      <c r="R474">
        <v>295674</v>
      </c>
    </row>
    <row r="475" spans="1:18" x14ac:dyDescent="0.25">
      <c r="A475" s="163">
        <v>42703</v>
      </c>
      <c r="B475" s="116">
        <v>312.2</v>
      </c>
      <c r="C475" s="116">
        <v>307.77</v>
      </c>
      <c r="D475" s="116">
        <v>303.2</v>
      </c>
      <c r="E475" s="116">
        <v>303.2</v>
      </c>
      <c r="F475" s="116">
        <v>1538.85</v>
      </c>
      <c r="G475">
        <v>7444</v>
      </c>
      <c r="H475" s="116"/>
      <c r="I475" s="116"/>
      <c r="L475" s="163">
        <v>42703</v>
      </c>
      <c r="M475" s="116">
        <v>308.63</v>
      </c>
      <c r="N475" s="116">
        <v>312.95999999999998</v>
      </c>
      <c r="O475" s="116">
        <v>305.13</v>
      </c>
      <c r="P475" s="116">
        <v>307.95999999999998</v>
      </c>
      <c r="Q475" s="116">
        <v>1543.15</v>
      </c>
      <c r="R475">
        <v>159087</v>
      </c>
    </row>
    <row r="476" spans="1:18" x14ac:dyDescent="0.25">
      <c r="A476" s="163">
        <v>42704</v>
      </c>
      <c r="B476" s="116">
        <v>323.60000000000002</v>
      </c>
      <c r="C476" s="116">
        <v>315.33</v>
      </c>
      <c r="D476" s="116">
        <v>309.72000000000003</v>
      </c>
      <c r="E476" s="116">
        <v>310.8</v>
      </c>
      <c r="F476" s="116">
        <v>1576.65</v>
      </c>
      <c r="G476">
        <v>24887</v>
      </c>
      <c r="H476" s="116"/>
      <c r="I476" s="116"/>
      <c r="L476" s="163">
        <v>42704</v>
      </c>
      <c r="M476" s="116">
        <v>314.99</v>
      </c>
      <c r="N476" s="116">
        <v>323.36</v>
      </c>
      <c r="O476" s="116">
        <v>309.70999999999998</v>
      </c>
      <c r="P476" s="116">
        <v>311.2</v>
      </c>
      <c r="Q476" s="116">
        <v>1574.95</v>
      </c>
      <c r="R476">
        <v>338785</v>
      </c>
    </row>
    <row r="477" spans="1:18" x14ac:dyDescent="0.25">
      <c r="A477" s="163">
        <v>42705</v>
      </c>
      <c r="B477" s="116">
        <v>317.60000000000002</v>
      </c>
      <c r="C477" s="116">
        <v>316.06</v>
      </c>
      <c r="D477" s="116">
        <v>309</v>
      </c>
      <c r="E477" s="116">
        <v>316</v>
      </c>
      <c r="F477" s="116">
        <v>1580.3</v>
      </c>
      <c r="G477">
        <v>10121</v>
      </c>
      <c r="H477" s="116"/>
      <c r="I477" s="116"/>
      <c r="L477" s="163">
        <v>42705</v>
      </c>
      <c r="M477" s="116">
        <v>316.55</v>
      </c>
      <c r="N477" s="116">
        <v>318.32</v>
      </c>
      <c r="O477" s="116">
        <v>309.2</v>
      </c>
      <c r="P477" s="116">
        <v>316.27999999999997</v>
      </c>
      <c r="Q477" s="116">
        <v>1582.75</v>
      </c>
      <c r="R477">
        <v>188928</v>
      </c>
    </row>
    <row r="478" spans="1:18" x14ac:dyDescent="0.25">
      <c r="A478" s="163">
        <v>42706</v>
      </c>
      <c r="B478" s="116">
        <v>316.89999999999998</v>
      </c>
      <c r="C478" s="116">
        <v>305.61</v>
      </c>
      <c r="D478" s="116">
        <v>304.07</v>
      </c>
      <c r="E478" s="116">
        <v>316.89999999999998</v>
      </c>
      <c r="F478" s="116">
        <v>1528.05</v>
      </c>
      <c r="G478">
        <v>14523</v>
      </c>
      <c r="H478" s="116"/>
      <c r="I478" s="116"/>
      <c r="L478" s="163">
        <v>42706</v>
      </c>
      <c r="M478" s="116">
        <v>305.7</v>
      </c>
      <c r="N478" s="116">
        <v>315.2</v>
      </c>
      <c r="O478" s="116">
        <v>303</v>
      </c>
      <c r="P478" s="116">
        <v>315</v>
      </c>
      <c r="Q478" s="116">
        <v>1528.5</v>
      </c>
      <c r="R478">
        <v>177390</v>
      </c>
    </row>
    <row r="479" spans="1:18" x14ac:dyDescent="0.25">
      <c r="A479" s="163">
        <v>42709</v>
      </c>
      <c r="B479" s="116">
        <v>308.42</v>
      </c>
      <c r="C479" s="116">
        <v>306.99</v>
      </c>
      <c r="D479" s="116">
        <v>299.81</v>
      </c>
      <c r="E479" s="116">
        <v>302</v>
      </c>
      <c r="F479" s="116">
        <v>1534.95</v>
      </c>
      <c r="G479">
        <v>5979</v>
      </c>
      <c r="H479" s="116"/>
      <c r="I479" s="116"/>
      <c r="L479" s="163">
        <v>42709</v>
      </c>
      <c r="M479" s="116">
        <v>307.01</v>
      </c>
      <c r="N479" s="116">
        <v>308.41000000000003</v>
      </c>
      <c r="O479" s="116">
        <v>300.2</v>
      </c>
      <c r="P479" s="116">
        <v>303.57</v>
      </c>
      <c r="Q479" s="116">
        <v>1535.05</v>
      </c>
      <c r="R479">
        <v>451807</v>
      </c>
    </row>
    <row r="480" spans="1:18" x14ac:dyDescent="0.25">
      <c r="A480" s="163">
        <v>42710</v>
      </c>
      <c r="B480" s="116">
        <v>315.8</v>
      </c>
      <c r="C480" s="116">
        <v>304.39999999999998</v>
      </c>
      <c r="D480" s="116">
        <v>302.98</v>
      </c>
      <c r="E480" s="116">
        <v>315.8</v>
      </c>
      <c r="F480" s="116">
        <v>1522</v>
      </c>
      <c r="G480">
        <v>7552</v>
      </c>
      <c r="H480" s="116"/>
      <c r="I480" s="116"/>
      <c r="L480" s="163">
        <v>42710</v>
      </c>
      <c r="M480" s="116">
        <v>305.02</v>
      </c>
      <c r="N480" s="116">
        <v>311.73</v>
      </c>
      <c r="O480" s="116">
        <v>303.8</v>
      </c>
      <c r="P480" s="116">
        <v>308.39999999999998</v>
      </c>
      <c r="Q480" s="116">
        <v>1525.1</v>
      </c>
      <c r="R480">
        <v>83730</v>
      </c>
    </row>
    <row r="481" spans="1:18" x14ac:dyDescent="0.25">
      <c r="A481" s="163">
        <v>42711</v>
      </c>
      <c r="B481" s="116">
        <v>308</v>
      </c>
      <c r="C481" s="116">
        <v>303.41000000000003</v>
      </c>
      <c r="D481" s="116">
        <v>300.10000000000002</v>
      </c>
      <c r="E481" s="116">
        <v>305.8</v>
      </c>
      <c r="F481" s="116">
        <v>1517.05</v>
      </c>
      <c r="G481">
        <v>9296</v>
      </c>
      <c r="H481" s="116"/>
      <c r="I481" s="116"/>
      <c r="L481" s="163">
        <v>42711</v>
      </c>
      <c r="M481" s="116">
        <v>302.77999999999997</v>
      </c>
      <c r="N481" s="116">
        <v>309.8</v>
      </c>
      <c r="O481" s="116">
        <v>300.20999999999998</v>
      </c>
      <c r="P481" s="116">
        <v>306.70999999999998</v>
      </c>
      <c r="Q481" s="116">
        <v>1513.9</v>
      </c>
      <c r="R481">
        <v>130507</v>
      </c>
    </row>
    <row r="482" spans="1:18" x14ac:dyDescent="0.25">
      <c r="A482" s="163">
        <v>42712</v>
      </c>
      <c r="B482" s="116">
        <v>319.39999999999998</v>
      </c>
      <c r="C482" s="116">
        <v>307.79000000000002</v>
      </c>
      <c r="D482" s="116">
        <v>300.39999999999998</v>
      </c>
      <c r="E482" s="116">
        <v>319.39999999999998</v>
      </c>
      <c r="F482" s="116">
        <v>1538.95</v>
      </c>
      <c r="G482">
        <v>31554</v>
      </c>
      <c r="H482" s="116"/>
      <c r="I482" s="116"/>
      <c r="L482" s="163">
        <v>42712</v>
      </c>
      <c r="M482" s="116">
        <v>308.04000000000002</v>
      </c>
      <c r="N482" s="116">
        <v>314.86</v>
      </c>
      <c r="O482" s="116">
        <v>303.39</v>
      </c>
      <c r="P482" s="116">
        <v>305.60000000000002</v>
      </c>
      <c r="Q482" s="116">
        <v>1540.2</v>
      </c>
      <c r="R482">
        <v>311445</v>
      </c>
    </row>
    <row r="483" spans="1:18" x14ac:dyDescent="0.25">
      <c r="A483" s="163">
        <v>42713</v>
      </c>
      <c r="B483" s="116">
        <v>310.41000000000003</v>
      </c>
      <c r="C483" s="116">
        <v>306.95</v>
      </c>
      <c r="D483" s="116">
        <v>304.51</v>
      </c>
      <c r="E483" s="116">
        <v>308</v>
      </c>
      <c r="F483" s="116">
        <v>1534.75</v>
      </c>
      <c r="G483">
        <v>8974</v>
      </c>
      <c r="H483" s="116"/>
      <c r="I483" s="116"/>
      <c r="L483" s="163">
        <v>42713</v>
      </c>
      <c r="M483" s="116">
        <v>306.94</v>
      </c>
      <c r="N483" s="116">
        <v>310.89999999999998</v>
      </c>
      <c r="O483" s="116">
        <v>304.22000000000003</v>
      </c>
      <c r="P483" s="116">
        <v>310.89999999999998</v>
      </c>
      <c r="Q483" s="116">
        <v>1534.7</v>
      </c>
      <c r="R483">
        <v>121949</v>
      </c>
    </row>
    <row r="484" spans="1:18" x14ac:dyDescent="0.25">
      <c r="A484" s="163">
        <v>42716</v>
      </c>
      <c r="B484" s="116">
        <v>311</v>
      </c>
      <c r="C484" s="116">
        <v>303.86</v>
      </c>
      <c r="D484" s="116">
        <v>300.11</v>
      </c>
      <c r="E484" s="116">
        <v>310</v>
      </c>
      <c r="F484" s="116">
        <v>1519.3</v>
      </c>
      <c r="G484">
        <v>13922</v>
      </c>
      <c r="H484" s="116"/>
      <c r="I484" s="116"/>
      <c r="L484" s="163">
        <v>42716</v>
      </c>
      <c r="M484" s="116">
        <v>303.67</v>
      </c>
      <c r="N484" s="116">
        <v>309.2</v>
      </c>
      <c r="O484" s="116">
        <v>299.91000000000003</v>
      </c>
      <c r="P484" s="116">
        <v>306.77999999999997</v>
      </c>
      <c r="Q484" s="116">
        <v>1518.35</v>
      </c>
      <c r="R484">
        <v>139083</v>
      </c>
    </row>
    <row r="485" spans="1:18" x14ac:dyDescent="0.25">
      <c r="A485" s="163">
        <v>42717</v>
      </c>
      <c r="B485" s="116">
        <v>309.27</v>
      </c>
      <c r="C485" s="116">
        <v>304.75</v>
      </c>
      <c r="D485" s="116">
        <v>302.89999999999998</v>
      </c>
      <c r="E485" s="116">
        <v>304</v>
      </c>
      <c r="F485" s="116">
        <v>1523.75</v>
      </c>
      <c r="G485">
        <v>14837</v>
      </c>
      <c r="H485" s="116"/>
      <c r="I485" s="116"/>
      <c r="L485" s="163">
        <v>42717</v>
      </c>
      <c r="M485" s="116">
        <v>304.89999999999998</v>
      </c>
      <c r="N485" s="116">
        <v>309.2</v>
      </c>
      <c r="O485" s="116">
        <v>303.39999999999998</v>
      </c>
      <c r="P485" s="116">
        <v>306.60000000000002</v>
      </c>
      <c r="Q485" s="116">
        <v>1524.5</v>
      </c>
      <c r="R485">
        <v>160849</v>
      </c>
    </row>
    <row r="486" spans="1:18" x14ac:dyDescent="0.25">
      <c r="A486" s="163">
        <v>42718</v>
      </c>
      <c r="B486" s="116">
        <v>310.70999999999998</v>
      </c>
      <c r="C486" s="116">
        <v>304.7</v>
      </c>
      <c r="D486" s="116">
        <v>303.60000000000002</v>
      </c>
      <c r="E486" s="116">
        <v>307.22000000000003</v>
      </c>
      <c r="F486" s="116">
        <v>1523.5</v>
      </c>
      <c r="G486">
        <v>15908</v>
      </c>
      <c r="H486" s="116"/>
      <c r="I486" s="116"/>
      <c r="L486" s="163">
        <v>42718</v>
      </c>
      <c r="M486" s="116">
        <v>305.22000000000003</v>
      </c>
      <c r="N486" s="116">
        <v>310.52</v>
      </c>
      <c r="O486" s="116">
        <v>304.02</v>
      </c>
      <c r="P486" s="116">
        <v>305.11</v>
      </c>
      <c r="Q486" s="116">
        <v>1526.1</v>
      </c>
      <c r="R486">
        <v>295299</v>
      </c>
    </row>
    <row r="487" spans="1:18" x14ac:dyDescent="0.25">
      <c r="A487" s="163">
        <v>42719</v>
      </c>
      <c r="B487" s="116">
        <v>307</v>
      </c>
      <c r="C487" s="116">
        <v>302.33</v>
      </c>
      <c r="D487" s="116">
        <v>301.62</v>
      </c>
      <c r="E487" s="116">
        <v>303</v>
      </c>
      <c r="F487" s="116">
        <v>1511.65</v>
      </c>
      <c r="G487">
        <v>5818</v>
      </c>
      <c r="H487" s="116"/>
      <c r="I487" s="116"/>
      <c r="L487" s="163">
        <v>42719</v>
      </c>
      <c r="M487" s="116">
        <v>301.85000000000002</v>
      </c>
      <c r="N487" s="116">
        <v>307.55</v>
      </c>
      <c r="O487" s="116">
        <v>301.04000000000002</v>
      </c>
      <c r="P487" s="116">
        <v>301.04000000000002</v>
      </c>
      <c r="Q487" s="116">
        <v>1509.25</v>
      </c>
      <c r="R487">
        <v>108022</v>
      </c>
    </row>
    <row r="488" spans="1:18" x14ac:dyDescent="0.25">
      <c r="A488" s="163">
        <v>42720</v>
      </c>
      <c r="B488" s="116">
        <v>304.54000000000002</v>
      </c>
      <c r="C488" s="116">
        <v>301.77999999999997</v>
      </c>
      <c r="D488" s="116">
        <v>298.44</v>
      </c>
      <c r="E488" s="116">
        <v>304</v>
      </c>
      <c r="F488" s="116">
        <v>1508.9</v>
      </c>
      <c r="G488">
        <v>179910</v>
      </c>
      <c r="H488" s="116"/>
      <c r="I488" s="116"/>
      <c r="L488" s="163">
        <v>42720</v>
      </c>
      <c r="M488" s="116">
        <v>301.49</v>
      </c>
      <c r="N488" s="116">
        <v>304.52</v>
      </c>
      <c r="O488" s="116">
        <v>298.22000000000003</v>
      </c>
      <c r="P488" s="116">
        <v>304.52</v>
      </c>
      <c r="Q488" s="116">
        <v>1507.45</v>
      </c>
      <c r="R488">
        <v>126112</v>
      </c>
    </row>
    <row r="489" spans="1:18" x14ac:dyDescent="0.25">
      <c r="A489" s="163">
        <v>42723</v>
      </c>
      <c r="B489" s="116">
        <v>304.29000000000002</v>
      </c>
      <c r="C489" s="116">
        <v>301.48</v>
      </c>
      <c r="D489" s="116">
        <v>300.7</v>
      </c>
      <c r="E489" s="116">
        <v>301.39999999999998</v>
      </c>
      <c r="F489" s="116">
        <v>1507.4</v>
      </c>
      <c r="G489">
        <v>4323</v>
      </c>
      <c r="H489" s="116"/>
      <c r="I489" s="116"/>
      <c r="L489" s="163">
        <v>42723</v>
      </c>
      <c r="M489" s="116">
        <v>301.68</v>
      </c>
      <c r="N489" s="116">
        <v>304.39999999999998</v>
      </c>
      <c r="O489" s="116">
        <v>301</v>
      </c>
      <c r="P489" s="116">
        <v>302.8</v>
      </c>
      <c r="Q489" s="116">
        <v>1508.4</v>
      </c>
      <c r="R489">
        <v>60083</v>
      </c>
    </row>
    <row r="490" spans="1:18" x14ac:dyDescent="0.25">
      <c r="A490" s="163">
        <v>42724</v>
      </c>
      <c r="B490" s="116">
        <v>302.58999999999997</v>
      </c>
      <c r="C490" s="116">
        <v>295.51</v>
      </c>
      <c r="D490" s="116">
        <v>295</v>
      </c>
      <c r="E490" s="116">
        <v>301.39999999999998</v>
      </c>
      <c r="F490" s="116">
        <v>1477.55</v>
      </c>
      <c r="G490">
        <v>5142</v>
      </c>
      <c r="H490" s="116"/>
      <c r="I490" s="116"/>
      <c r="L490" s="163">
        <v>42724</v>
      </c>
      <c r="M490" s="116">
        <v>296.18</v>
      </c>
      <c r="N490" s="116">
        <v>302.98</v>
      </c>
      <c r="O490" s="116">
        <v>295.11</v>
      </c>
      <c r="P490" s="116">
        <v>302.11</v>
      </c>
      <c r="Q490" s="116">
        <v>1480.9</v>
      </c>
      <c r="R490">
        <v>125964</v>
      </c>
    </row>
    <row r="491" spans="1:18" x14ac:dyDescent="0.25">
      <c r="A491" s="163">
        <v>42725</v>
      </c>
      <c r="B491" s="116">
        <v>302.2</v>
      </c>
      <c r="C491" s="116">
        <v>296.68</v>
      </c>
      <c r="D491" s="116">
        <v>290.56</v>
      </c>
      <c r="E491" s="116">
        <v>296.81</v>
      </c>
      <c r="F491" s="116">
        <v>1483.4</v>
      </c>
      <c r="G491">
        <v>10852</v>
      </c>
      <c r="H491" s="116"/>
      <c r="I491" s="116"/>
      <c r="L491" s="163">
        <v>42725</v>
      </c>
      <c r="M491" s="116">
        <v>296.92</v>
      </c>
      <c r="N491" s="116">
        <v>300.94</v>
      </c>
      <c r="O491" s="116">
        <v>290.08</v>
      </c>
      <c r="P491" s="116">
        <v>298.39999999999998</v>
      </c>
      <c r="Q491" s="116">
        <v>1484.6</v>
      </c>
      <c r="R491">
        <v>190733</v>
      </c>
    </row>
    <row r="492" spans="1:18" x14ac:dyDescent="0.25">
      <c r="A492" s="163">
        <v>42726</v>
      </c>
      <c r="B492" s="116">
        <v>299.39999999999998</v>
      </c>
      <c r="C492" s="116">
        <v>297.25</v>
      </c>
      <c r="D492" s="116">
        <v>294.5</v>
      </c>
      <c r="E492" s="116">
        <v>295</v>
      </c>
      <c r="F492" s="116">
        <v>1486.25</v>
      </c>
      <c r="G492">
        <v>11174</v>
      </c>
      <c r="H492" s="116"/>
      <c r="I492" s="116"/>
      <c r="L492" s="163">
        <v>42726</v>
      </c>
      <c r="M492" s="116">
        <v>296.98</v>
      </c>
      <c r="N492" s="116">
        <v>299.74</v>
      </c>
      <c r="O492" s="116">
        <v>294.39999999999998</v>
      </c>
      <c r="P492" s="116">
        <v>294.39999999999998</v>
      </c>
      <c r="Q492" s="116">
        <v>1484.9</v>
      </c>
      <c r="R492">
        <v>165029</v>
      </c>
    </row>
    <row r="493" spans="1:18" x14ac:dyDescent="0.25">
      <c r="A493" s="163">
        <v>42727</v>
      </c>
      <c r="B493" s="116">
        <v>302</v>
      </c>
      <c r="C493" s="116">
        <v>298.91000000000003</v>
      </c>
      <c r="D493" s="116">
        <v>296.7</v>
      </c>
      <c r="E493" s="116">
        <v>298.8</v>
      </c>
      <c r="F493" s="116">
        <v>1494.55</v>
      </c>
      <c r="G493">
        <v>10940</v>
      </c>
      <c r="H493" s="116"/>
      <c r="I493" s="116"/>
      <c r="L493" s="163">
        <v>42727</v>
      </c>
      <c r="M493" s="116">
        <v>298.79000000000002</v>
      </c>
      <c r="N493" s="116">
        <v>302.35000000000002</v>
      </c>
      <c r="O493" s="116">
        <v>296.64</v>
      </c>
      <c r="P493" s="116">
        <v>297.39999999999998</v>
      </c>
      <c r="Q493" s="116">
        <v>1493.95</v>
      </c>
      <c r="R493">
        <v>187208</v>
      </c>
    </row>
    <row r="494" spans="1:18" x14ac:dyDescent="0.25">
      <c r="A494" s="163">
        <v>42730</v>
      </c>
      <c r="B494" s="116">
        <v>298.91000000000003</v>
      </c>
      <c r="C494" s="116">
        <v>291.85000000000002</v>
      </c>
      <c r="D494" s="116">
        <v>291</v>
      </c>
      <c r="E494" s="116">
        <v>298.91000000000003</v>
      </c>
      <c r="F494" s="116">
        <v>1459.25</v>
      </c>
      <c r="G494">
        <v>9386</v>
      </c>
      <c r="H494" s="116"/>
      <c r="I494" s="116"/>
      <c r="L494" s="163">
        <v>42730</v>
      </c>
      <c r="M494" s="116">
        <v>291.87</v>
      </c>
      <c r="N494" s="116">
        <v>298</v>
      </c>
      <c r="O494" s="116">
        <v>290.2</v>
      </c>
      <c r="P494" s="116">
        <v>298</v>
      </c>
      <c r="Q494" s="116">
        <v>1459.35</v>
      </c>
      <c r="R494">
        <v>118026</v>
      </c>
    </row>
    <row r="495" spans="1:18" x14ac:dyDescent="0.25">
      <c r="A495" s="163">
        <v>42731</v>
      </c>
      <c r="B495" s="116">
        <v>303.38</v>
      </c>
      <c r="C495" s="116">
        <v>301.56</v>
      </c>
      <c r="D495" s="116">
        <v>289</v>
      </c>
      <c r="E495" s="116">
        <v>291.14</v>
      </c>
      <c r="F495" s="116">
        <v>1507.8</v>
      </c>
      <c r="G495">
        <v>11595</v>
      </c>
      <c r="H495" s="116"/>
      <c r="I495" s="116"/>
      <c r="L495" s="163">
        <v>42731</v>
      </c>
      <c r="M495" s="116">
        <v>302.2</v>
      </c>
      <c r="N495" s="116">
        <v>304.2</v>
      </c>
      <c r="O495" s="116">
        <v>288.8</v>
      </c>
      <c r="P495" s="116">
        <v>292</v>
      </c>
      <c r="Q495" s="116">
        <v>1511</v>
      </c>
      <c r="R495">
        <v>184190</v>
      </c>
    </row>
    <row r="496" spans="1:18" x14ac:dyDescent="0.25">
      <c r="A496" s="163">
        <v>42732</v>
      </c>
      <c r="B496" s="116">
        <v>306.66000000000003</v>
      </c>
      <c r="C496" s="116">
        <v>300.91000000000003</v>
      </c>
      <c r="D496" s="116">
        <v>299.60000000000002</v>
      </c>
      <c r="E496" s="116">
        <v>306</v>
      </c>
      <c r="F496" s="116">
        <v>1504.55</v>
      </c>
      <c r="G496">
        <v>8165</v>
      </c>
      <c r="H496" s="116"/>
      <c r="I496" s="116"/>
      <c r="L496" s="163">
        <v>42732</v>
      </c>
      <c r="M496" s="116">
        <v>300.55</v>
      </c>
      <c r="N496" s="116">
        <v>306.88</v>
      </c>
      <c r="O496" s="116">
        <v>299.29000000000002</v>
      </c>
      <c r="P496" s="116">
        <v>303.2</v>
      </c>
      <c r="Q496" s="116">
        <v>1502.75</v>
      </c>
      <c r="R496">
        <v>180202</v>
      </c>
    </row>
    <row r="497" spans="1:18" x14ac:dyDescent="0.25">
      <c r="A497" s="163">
        <v>42733</v>
      </c>
      <c r="B497" s="116">
        <v>306.89999999999998</v>
      </c>
      <c r="C497" s="116">
        <v>305.3</v>
      </c>
      <c r="D497" s="116">
        <v>297.48</v>
      </c>
      <c r="E497" s="116">
        <v>300.39999999999998</v>
      </c>
      <c r="F497" s="116">
        <v>1526.5</v>
      </c>
      <c r="G497">
        <v>6539</v>
      </c>
      <c r="H497" s="116"/>
      <c r="I497" s="116"/>
      <c r="L497" s="163">
        <v>42733</v>
      </c>
      <c r="M497" s="116">
        <v>305.69</v>
      </c>
      <c r="N497" s="116">
        <v>307</v>
      </c>
      <c r="O497" s="116">
        <v>297.10000000000002</v>
      </c>
      <c r="P497" s="116">
        <v>300.39999999999998</v>
      </c>
      <c r="Q497" s="116">
        <v>1528.45</v>
      </c>
      <c r="R497">
        <v>249609</v>
      </c>
    </row>
    <row r="498" spans="1:18" x14ac:dyDescent="0.25">
      <c r="A498" s="163">
        <v>42734</v>
      </c>
      <c r="B498" s="116">
        <v>310.64</v>
      </c>
      <c r="C498" s="116">
        <v>308.44</v>
      </c>
      <c r="D498" s="116">
        <v>305.8</v>
      </c>
      <c r="E498" s="116">
        <v>306.61</v>
      </c>
      <c r="F498" s="116">
        <v>1542.2</v>
      </c>
      <c r="G498">
        <v>5920</v>
      </c>
      <c r="H498" s="116"/>
      <c r="I498" s="116"/>
      <c r="L498" s="163">
        <v>42734</v>
      </c>
      <c r="M498" s="116">
        <v>309.29000000000002</v>
      </c>
      <c r="N498" s="116">
        <v>310.93</v>
      </c>
      <c r="O498" s="116">
        <v>305.58</v>
      </c>
      <c r="P498" s="116">
        <v>305.8</v>
      </c>
      <c r="Q498" s="116">
        <v>1546.45</v>
      </c>
      <c r="R498">
        <v>97273</v>
      </c>
    </row>
    <row r="499" spans="1:18" x14ac:dyDescent="0.25">
      <c r="A499" s="163">
        <v>42737</v>
      </c>
      <c r="B499" s="116">
        <v>312.77999999999997</v>
      </c>
      <c r="C499" s="116">
        <v>311.60000000000002</v>
      </c>
      <c r="D499" s="116">
        <v>306.94</v>
      </c>
      <c r="E499" s="116">
        <v>308.60000000000002</v>
      </c>
      <c r="F499" s="116">
        <v>1558</v>
      </c>
      <c r="G499">
        <v>9659</v>
      </c>
      <c r="H499" s="116"/>
      <c r="I499" s="116"/>
      <c r="L499" s="163">
        <v>42737</v>
      </c>
      <c r="M499" s="116">
        <v>311.68</v>
      </c>
      <c r="N499" s="116">
        <v>312.8</v>
      </c>
      <c r="O499" s="116">
        <v>306.23</v>
      </c>
      <c r="P499" s="116">
        <v>310</v>
      </c>
      <c r="Q499" s="116">
        <v>1558.4</v>
      </c>
      <c r="R499">
        <v>96634</v>
      </c>
    </row>
    <row r="500" spans="1:18" x14ac:dyDescent="0.25">
      <c r="A500" s="163">
        <v>42738</v>
      </c>
      <c r="B500" s="116">
        <v>314.94</v>
      </c>
      <c r="C500" s="116">
        <v>310.97000000000003</v>
      </c>
      <c r="D500" s="116">
        <v>309.51</v>
      </c>
      <c r="E500" s="116">
        <v>311.08999999999997</v>
      </c>
      <c r="F500" s="116">
        <v>1554.85</v>
      </c>
      <c r="G500">
        <v>7312</v>
      </c>
      <c r="H500" s="116"/>
      <c r="I500" s="116"/>
      <c r="L500" s="163">
        <v>42738</v>
      </c>
      <c r="M500" s="116">
        <v>310.04000000000002</v>
      </c>
      <c r="N500" s="116">
        <v>314.60000000000002</v>
      </c>
      <c r="O500" s="116">
        <v>309.12</v>
      </c>
      <c r="P500" s="116">
        <v>311.97000000000003</v>
      </c>
      <c r="Q500" s="116">
        <v>1550.2</v>
      </c>
      <c r="R500">
        <v>112184</v>
      </c>
    </row>
    <row r="501" spans="1:18" x14ac:dyDescent="0.25">
      <c r="A501" s="163">
        <v>42739</v>
      </c>
      <c r="B501" s="116">
        <v>314.33999999999997</v>
      </c>
      <c r="C501" s="116">
        <v>310.79000000000002</v>
      </c>
      <c r="D501" s="116">
        <v>308.8</v>
      </c>
      <c r="E501" s="116">
        <v>312.99</v>
      </c>
      <c r="F501" s="116">
        <v>1553.95</v>
      </c>
      <c r="G501">
        <v>4290</v>
      </c>
      <c r="H501" s="116"/>
      <c r="I501" s="116"/>
      <c r="L501" s="163">
        <v>42739</v>
      </c>
      <c r="M501" s="116">
        <v>309.89</v>
      </c>
      <c r="N501" s="116">
        <v>314.39999999999998</v>
      </c>
      <c r="O501" s="116">
        <v>308</v>
      </c>
      <c r="P501" s="116">
        <v>310.64</v>
      </c>
      <c r="Q501" s="116">
        <v>1549.45</v>
      </c>
      <c r="R501">
        <v>97995</v>
      </c>
    </row>
    <row r="502" spans="1:18" x14ac:dyDescent="0.25">
      <c r="A502" s="163">
        <v>42740</v>
      </c>
      <c r="B502" s="116">
        <v>320</v>
      </c>
      <c r="C502" s="116">
        <v>316.95</v>
      </c>
      <c r="D502" s="116">
        <v>310.60000000000002</v>
      </c>
      <c r="E502" s="116">
        <v>310.8</v>
      </c>
      <c r="F502" s="116">
        <v>1584.75</v>
      </c>
      <c r="G502">
        <v>15815</v>
      </c>
      <c r="H502" s="116"/>
      <c r="I502" s="116"/>
      <c r="L502" s="163">
        <v>42740</v>
      </c>
      <c r="M502" s="116">
        <v>316.89999999999998</v>
      </c>
      <c r="N502" s="116">
        <v>319</v>
      </c>
      <c r="O502" s="116">
        <v>309.61</v>
      </c>
      <c r="P502" s="116">
        <v>309.89</v>
      </c>
      <c r="Q502" s="116">
        <v>1584.5</v>
      </c>
      <c r="R502">
        <v>158877</v>
      </c>
    </row>
    <row r="503" spans="1:18" x14ac:dyDescent="0.25">
      <c r="A503" s="163">
        <v>42741</v>
      </c>
      <c r="B503" s="116">
        <v>323.22000000000003</v>
      </c>
      <c r="C503" s="116">
        <v>312.91000000000003</v>
      </c>
      <c r="D503" s="116">
        <v>311.24</v>
      </c>
      <c r="E503" s="116">
        <v>319.60000000000002</v>
      </c>
      <c r="F503" s="116">
        <v>1564.55</v>
      </c>
      <c r="G503">
        <v>23975</v>
      </c>
      <c r="H503" s="116"/>
      <c r="I503" s="116"/>
      <c r="L503" s="163">
        <v>42741</v>
      </c>
      <c r="M503" s="116">
        <v>313.05</v>
      </c>
      <c r="N503" s="116">
        <v>322.7</v>
      </c>
      <c r="O503" s="116">
        <v>312</v>
      </c>
      <c r="P503" s="116">
        <v>317.60000000000002</v>
      </c>
      <c r="Q503" s="116">
        <v>1565.25</v>
      </c>
      <c r="R503">
        <v>163558</v>
      </c>
    </row>
    <row r="504" spans="1:18" x14ac:dyDescent="0.25">
      <c r="A504" s="163">
        <v>42744</v>
      </c>
      <c r="B504" s="116">
        <v>318.2</v>
      </c>
      <c r="C504" s="116">
        <v>314.38</v>
      </c>
      <c r="D504" s="116">
        <v>311</v>
      </c>
      <c r="E504" s="116">
        <v>314.39999999999998</v>
      </c>
      <c r="F504" s="116">
        <v>1571.9</v>
      </c>
      <c r="G504">
        <v>6041</v>
      </c>
      <c r="H504" s="116"/>
      <c r="I504" s="116"/>
      <c r="L504" s="163">
        <v>42744</v>
      </c>
      <c r="M504" s="116">
        <v>314.11</v>
      </c>
      <c r="N504" s="116">
        <v>316.58999999999997</v>
      </c>
      <c r="O504" s="116">
        <v>310.58999999999997</v>
      </c>
      <c r="P504" s="116">
        <v>313.06</v>
      </c>
      <c r="Q504" s="116">
        <v>1570.55</v>
      </c>
      <c r="R504">
        <v>77182</v>
      </c>
    </row>
    <row r="505" spans="1:18" x14ac:dyDescent="0.25">
      <c r="A505" s="163">
        <v>42745</v>
      </c>
      <c r="B505" s="116">
        <v>317.43</v>
      </c>
      <c r="C505" s="116">
        <v>315.48</v>
      </c>
      <c r="D505" s="116">
        <v>313.39999999999998</v>
      </c>
      <c r="E505" s="116">
        <v>316</v>
      </c>
      <c r="F505" s="116">
        <v>1577.4</v>
      </c>
      <c r="G505">
        <v>2748</v>
      </c>
      <c r="H505" s="116"/>
      <c r="I505" s="116"/>
      <c r="L505" s="163">
        <v>42745</v>
      </c>
      <c r="M505" s="116">
        <v>315.2</v>
      </c>
      <c r="N505" s="116">
        <v>317.60000000000002</v>
      </c>
      <c r="O505" s="116">
        <v>313.27999999999997</v>
      </c>
      <c r="P505" s="116">
        <v>314.45</v>
      </c>
      <c r="Q505" s="116">
        <v>1576</v>
      </c>
      <c r="R505">
        <v>59099</v>
      </c>
    </row>
    <row r="506" spans="1:18" x14ac:dyDescent="0.25">
      <c r="A506" s="163">
        <v>42746</v>
      </c>
      <c r="B506" s="116">
        <v>332.04</v>
      </c>
      <c r="C506" s="116">
        <v>330.18</v>
      </c>
      <c r="D506" s="116">
        <v>315.2</v>
      </c>
      <c r="E506" s="116">
        <v>315.2</v>
      </c>
      <c r="F506" s="116">
        <v>1650.9</v>
      </c>
      <c r="G506">
        <v>40717</v>
      </c>
      <c r="H506" s="116"/>
      <c r="I506" s="116"/>
      <c r="L506" s="163">
        <v>42746</v>
      </c>
      <c r="M506" s="116">
        <v>330.41</v>
      </c>
      <c r="N506" s="116">
        <v>331.8</v>
      </c>
      <c r="O506" s="116">
        <v>315.70999999999998</v>
      </c>
      <c r="P506" s="116">
        <v>316.2</v>
      </c>
      <c r="Q506" s="116">
        <v>1652.05</v>
      </c>
      <c r="R506">
        <v>448570</v>
      </c>
    </row>
    <row r="507" spans="1:18" x14ac:dyDescent="0.25">
      <c r="A507" s="163">
        <v>42747</v>
      </c>
      <c r="B507" s="116">
        <v>333</v>
      </c>
      <c r="C507" s="116">
        <v>327.17</v>
      </c>
      <c r="D507" s="116">
        <v>323.33</v>
      </c>
      <c r="E507" s="116">
        <v>332.2</v>
      </c>
      <c r="F507" s="116">
        <v>1635.85</v>
      </c>
      <c r="G507">
        <v>19611</v>
      </c>
      <c r="H507" s="116"/>
      <c r="I507" s="116"/>
      <c r="L507" s="163">
        <v>42747</v>
      </c>
      <c r="M507" s="116">
        <v>326.94</v>
      </c>
      <c r="N507" s="116">
        <v>333</v>
      </c>
      <c r="O507" s="116">
        <v>323.10000000000002</v>
      </c>
      <c r="P507" s="116">
        <v>332</v>
      </c>
      <c r="Q507" s="116">
        <v>1634.7</v>
      </c>
      <c r="R507">
        <v>260212</v>
      </c>
    </row>
    <row r="508" spans="1:18" x14ac:dyDescent="0.25">
      <c r="A508" s="163">
        <v>42748</v>
      </c>
      <c r="B508" s="116">
        <v>329.6</v>
      </c>
      <c r="C508" s="116">
        <v>324.63</v>
      </c>
      <c r="D508" s="116">
        <v>321.79000000000002</v>
      </c>
      <c r="E508" s="116">
        <v>328.6</v>
      </c>
      <c r="F508" s="116">
        <v>1623.15</v>
      </c>
      <c r="G508">
        <v>4907</v>
      </c>
      <c r="H508" s="116"/>
      <c r="I508" s="116"/>
      <c r="L508" s="163">
        <v>42748</v>
      </c>
      <c r="M508" s="116">
        <v>324.05</v>
      </c>
      <c r="N508" s="116">
        <v>329.65</v>
      </c>
      <c r="O508" s="116">
        <v>321.60000000000002</v>
      </c>
      <c r="P508" s="116">
        <v>327.57</v>
      </c>
      <c r="Q508" s="116">
        <v>1620.25</v>
      </c>
      <c r="R508">
        <v>109975</v>
      </c>
    </row>
    <row r="509" spans="1:18" x14ac:dyDescent="0.25">
      <c r="A509" s="163">
        <v>42751</v>
      </c>
      <c r="B509" s="116">
        <v>328.78</v>
      </c>
      <c r="C509" s="116">
        <v>325.99</v>
      </c>
      <c r="D509" s="116">
        <v>322.98</v>
      </c>
      <c r="E509" s="116">
        <v>324</v>
      </c>
      <c r="F509" s="116">
        <v>1629.95</v>
      </c>
      <c r="G509">
        <v>10431</v>
      </c>
      <c r="H509" s="116"/>
      <c r="I509" s="116"/>
      <c r="L509" s="163">
        <v>42751</v>
      </c>
      <c r="M509" s="116">
        <v>324.86</v>
      </c>
      <c r="N509" s="116">
        <v>328.4</v>
      </c>
      <c r="O509" s="116">
        <v>322.39999999999998</v>
      </c>
      <c r="P509" s="116">
        <v>324.06</v>
      </c>
      <c r="Q509" s="116">
        <v>1624.3</v>
      </c>
      <c r="R509">
        <v>125155</v>
      </c>
    </row>
    <row r="510" spans="1:18" x14ac:dyDescent="0.25">
      <c r="A510" s="163">
        <v>42752</v>
      </c>
      <c r="B510" s="116">
        <v>341.31</v>
      </c>
      <c r="C510" s="116">
        <v>331.25</v>
      </c>
      <c r="D510" s="116">
        <v>327.39999999999998</v>
      </c>
      <c r="E510" s="116">
        <v>327.39999999999998</v>
      </c>
      <c r="F510" s="116">
        <v>1656.25</v>
      </c>
      <c r="G510">
        <v>47265</v>
      </c>
      <c r="H510" s="116"/>
      <c r="I510" s="116"/>
      <c r="L510" s="163">
        <v>42752</v>
      </c>
      <c r="M510" s="116">
        <v>331.19</v>
      </c>
      <c r="N510" s="116">
        <v>341.15</v>
      </c>
      <c r="O510" s="116">
        <v>327.52999999999997</v>
      </c>
      <c r="P510" s="116">
        <v>327.97</v>
      </c>
      <c r="Q510" s="116">
        <v>1655.95</v>
      </c>
      <c r="R510">
        <v>776537</v>
      </c>
    </row>
    <row r="511" spans="1:18" x14ac:dyDescent="0.25">
      <c r="A511" s="163">
        <v>42753</v>
      </c>
      <c r="B511" s="116">
        <v>336</v>
      </c>
      <c r="C511" s="116">
        <v>331.43</v>
      </c>
      <c r="D511" s="116">
        <v>329.24</v>
      </c>
      <c r="E511" s="116">
        <v>331.4</v>
      </c>
      <c r="F511" s="116">
        <v>1657.15</v>
      </c>
      <c r="G511">
        <v>11520</v>
      </c>
      <c r="H511" s="116"/>
      <c r="I511" s="116"/>
      <c r="L511" s="163">
        <v>42753</v>
      </c>
      <c r="M511" s="116">
        <v>331.23</v>
      </c>
      <c r="N511" s="116">
        <v>335.98</v>
      </c>
      <c r="O511" s="116">
        <v>329.32</v>
      </c>
      <c r="P511" s="116">
        <v>331.38</v>
      </c>
      <c r="Q511" s="116">
        <v>1656.15</v>
      </c>
      <c r="R511">
        <v>207143</v>
      </c>
    </row>
    <row r="512" spans="1:18" x14ac:dyDescent="0.25">
      <c r="A512" s="163">
        <v>42754</v>
      </c>
      <c r="B512" s="116">
        <v>335.6</v>
      </c>
      <c r="C512" s="116">
        <v>333.9</v>
      </c>
      <c r="D512" s="116">
        <v>329.8</v>
      </c>
      <c r="E512" s="116">
        <v>331.4</v>
      </c>
      <c r="F512" s="116">
        <v>1669.5</v>
      </c>
      <c r="G512">
        <v>9149</v>
      </c>
      <c r="H512" s="116"/>
      <c r="I512" s="116"/>
      <c r="L512" s="163">
        <v>42754</v>
      </c>
      <c r="M512" s="116">
        <v>333.77</v>
      </c>
      <c r="N512" s="116">
        <v>335</v>
      </c>
      <c r="O512" s="116">
        <v>329.41</v>
      </c>
      <c r="P512" s="116">
        <v>331.23</v>
      </c>
      <c r="Q512" s="116">
        <v>1668.85</v>
      </c>
      <c r="R512">
        <v>145266</v>
      </c>
    </row>
    <row r="513" spans="1:18" x14ac:dyDescent="0.25">
      <c r="A513" s="163">
        <v>42755</v>
      </c>
      <c r="B513" s="116">
        <v>338.53</v>
      </c>
      <c r="C513" s="116">
        <v>329.09</v>
      </c>
      <c r="D513" s="116">
        <v>327.05</v>
      </c>
      <c r="E513" s="116">
        <v>335</v>
      </c>
      <c r="F513" s="116">
        <v>1645.45</v>
      </c>
      <c r="G513">
        <v>17494</v>
      </c>
      <c r="H513" s="116"/>
      <c r="I513" s="116"/>
      <c r="L513" s="163">
        <v>42755</v>
      </c>
      <c r="M513" s="116">
        <v>328.86</v>
      </c>
      <c r="N513" s="116">
        <v>338.59</v>
      </c>
      <c r="O513" s="116">
        <v>327.74</v>
      </c>
      <c r="P513" s="116">
        <v>334</v>
      </c>
      <c r="Q513" s="116">
        <v>1644.3</v>
      </c>
      <c r="R513">
        <v>281903</v>
      </c>
    </row>
    <row r="514" spans="1:18" x14ac:dyDescent="0.25">
      <c r="A514" s="163">
        <v>42758</v>
      </c>
      <c r="B514" s="116">
        <v>332.7</v>
      </c>
      <c r="C514" s="116">
        <v>331.01</v>
      </c>
      <c r="D514" s="116">
        <v>327.35000000000002</v>
      </c>
      <c r="E514" s="116">
        <v>328.6</v>
      </c>
      <c r="F514" s="116">
        <v>1655.05</v>
      </c>
      <c r="G514">
        <v>7659</v>
      </c>
      <c r="H514" s="116"/>
      <c r="I514" s="116"/>
      <c r="L514" s="163">
        <v>42758</v>
      </c>
      <c r="M514" s="116">
        <v>330.63</v>
      </c>
      <c r="N514" s="116">
        <v>332.6</v>
      </c>
      <c r="O514" s="116">
        <v>327.02</v>
      </c>
      <c r="P514" s="116">
        <v>328.75</v>
      </c>
      <c r="Q514" s="116">
        <v>1653.15</v>
      </c>
      <c r="R514">
        <v>117331</v>
      </c>
    </row>
    <row r="515" spans="1:18" x14ac:dyDescent="0.25">
      <c r="A515" s="163">
        <v>42759</v>
      </c>
      <c r="B515" s="116">
        <v>335.07</v>
      </c>
      <c r="C515" s="116">
        <v>333.17</v>
      </c>
      <c r="D515" s="116">
        <v>328.2</v>
      </c>
      <c r="E515" s="116">
        <v>330.01</v>
      </c>
      <c r="F515" s="116">
        <v>1665.85</v>
      </c>
      <c r="G515">
        <v>14386</v>
      </c>
      <c r="H515" s="116"/>
      <c r="I515" s="116"/>
      <c r="L515" s="163">
        <v>42759</v>
      </c>
      <c r="M515" s="116">
        <v>333</v>
      </c>
      <c r="N515" s="116">
        <v>335.2</v>
      </c>
      <c r="O515" s="116">
        <v>325.67</v>
      </c>
      <c r="P515" s="116">
        <v>330.99</v>
      </c>
      <c r="Q515" s="116">
        <v>1665</v>
      </c>
      <c r="R515">
        <v>168044</v>
      </c>
    </row>
    <row r="516" spans="1:18" x14ac:dyDescent="0.25">
      <c r="A516" s="163">
        <v>42760</v>
      </c>
      <c r="B516" s="116">
        <v>342.94</v>
      </c>
      <c r="C516" s="116">
        <v>341.48</v>
      </c>
      <c r="D516" s="116">
        <v>331.3</v>
      </c>
      <c r="E516" s="116">
        <v>334.2</v>
      </c>
      <c r="F516" s="116">
        <v>1707.4</v>
      </c>
      <c r="G516">
        <v>22161</v>
      </c>
      <c r="H516" s="116"/>
      <c r="I516" s="116"/>
      <c r="L516" s="163">
        <v>42760</v>
      </c>
      <c r="M516" s="116">
        <v>341.94</v>
      </c>
      <c r="N516" s="116">
        <v>343</v>
      </c>
      <c r="O516" s="116">
        <v>331.02</v>
      </c>
      <c r="P516" s="116">
        <v>333.64</v>
      </c>
      <c r="Q516" s="116">
        <v>1709.7</v>
      </c>
      <c r="R516">
        <v>315277</v>
      </c>
    </row>
    <row r="517" spans="1:18" x14ac:dyDescent="0.25">
      <c r="A517" s="163">
        <v>42762</v>
      </c>
      <c r="B517" s="116">
        <v>351.79</v>
      </c>
      <c r="C517" s="116">
        <v>341.03</v>
      </c>
      <c r="D517" s="116">
        <v>339.01</v>
      </c>
      <c r="E517" s="116">
        <v>343</v>
      </c>
      <c r="F517" s="116">
        <v>1705.15</v>
      </c>
      <c r="G517">
        <v>26767</v>
      </c>
      <c r="H517" s="116"/>
      <c r="I517" s="116"/>
      <c r="L517" s="163">
        <v>42762</v>
      </c>
      <c r="M517" s="116">
        <v>341.38</v>
      </c>
      <c r="N517" s="116">
        <v>352</v>
      </c>
      <c r="O517" s="116">
        <v>339.22</v>
      </c>
      <c r="P517" s="116">
        <v>342</v>
      </c>
      <c r="Q517" s="116">
        <v>1706.9</v>
      </c>
      <c r="R517">
        <v>204007</v>
      </c>
    </row>
    <row r="518" spans="1:18" x14ac:dyDescent="0.25">
      <c r="A518" s="163">
        <v>42765</v>
      </c>
      <c r="B518" s="116">
        <v>342.95</v>
      </c>
      <c r="C518" s="116">
        <v>338.23</v>
      </c>
      <c r="D518" s="116">
        <v>337</v>
      </c>
      <c r="E518" s="116">
        <v>340.07</v>
      </c>
      <c r="F518" s="116">
        <v>1691.15</v>
      </c>
      <c r="G518">
        <v>6133</v>
      </c>
      <c r="H518" s="116"/>
      <c r="I518" s="116"/>
      <c r="L518" s="163">
        <v>42765</v>
      </c>
      <c r="M518" s="116">
        <v>338.2</v>
      </c>
      <c r="N518" s="116">
        <v>343</v>
      </c>
      <c r="O518" s="116">
        <v>336.75</v>
      </c>
      <c r="P518" s="116">
        <v>341.2</v>
      </c>
      <c r="Q518" s="116">
        <v>1691</v>
      </c>
      <c r="R518">
        <v>110820</v>
      </c>
    </row>
    <row r="519" spans="1:18" x14ac:dyDescent="0.25">
      <c r="A519" s="163">
        <v>42766</v>
      </c>
      <c r="B519" s="116">
        <v>348.81</v>
      </c>
      <c r="C519" s="116">
        <v>342.99</v>
      </c>
      <c r="D519" s="116">
        <v>339.12</v>
      </c>
      <c r="E519" s="116">
        <v>339.6</v>
      </c>
      <c r="F519" s="116">
        <v>1714.95</v>
      </c>
      <c r="G519">
        <v>21143</v>
      </c>
      <c r="H519" s="116"/>
      <c r="I519" s="116"/>
      <c r="L519" s="163">
        <v>42766</v>
      </c>
      <c r="M519" s="116">
        <v>343.06</v>
      </c>
      <c r="N519" s="116">
        <v>349</v>
      </c>
      <c r="O519" s="116">
        <v>337.6</v>
      </c>
      <c r="P519" s="116">
        <v>338.2</v>
      </c>
      <c r="Q519" s="116">
        <v>1715.3</v>
      </c>
      <c r="R519">
        <v>266527</v>
      </c>
    </row>
    <row r="520" spans="1:18" x14ac:dyDescent="0.25">
      <c r="A520" s="163">
        <v>42767</v>
      </c>
      <c r="B520" s="116">
        <v>343.4</v>
      </c>
      <c r="C520" s="116">
        <v>340.88</v>
      </c>
      <c r="D520" s="116">
        <v>335.83</v>
      </c>
      <c r="E520" s="116">
        <v>343.16</v>
      </c>
      <c r="F520" s="116">
        <v>1704.4</v>
      </c>
      <c r="G520">
        <v>9996</v>
      </c>
      <c r="H520" s="116"/>
      <c r="I520" s="116"/>
      <c r="L520" s="163">
        <v>42767</v>
      </c>
      <c r="M520" s="116">
        <v>340.07</v>
      </c>
      <c r="N520" s="116">
        <v>345.79</v>
      </c>
      <c r="O520" s="116">
        <v>335.66</v>
      </c>
      <c r="P520" s="116">
        <v>345.79</v>
      </c>
      <c r="Q520" s="116">
        <v>1700.35</v>
      </c>
      <c r="R520">
        <v>190698</v>
      </c>
    </row>
    <row r="521" spans="1:18" x14ac:dyDescent="0.25">
      <c r="A521" s="163">
        <v>42768</v>
      </c>
      <c r="B521" s="116">
        <v>345.59</v>
      </c>
      <c r="C521" s="116">
        <v>340.4</v>
      </c>
      <c r="D521" s="116">
        <v>337.68</v>
      </c>
      <c r="E521" s="116">
        <v>340.89</v>
      </c>
      <c r="F521" s="116">
        <v>1702</v>
      </c>
      <c r="G521">
        <v>7120</v>
      </c>
      <c r="H521" s="116"/>
      <c r="I521" s="116"/>
      <c r="L521" s="163">
        <v>42768</v>
      </c>
      <c r="M521" s="116">
        <v>340.69</v>
      </c>
      <c r="N521" s="116">
        <v>345.8</v>
      </c>
      <c r="O521" s="116">
        <v>337.4</v>
      </c>
      <c r="P521" s="116">
        <v>340.07</v>
      </c>
      <c r="Q521" s="116">
        <v>1703.45</v>
      </c>
      <c r="R521">
        <v>145755</v>
      </c>
    </row>
    <row r="522" spans="1:18" x14ac:dyDescent="0.25">
      <c r="A522" s="163">
        <v>42769</v>
      </c>
      <c r="B522" s="116">
        <v>344</v>
      </c>
      <c r="C522" s="116">
        <v>339.85</v>
      </c>
      <c r="D522" s="116">
        <v>338.4</v>
      </c>
      <c r="E522" s="116">
        <v>341.33</v>
      </c>
      <c r="F522" s="116">
        <v>1699.25</v>
      </c>
      <c r="G522">
        <v>4296</v>
      </c>
      <c r="H522" s="116"/>
      <c r="I522" s="116"/>
      <c r="L522" s="163">
        <v>42769</v>
      </c>
      <c r="M522" s="116">
        <v>339.6</v>
      </c>
      <c r="N522" s="116">
        <v>343.98</v>
      </c>
      <c r="O522" s="116">
        <v>337.54</v>
      </c>
      <c r="P522" s="116">
        <v>340.48</v>
      </c>
      <c r="Q522" s="116">
        <v>1698</v>
      </c>
      <c r="R522">
        <v>123121</v>
      </c>
    </row>
    <row r="523" spans="1:18" x14ac:dyDescent="0.25">
      <c r="A523" s="163">
        <v>42772</v>
      </c>
      <c r="B523" s="116">
        <v>347.82</v>
      </c>
      <c r="C523" s="116">
        <v>346.05</v>
      </c>
      <c r="D523" s="116">
        <v>341.34</v>
      </c>
      <c r="E523" s="116">
        <v>342.11</v>
      </c>
      <c r="F523" s="116">
        <v>1730.25</v>
      </c>
      <c r="G523">
        <v>9558</v>
      </c>
      <c r="H523" s="116"/>
      <c r="I523" s="116"/>
      <c r="L523" s="163">
        <v>42772</v>
      </c>
      <c r="M523" s="116">
        <v>346.18</v>
      </c>
      <c r="N523" s="116">
        <v>347.6</v>
      </c>
      <c r="O523" s="116">
        <v>341.09</v>
      </c>
      <c r="P523" s="116">
        <v>341.2</v>
      </c>
      <c r="Q523" s="116">
        <v>1730.9</v>
      </c>
      <c r="R523">
        <v>167735</v>
      </c>
    </row>
    <row r="524" spans="1:18" x14ac:dyDescent="0.25">
      <c r="A524" s="163">
        <v>42773</v>
      </c>
      <c r="B524" s="116">
        <v>356.78</v>
      </c>
      <c r="C524" s="116">
        <v>349.79</v>
      </c>
      <c r="D524" s="116">
        <v>347</v>
      </c>
      <c r="E524" s="116">
        <v>347</v>
      </c>
      <c r="F524" s="116">
        <v>1748.95</v>
      </c>
      <c r="G524">
        <v>39796</v>
      </c>
      <c r="H524" s="116"/>
      <c r="I524" s="116"/>
      <c r="L524" s="163">
        <v>42773</v>
      </c>
      <c r="M524" s="116">
        <v>350.32</v>
      </c>
      <c r="N524" s="116">
        <v>356.72</v>
      </c>
      <c r="O524" s="116">
        <v>347.7</v>
      </c>
      <c r="P524" s="116">
        <v>347.7</v>
      </c>
      <c r="Q524" s="116">
        <v>1751.6</v>
      </c>
      <c r="R524">
        <v>331329</v>
      </c>
    </row>
    <row r="525" spans="1:18" x14ac:dyDescent="0.25">
      <c r="A525" s="163">
        <v>42774</v>
      </c>
      <c r="B525" s="116">
        <v>354.37</v>
      </c>
      <c r="C525" s="116">
        <v>351.55</v>
      </c>
      <c r="D525" s="116">
        <v>350</v>
      </c>
      <c r="E525" s="116">
        <v>353.8</v>
      </c>
      <c r="F525" s="116">
        <v>1757.75</v>
      </c>
      <c r="G525">
        <v>8224</v>
      </c>
      <c r="H525" s="116"/>
      <c r="I525" s="116"/>
      <c r="L525" s="163">
        <v>42774</v>
      </c>
      <c r="M525" s="116">
        <v>351.75</v>
      </c>
      <c r="N525" s="116">
        <v>354.59</v>
      </c>
      <c r="O525" s="116">
        <v>349.25</v>
      </c>
      <c r="P525" s="116">
        <v>353.2</v>
      </c>
      <c r="Q525" s="116">
        <v>1758.75</v>
      </c>
      <c r="R525">
        <v>122570</v>
      </c>
    </row>
    <row r="526" spans="1:18" x14ac:dyDescent="0.25">
      <c r="A526" s="163">
        <v>42775</v>
      </c>
      <c r="B526" s="116">
        <v>354.47</v>
      </c>
      <c r="C526" s="116">
        <v>349.06</v>
      </c>
      <c r="D526" s="116">
        <v>346.71</v>
      </c>
      <c r="E526" s="116">
        <v>353.01</v>
      </c>
      <c r="F526" s="116">
        <v>1745.3</v>
      </c>
      <c r="G526">
        <v>10674</v>
      </c>
      <c r="H526" s="116"/>
      <c r="I526" s="116"/>
      <c r="L526" s="163">
        <v>42775</v>
      </c>
      <c r="M526" s="116">
        <v>348.68</v>
      </c>
      <c r="N526" s="116">
        <v>354.4</v>
      </c>
      <c r="O526" s="116">
        <v>346.54</v>
      </c>
      <c r="P526" s="116">
        <v>352.13</v>
      </c>
      <c r="Q526" s="116">
        <v>1743.4</v>
      </c>
      <c r="R526">
        <v>113069</v>
      </c>
    </row>
    <row r="527" spans="1:18" x14ac:dyDescent="0.25">
      <c r="A527" s="163">
        <v>42776</v>
      </c>
      <c r="B527" s="116">
        <v>353.4</v>
      </c>
      <c r="C527" s="116">
        <v>350.42</v>
      </c>
      <c r="D527" s="116">
        <v>347.74</v>
      </c>
      <c r="E527" s="116">
        <v>349.2</v>
      </c>
      <c r="F527" s="116">
        <v>1752.1</v>
      </c>
      <c r="G527">
        <v>9126</v>
      </c>
      <c r="H527" s="116"/>
      <c r="I527" s="116"/>
      <c r="L527" s="163">
        <v>42776</v>
      </c>
      <c r="M527" s="116">
        <v>350.41</v>
      </c>
      <c r="N527" s="116">
        <v>353.78</v>
      </c>
      <c r="O527" s="116">
        <v>346.94</v>
      </c>
      <c r="P527" s="116">
        <v>348.8</v>
      </c>
      <c r="Q527" s="116">
        <v>1752.05</v>
      </c>
      <c r="R527">
        <v>135452</v>
      </c>
    </row>
    <row r="528" spans="1:18" x14ac:dyDescent="0.25">
      <c r="A528" s="163">
        <v>42779</v>
      </c>
      <c r="B528" s="116">
        <v>349.2</v>
      </c>
      <c r="C528" s="116">
        <v>318.8</v>
      </c>
      <c r="D528" s="116">
        <v>311.14</v>
      </c>
      <c r="E528" s="116">
        <v>349.2</v>
      </c>
      <c r="F528" s="116">
        <v>1594</v>
      </c>
      <c r="G528">
        <v>102428</v>
      </c>
      <c r="H528" s="116"/>
      <c r="I528" s="116"/>
      <c r="L528" s="163">
        <v>42779</v>
      </c>
      <c r="M528" s="116">
        <v>320.14</v>
      </c>
      <c r="N528" s="116">
        <v>347.52</v>
      </c>
      <c r="O528" s="116">
        <v>310.39999999999998</v>
      </c>
      <c r="P528" s="116">
        <v>343</v>
      </c>
      <c r="Q528" s="116">
        <v>1600.7</v>
      </c>
      <c r="R528">
        <v>1217033</v>
      </c>
    </row>
    <row r="529" spans="1:18" x14ac:dyDescent="0.25">
      <c r="A529" s="163">
        <v>42780</v>
      </c>
      <c r="B529" s="116">
        <v>326.89999999999998</v>
      </c>
      <c r="C529" s="116">
        <v>316.18</v>
      </c>
      <c r="D529" s="116">
        <v>313.64999999999998</v>
      </c>
      <c r="E529" s="116">
        <v>322</v>
      </c>
      <c r="F529" s="116">
        <v>1580.9</v>
      </c>
      <c r="G529">
        <v>52265</v>
      </c>
      <c r="H529" s="116"/>
      <c r="I529" s="116"/>
      <c r="L529" s="163">
        <v>42780</v>
      </c>
      <c r="M529" s="116">
        <v>316.77</v>
      </c>
      <c r="N529" s="116">
        <v>326.79000000000002</v>
      </c>
      <c r="O529" s="116">
        <v>313.56</v>
      </c>
      <c r="P529" s="116">
        <v>320.60000000000002</v>
      </c>
      <c r="Q529" s="116">
        <v>1583.85</v>
      </c>
      <c r="R529">
        <v>514438</v>
      </c>
    </row>
    <row r="530" spans="1:18" x14ac:dyDescent="0.25">
      <c r="A530" s="163">
        <v>42781</v>
      </c>
      <c r="B530" s="116">
        <v>319.60000000000002</v>
      </c>
      <c r="C530" s="116">
        <v>305.77999999999997</v>
      </c>
      <c r="D530" s="116">
        <v>304.39999999999998</v>
      </c>
      <c r="E530" s="116">
        <v>317.38</v>
      </c>
      <c r="F530" s="116">
        <v>1528.9</v>
      </c>
      <c r="G530">
        <v>28187</v>
      </c>
      <c r="H530" s="116"/>
      <c r="I530" s="116"/>
      <c r="L530" s="163">
        <v>42781</v>
      </c>
      <c r="M530" s="116">
        <v>305.85000000000002</v>
      </c>
      <c r="N530" s="116">
        <v>320</v>
      </c>
      <c r="O530" s="116">
        <v>304.02</v>
      </c>
      <c r="P530" s="116">
        <v>316.77</v>
      </c>
      <c r="Q530" s="116">
        <v>1529.25</v>
      </c>
      <c r="R530">
        <v>309504</v>
      </c>
    </row>
    <row r="531" spans="1:18" x14ac:dyDescent="0.25">
      <c r="A531" s="163">
        <v>42782</v>
      </c>
      <c r="B531" s="116">
        <v>310.69</v>
      </c>
      <c r="C531" s="116">
        <v>308.5</v>
      </c>
      <c r="D531" s="116">
        <v>301.8</v>
      </c>
      <c r="E531" s="116">
        <v>306</v>
      </c>
      <c r="F531" s="116">
        <v>1542.5</v>
      </c>
      <c r="G531">
        <v>41259</v>
      </c>
      <c r="H531" s="116"/>
      <c r="I531" s="116"/>
      <c r="L531" s="163">
        <v>42782</v>
      </c>
      <c r="M531" s="116">
        <v>308.52</v>
      </c>
      <c r="N531" s="116">
        <v>310.70999999999998</v>
      </c>
      <c r="O531" s="116">
        <v>301.23</v>
      </c>
      <c r="P531" s="116">
        <v>307</v>
      </c>
      <c r="Q531" s="116">
        <v>1542.6</v>
      </c>
      <c r="R531">
        <v>371440</v>
      </c>
    </row>
    <row r="532" spans="1:18" x14ac:dyDescent="0.25">
      <c r="A532" s="163">
        <v>42783</v>
      </c>
      <c r="B532" s="116">
        <v>320</v>
      </c>
      <c r="C532" s="116">
        <v>318.64</v>
      </c>
      <c r="D532" s="116">
        <v>305.70999999999998</v>
      </c>
      <c r="E532" s="116">
        <v>310</v>
      </c>
      <c r="F532" s="116">
        <v>1593.2</v>
      </c>
      <c r="G532">
        <v>38199</v>
      </c>
      <c r="H532" s="116"/>
      <c r="I532" s="116"/>
      <c r="L532" s="163">
        <v>42783</v>
      </c>
      <c r="M532" s="116">
        <v>318.2</v>
      </c>
      <c r="N532" s="116">
        <v>320.32</v>
      </c>
      <c r="O532" s="116">
        <v>306</v>
      </c>
      <c r="P532" s="116">
        <v>310</v>
      </c>
      <c r="Q532" s="116">
        <v>1591</v>
      </c>
      <c r="R532">
        <v>376028</v>
      </c>
    </row>
    <row r="533" spans="1:18" x14ac:dyDescent="0.25">
      <c r="A533" s="163">
        <v>42786</v>
      </c>
      <c r="B533" s="116">
        <v>323.3</v>
      </c>
      <c r="C533" s="116">
        <v>319.77</v>
      </c>
      <c r="D533" s="116">
        <v>315.60000000000002</v>
      </c>
      <c r="E533" s="116">
        <v>320</v>
      </c>
      <c r="F533" s="116">
        <v>1598.85</v>
      </c>
      <c r="G533">
        <v>16445</v>
      </c>
      <c r="H533" s="116"/>
      <c r="I533" s="116"/>
      <c r="L533" s="163">
        <v>42786</v>
      </c>
      <c r="M533" s="116">
        <v>320.07</v>
      </c>
      <c r="N533" s="116">
        <v>323.57</v>
      </c>
      <c r="O533" s="116">
        <v>315.2</v>
      </c>
      <c r="P533" s="116">
        <v>318.39999999999998</v>
      </c>
      <c r="Q533" s="116">
        <v>1600.35</v>
      </c>
      <c r="R533">
        <v>296088</v>
      </c>
    </row>
    <row r="534" spans="1:18" x14ac:dyDescent="0.25">
      <c r="A534" s="163">
        <v>42787</v>
      </c>
      <c r="B534" s="116">
        <v>323.39999999999998</v>
      </c>
      <c r="C534" s="116">
        <v>320.68</v>
      </c>
      <c r="D534" s="116">
        <v>319.60000000000002</v>
      </c>
      <c r="E534" s="116">
        <v>320</v>
      </c>
      <c r="F534" s="116">
        <v>1603.4</v>
      </c>
      <c r="G534">
        <v>6446</v>
      </c>
      <c r="H534" s="116"/>
      <c r="I534" s="116"/>
      <c r="L534" s="163">
        <v>42787</v>
      </c>
      <c r="M534" s="116">
        <v>321.06</v>
      </c>
      <c r="N534" s="116">
        <v>323.70999999999998</v>
      </c>
      <c r="O534" s="116">
        <v>319.08999999999997</v>
      </c>
      <c r="P534" s="116">
        <v>320</v>
      </c>
      <c r="Q534" s="116">
        <v>1605.3</v>
      </c>
      <c r="R534">
        <v>96869</v>
      </c>
    </row>
    <row r="535" spans="1:18" x14ac:dyDescent="0.25">
      <c r="A535" s="163">
        <v>42788</v>
      </c>
      <c r="B535" s="116">
        <v>322.33999999999997</v>
      </c>
      <c r="C535" s="116">
        <v>314.87</v>
      </c>
      <c r="D535" s="116">
        <v>314</v>
      </c>
      <c r="E535" s="116">
        <v>320.95</v>
      </c>
      <c r="F535" s="116">
        <v>1574.35</v>
      </c>
      <c r="G535">
        <v>10279</v>
      </c>
      <c r="H535" s="116"/>
      <c r="I535" s="116"/>
      <c r="L535" s="163">
        <v>42788</v>
      </c>
      <c r="M535" s="116">
        <v>314.60000000000002</v>
      </c>
      <c r="N535" s="116">
        <v>322.88</v>
      </c>
      <c r="O535" s="116">
        <v>313.60000000000002</v>
      </c>
      <c r="P535" s="116">
        <v>321.38</v>
      </c>
      <c r="Q535" s="116">
        <v>1573</v>
      </c>
      <c r="R535">
        <v>98138</v>
      </c>
    </row>
    <row r="536" spans="1:18" x14ac:dyDescent="0.25">
      <c r="A536" s="163">
        <v>42789</v>
      </c>
      <c r="B536" s="116">
        <v>317.19</v>
      </c>
      <c r="C536" s="116">
        <v>310.43</v>
      </c>
      <c r="D536" s="116">
        <v>309.60000000000002</v>
      </c>
      <c r="E536" s="116">
        <v>314.82</v>
      </c>
      <c r="F536" s="116">
        <v>1552.15</v>
      </c>
      <c r="G536">
        <v>9971</v>
      </c>
      <c r="H536" s="116"/>
      <c r="I536" s="116"/>
      <c r="L536" s="163">
        <v>42789</v>
      </c>
      <c r="M536" s="116">
        <v>310.44</v>
      </c>
      <c r="N536" s="116">
        <v>317.18</v>
      </c>
      <c r="O536" s="116">
        <v>309.39999999999998</v>
      </c>
      <c r="P536" s="116">
        <v>315</v>
      </c>
      <c r="Q536" s="116">
        <v>1552.2</v>
      </c>
      <c r="R536">
        <v>205186</v>
      </c>
    </row>
    <row r="537" spans="1:18" x14ac:dyDescent="0.25">
      <c r="A537" s="163">
        <v>42793</v>
      </c>
      <c r="B537" s="116">
        <v>319.52</v>
      </c>
      <c r="C537" s="116">
        <v>310.92</v>
      </c>
      <c r="D537" s="116">
        <v>310.02</v>
      </c>
      <c r="E537" s="116">
        <v>312.25</v>
      </c>
      <c r="F537" s="116">
        <v>1554.6</v>
      </c>
      <c r="G537">
        <v>10365</v>
      </c>
      <c r="H537" s="116"/>
      <c r="I537" s="116"/>
      <c r="L537" s="163">
        <v>42793</v>
      </c>
      <c r="M537" s="116">
        <v>310.44</v>
      </c>
      <c r="N537" s="116">
        <v>314.8</v>
      </c>
      <c r="O537" s="116">
        <v>309.7</v>
      </c>
      <c r="P537" s="116">
        <v>309.7</v>
      </c>
      <c r="Q537" s="116">
        <v>1552.2</v>
      </c>
      <c r="R537">
        <v>227346</v>
      </c>
    </row>
    <row r="538" spans="1:18" x14ac:dyDescent="0.25">
      <c r="A538" s="163">
        <v>42794</v>
      </c>
      <c r="B538" s="116">
        <v>313.35000000000002</v>
      </c>
      <c r="C538" s="116">
        <v>311.24</v>
      </c>
      <c r="D538" s="116">
        <v>310.2</v>
      </c>
      <c r="E538" s="116">
        <v>312.32</v>
      </c>
      <c r="F538" s="116">
        <v>1556.2</v>
      </c>
      <c r="G538">
        <v>3995</v>
      </c>
      <c r="H538" s="116"/>
      <c r="I538" s="116"/>
      <c r="L538" s="163">
        <v>42794</v>
      </c>
      <c r="M538" s="116">
        <v>311.23</v>
      </c>
      <c r="N538" s="116">
        <v>313</v>
      </c>
      <c r="O538" s="116">
        <v>310.2</v>
      </c>
      <c r="P538" s="116">
        <v>311.8</v>
      </c>
      <c r="Q538" s="116">
        <v>1556.15</v>
      </c>
      <c r="R538">
        <v>55498</v>
      </c>
    </row>
    <row r="539" spans="1:18" x14ac:dyDescent="0.25">
      <c r="A539" s="163">
        <v>42795</v>
      </c>
      <c r="B539" s="116">
        <v>314</v>
      </c>
      <c r="C539" s="116">
        <v>309.69</v>
      </c>
      <c r="D539" s="116">
        <v>308.2</v>
      </c>
      <c r="E539" s="116">
        <v>311.2</v>
      </c>
      <c r="F539" s="116">
        <v>1548.45</v>
      </c>
      <c r="G539">
        <v>7371</v>
      </c>
      <c r="H539" s="116"/>
      <c r="I539" s="116"/>
      <c r="L539" s="163">
        <v>42795</v>
      </c>
      <c r="M539" s="116">
        <v>310</v>
      </c>
      <c r="N539" s="116">
        <v>314.27999999999997</v>
      </c>
      <c r="O539" s="116">
        <v>308.42</v>
      </c>
      <c r="P539" s="116">
        <v>311.39</v>
      </c>
      <c r="Q539" s="116">
        <v>1550</v>
      </c>
      <c r="R539">
        <v>123405</v>
      </c>
    </row>
    <row r="540" spans="1:18" x14ac:dyDescent="0.25">
      <c r="A540" s="163">
        <v>42796</v>
      </c>
      <c r="B540" s="116">
        <v>323.60000000000002</v>
      </c>
      <c r="C540" s="116">
        <v>314.61</v>
      </c>
      <c r="D540" s="116">
        <v>310</v>
      </c>
      <c r="E540" s="116">
        <v>310</v>
      </c>
      <c r="F540" s="116">
        <v>1573.05</v>
      </c>
      <c r="G540">
        <v>38539</v>
      </c>
      <c r="H540" s="116"/>
      <c r="I540" s="116"/>
      <c r="L540" s="163">
        <v>42796</v>
      </c>
      <c r="M540" s="116">
        <v>314.66000000000003</v>
      </c>
      <c r="N540" s="116">
        <v>323.39999999999998</v>
      </c>
      <c r="O540" s="116">
        <v>310.39999999999998</v>
      </c>
      <c r="P540" s="116">
        <v>311.01</v>
      </c>
      <c r="Q540" s="116">
        <v>1573.3</v>
      </c>
      <c r="R540">
        <v>352871</v>
      </c>
    </row>
    <row r="541" spans="1:18" x14ac:dyDescent="0.25">
      <c r="A541" s="163">
        <v>42797</v>
      </c>
      <c r="B541" s="116">
        <v>316.82</v>
      </c>
      <c r="C541" s="116">
        <v>315.08</v>
      </c>
      <c r="D541" s="116">
        <v>312</v>
      </c>
      <c r="E541" s="116">
        <v>315.2</v>
      </c>
      <c r="F541" s="116">
        <v>1575.4</v>
      </c>
      <c r="G541">
        <v>7581</v>
      </c>
      <c r="H541" s="116"/>
      <c r="I541" s="116"/>
      <c r="L541" s="163">
        <v>42797</v>
      </c>
      <c r="M541" s="116">
        <v>314.70999999999998</v>
      </c>
      <c r="N541" s="116">
        <v>316.48</v>
      </c>
      <c r="O541" s="116">
        <v>311.61</v>
      </c>
      <c r="P541" s="116">
        <v>313.54000000000002</v>
      </c>
      <c r="Q541" s="116">
        <v>1573.55</v>
      </c>
      <c r="R541">
        <v>111527</v>
      </c>
    </row>
    <row r="542" spans="1:18" x14ac:dyDescent="0.25">
      <c r="A542" s="163">
        <v>42800</v>
      </c>
      <c r="B542" s="116">
        <v>318.68</v>
      </c>
      <c r="C542" s="116">
        <v>315.85000000000002</v>
      </c>
      <c r="D542" s="116">
        <v>313.33999999999997</v>
      </c>
      <c r="E542" s="116">
        <v>313.8</v>
      </c>
      <c r="F542" s="116">
        <v>1579.25</v>
      </c>
      <c r="G542">
        <v>8722</v>
      </c>
      <c r="H542" s="116"/>
      <c r="I542" s="116"/>
      <c r="L542" s="163">
        <v>42800</v>
      </c>
      <c r="M542" s="116">
        <v>316.24</v>
      </c>
      <c r="N542" s="116">
        <v>318.92</v>
      </c>
      <c r="O542" s="116">
        <v>311.13</v>
      </c>
      <c r="P542" s="116">
        <v>314.94</v>
      </c>
      <c r="Q542" s="116">
        <v>1581.2</v>
      </c>
      <c r="R542">
        <v>116468</v>
      </c>
    </row>
    <row r="543" spans="1:18" x14ac:dyDescent="0.25">
      <c r="A543" s="163">
        <v>42801</v>
      </c>
      <c r="B543" s="116">
        <v>320.85000000000002</v>
      </c>
      <c r="C543" s="116">
        <v>316.82</v>
      </c>
      <c r="D543" s="116">
        <v>312.63</v>
      </c>
      <c r="E543" s="116">
        <v>319</v>
      </c>
      <c r="F543" s="116">
        <v>1584.1</v>
      </c>
      <c r="G543">
        <v>7040</v>
      </c>
      <c r="H543" s="116"/>
      <c r="I543" s="116"/>
      <c r="L543" s="163">
        <v>42801</v>
      </c>
      <c r="M543" s="116">
        <v>317.77</v>
      </c>
      <c r="N543" s="116">
        <v>320.77999999999997</v>
      </c>
      <c r="O543" s="116">
        <v>315.70999999999998</v>
      </c>
      <c r="P543" s="116">
        <v>316</v>
      </c>
      <c r="Q543" s="116">
        <v>1588.85</v>
      </c>
      <c r="R543">
        <v>120254</v>
      </c>
    </row>
    <row r="544" spans="1:18" x14ac:dyDescent="0.25">
      <c r="A544" s="163">
        <v>42802</v>
      </c>
      <c r="B544" s="116">
        <v>319</v>
      </c>
      <c r="C544" s="116">
        <v>313.14999999999998</v>
      </c>
      <c r="D544" s="116">
        <v>312.27</v>
      </c>
      <c r="E544" s="116">
        <v>316</v>
      </c>
      <c r="F544" s="116">
        <v>1565.75</v>
      </c>
      <c r="G544">
        <v>8672</v>
      </c>
      <c r="H544" s="116"/>
      <c r="I544" s="116"/>
      <c r="L544" s="163">
        <v>42802</v>
      </c>
      <c r="M544" s="116">
        <v>313.47000000000003</v>
      </c>
      <c r="N544" s="116">
        <v>318.58999999999997</v>
      </c>
      <c r="O544" s="116">
        <v>312.27999999999997</v>
      </c>
      <c r="P544" s="116">
        <v>317.77</v>
      </c>
      <c r="Q544" s="116">
        <v>1567.35</v>
      </c>
      <c r="R544">
        <v>129614</v>
      </c>
    </row>
    <row r="545" spans="1:18" x14ac:dyDescent="0.25">
      <c r="A545" s="163">
        <v>42803</v>
      </c>
      <c r="B545" s="116">
        <v>316.61</v>
      </c>
      <c r="C545" s="116">
        <v>314.91000000000003</v>
      </c>
      <c r="D545" s="116">
        <v>312</v>
      </c>
      <c r="E545" s="116">
        <v>312</v>
      </c>
      <c r="F545" s="116">
        <v>1574.55</v>
      </c>
      <c r="G545">
        <v>2107</v>
      </c>
      <c r="H545" s="116"/>
      <c r="I545" s="116"/>
      <c r="L545" s="163">
        <v>42803</v>
      </c>
      <c r="M545" s="116">
        <v>315.24</v>
      </c>
      <c r="N545" s="116">
        <v>316.79000000000002</v>
      </c>
      <c r="O545" s="116">
        <v>312.41000000000003</v>
      </c>
      <c r="P545" s="116">
        <v>313.02</v>
      </c>
      <c r="Q545" s="116">
        <v>1576.2</v>
      </c>
      <c r="R545">
        <v>107486</v>
      </c>
    </row>
    <row r="546" spans="1:18" x14ac:dyDescent="0.25">
      <c r="A546" s="163">
        <v>42804</v>
      </c>
      <c r="B546" s="116">
        <v>318</v>
      </c>
      <c r="C546" s="116">
        <v>313.25</v>
      </c>
      <c r="D546" s="116">
        <v>311.2</v>
      </c>
      <c r="E546" s="116">
        <v>317</v>
      </c>
      <c r="F546" s="116">
        <v>1566.25</v>
      </c>
      <c r="G546">
        <v>5123</v>
      </c>
      <c r="H546" s="116"/>
      <c r="I546" s="116"/>
      <c r="L546" s="163">
        <v>42804</v>
      </c>
      <c r="M546" s="116">
        <v>313</v>
      </c>
      <c r="N546" s="116">
        <v>318</v>
      </c>
      <c r="O546" s="116">
        <v>311.26</v>
      </c>
      <c r="P546" s="116">
        <v>315.2</v>
      </c>
      <c r="Q546" s="116">
        <v>1565</v>
      </c>
      <c r="R546">
        <v>131756</v>
      </c>
    </row>
    <row r="547" spans="1:18" x14ac:dyDescent="0.25">
      <c r="A547" s="163">
        <v>42808</v>
      </c>
      <c r="B547" s="116">
        <v>317.44</v>
      </c>
      <c r="C547" s="116">
        <v>314.35000000000002</v>
      </c>
      <c r="D547" s="116">
        <v>313.92</v>
      </c>
      <c r="E547" s="116">
        <v>314.39</v>
      </c>
      <c r="F547" s="116">
        <v>1571.75</v>
      </c>
      <c r="G547">
        <v>5384</v>
      </c>
      <c r="H547" s="116"/>
      <c r="I547" s="116"/>
      <c r="L547" s="163">
        <v>42808</v>
      </c>
      <c r="M547" s="116">
        <v>314.31</v>
      </c>
      <c r="N547" s="116">
        <v>318.39</v>
      </c>
      <c r="O547" s="116">
        <v>314</v>
      </c>
      <c r="P547" s="116">
        <v>317.98</v>
      </c>
      <c r="Q547" s="116">
        <v>1571.55</v>
      </c>
      <c r="R547">
        <v>114354</v>
      </c>
    </row>
    <row r="548" spans="1:18" x14ac:dyDescent="0.25">
      <c r="A548" s="163">
        <v>42809</v>
      </c>
      <c r="B548" s="116">
        <v>316</v>
      </c>
      <c r="C548" s="116">
        <v>313.55</v>
      </c>
      <c r="D548" s="116">
        <v>312.85000000000002</v>
      </c>
      <c r="E548" s="116">
        <v>313.60000000000002</v>
      </c>
      <c r="F548" s="116">
        <v>1567.75</v>
      </c>
      <c r="G548">
        <v>18441</v>
      </c>
      <c r="H548" s="116"/>
      <c r="I548" s="116"/>
      <c r="L548" s="163">
        <v>42809</v>
      </c>
      <c r="M548" s="116">
        <v>313.37</v>
      </c>
      <c r="N548" s="116">
        <v>316.37</v>
      </c>
      <c r="O548" s="116">
        <v>312.61</v>
      </c>
      <c r="P548" s="116">
        <v>313.60000000000002</v>
      </c>
      <c r="Q548" s="116">
        <v>1566.85</v>
      </c>
      <c r="R548">
        <v>154031</v>
      </c>
    </row>
    <row r="549" spans="1:18" x14ac:dyDescent="0.25">
      <c r="A549" s="163">
        <v>42810</v>
      </c>
      <c r="B549" s="116">
        <v>325.60000000000002</v>
      </c>
      <c r="C549" s="116">
        <v>324.43</v>
      </c>
      <c r="D549" s="116">
        <v>314.23</v>
      </c>
      <c r="E549" s="116">
        <v>315</v>
      </c>
      <c r="F549" s="116">
        <v>1622.15</v>
      </c>
      <c r="G549">
        <v>22282</v>
      </c>
      <c r="H549" s="116"/>
      <c r="I549" s="116"/>
      <c r="L549" s="163">
        <v>42810</v>
      </c>
      <c r="M549" s="116">
        <v>324.27999999999997</v>
      </c>
      <c r="N549" s="116">
        <v>325.98</v>
      </c>
      <c r="O549" s="116">
        <v>314.06</v>
      </c>
      <c r="P549" s="116">
        <v>314.82</v>
      </c>
      <c r="Q549" s="116">
        <v>1621.4</v>
      </c>
      <c r="R549">
        <v>319535</v>
      </c>
    </row>
    <row r="550" spans="1:18" x14ac:dyDescent="0.25">
      <c r="A550" s="163">
        <v>42811</v>
      </c>
      <c r="B550" s="116">
        <v>328.01</v>
      </c>
      <c r="C550" s="116">
        <v>322.36</v>
      </c>
      <c r="D550" s="116">
        <v>321.06</v>
      </c>
      <c r="E550" s="116">
        <v>326</v>
      </c>
      <c r="F550" s="116">
        <v>1611.8</v>
      </c>
      <c r="G550">
        <v>14436</v>
      </c>
      <c r="H550" s="116"/>
      <c r="I550" s="116"/>
      <c r="L550" s="163">
        <v>42811</v>
      </c>
      <c r="M550" s="116">
        <v>323.02</v>
      </c>
      <c r="N550" s="116">
        <v>328.11</v>
      </c>
      <c r="O550" s="116">
        <v>320.56</v>
      </c>
      <c r="P550" s="116">
        <v>326</v>
      </c>
      <c r="Q550" s="116">
        <v>1615.1</v>
      </c>
      <c r="R550">
        <v>569571</v>
      </c>
    </row>
    <row r="551" spans="1:18" x14ac:dyDescent="0.25">
      <c r="A551" s="163">
        <v>42814</v>
      </c>
      <c r="B551" s="116">
        <v>328.81</v>
      </c>
      <c r="C551" s="116">
        <v>322.83</v>
      </c>
      <c r="D551" s="116">
        <v>322.02999999999997</v>
      </c>
      <c r="E551" s="116">
        <v>323.58999999999997</v>
      </c>
      <c r="F551" s="116">
        <v>1614.15</v>
      </c>
      <c r="G551">
        <v>10911</v>
      </c>
      <c r="H551" s="116"/>
      <c r="I551" s="116"/>
      <c r="L551" s="163">
        <v>42814</v>
      </c>
      <c r="M551" s="116">
        <v>323.25</v>
      </c>
      <c r="N551" s="116">
        <v>329.28</v>
      </c>
      <c r="O551" s="116">
        <v>322.05</v>
      </c>
      <c r="P551" s="116">
        <v>324.02</v>
      </c>
      <c r="Q551" s="116">
        <v>1616.25</v>
      </c>
      <c r="R551">
        <v>181190</v>
      </c>
    </row>
    <row r="552" spans="1:18" x14ac:dyDescent="0.25">
      <c r="A552" s="163">
        <v>42815</v>
      </c>
      <c r="B552" s="116">
        <v>326.60000000000002</v>
      </c>
      <c r="C552" s="116">
        <v>320.77999999999997</v>
      </c>
      <c r="D552" s="116">
        <v>317.99</v>
      </c>
      <c r="E552" s="116">
        <v>325</v>
      </c>
      <c r="F552" s="116">
        <v>1603.9</v>
      </c>
      <c r="G552">
        <v>15046</v>
      </c>
      <c r="H552" s="116"/>
      <c r="I552" s="116"/>
      <c r="L552" s="163">
        <v>42815</v>
      </c>
      <c r="M552" s="116">
        <v>320.43</v>
      </c>
      <c r="N552" s="116">
        <v>326.83</v>
      </c>
      <c r="O552" s="116">
        <v>318</v>
      </c>
      <c r="P552" s="116">
        <v>325.54000000000002</v>
      </c>
      <c r="Q552" s="116">
        <v>1602.15</v>
      </c>
      <c r="R552">
        <v>149186</v>
      </c>
    </row>
    <row r="553" spans="1:18" x14ac:dyDescent="0.25">
      <c r="A553" s="163">
        <v>42816</v>
      </c>
      <c r="B553" s="116">
        <v>324.8</v>
      </c>
      <c r="C553" s="116">
        <v>317.27999999999997</v>
      </c>
      <c r="D553" s="116">
        <v>314.39999999999998</v>
      </c>
      <c r="E553" s="116">
        <v>318</v>
      </c>
      <c r="F553" s="116">
        <v>1586.4</v>
      </c>
      <c r="G553">
        <v>17902</v>
      </c>
      <c r="H553" s="116"/>
      <c r="I553" s="116"/>
      <c r="L553" s="163">
        <v>42816</v>
      </c>
      <c r="M553" s="116">
        <v>316.58999999999997</v>
      </c>
      <c r="N553" s="116">
        <v>324.81</v>
      </c>
      <c r="O553" s="116">
        <v>312</v>
      </c>
      <c r="P553" s="116">
        <v>319.39999999999998</v>
      </c>
      <c r="Q553" s="116">
        <v>1582.95</v>
      </c>
      <c r="R553">
        <v>264180</v>
      </c>
    </row>
    <row r="554" spans="1:18" x14ac:dyDescent="0.25">
      <c r="A554" s="163">
        <v>42817</v>
      </c>
      <c r="B554" s="116">
        <v>320.16000000000003</v>
      </c>
      <c r="C554" s="116">
        <v>318.45</v>
      </c>
      <c r="D554" s="116">
        <v>316.05</v>
      </c>
      <c r="E554" s="116">
        <v>319.29000000000002</v>
      </c>
      <c r="F554" s="116">
        <v>1592.25</v>
      </c>
      <c r="G554">
        <v>6653</v>
      </c>
      <c r="H554" s="116"/>
      <c r="I554" s="116"/>
      <c r="L554" s="163">
        <v>42817</v>
      </c>
      <c r="M554" s="116">
        <v>318.14999999999998</v>
      </c>
      <c r="N554" s="116">
        <v>320.14</v>
      </c>
      <c r="O554" s="116">
        <v>315.41000000000003</v>
      </c>
      <c r="P554" s="116">
        <v>316.99</v>
      </c>
      <c r="Q554" s="116">
        <v>1590.75</v>
      </c>
      <c r="R554">
        <v>123992</v>
      </c>
    </row>
    <row r="555" spans="1:18" x14ac:dyDescent="0.25">
      <c r="A555" s="163">
        <v>42818</v>
      </c>
      <c r="B555" s="116">
        <v>320.57</v>
      </c>
      <c r="C555" s="116">
        <v>318.57</v>
      </c>
      <c r="D555" s="116">
        <v>317.99</v>
      </c>
      <c r="E555" s="116">
        <v>319.19</v>
      </c>
      <c r="F555" s="116">
        <v>1592.85</v>
      </c>
      <c r="G555">
        <v>16429</v>
      </c>
      <c r="H555" s="116"/>
      <c r="I555" s="116"/>
      <c r="L555" s="163">
        <v>42818</v>
      </c>
      <c r="M555" s="116">
        <v>318.23</v>
      </c>
      <c r="N555" s="116">
        <v>320.77999999999997</v>
      </c>
      <c r="O555" s="116">
        <v>317.67</v>
      </c>
      <c r="P555" s="116">
        <v>318.14999999999998</v>
      </c>
      <c r="Q555" s="116">
        <v>1591.15</v>
      </c>
      <c r="R555">
        <v>135222</v>
      </c>
    </row>
    <row r="556" spans="1:18" x14ac:dyDescent="0.25">
      <c r="A556" s="163">
        <v>42821</v>
      </c>
      <c r="B556" s="116">
        <v>328</v>
      </c>
      <c r="C556" s="116">
        <v>320.51</v>
      </c>
      <c r="D556" s="116">
        <v>318.16000000000003</v>
      </c>
      <c r="E556" s="116">
        <v>318.16000000000003</v>
      </c>
      <c r="F556" s="116">
        <v>1602.55</v>
      </c>
      <c r="G556">
        <v>31876</v>
      </c>
      <c r="H556" s="116"/>
      <c r="I556" s="116"/>
      <c r="L556" s="163">
        <v>42821</v>
      </c>
      <c r="M556" s="116">
        <v>320.38</v>
      </c>
      <c r="N556" s="116">
        <v>328.09</v>
      </c>
      <c r="O556" s="116">
        <v>317.99</v>
      </c>
      <c r="P556" s="116">
        <v>320.54000000000002</v>
      </c>
      <c r="Q556" s="116">
        <v>1601.9</v>
      </c>
      <c r="R556">
        <v>372287</v>
      </c>
    </row>
    <row r="557" spans="1:18" x14ac:dyDescent="0.25">
      <c r="A557" s="163">
        <v>42822</v>
      </c>
      <c r="B557" s="116">
        <v>324.11</v>
      </c>
      <c r="C557" s="116">
        <v>319.48</v>
      </c>
      <c r="D557" s="116">
        <v>318.31</v>
      </c>
      <c r="E557" s="116">
        <v>321.25</v>
      </c>
      <c r="F557" s="116">
        <v>1597.4</v>
      </c>
      <c r="G557">
        <v>15474</v>
      </c>
      <c r="H557" s="116"/>
      <c r="I557" s="116"/>
      <c r="L557" s="163">
        <v>42822</v>
      </c>
      <c r="M557" s="116">
        <v>319.70999999999998</v>
      </c>
      <c r="N557" s="116">
        <v>323.98</v>
      </c>
      <c r="O557" s="116">
        <v>318.36</v>
      </c>
      <c r="P557" s="116">
        <v>320.38</v>
      </c>
      <c r="Q557" s="116">
        <v>1598.55</v>
      </c>
      <c r="R557">
        <v>184340</v>
      </c>
    </row>
    <row r="558" spans="1:18" x14ac:dyDescent="0.25">
      <c r="A558" s="163">
        <v>42823</v>
      </c>
      <c r="B558" s="116">
        <v>321.91000000000003</v>
      </c>
      <c r="C558" s="116">
        <v>319.89</v>
      </c>
      <c r="D558" s="116">
        <v>319</v>
      </c>
      <c r="E558" s="116">
        <v>320.49</v>
      </c>
      <c r="F558" s="116">
        <v>1599.45</v>
      </c>
      <c r="G558">
        <v>9181</v>
      </c>
      <c r="H558" s="116"/>
      <c r="I558" s="116"/>
      <c r="L558" s="163">
        <v>42823</v>
      </c>
      <c r="M558" s="116">
        <v>320.14</v>
      </c>
      <c r="N558" s="116">
        <v>323.99</v>
      </c>
      <c r="O558" s="116">
        <v>318.67</v>
      </c>
      <c r="P558" s="116">
        <v>320</v>
      </c>
      <c r="Q558" s="116">
        <v>1600.7</v>
      </c>
      <c r="R558">
        <v>88913</v>
      </c>
    </row>
    <row r="559" spans="1:18" x14ac:dyDescent="0.25">
      <c r="A559" s="163">
        <v>42824</v>
      </c>
      <c r="B559" s="116">
        <v>324.8</v>
      </c>
      <c r="C559" s="116">
        <v>320.69</v>
      </c>
      <c r="D559" s="116">
        <v>319.14</v>
      </c>
      <c r="E559" s="116">
        <v>319.14</v>
      </c>
      <c r="F559" s="116">
        <v>1603.45</v>
      </c>
      <c r="G559">
        <v>26547</v>
      </c>
      <c r="H559" s="116"/>
      <c r="I559" s="116"/>
      <c r="L559" s="163">
        <v>42824</v>
      </c>
      <c r="M559" s="116">
        <v>320.82</v>
      </c>
      <c r="N559" s="116">
        <v>324.56</v>
      </c>
      <c r="O559" s="116">
        <v>316</v>
      </c>
      <c r="P559" s="116">
        <v>320.49</v>
      </c>
      <c r="Q559" s="116">
        <v>1604.1</v>
      </c>
      <c r="R559">
        <v>226374</v>
      </c>
    </row>
    <row r="560" spans="1:18" x14ac:dyDescent="0.25">
      <c r="A560" s="163">
        <v>42825</v>
      </c>
      <c r="B560" s="116">
        <v>329.8</v>
      </c>
      <c r="C560" s="116">
        <v>325.19</v>
      </c>
      <c r="D560" s="116">
        <v>320.51</v>
      </c>
      <c r="E560" s="116">
        <v>329.8</v>
      </c>
      <c r="F560" s="116">
        <v>1625.95</v>
      </c>
      <c r="G560">
        <v>12399</v>
      </c>
      <c r="H560" s="116"/>
      <c r="I560" s="116"/>
      <c r="L560" s="163">
        <v>42825</v>
      </c>
      <c r="M560" s="116">
        <v>325.43</v>
      </c>
      <c r="N560" s="116">
        <v>327.78</v>
      </c>
      <c r="O560" s="116">
        <v>320.51</v>
      </c>
      <c r="P560" s="116">
        <v>321.17</v>
      </c>
      <c r="Q560" s="116">
        <v>1627.15</v>
      </c>
      <c r="R560">
        <v>203767</v>
      </c>
    </row>
    <row r="561" spans="1:18" x14ac:dyDescent="0.25">
      <c r="A561" s="163">
        <v>42828</v>
      </c>
      <c r="B561" s="116">
        <v>334.55</v>
      </c>
      <c r="C561" s="116">
        <v>332.02</v>
      </c>
      <c r="D561" s="116">
        <v>326.74</v>
      </c>
      <c r="E561" s="116">
        <v>328</v>
      </c>
      <c r="F561" s="116">
        <v>1660.1</v>
      </c>
      <c r="G561">
        <v>19370</v>
      </c>
      <c r="H561" s="116"/>
      <c r="I561" s="116"/>
      <c r="L561" s="163">
        <v>42828</v>
      </c>
      <c r="M561" s="116">
        <v>332.41</v>
      </c>
      <c r="N561" s="116">
        <v>334.89</v>
      </c>
      <c r="O561" s="116">
        <v>326</v>
      </c>
      <c r="P561" s="116">
        <v>326.38</v>
      </c>
      <c r="Q561" s="116">
        <v>1662.05</v>
      </c>
      <c r="R561">
        <v>282430</v>
      </c>
    </row>
    <row r="562" spans="1:18" x14ac:dyDescent="0.25">
      <c r="A562" s="163">
        <v>42830</v>
      </c>
      <c r="B562" s="116">
        <v>338</v>
      </c>
      <c r="C562" s="116">
        <v>330.93</v>
      </c>
      <c r="D562" s="116">
        <v>329.22</v>
      </c>
      <c r="E562" s="116">
        <v>333</v>
      </c>
      <c r="F562" s="116">
        <v>1654.65</v>
      </c>
      <c r="G562">
        <v>18571</v>
      </c>
      <c r="H562" s="116"/>
      <c r="I562" s="116"/>
      <c r="L562" s="163">
        <v>42830</v>
      </c>
      <c r="M562" s="116">
        <v>330.59</v>
      </c>
      <c r="N562" s="116">
        <v>336.59</v>
      </c>
      <c r="O562" s="116">
        <v>329.43</v>
      </c>
      <c r="P562" s="116">
        <v>334</v>
      </c>
      <c r="Q562" s="116">
        <v>1652.95</v>
      </c>
      <c r="R562">
        <v>280360</v>
      </c>
    </row>
    <row r="563" spans="1:18" x14ac:dyDescent="0.25">
      <c r="A563" s="163">
        <v>42831</v>
      </c>
      <c r="B563" s="116">
        <v>333.78</v>
      </c>
      <c r="C563" s="116">
        <v>329.56</v>
      </c>
      <c r="D563" s="116">
        <v>327.07</v>
      </c>
      <c r="E563" s="116">
        <v>331.39</v>
      </c>
      <c r="F563" s="116">
        <v>1647.8</v>
      </c>
      <c r="G563">
        <v>18073</v>
      </c>
      <c r="H563" s="116"/>
      <c r="I563" s="116"/>
      <c r="L563" s="163">
        <v>42831</v>
      </c>
      <c r="M563" s="116">
        <v>329.55</v>
      </c>
      <c r="N563" s="116">
        <v>333.57</v>
      </c>
      <c r="O563" s="116">
        <v>327.2</v>
      </c>
      <c r="P563" s="116">
        <v>331</v>
      </c>
      <c r="Q563" s="116">
        <v>1647.75</v>
      </c>
      <c r="R563">
        <v>190860</v>
      </c>
    </row>
    <row r="564" spans="1:18" x14ac:dyDescent="0.25">
      <c r="A564" s="163">
        <v>42832</v>
      </c>
      <c r="B564" s="116">
        <v>331.5</v>
      </c>
      <c r="C564" s="116">
        <v>327.24</v>
      </c>
      <c r="D564" s="116">
        <v>326</v>
      </c>
      <c r="E564" s="116">
        <v>329.79</v>
      </c>
      <c r="F564" s="116">
        <v>1636.2</v>
      </c>
      <c r="G564">
        <v>9123</v>
      </c>
      <c r="H564" s="116"/>
      <c r="I564" s="116"/>
      <c r="L564" s="163">
        <v>42832</v>
      </c>
      <c r="M564" s="116">
        <v>327.42</v>
      </c>
      <c r="N564" s="116">
        <v>331.78</v>
      </c>
      <c r="O564" s="116">
        <v>326.32</v>
      </c>
      <c r="P564" s="116">
        <v>330</v>
      </c>
      <c r="Q564" s="116">
        <v>1637.1</v>
      </c>
      <c r="R564">
        <v>179539</v>
      </c>
    </row>
    <row r="565" spans="1:18" x14ac:dyDescent="0.25">
      <c r="A565" s="163">
        <v>42835</v>
      </c>
      <c r="B565" s="116">
        <v>331.11</v>
      </c>
      <c r="C565" s="116">
        <v>326.52</v>
      </c>
      <c r="D565" s="116">
        <v>325</v>
      </c>
      <c r="E565" s="116">
        <v>328.91</v>
      </c>
      <c r="F565" s="116">
        <v>1632.6</v>
      </c>
      <c r="G565">
        <v>8009</v>
      </c>
      <c r="H565" s="116"/>
      <c r="I565" s="116"/>
      <c r="L565" s="163">
        <v>42835</v>
      </c>
      <c r="M565" s="116">
        <v>326.54000000000002</v>
      </c>
      <c r="N565" s="116">
        <v>331</v>
      </c>
      <c r="O565" s="116">
        <v>324.94</v>
      </c>
      <c r="P565" s="116">
        <v>328.4</v>
      </c>
      <c r="Q565" s="116">
        <v>1632.7</v>
      </c>
      <c r="R565">
        <v>198982</v>
      </c>
    </row>
    <row r="566" spans="1:18" x14ac:dyDescent="0.25">
      <c r="A566" s="163">
        <v>42836</v>
      </c>
      <c r="B566" s="116">
        <v>329.08</v>
      </c>
      <c r="C566" s="116">
        <v>327.47000000000003</v>
      </c>
      <c r="D566" s="116">
        <v>325.32</v>
      </c>
      <c r="E566" s="116">
        <v>328.08</v>
      </c>
      <c r="F566" s="116">
        <v>1637.35</v>
      </c>
      <c r="G566">
        <v>7895</v>
      </c>
      <c r="H566" s="116"/>
      <c r="I566" s="116"/>
      <c r="L566" s="163">
        <v>42836</v>
      </c>
      <c r="M566" s="116">
        <v>327.64</v>
      </c>
      <c r="N566" s="116">
        <v>328.94</v>
      </c>
      <c r="O566" s="116">
        <v>325.60000000000002</v>
      </c>
      <c r="P566" s="116">
        <v>327</v>
      </c>
      <c r="Q566" s="116">
        <v>1638.2</v>
      </c>
      <c r="R566">
        <v>145766</v>
      </c>
    </row>
    <row r="567" spans="1:18" x14ac:dyDescent="0.25">
      <c r="A567" s="163">
        <v>42837</v>
      </c>
      <c r="B567" s="116">
        <v>333.75</v>
      </c>
      <c r="C567" s="116">
        <v>329.42</v>
      </c>
      <c r="D567" s="116">
        <v>325.13</v>
      </c>
      <c r="E567" s="116">
        <v>329.4</v>
      </c>
      <c r="F567" s="116">
        <v>1647.1</v>
      </c>
      <c r="G567">
        <v>10524</v>
      </c>
      <c r="H567" s="116"/>
      <c r="I567" s="116"/>
      <c r="L567" s="163">
        <v>42837</v>
      </c>
      <c r="M567" s="116">
        <v>329.39</v>
      </c>
      <c r="N567" s="116">
        <v>333.61</v>
      </c>
      <c r="O567" s="116">
        <v>325</v>
      </c>
      <c r="P567" s="116">
        <v>328.4</v>
      </c>
      <c r="Q567" s="116">
        <v>1646.95</v>
      </c>
      <c r="R567">
        <v>224242</v>
      </c>
    </row>
    <row r="568" spans="1:18" x14ac:dyDescent="0.25">
      <c r="A568" s="163">
        <v>42838</v>
      </c>
      <c r="B568" s="116">
        <v>338.8</v>
      </c>
      <c r="C568" s="116">
        <v>337.71</v>
      </c>
      <c r="D568" s="116">
        <v>329.07</v>
      </c>
      <c r="E568" s="116">
        <v>331.39</v>
      </c>
      <c r="F568" s="116">
        <v>1688.55</v>
      </c>
      <c r="G568">
        <v>23177</v>
      </c>
      <c r="H568" s="116"/>
      <c r="I568" s="116"/>
      <c r="L568" s="163">
        <v>42838</v>
      </c>
      <c r="M568" s="116">
        <v>338.67</v>
      </c>
      <c r="N568" s="116">
        <v>340</v>
      </c>
      <c r="O568" s="116">
        <v>328.4</v>
      </c>
      <c r="P568" s="116">
        <v>330</v>
      </c>
      <c r="Q568" s="116">
        <v>1693.35</v>
      </c>
      <c r="R568">
        <v>404798</v>
      </c>
    </row>
    <row r="569" spans="1:18" x14ac:dyDescent="0.25">
      <c r="A569" s="163">
        <v>42842</v>
      </c>
      <c r="B569" s="116">
        <v>343.46</v>
      </c>
      <c r="C569" s="116">
        <v>340.78</v>
      </c>
      <c r="D569" s="116">
        <v>339</v>
      </c>
      <c r="E569" s="116">
        <v>340.2</v>
      </c>
      <c r="F569" s="116">
        <v>1703.9</v>
      </c>
      <c r="G569">
        <v>37573</v>
      </c>
      <c r="H569" s="116"/>
      <c r="I569" s="116"/>
      <c r="L569" s="163">
        <v>42842</v>
      </c>
      <c r="M569" s="116">
        <v>340.9</v>
      </c>
      <c r="N569" s="116">
        <v>343.53</v>
      </c>
      <c r="O569" s="116">
        <v>338.79</v>
      </c>
      <c r="P569" s="116">
        <v>341.27</v>
      </c>
      <c r="Q569" s="116">
        <v>1704.5</v>
      </c>
      <c r="R569">
        <v>180964</v>
      </c>
    </row>
    <row r="570" spans="1:18" x14ac:dyDescent="0.25">
      <c r="A570" s="163">
        <v>42843</v>
      </c>
      <c r="B570" s="116">
        <v>344.71</v>
      </c>
      <c r="C570" s="116">
        <v>329.48</v>
      </c>
      <c r="D570" s="116">
        <v>326</v>
      </c>
      <c r="E570" s="116">
        <v>342</v>
      </c>
      <c r="F570" s="116">
        <v>1647.4</v>
      </c>
      <c r="G570">
        <v>36720</v>
      </c>
      <c r="H570" s="116"/>
      <c r="I570" s="116"/>
      <c r="L570" s="163">
        <v>42843</v>
      </c>
      <c r="M570" s="116">
        <v>329.86</v>
      </c>
      <c r="N570" s="116">
        <v>344.88</v>
      </c>
      <c r="O570" s="116">
        <v>326.8</v>
      </c>
      <c r="P570" s="116">
        <v>342.8</v>
      </c>
      <c r="Q570" s="116">
        <v>1649.3</v>
      </c>
      <c r="R570">
        <v>181124</v>
      </c>
    </row>
    <row r="571" spans="1:18" x14ac:dyDescent="0.25">
      <c r="A571" s="163">
        <v>42844</v>
      </c>
      <c r="B571" s="116">
        <v>336.18</v>
      </c>
      <c r="C571" s="116">
        <v>333.81</v>
      </c>
      <c r="D571" s="116">
        <v>327.71</v>
      </c>
      <c r="E571" s="116">
        <v>331.56</v>
      </c>
      <c r="F571" s="116">
        <v>1669.05</v>
      </c>
      <c r="G571">
        <v>11766</v>
      </c>
      <c r="H571" s="116"/>
      <c r="I571" s="116"/>
      <c r="L571" s="163">
        <v>42844</v>
      </c>
      <c r="M571" s="116">
        <v>335.23</v>
      </c>
      <c r="N571" s="116">
        <v>336.69</v>
      </c>
      <c r="O571" s="116">
        <v>327.31</v>
      </c>
      <c r="P571" s="116">
        <v>332.49</v>
      </c>
      <c r="Q571" s="116">
        <v>1676.15</v>
      </c>
      <c r="R571">
        <v>158787</v>
      </c>
    </row>
    <row r="572" spans="1:18" x14ac:dyDescent="0.25">
      <c r="A572" s="163">
        <v>42845</v>
      </c>
      <c r="B572" s="116">
        <v>343.83</v>
      </c>
      <c r="C572" s="116">
        <v>341.7</v>
      </c>
      <c r="D572" s="116">
        <v>335.4</v>
      </c>
      <c r="E572" s="116">
        <v>339.99</v>
      </c>
      <c r="F572" s="116">
        <v>1708.5</v>
      </c>
      <c r="G572">
        <v>17286</v>
      </c>
      <c r="H572" s="116"/>
      <c r="I572" s="116"/>
      <c r="L572" s="163">
        <v>42845</v>
      </c>
      <c r="M572" s="116">
        <v>342.22</v>
      </c>
      <c r="N572" s="116">
        <v>344.41</v>
      </c>
      <c r="O572" s="116">
        <v>335.17</v>
      </c>
      <c r="P572" s="116">
        <v>336</v>
      </c>
      <c r="Q572" s="116">
        <v>1711.1</v>
      </c>
      <c r="R572">
        <v>193236</v>
      </c>
    </row>
    <row r="573" spans="1:18" x14ac:dyDescent="0.25">
      <c r="A573" s="163">
        <v>42846</v>
      </c>
      <c r="B573" s="116">
        <v>343.79</v>
      </c>
      <c r="C573" s="116">
        <v>340.76</v>
      </c>
      <c r="D573" s="116">
        <v>338.18</v>
      </c>
      <c r="E573" s="116">
        <v>343.52</v>
      </c>
      <c r="F573" s="116">
        <v>1703.8</v>
      </c>
      <c r="G573">
        <v>8103</v>
      </c>
      <c r="H573" s="116"/>
      <c r="I573" s="116"/>
      <c r="L573" s="163">
        <v>42846</v>
      </c>
      <c r="M573" s="116">
        <v>339.93</v>
      </c>
      <c r="N573" s="116">
        <v>344.6</v>
      </c>
      <c r="O573" s="116">
        <v>337.71</v>
      </c>
      <c r="P573" s="116">
        <v>342.4</v>
      </c>
      <c r="Q573" s="116">
        <v>1699.65</v>
      </c>
      <c r="R573">
        <v>119931</v>
      </c>
    </row>
    <row r="574" spans="1:18" x14ac:dyDescent="0.25">
      <c r="A574" s="163">
        <v>42849</v>
      </c>
      <c r="B574" s="116">
        <v>346.34</v>
      </c>
      <c r="C574" s="116">
        <v>343.24</v>
      </c>
      <c r="D574" s="116">
        <v>339.13</v>
      </c>
      <c r="E574" s="116">
        <v>341.51</v>
      </c>
      <c r="F574" s="116">
        <v>1716.2</v>
      </c>
      <c r="G574">
        <v>10559</v>
      </c>
      <c r="H574" s="116"/>
      <c r="I574" s="116"/>
      <c r="L574" s="163">
        <v>42849</v>
      </c>
      <c r="M574" s="116">
        <v>342.89</v>
      </c>
      <c r="N574" s="116">
        <v>346.58</v>
      </c>
      <c r="O574" s="116">
        <v>339.18</v>
      </c>
      <c r="P574" s="116">
        <v>341</v>
      </c>
      <c r="Q574" s="116">
        <v>1714.45</v>
      </c>
      <c r="R574">
        <v>221772</v>
      </c>
    </row>
    <row r="575" spans="1:18" x14ac:dyDescent="0.25">
      <c r="A575" s="163">
        <v>42850</v>
      </c>
      <c r="B575" s="116">
        <v>348.6</v>
      </c>
      <c r="C575" s="116">
        <v>346.34</v>
      </c>
      <c r="D575" s="116">
        <v>342.9</v>
      </c>
      <c r="E575" s="116">
        <v>346</v>
      </c>
      <c r="F575" s="116">
        <v>1731.7</v>
      </c>
      <c r="G575">
        <v>14807</v>
      </c>
      <c r="H575" s="116"/>
      <c r="I575" s="116"/>
      <c r="L575" s="163">
        <v>42850</v>
      </c>
      <c r="M575" s="116">
        <v>346.58</v>
      </c>
      <c r="N575" s="116">
        <v>349</v>
      </c>
      <c r="O575" s="116">
        <v>342.01</v>
      </c>
      <c r="P575" s="116">
        <v>343.94</v>
      </c>
      <c r="Q575" s="116">
        <v>1732.9</v>
      </c>
      <c r="R575">
        <v>261003</v>
      </c>
    </row>
    <row r="576" spans="1:18" x14ac:dyDescent="0.25">
      <c r="A576" s="163">
        <v>42851</v>
      </c>
      <c r="B576" s="116">
        <v>353.8</v>
      </c>
      <c r="C576" s="116">
        <v>349.28</v>
      </c>
      <c r="D576" s="116">
        <v>346.38</v>
      </c>
      <c r="E576" s="116">
        <v>347.61</v>
      </c>
      <c r="F576" s="116">
        <v>1746.4</v>
      </c>
      <c r="G576">
        <v>13003</v>
      </c>
      <c r="H576" s="116"/>
      <c r="I576" s="116"/>
      <c r="L576" s="163">
        <v>42851</v>
      </c>
      <c r="M576" s="116">
        <v>349.79</v>
      </c>
      <c r="N576" s="116">
        <v>354.28</v>
      </c>
      <c r="O576" s="116">
        <v>346.07</v>
      </c>
      <c r="P576" s="116">
        <v>347</v>
      </c>
      <c r="Q576" s="116">
        <v>1748.95</v>
      </c>
      <c r="R576">
        <v>328283</v>
      </c>
    </row>
    <row r="577" spans="1:18" x14ac:dyDescent="0.25">
      <c r="A577" s="163">
        <v>42852</v>
      </c>
      <c r="B577" s="116">
        <v>365</v>
      </c>
      <c r="C577" s="116">
        <v>358.48</v>
      </c>
      <c r="D577" s="116">
        <v>350.61</v>
      </c>
      <c r="E577" s="116">
        <v>350.61</v>
      </c>
      <c r="F577" s="116">
        <v>1792.4</v>
      </c>
      <c r="G577">
        <v>35509</v>
      </c>
      <c r="H577" s="116"/>
      <c r="I577" s="116"/>
      <c r="L577" s="163">
        <v>42852</v>
      </c>
      <c r="M577" s="116">
        <v>358.79</v>
      </c>
      <c r="N577" s="116">
        <v>364.99</v>
      </c>
      <c r="O577" s="116">
        <v>349.01</v>
      </c>
      <c r="P577" s="116">
        <v>350</v>
      </c>
      <c r="Q577" s="116">
        <v>1793.95</v>
      </c>
      <c r="R577">
        <v>489924</v>
      </c>
    </row>
    <row r="578" spans="1:18" x14ac:dyDescent="0.25">
      <c r="A578" s="163">
        <v>42853</v>
      </c>
      <c r="B578" s="116">
        <v>361.45</v>
      </c>
      <c r="C578" s="116">
        <v>356.01</v>
      </c>
      <c r="D578" s="116">
        <v>353.12</v>
      </c>
      <c r="E578" s="116">
        <v>361.01</v>
      </c>
      <c r="F578" s="116">
        <v>1780.05</v>
      </c>
      <c r="G578">
        <v>8297</v>
      </c>
      <c r="H578" s="116"/>
      <c r="I578" s="116"/>
      <c r="L578" s="163">
        <v>42853</v>
      </c>
      <c r="M578" s="116">
        <v>354.28</v>
      </c>
      <c r="N578" s="116">
        <v>361.91</v>
      </c>
      <c r="O578" s="116">
        <v>352.32</v>
      </c>
      <c r="P578" s="116">
        <v>360.02</v>
      </c>
      <c r="Q578" s="116">
        <v>1771.4</v>
      </c>
      <c r="R578">
        <v>129113</v>
      </c>
    </row>
    <row r="579" spans="1:18" x14ac:dyDescent="0.25">
      <c r="A579" s="163">
        <v>42857</v>
      </c>
      <c r="B579" s="116">
        <v>359.04</v>
      </c>
      <c r="C579" s="116">
        <v>353.4</v>
      </c>
      <c r="D579" s="116">
        <v>351.4</v>
      </c>
      <c r="E579" s="116">
        <v>356.2</v>
      </c>
      <c r="F579" s="116">
        <v>1767</v>
      </c>
      <c r="G579">
        <v>8032</v>
      </c>
      <c r="H579" s="116"/>
      <c r="I579" s="116"/>
      <c r="L579" s="163">
        <v>42857</v>
      </c>
      <c r="M579" s="116">
        <v>353.72</v>
      </c>
      <c r="N579" s="116">
        <v>359.96</v>
      </c>
      <c r="O579" s="116">
        <v>351.38</v>
      </c>
      <c r="P579" s="116">
        <v>356.18</v>
      </c>
      <c r="Q579" s="116">
        <v>1768.6</v>
      </c>
      <c r="R579">
        <v>132513</v>
      </c>
    </row>
    <row r="580" spans="1:18" x14ac:dyDescent="0.25">
      <c r="A580" s="163">
        <v>42858</v>
      </c>
      <c r="B580" s="116">
        <v>358.73</v>
      </c>
      <c r="C580" s="116">
        <v>354.67</v>
      </c>
      <c r="D580" s="116">
        <v>353.4</v>
      </c>
      <c r="E580" s="116">
        <v>353.4</v>
      </c>
      <c r="F580" s="116">
        <v>1773.35</v>
      </c>
      <c r="G580">
        <v>8164</v>
      </c>
      <c r="H580" s="116"/>
      <c r="I580" s="116"/>
      <c r="L580" s="163">
        <v>42858</v>
      </c>
      <c r="M580" s="116">
        <v>354.63</v>
      </c>
      <c r="N580" s="116">
        <v>358.6</v>
      </c>
      <c r="O580" s="116">
        <v>353.07</v>
      </c>
      <c r="P580" s="116">
        <v>355.98</v>
      </c>
      <c r="Q580" s="116">
        <v>1773.15</v>
      </c>
      <c r="R580">
        <v>101466</v>
      </c>
    </row>
    <row r="581" spans="1:18" x14ac:dyDescent="0.25">
      <c r="A581" s="163">
        <v>42859</v>
      </c>
      <c r="B581" s="116">
        <v>357</v>
      </c>
      <c r="C581" s="116">
        <v>350.77</v>
      </c>
      <c r="D581" s="116">
        <v>348.5</v>
      </c>
      <c r="E581" s="116">
        <v>354.9</v>
      </c>
      <c r="F581" s="116">
        <v>1753.85</v>
      </c>
      <c r="G581">
        <v>7674</v>
      </c>
      <c r="H581" s="116"/>
      <c r="I581" s="116"/>
      <c r="L581" s="163">
        <v>42859</v>
      </c>
      <c r="M581" s="116">
        <v>349.82</v>
      </c>
      <c r="N581" s="116">
        <v>357.27</v>
      </c>
      <c r="O581" s="116">
        <v>347.94</v>
      </c>
      <c r="P581" s="116">
        <v>354.42</v>
      </c>
      <c r="Q581" s="116">
        <v>1749.1</v>
      </c>
      <c r="R581">
        <v>89584</v>
      </c>
    </row>
    <row r="582" spans="1:18" x14ac:dyDescent="0.25">
      <c r="A582" s="163">
        <v>42860</v>
      </c>
      <c r="B582" s="116">
        <v>356.4</v>
      </c>
      <c r="C582" s="116">
        <v>350.47</v>
      </c>
      <c r="D582" s="116">
        <v>349</v>
      </c>
      <c r="E582" s="116">
        <v>352.4</v>
      </c>
      <c r="F582" s="116">
        <v>1752.35</v>
      </c>
      <c r="G582">
        <v>8060</v>
      </c>
      <c r="H582" s="116"/>
      <c r="I582" s="116"/>
      <c r="L582" s="163">
        <v>42860</v>
      </c>
      <c r="M582" s="116">
        <v>351.45</v>
      </c>
      <c r="N582" s="116">
        <v>357</v>
      </c>
      <c r="O582" s="116">
        <v>348.94</v>
      </c>
      <c r="P582" s="116">
        <v>353.48</v>
      </c>
      <c r="Q582" s="116">
        <v>1757.25</v>
      </c>
      <c r="R582">
        <v>109111</v>
      </c>
    </row>
    <row r="583" spans="1:18" x14ac:dyDescent="0.25">
      <c r="A583" s="163">
        <v>42863</v>
      </c>
      <c r="B583" s="116">
        <v>353.99</v>
      </c>
      <c r="C583" s="116">
        <v>348.29</v>
      </c>
      <c r="D583" s="116">
        <v>346.22</v>
      </c>
      <c r="E583" s="116">
        <v>352.78</v>
      </c>
      <c r="F583" s="116">
        <v>1741.45</v>
      </c>
      <c r="G583">
        <v>5934</v>
      </c>
      <c r="H583" s="116"/>
      <c r="I583" s="116"/>
      <c r="L583" s="163">
        <v>42863</v>
      </c>
      <c r="M583" s="116">
        <v>347.87</v>
      </c>
      <c r="N583" s="116">
        <v>354.8</v>
      </c>
      <c r="O583" s="116">
        <v>346.3</v>
      </c>
      <c r="P583" s="116">
        <v>351.83</v>
      </c>
      <c r="Q583" s="116">
        <v>1739.35</v>
      </c>
      <c r="R583">
        <v>76182</v>
      </c>
    </row>
    <row r="584" spans="1:18" x14ac:dyDescent="0.25">
      <c r="A584" s="163">
        <v>42864</v>
      </c>
      <c r="B584" s="116">
        <v>354.6</v>
      </c>
      <c r="C584" s="116">
        <v>351.76</v>
      </c>
      <c r="D584" s="116">
        <v>347.83</v>
      </c>
      <c r="E584" s="116">
        <v>349.46</v>
      </c>
      <c r="F584" s="116">
        <v>1758.8</v>
      </c>
      <c r="G584">
        <v>6342</v>
      </c>
      <c r="H584" s="116"/>
      <c r="I584" s="116"/>
      <c r="L584" s="163">
        <v>42864</v>
      </c>
      <c r="M584" s="116">
        <v>352.32</v>
      </c>
      <c r="N584" s="116">
        <v>355</v>
      </c>
      <c r="O584" s="116">
        <v>347.21</v>
      </c>
      <c r="P584" s="116">
        <v>350</v>
      </c>
      <c r="Q584" s="116">
        <v>1761.6</v>
      </c>
      <c r="R584">
        <v>83855</v>
      </c>
    </row>
    <row r="585" spans="1:18" x14ac:dyDescent="0.25">
      <c r="A585" s="163">
        <v>42865</v>
      </c>
      <c r="B585" s="116">
        <v>358.01</v>
      </c>
      <c r="C585" s="116">
        <v>355.12</v>
      </c>
      <c r="D585" s="116">
        <v>353</v>
      </c>
      <c r="E585" s="116">
        <v>354.84</v>
      </c>
      <c r="F585" s="116">
        <v>1775.6</v>
      </c>
      <c r="G585">
        <v>10810</v>
      </c>
      <c r="H585" s="116"/>
      <c r="I585" s="116"/>
      <c r="L585" s="163">
        <v>42865</v>
      </c>
      <c r="M585" s="116">
        <v>355.94</v>
      </c>
      <c r="N585" s="116">
        <v>357.79</v>
      </c>
      <c r="O585" s="116">
        <v>342.78</v>
      </c>
      <c r="P585" s="116">
        <v>353.84</v>
      </c>
      <c r="Q585" s="116">
        <v>1779.7</v>
      </c>
      <c r="R585">
        <v>119076</v>
      </c>
    </row>
    <row r="586" spans="1:18" x14ac:dyDescent="0.25">
      <c r="A586" s="163">
        <v>42866</v>
      </c>
      <c r="B586" s="116">
        <v>363.72</v>
      </c>
      <c r="C586" s="116">
        <v>355.73</v>
      </c>
      <c r="D586" s="116">
        <v>353.93</v>
      </c>
      <c r="E586" s="116">
        <v>355.4</v>
      </c>
      <c r="F586" s="116">
        <v>1778.65</v>
      </c>
      <c r="G586">
        <v>7839</v>
      </c>
      <c r="H586" s="116"/>
      <c r="I586" s="116"/>
      <c r="L586" s="163">
        <v>42866</v>
      </c>
      <c r="M586" s="116">
        <v>355.39</v>
      </c>
      <c r="N586" s="116">
        <v>363.59</v>
      </c>
      <c r="O586" s="116">
        <v>353.41</v>
      </c>
      <c r="P586" s="116">
        <v>359.59</v>
      </c>
      <c r="Q586" s="116">
        <v>1776.95</v>
      </c>
      <c r="R586">
        <v>143410</v>
      </c>
    </row>
    <row r="587" spans="1:18" x14ac:dyDescent="0.25">
      <c r="A587" s="163">
        <v>42867</v>
      </c>
      <c r="B587" s="116">
        <v>358.75</v>
      </c>
      <c r="C587" s="116">
        <v>353.3</v>
      </c>
      <c r="D587" s="116">
        <v>351.34</v>
      </c>
      <c r="E587" s="116">
        <v>354.41</v>
      </c>
      <c r="F587" s="116">
        <v>1766.5</v>
      </c>
      <c r="G587">
        <v>5401</v>
      </c>
      <c r="H587" s="116"/>
      <c r="I587" s="116"/>
      <c r="L587" s="163">
        <v>42867</v>
      </c>
      <c r="M587" s="116">
        <v>353.36</v>
      </c>
      <c r="N587" s="116">
        <v>359</v>
      </c>
      <c r="O587" s="116">
        <v>351</v>
      </c>
      <c r="P587" s="116">
        <v>357</v>
      </c>
      <c r="Q587" s="116">
        <v>1766.8</v>
      </c>
      <c r="R587">
        <v>71168</v>
      </c>
    </row>
    <row r="588" spans="1:18" x14ac:dyDescent="0.25">
      <c r="A588" s="163">
        <v>42870</v>
      </c>
      <c r="B588" s="116">
        <v>361.99</v>
      </c>
      <c r="C588" s="116">
        <v>359.94</v>
      </c>
      <c r="D588" s="116">
        <v>354</v>
      </c>
      <c r="E588" s="116">
        <v>355.23</v>
      </c>
      <c r="F588" s="116">
        <v>1799.7</v>
      </c>
      <c r="G588">
        <v>13726</v>
      </c>
      <c r="H588" s="116"/>
      <c r="I588" s="116"/>
      <c r="L588" s="163">
        <v>42870</v>
      </c>
      <c r="M588" s="116">
        <v>360.44</v>
      </c>
      <c r="N588" s="116">
        <v>362</v>
      </c>
      <c r="O588" s="116">
        <v>353.4</v>
      </c>
      <c r="P588" s="116">
        <v>353.4</v>
      </c>
      <c r="Q588" s="116">
        <v>1802.2</v>
      </c>
      <c r="R588">
        <v>114845</v>
      </c>
    </row>
    <row r="589" spans="1:18" x14ac:dyDescent="0.25">
      <c r="A589" s="163">
        <v>42871</v>
      </c>
      <c r="B589" s="116">
        <v>370.2</v>
      </c>
      <c r="C589" s="116">
        <v>368.09</v>
      </c>
      <c r="D589" s="116">
        <v>359.61</v>
      </c>
      <c r="E589" s="116">
        <v>360.49</v>
      </c>
      <c r="F589" s="116">
        <v>1840.45</v>
      </c>
      <c r="G589">
        <v>28011</v>
      </c>
      <c r="H589" s="116"/>
      <c r="I589" s="116"/>
      <c r="L589" s="163">
        <v>42871</v>
      </c>
      <c r="M589" s="116">
        <v>368.27</v>
      </c>
      <c r="N589" s="116">
        <v>370</v>
      </c>
      <c r="O589" s="116">
        <v>358.04</v>
      </c>
      <c r="P589" s="116">
        <v>358.04</v>
      </c>
      <c r="Q589" s="116">
        <v>1841.35</v>
      </c>
      <c r="R589">
        <v>264205</v>
      </c>
    </row>
    <row r="590" spans="1:18" x14ac:dyDescent="0.25">
      <c r="A590" s="163">
        <v>42872</v>
      </c>
      <c r="B590" s="116">
        <v>372</v>
      </c>
      <c r="C590" s="116">
        <v>365.94</v>
      </c>
      <c r="D590" s="116">
        <v>363.72</v>
      </c>
      <c r="E590" s="116">
        <v>371.99</v>
      </c>
      <c r="F590" s="116">
        <v>1829.7</v>
      </c>
      <c r="G590">
        <v>10003</v>
      </c>
      <c r="H590" s="116"/>
      <c r="I590" s="116"/>
      <c r="L590" s="163">
        <v>42872</v>
      </c>
      <c r="M590" s="116">
        <v>366.36</v>
      </c>
      <c r="N590" s="116">
        <v>371.8</v>
      </c>
      <c r="O590" s="116">
        <v>363.17</v>
      </c>
      <c r="P590" s="116">
        <v>369</v>
      </c>
      <c r="Q590" s="116">
        <v>1831.8</v>
      </c>
      <c r="R590">
        <v>132462</v>
      </c>
    </row>
    <row r="591" spans="1:18" x14ac:dyDescent="0.25">
      <c r="A591" s="163">
        <v>42873</v>
      </c>
      <c r="B591" s="116">
        <v>368.49</v>
      </c>
      <c r="C591" s="116">
        <v>355.81</v>
      </c>
      <c r="D591" s="116">
        <v>354</v>
      </c>
      <c r="E591" s="116">
        <v>360.2</v>
      </c>
      <c r="F591" s="116">
        <v>1779.05</v>
      </c>
      <c r="G591">
        <v>7665</v>
      </c>
      <c r="H591" s="116"/>
      <c r="I591" s="116"/>
      <c r="L591" s="163">
        <v>42873</v>
      </c>
      <c r="M591" s="116">
        <v>355.56</v>
      </c>
      <c r="N591" s="116">
        <v>368.4</v>
      </c>
      <c r="O591" s="116">
        <v>352.2</v>
      </c>
      <c r="P591" s="116">
        <v>366.4</v>
      </c>
      <c r="Q591" s="116">
        <v>1777.8</v>
      </c>
      <c r="R591">
        <v>159614</v>
      </c>
    </row>
    <row r="592" spans="1:18" x14ac:dyDescent="0.25">
      <c r="A592" s="163">
        <v>42874</v>
      </c>
      <c r="B592" s="116">
        <v>361.6</v>
      </c>
      <c r="C592" s="116">
        <v>348.65</v>
      </c>
      <c r="D592" s="116">
        <v>347.64</v>
      </c>
      <c r="E592" s="116">
        <v>356.71</v>
      </c>
      <c r="F592" s="116">
        <v>1743.25</v>
      </c>
      <c r="G592">
        <v>7317</v>
      </c>
      <c r="H592" s="116"/>
      <c r="I592" s="116"/>
      <c r="L592" s="163">
        <v>42874</v>
      </c>
      <c r="M592" s="116">
        <v>347.73</v>
      </c>
      <c r="N592" s="116">
        <v>361.6</v>
      </c>
      <c r="O592" s="116">
        <v>346.4</v>
      </c>
      <c r="P592" s="116">
        <v>357.18</v>
      </c>
      <c r="Q592" s="116">
        <v>1738.65</v>
      </c>
      <c r="R592">
        <v>180610</v>
      </c>
    </row>
    <row r="593" spans="1:18" x14ac:dyDescent="0.25">
      <c r="A593" s="163">
        <v>42877</v>
      </c>
      <c r="B593" s="116">
        <v>353.04</v>
      </c>
      <c r="C593" s="116">
        <v>341.69</v>
      </c>
      <c r="D593" s="116">
        <v>340.2</v>
      </c>
      <c r="E593" s="116">
        <v>351</v>
      </c>
      <c r="F593" s="116">
        <v>1708.45</v>
      </c>
      <c r="G593">
        <v>6277</v>
      </c>
      <c r="H593" s="116"/>
      <c r="I593" s="116"/>
      <c r="L593" s="163">
        <v>42877</v>
      </c>
      <c r="M593" s="116">
        <v>341.42</v>
      </c>
      <c r="N593" s="116">
        <v>354.6</v>
      </c>
      <c r="O593" s="116">
        <v>340.1</v>
      </c>
      <c r="P593" s="116">
        <v>350.9</v>
      </c>
      <c r="Q593" s="116">
        <v>1707.1</v>
      </c>
      <c r="R593">
        <v>130389</v>
      </c>
    </row>
    <row r="594" spans="1:18" x14ac:dyDescent="0.25">
      <c r="A594" s="163">
        <v>42878</v>
      </c>
      <c r="B594" s="116">
        <v>338.8</v>
      </c>
      <c r="C594" s="116">
        <v>322.67</v>
      </c>
      <c r="D594" s="116">
        <v>319.44</v>
      </c>
      <c r="E594" s="116">
        <v>338.8</v>
      </c>
      <c r="F594" s="116">
        <v>1613.35</v>
      </c>
      <c r="G594">
        <v>35426</v>
      </c>
      <c r="H594" s="116"/>
      <c r="I594" s="116"/>
      <c r="L594" s="163">
        <v>42878</v>
      </c>
      <c r="M594" s="116">
        <v>322.38</v>
      </c>
      <c r="N594" s="116">
        <v>337.88</v>
      </c>
      <c r="O594" s="116">
        <v>318.83</v>
      </c>
      <c r="P594" s="116">
        <v>337.88</v>
      </c>
      <c r="Q594" s="116">
        <v>1611.9</v>
      </c>
      <c r="R594">
        <v>537896</v>
      </c>
    </row>
    <row r="595" spans="1:18" x14ac:dyDescent="0.25">
      <c r="A595" s="163">
        <v>42879</v>
      </c>
      <c r="B595" s="116">
        <v>322.99</v>
      </c>
      <c r="C595" s="116">
        <v>317.58999999999997</v>
      </c>
      <c r="D595" s="116">
        <v>315.19</v>
      </c>
      <c r="E595" s="116">
        <v>322</v>
      </c>
      <c r="F595" s="116">
        <v>1587.95</v>
      </c>
      <c r="G595">
        <v>15597</v>
      </c>
      <c r="H595" s="116"/>
      <c r="I595" s="116"/>
      <c r="L595" s="163">
        <v>42879</v>
      </c>
      <c r="M595" s="116">
        <v>317.67</v>
      </c>
      <c r="N595" s="116">
        <v>324</v>
      </c>
      <c r="O595" s="116">
        <v>315.82</v>
      </c>
      <c r="P595" s="116">
        <v>321.2</v>
      </c>
      <c r="Q595" s="116">
        <v>1588.35</v>
      </c>
      <c r="R595">
        <v>236385</v>
      </c>
    </row>
    <row r="596" spans="1:18" x14ac:dyDescent="0.25">
      <c r="A596" s="163">
        <v>42880</v>
      </c>
      <c r="B596" s="116">
        <v>324.2</v>
      </c>
      <c r="C596" s="116">
        <v>322.68</v>
      </c>
      <c r="D596" s="116">
        <v>316.56</v>
      </c>
      <c r="E596" s="116">
        <v>319</v>
      </c>
      <c r="F596" s="116">
        <v>1613.4</v>
      </c>
      <c r="G596">
        <v>8712</v>
      </c>
      <c r="H596" s="116"/>
      <c r="I596" s="116"/>
      <c r="L596" s="163">
        <v>42880</v>
      </c>
      <c r="M596" s="116">
        <v>323.41000000000003</v>
      </c>
      <c r="N596" s="116">
        <v>325.14</v>
      </c>
      <c r="O596" s="116">
        <v>316.64999999999998</v>
      </c>
      <c r="P596" s="116">
        <v>322.99</v>
      </c>
      <c r="Q596" s="116">
        <v>1617.05</v>
      </c>
      <c r="R596">
        <v>172240</v>
      </c>
    </row>
    <row r="597" spans="1:18" x14ac:dyDescent="0.25">
      <c r="A597" s="163">
        <v>42881</v>
      </c>
      <c r="B597" s="116">
        <v>334.93</v>
      </c>
      <c r="C597" s="116">
        <v>332.49</v>
      </c>
      <c r="D597" s="116">
        <v>322.39</v>
      </c>
      <c r="E597" s="116">
        <v>325.77</v>
      </c>
      <c r="F597" s="116">
        <v>1662.45</v>
      </c>
      <c r="G597">
        <v>13507</v>
      </c>
      <c r="H597" s="116"/>
      <c r="I597" s="116"/>
      <c r="L597" s="163">
        <v>42881</v>
      </c>
      <c r="M597" s="116">
        <v>332.26</v>
      </c>
      <c r="N597" s="116">
        <v>334.2</v>
      </c>
      <c r="O597" s="116">
        <v>321.42</v>
      </c>
      <c r="P597" s="116">
        <v>323.82</v>
      </c>
      <c r="Q597" s="116">
        <v>1661.3</v>
      </c>
      <c r="R597">
        <v>171025</v>
      </c>
    </row>
    <row r="598" spans="1:18" x14ac:dyDescent="0.25">
      <c r="A598" s="163">
        <v>42884</v>
      </c>
      <c r="B598" s="116">
        <v>336.29</v>
      </c>
      <c r="C598" s="116">
        <v>321.99</v>
      </c>
      <c r="D598" s="116">
        <v>320.88</v>
      </c>
      <c r="E598" s="116">
        <v>334</v>
      </c>
      <c r="F598" s="116">
        <v>1609.95</v>
      </c>
      <c r="G598">
        <v>9997</v>
      </c>
      <c r="H598" s="116"/>
      <c r="I598" s="116"/>
      <c r="L598" s="163">
        <v>42884</v>
      </c>
      <c r="M598" s="116">
        <v>321.77999999999997</v>
      </c>
      <c r="N598" s="116">
        <v>340.52</v>
      </c>
      <c r="O598" s="116">
        <v>320.68</v>
      </c>
      <c r="P598" s="116">
        <v>332.62</v>
      </c>
      <c r="Q598" s="116">
        <v>1608.9</v>
      </c>
      <c r="R598">
        <v>137266</v>
      </c>
    </row>
    <row r="599" spans="1:18" x14ac:dyDescent="0.25">
      <c r="A599" s="163">
        <v>42885</v>
      </c>
      <c r="B599" s="116">
        <v>330.6</v>
      </c>
      <c r="C599" s="116">
        <v>325.95</v>
      </c>
      <c r="D599" s="116">
        <v>318.05</v>
      </c>
      <c r="E599" s="116">
        <v>330.6</v>
      </c>
      <c r="F599" s="116">
        <v>1629.75</v>
      </c>
      <c r="G599">
        <v>167115</v>
      </c>
      <c r="H599" s="116"/>
      <c r="I599" s="116"/>
      <c r="L599" s="163">
        <v>42885</v>
      </c>
      <c r="M599" s="116">
        <v>326.02</v>
      </c>
      <c r="N599" s="116">
        <v>327</v>
      </c>
      <c r="O599" s="116">
        <v>318</v>
      </c>
      <c r="P599" s="116">
        <v>323</v>
      </c>
      <c r="Q599" s="116">
        <v>1630.1</v>
      </c>
      <c r="R599">
        <v>111725</v>
      </c>
    </row>
    <row r="600" spans="1:18" x14ac:dyDescent="0.25">
      <c r="A600" s="163">
        <v>42886</v>
      </c>
      <c r="B600" s="116">
        <v>328.99</v>
      </c>
      <c r="C600" s="116">
        <v>326.32</v>
      </c>
      <c r="D600" s="116">
        <v>323.39999999999998</v>
      </c>
      <c r="E600" s="116">
        <v>328.99</v>
      </c>
      <c r="F600" s="116">
        <v>1631.6</v>
      </c>
      <c r="G600">
        <v>7199</v>
      </c>
      <c r="H600" s="116"/>
      <c r="I600" s="116"/>
      <c r="L600" s="163">
        <v>42886</v>
      </c>
      <c r="M600" s="116">
        <v>326.8</v>
      </c>
      <c r="N600" s="116">
        <v>328.96</v>
      </c>
      <c r="O600" s="116">
        <v>323.2</v>
      </c>
      <c r="P600" s="116">
        <v>326.8</v>
      </c>
      <c r="Q600" s="116">
        <v>1634</v>
      </c>
      <c r="R600">
        <v>72631</v>
      </c>
    </row>
    <row r="601" spans="1:18" x14ac:dyDescent="0.25">
      <c r="A601" s="163">
        <v>42887</v>
      </c>
      <c r="B601" s="116">
        <v>328.49</v>
      </c>
      <c r="C601" s="116">
        <v>325.44</v>
      </c>
      <c r="D601" s="116">
        <v>324.61</v>
      </c>
      <c r="E601" s="116">
        <v>325.5</v>
      </c>
      <c r="F601" s="116">
        <v>1627.2</v>
      </c>
      <c r="G601">
        <v>2657</v>
      </c>
      <c r="H601" s="116"/>
      <c r="I601" s="116"/>
      <c r="L601" s="163">
        <v>42887</v>
      </c>
      <c r="M601" s="116">
        <v>325.54000000000002</v>
      </c>
      <c r="N601" s="116">
        <v>328.42</v>
      </c>
      <c r="O601" s="116">
        <v>324.52999999999997</v>
      </c>
      <c r="P601" s="116">
        <v>327.39999999999998</v>
      </c>
      <c r="Q601" s="116">
        <v>1627.7</v>
      </c>
      <c r="R601">
        <v>64132</v>
      </c>
    </row>
    <row r="602" spans="1:18" x14ac:dyDescent="0.25">
      <c r="A602" s="163">
        <v>42888</v>
      </c>
      <c r="B602" s="116">
        <v>330.2</v>
      </c>
      <c r="C602" s="116">
        <v>329.41</v>
      </c>
      <c r="D602" s="116">
        <v>326</v>
      </c>
      <c r="E602" s="116">
        <v>326.02</v>
      </c>
      <c r="F602" s="116">
        <v>1647.05</v>
      </c>
      <c r="G602">
        <v>5165</v>
      </c>
      <c r="H602" s="116"/>
      <c r="I602" s="116"/>
      <c r="L602" s="163">
        <v>42888</v>
      </c>
      <c r="M602" s="116">
        <v>328.74</v>
      </c>
      <c r="N602" s="116">
        <v>329.6</v>
      </c>
      <c r="O602" s="116">
        <v>325.35000000000002</v>
      </c>
      <c r="P602" s="116">
        <v>329.59</v>
      </c>
      <c r="Q602" s="116">
        <v>1643.7</v>
      </c>
      <c r="R602">
        <v>44597</v>
      </c>
    </row>
    <row r="603" spans="1:18" x14ac:dyDescent="0.25">
      <c r="A603" s="163">
        <v>42891</v>
      </c>
      <c r="B603" s="116">
        <v>333.94</v>
      </c>
      <c r="C603" s="116">
        <v>331.83</v>
      </c>
      <c r="D603" s="116">
        <v>329.37</v>
      </c>
      <c r="E603" s="116">
        <v>331</v>
      </c>
      <c r="F603" s="116">
        <v>1659.15</v>
      </c>
      <c r="G603">
        <v>2888</v>
      </c>
      <c r="H603" s="116"/>
      <c r="I603" s="116"/>
      <c r="L603" s="163">
        <v>42891</v>
      </c>
      <c r="M603" s="116">
        <v>332.23</v>
      </c>
      <c r="N603" s="116">
        <v>334</v>
      </c>
      <c r="O603" s="116">
        <v>329.03</v>
      </c>
      <c r="P603" s="116">
        <v>330.8</v>
      </c>
      <c r="Q603" s="116">
        <v>1661.15</v>
      </c>
      <c r="R603">
        <v>50196</v>
      </c>
    </row>
    <row r="604" spans="1:18" x14ac:dyDescent="0.25">
      <c r="A604" s="163">
        <v>42892</v>
      </c>
      <c r="B604" s="116">
        <v>333.23</v>
      </c>
      <c r="C604" s="116">
        <v>326.07</v>
      </c>
      <c r="D604" s="116">
        <v>324.72000000000003</v>
      </c>
      <c r="E604" s="116">
        <v>333.23</v>
      </c>
      <c r="F604" s="116">
        <v>1630.35</v>
      </c>
      <c r="G604">
        <v>3680</v>
      </c>
      <c r="H604" s="116"/>
      <c r="I604" s="116"/>
      <c r="L604" s="163">
        <v>42892</v>
      </c>
      <c r="M604" s="116">
        <v>325.89999999999998</v>
      </c>
      <c r="N604" s="116">
        <v>334</v>
      </c>
      <c r="O604" s="116">
        <v>324.5</v>
      </c>
      <c r="P604" s="116">
        <v>333</v>
      </c>
      <c r="Q604" s="116">
        <v>1629.5</v>
      </c>
      <c r="R604">
        <v>55530</v>
      </c>
    </row>
    <row r="605" spans="1:18" x14ac:dyDescent="0.25">
      <c r="A605" s="163">
        <v>42893</v>
      </c>
      <c r="B605" s="116">
        <v>329.81</v>
      </c>
      <c r="C605" s="116">
        <v>327.07</v>
      </c>
      <c r="D605" s="116">
        <v>325.01</v>
      </c>
      <c r="E605" s="116">
        <v>325.01</v>
      </c>
      <c r="F605" s="116">
        <v>1635.35</v>
      </c>
      <c r="G605">
        <v>7235</v>
      </c>
      <c r="H605" s="116"/>
      <c r="I605" s="116"/>
      <c r="L605" s="163">
        <v>42893</v>
      </c>
      <c r="M605" s="116">
        <v>328.01</v>
      </c>
      <c r="N605" s="116">
        <v>330</v>
      </c>
      <c r="O605" s="116">
        <v>325</v>
      </c>
      <c r="P605" s="116">
        <v>326</v>
      </c>
      <c r="Q605" s="116">
        <v>1640.05</v>
      </c>
      <c r="R605">
        <v>65961</v>
      </c>
    </row>
    <row r="606" spans="1:18" x14ac:dyDescent="0.25">
      <c r="A606" s="163">
        <v>42894</v>
      </c>
      <c r="B606" s="116">
        <v>339.05</v>
      </c>
      <c r="C606" s="116">
        <v>337.67</v>
      </c>
      <c r="D606" s="116">
        <v>327.20999999999998</v>
      </c>
      <c r="E606" s="116">
        <v>327.20999999999998</v>
      </c>
      <c r="F606" s="116">
        <v>1688.35</v>
      </c>
      <c r="G606">
        <v>9442</v>
      </c>
      <c r="H606" s="116"/>
      <c r="I606" s="116"/>
      <c r="L606" s="163">
        <v>42894</v>
      </c>
      <c r="M606" s="116">
        <v>337.68</v>
      </c>
      <c r="N606" s="116">
        <v>339.47</v>
      </c>
      <c r="O606" s="116">
        <v>327</v>
      </c>
      <c r="P606" s="116">
        <v>328.01</v>
      </c>
      <c r="Q606" s="116">
        <v>1688.4</v>
      </c>
      <c r="R606">
        <v>200372</v>
      </c>
    </row>
    <row r="607" spans="1:18" x14ac:dyDescent="0.25">
      <c r="A607" s="163">
        <v>42895</v>
      </c>
      <c r="B607" s="116">
        <v>339.48</v>
      </c>
      <c r="C607" s="116">
        <v>334.68</v>
      </c>
      <c r="D607" s="116">
        <v>332.4</v>
      </c>
      <c r="E607" s="116">
        <v>339.48</v>
      </c>
      <c r="F607" s="116">
        <v>1673.4</v>
      </c>
      <c r="G607">
        <v>7019</v>
      </c>
      <c r="H607" s="116"/>
      <c r="I607" s="116"/>
      <c r="L607" s="163">
        <v>42895</v>
      </c>
      <c r="M607" s="116">
        <v>334.55</v>
      </c>
      <c r="N607" s="116">
        <v>339.2</v>
      </c>
      <c r="O607" s="116">
        <v>333</v>
      </c>
      <c r="P607" s="116">
        <v>338.1</v>
      </c>
      <c r="Q607" s="116">
        <v>1672.75</v>
      </c>
      <c r="R607">
        <v>64024</v>
      </c>
    </row>
    <row r="608" spans="1:18" x14ac:dyDescent="0.25">
      <c r="A608" s="163">
        <v>42898</v>
      </c>
      <c r="B608" s="116">
        <v>335.76</v>
      </c>
      <c r="C608" s="116">
        <v>327.71</v>
      </c>
      <c r="D608" s="116">
        <v>326.24</v>
      </c>
      <c r="E608" s="116">
        <v>333.4</v>
      </c>
      <c r="F608" s="116">
        <v>1638.55</v>
      </c>
      <c r="G608">
        <v>4959</v>
      </c>
      <c r="H608" s="116"/>
      <c r="I608" s="116"/>
      <c r="L608" s="163">
        <v>42898</v>
      </c>
      <c r="M608" s="116">
        <v>327.19</v>
      </c>
      <c r="N608" s="116">
        <v>336</v>
      </c>
      <c r="O608" s="116">
        <v>326.02</v>
      </c>
      <c r="P608" s="116">
        <v>333</v>
      </c>
      <c r="Q608" s="116">
        <v>1635.95</v>
      </c>
      <c r="R608">
        <v>76992</v>
      </c>
    </row>
    <row r="609" spans="1:18" x14ac:dyDescent="0.25">
      <c r="A609" s="163">
        <v>42899</v>
      </c>
      <c r="B609" s="116">
        <v>333.2</v>
      </c>
      <c r="C609" s="116">
        <v>330.49</v>
      </c>
      <c r="D609" s="116">
        <v>327.60000000000002</v>
      </c>
      <c r="E609" s="116">
        <v>328.4</v>
      </c>
      <c r="F609" s="116">
        <v>1652.45</v>
      </c>
      <c r="G609">
        <v>8959</v>
      </c>
      <c r="H609" s="116"/>
      <c r="I609" s="116"/>
      <c r="L609" s="163">
        <v>42899</v>
      </c>
      <c r="M609" s="116">
        <v>330.59</v>
      </c>
      <c r="N609" s="116">
        <v>333.19</v>
      </c>
      <c r="O609" s="116">
        <v>326.5</v>
      </c>
      <c r="P609" s="116">
        <v>329.19</v>
      </c>
      <c r="Q609" s="116">
        <v>1652.95</v>
      </c>
      <c r="R609">
        <v>125235</v>
      </c>
    </row>
    <row r="610" spans="1:18" x14ac:dyDescent="0.25">
      <c r="A610" s="163">
        <v>42900</v>
      </c>
      <c r="B610" s="116">
        <v>331.86</v>
      </c>
      <c r="C610" s="116">
        <v>326.73</v>
      </c>
      <c r="D610" s="116">
        <v>324.77</v>
      </c>
      <c r="E610" s="116">
        <v>331.86</v>
      </c>
      <c r="F610" s="116">
        <v>1633.65</v>
      </c>
      <c r="G610">
        <v>3038</v>
      </c>
      <c r="H610" s="116"/>
      <c r="I610" s="116"/>
      <c r="L610" s="163">
        <v>42900</v>
      </c>
      <c r="M610" s="116">
        <v>326.36</v>
      </c>
      <c r="N610" s="116">
        <v>332.43</v>
      </c>
      <c r="O610" s="116">
        <v>324.60000000000002</v>
      </c>
      <c r="P610" s="116">
        <v>330.4</v>
      </c>
      <c r="Q610" s="116">
        <v>1631.8</v>
      </c>
      <c r="R610">
        <v>103250</v>
      </c>
    </row>
    <row r="611" spans="1:18" x14ac:dyDescent="0.25">
      <c r="A611" s="163">
        <v>42901</v>
      </c>
      <c r="B611" s="116">
        <v>326.55</v>
      </c>
      <c r="C611" s="116">
        <v>324.45999999999998</v>
      </c>
      <c r="D611" s="116">
        <v>322</v>
      </c>
      <c r="E611" s="116">
        <v>326.52</v>
      </c>
      <c r="F611" s="116">
        <v>1622.3</v>
      </c>
      <c r="G611">
        <v>9608</v>
      </c>
      <c r="H611" s="116"/>
      <c r="I611" s="116"/>
      <c r="L611" s="163">
        <v>42901</v>
      </c>
      <c r="M611" s="116">
        <v>324.64999999999998</v>
      </c>
      <c r="N611" s="116">
        <v>327.04000000000002</v>
      </c>
      <c r="O611" s="116">
        <v>321.48</v>
      </c>
      <c r="P611" s="116">
        <v>326.36</v>
      </c>
      <c r="Q611" s="116">
        <v>1623.25</v>
      </c>
      <c r="R611">
        <v>180013</v>
      </c>
    </row>
    <row r="612" spans="1:18" x14ac:dyDescent="0.25">
      <c r="A612" s="163">
        <v>42902</v>
      </c>
      <c r="B612" s="116">
        <v>330.39</v>
      </c>
      <c r="C612" s="116">
        <v>326.16000000000003</v>
      </c>
      <c r="D612" s="116">
        <v>324.99</v>
      </c>
      <c r="E612" s="116">
        <v>325.27</v>
      </c>
      <c r="F612" s="116">
        <v>1630.8</v>
      </c>
      <c r="G612">
        <v>3740</v>
      </c>
      <c r="H612" s="116"/>
      <c r="I612" s="116"/>
      <c r="L612" s="163">
        <v>42902</v>
      </c>
      <c r="M612" s="116">
        <v>326.35000000000002</v>
      </c>
      <c r="N612" s="116">
        <v>330.65</v>
      </c>
      <c r="O612" s="116">
        <v>324.01</v>
      </c>
      <c r="P612" s="116">
        <v>324.01</v>
      </c>
      <c r="Q612" s="116">
        <v>1631.75</v>
      </c>
      <c r="R612">
        <v>71973</v>
      </c>
    </row>
    <row r="613" spans="1:18" x14ac:dyDescent="0.25">
      <c r="A613" s="163">
        <v>42905</v>
      </c>
      <c r="B613" s="116">
        <v>329.12</v>
      </c>
      <c r="C613" s="116">
        <v>327.01</v>
      </c>
      <c r="D613" s="116">
        <v>325.58</v>
      </c>
      <c r="E613" s="116">
        <v>326.18</v>
      </c>
      <c r="F613" s="116">
        <v>1635.05</v>
      </c>
      <c r="G613">
        <v>2184</v>
      </c>
      <c r="H613" s="116"/>
      <c r="I613" s="116"/>
      <c r="L613" s="163">
        <v>42905</v>
      </c>
      <c r="M613" s="116">
        <v>326.61</v>
      </c>
      <c r="N613" s="116">
        <v>328.35</v>
      </c>
      <c r="O613" s="116">
        <v>325.23</v>
      </c>
      <c r="P613" s="116">
        <v>326.35000000000002</v>
      </c>
      <c r="Q613" s="116">
        <v>1633.05</v>
      </c>
      <c r="R613">
        <v>38103</v>
      </c>
    </row>
    <row r="614" spans="1:18" x14ac:dyDescent="0.25">
      <c r="A614" s="163">
        <v>42906</v>
      </c>
      <c r="B614" s="116">
        <v>329.41</v>
      </c>
      <c r="C614" s="116">
        <v>325.72000000000003</v>
      </c>
      <c r="D614" s="116">
        <v>325.04000000000002</v>
      </c>
      <c r="E614" s="116">
        <v>328.8</v>
      </c>
      <c r="F614" s="116">
        <v>1628.6</v>
      </c>
      <c r="G614">
        <v>3553</v>
      </c>
      <c r="H614" s="116"/>
      <c r="I614" s="116"/>
      <c r="L614" s="163">
        <v>42906</v>
      </c>
      <c r="M614" s="116">
        <v>325.77</v>
      </c>
      <c r="N614" s="116">
        <v>329.92</v>
      </c>
      <c r="O614" s="116">
        <v>324.8</v>
      </c>
      <c r="P614" s="116">
        <v>327.60000000000002</v>
      </c>
      <c r="Q614" s="116">
        <v>1628.85</v>
      </c>
      <c r="R614">
        <v>57787</v>
      </c>
    </row>
    <row r="615" spans="1:18" x14ac:dyDescent="0.25">
      <c r="A615" s="163">
        <v>42907</v>
      </c>
      <c r="B615" s="116">
        <v>329.46</v>
      </c>
      <c r="C615" s="116">
        <v>326.5</v>
      </c>
      <c r="D615" s="116">
        <v>323.66000000000003</v>
      </c>
      <c r="E615" s="116">
        <v>325</v>
      </c>
      <c r="F615" s="116">
        <v>1632.5</v>
      </c>
      <c r="G615">
        <v>3276</v>
      </c>
      <c r="H615" s="116"/>
      <c r="I615" s="116"/>
      <c r="L615" s="163">
        <v>42907</v>
      </c>
      <c r="M615" s="116">
        <v>326.54000000000002</v>
      </c>
      <c r="N615" s="116">
        <v>329.6</v>
      </c>
      <c r="O615" s="116">
        <v>323.60000000000002</v>
      </c>
      <c r="P615" s="116">
        <v>323.60000000000002</v>
      </c>
      <c r="Q615" s="116">
        <v>1632.7</v>
      </c>
      <c r="R615">
        <v>83515</v>
      </c>
    </row>
    <row r="616" spans="1:18" x14ac:dyDescent="0.25">
      <c r="A616" s="163">
        <v>42908</v>
      </c>
      <c r="B616" s="116">
        <v>328.79</v>
      </c>
      <c r="C616" s="116">
        <v>324.55</v>
      </c>
      <c r="D616" s="116">
        <v>324.11</v>
      </c>
      <c r="E616" s="116">
        <v>326.87</v>
      </c>
      <c r="F616" s="116">
        <v>1622.75</v>
      </c>
      <c r="G616">
        <v>2940</v>
      </c>
      <c r="H616" s="116"/>
      <c r="I616" s="116"/>
      <c r="L616" s="163">
        <v>42908</v>
      </c>
      <c r="M616" s="116">
        <v>325.08999999999997</v>
      </c>
      <c r="N616" s="116">
        <v>329.2</v>
      </c>
      <c r="O616" s="116">
        <v>324</v>
      </c>
      <c r="P616" s="116">
        <v>326.54000000000002</v>
      </c>
      <c r="Q616" s="116">
        <v>1625.45</v>
      </c>
      <c r="R616">
        <v>76192</v>
      </c>
    </row>
    <row r="617" spans="1:18" x14ac:dyDescent="0.25">
      <c r="A617" s="163">
        <v>42909</v>
      </c>
      <c r="B617" s="116">
        <v>326</v>
      </c>
      <c r="C617" s="116">
        <v>317.93</v>
      </c>
      <c r="D617" s="116">
        <v>314.5</v>
      </c>
      <c r="E617" s="116">
        <v>325.27</v>
      </c>
      <c r="F617" s="116">
        <v>1589.65</v>
      </c>
      <c r="G617">
        <v>7560</v>
      </c>
      <c r="H617" s="116"/>
      <c r="I617" s="116"/>
      <c r="L617" s="163">
        <v>42909</v>
      </c>
      <c r="M617" s="116">
        <v>318.33</v>
      </c>
      <c r="N617" s="116">
        <v>326.38</v>
      </c>
      <c r="O617" s="116">
        <v>314</v>
      </c>
      <c r="P617" s="116">
        <v>325.60000000000002</v>
      </c>
      <c r="Q617" s="116">
        <v>1591.65</v>
      </c>
      <c r="R617">
        <v>133679</v>
      </c>
    </row>
    <row r="618" spans="1:18" x14ac:dyDescent="0.25">
      <c r="A618" s="163">
        <v>42913</v>
      </c>
      <c r="B618" s="116">
        <v>318.8</v>
      </c>
      <c r="C618" s="116">
        <v>307.31</v>
      </c>
      <c r="D618" s="116">
        <v>306</v>
      </c>
      <c r="E618" s="116">
        <v>318.8</v>
      </c>
      <c r="F618" s="116">
        <v>1536.55</v>
      </c>
      <c r="G618">
        <v>11910</v>
      </c>
      <c r="H618" s="116"/>
      <c r="I618" s="116"/>
      <c r="L618" s="163">
        <v>42913</v>
      </c>
      <c r="M618" s="116">
        <v>307.49</v>
      </c>
      <c r="N618" s="116">
        <v>319.39999999999998</v>
      </c>
      <c r="O618" s="116">
        <v>306.7</v>
      </c>
      <c r="P618" s="116">
        <v>318.99</v>
      </c>
      <c r="Q618" s="116">
        <v>1537.45</v>
      </c>
      <c r="R618">
        <v>130375</v>
      </c>
    </row>
    <row r="619" spans="1:18" x14ac:dyDescent="0.25">
      <c r="A619" s="163">
        <v>42914</v>
      </c>
      <c r="B619" s="116">
        <v>308.99</v>
      </c>
      <c r="C619" s="116">
        <v>303.33</v>
      </c>
      <c r="D619" s="116">
        <v>301.05</v>
      </c>
      <c r="E619" s="116">
        <v>306.01</v>
      </c>
      <c r="F619" s="116">
        <v>1516.65</v>
      </c>
      <c r="G619">
        <v>9361</v>
      </c>
      <c r="H619" s="116"/>
      <c r="I619" s="116"/>
      <c r="L619" s="163">
        <v>42914</v>
      </c>
      <c r="M619" s="116">
        <v>302.99</v>
      </c>
      <c r="N619" s="116">
        <v>309</v>
      </c>
      <c r="O619" s="116">
        <v>300.62</v>
      </c>
      <c r="P619" s="116">
        <v>307.2</v>
      </c>
      <c r="Q619" s="116">
        <v>1514.95</v>
      </c>
      <c r="R619">
        <v>88181</v>
      </c>
    </row>
    <row r="620" spans="1:18" x14ac:dyDescent="0.25">
      <c r="A620" s="163">
        <v>42915</v>
      </c>
      <c r="B620" s="116">
        <v>309.54000000000002</v>
      </c>
      <c r="C620" s="116">
        <v>306</v>
      </c>
      <c r="D620" s="116">
        <v>303</v>
      </c>
      <c r="E620" s="116">
        <v>305.02</v>
      </c>
      <c r="F620" s="116">
        <v>1530</v>
      </c>
      <c r="G620">
        <v>4892</v>
      </c>
      <c r="H620" s="116"/>
      <c r="I620" s="116"/>
      <c r="L620" s="163">
        <v>42915</v>
      </c>
      <c r="M620" s="116">
        <v>306.83</v>
      </c>
      <c r="N620" s="116">
        <v>309.49</v>
      </c>
      <c r="O620" s="116">
        <v>302.99</v>
      </c>
      <c r="P620" s="116">
        <v>302.99</v>
      </c>
      <c r="Q620" s="116">
        <v>1534.15</v>
      </c>
      <c r="R620">
        <v>110429</v>
      </c>
    </row>
    <row r="621" spans="1:18" x14ac:dyDescent="0.25">
      <c r="A621" s="163">
        <v>42916</v>
      </c>
      <c r="B621" s="116">
        <v>310.77999999999997</v>
      </c>
      <c r="C621" s="116">
        <v>307.70999999999998</v>
      </c>
      <c r="D621" s="116">
        <v>303</v>
      </c>
      <c r="E621" s="116">
        <v>303</v>
      </c>
      <c r="F621" s="116">
        <v>1538.55</v>
      </c>
      <c r="G621">
        <v>10213</v>
      </c>
      <c r="H621" s="116"/>
      <c r="I621" s="116"/>
      <c r="L621" s="163">
        <v>42916</v>
      </c>
      <c r="M621" s="116">
        <v>308.13</v>
      </c>
      <c r="N621" s="116">
        <v>310</v>
      </c>
      <c r="O621" s="116">
        <v>302.49</v>
      </c>
      <c r="P621" s="116">
        <v>305.8</v>
      </c>
      <c r="Q621" s="116">
        <v>1540.65</v>
      </c>
      <c r="R621">
        <v>100410</v>
      </c>
    </row>
    <row r="622" spans="1:18" x14ac:dyDescent="0.25">
      <c r="A622" s="163">
        <v>42919</v>
      </c>
      <c r="B622" s="116">
        <v>318.98</v>
      </c>
      <c r="C622" s="116">
        <v>315.29000000000002</v>
      </c>
      <c r="D622" s="116">
        <v>308.62</v>
      </c>
      <c r="E622" s="116">
        <v>308.62</v>
      </c>
      <c r="F622" s="116">
        <v>1576.45</v>
      </c>
      <c r="G622">
        <v>6254</v>
      </c>
      <c r="H622" s="116"/>
      <c r="I622" s="116"/>
      <c r="L622" s="163">
        <v>42919</v>
      </c>
      <c r="M622" s="116">
        <v>316.04000000000002</v>
      </c>
      <c r="N622" s="116">
        <v>317.42</v>
      </c>
      <c r="O622" s="116">
        <v>308.33</v>
      </c>
      <c r="P622" s="116">
        <v>308.33</v>
      </c>
      <c r="Q622" s="116">
        <v>1580.2</v>
      </c>
      <c r="R622">
        <v>148706</v>
      </c>
    </row>
    <row r="623" spans="1:18" x14ac:dyDescent="0.25">
      <c r="A623" s="163">
        <v>42920</v>
      </c>
      <c r="B623" s="116">
        <v>317</v>
      </c>
      <c r="C623" s="116">
        <v>311.3</v>
      </c>
      <c r="D623" s="116">
        <v>309.61</v>
      </c>
      <c r="E623" s="116">
        <v>315.3</v>
      </c>
      <c r="F623" s="116">
        <v>1556.5</v>
      </c>
      <c r="G623">
        <v>2907</v>
      </c>
      <c r="H623" s="116"/>
      <c r="I623" s="116"/>
      <c r="L623" s="163">
        <v>42920</v>
      </c>
      <c r="M623" s="116">
        <v>310.49</v>
      </c>
      <c r="N623" s="116">
        <v>316.8</v>
      </c>
      <c r="O623" s="116">
        <v>309.27999999999997</v>
      </c>
      <c r="P623" s="116">
        <v>315.99</v>
      </c>
      <c r="Q623" s="116">
        <v>1552.45</v>
      </c>
      <c r="R623">
        <v>75844</v>
      </c>
    </row>
    <row r="624" spans="1:18" x14ac:dyDescent="0.25">
      <c r="A624" s="163">
        <v>42921</v>
      </c>
      <c r="B624" s="116">
        <v>314.22000000000003</v>
      </c>
      <c r="C624" s="116">
        <v>312.52999999999997</v>
      </c>
      <c r="D624" s="116">
        <v>308.36</v>
      </c>
      <c r="E624" s="116">
        <v>310.3</v>
      </c>
      <c r="F624" s="116">
        <v>1562.65</v>
      </c>
      <c r="G624">
        <v>7322</v>
      </c>
      <c r="H624" s="116"/>
      <c r="I624" s="116"/>
      <c r="L624" s="163">
        <v>42921</v>
      </c>
      <c r="M624" s="116">
        <v>312.98</v>
      </c>
      <c r="N624" s="116">
        <v>314.63</v>
      </c>
      <c r="O624" s="116">
        <v>308.60000000000002</v>
      </c>
      <c r="P624" s="116">
        <v>309.98</v>
      </c>
      <c r="Q624" s="116">
        <v>1564.9</v>
      </c>
      <c r="R624">
        <v>104974</v>
      </c>
    </row>
    <row r="625" spans="1:18" x14ac:dyDescent="0.25">
      <c r="A625" s="163">
        <v>42922</v>
      </c>
      <c r="B625" s="116">
        <v>314</v>
      </c>
      <c r="C625" s="116">
        <v>306.87</v>
      </c>
      <c r="D625" s="116">
        <v>303.48</v>
      </c>
      <c r="E625" s="116">
        <v>312.41000000000003</v>
      </c>
      <c r="F625" s="116">
        <v>1534.35</v>
      </c>
      <c r="G625">
        <v>7536</v>
      </c>
      <c r="H625" s="116"/>
      <c r="I625" s="116"/>
      <c r="L625" s="163">
        <v>42922</v>
      </c>
      <c r="M625" s="116">
        <v>307.85000000000002</v>
      </c>
      <c r="N625" s="116">
        <v>314</v>
      </c>
      <c r="O625" s="116">
        <v>304.37</v>
      </c>
      <c r="P625" s="116">
        <v>312.98</v>
      </c>
      <c r="Q625" s="116">
        <v>1539.25</v>
      </c>
      <c r="R625">
        <v>131482</v>
      </c>
    </row>
    <row r="626" spans="1:18" x14ac:dyDescent="0.25">
      <c r="A626" s="163">
        <v>42923</v>
      </c>
      <c r="B626" s="116">
        <v>308.8</v>
      </c>
      <c r="C626" s="116">
        <v>307.13</v>
      </c>
      <c r="D626" s="116">
        <v>303.19</v>
      </c>
      <c r="E626" s="116">
        <v>306</v>
      </c>
      <c r="F626" s="116">
        <v>1535.65</v>
      </c>
      <c r="G626">
        <v>12893</v>
      </c>
      <c r="H626" s="116"/>
      <c r="I626" s="116"/>
      <c r="L626" s="163">
        <v>42923</v>
      </c>
      <c r="M626" s="116">
        <v>306.83999999999997</v>
      </c>
      <c r="N626" s="116">
        <v>308.98</v>
      </c>
      <c r="O626" s="116">
        <v>302.51</v>
      </c>
      <c r="P626" s="116">
        <v>306.98</v>
      </c>
      <c r="Q626" s="116">
        <v>1534.2</v>
      </c>
      <c r="R626">
        <v>84575</v>
      </c>
    </row>
    <row r="627" spans="1:18" x14ac:dyDescent="0.25">
      <c r="A627" s="163">
        <v>42926</v>
      </c>
      <c r="B627" s="116">
        <v>310.10000000000002</v>
      </c>
      <c r="C627" s="116">
        <v>309.20999999999998</v>
      </c>
      <c r="D627" s="116">
        <v>304.8</v>
      </c>
      <c r="E627" s="116">
        <v>307.7</v>
      </c>
      <c r="F627" s="116">
        <v>1546.05</v>
      </c>
      <c r="G627">
        <v>13338</v>
      </c>
      <c r="H627" s="116"/>
      <c r="I627" s="116"/>
      <c r="L627" s="163">
        <v>42926</v>
      </c>
      <c r="M627" s="116">
        <v>309.37</v>
      </c>
      <c r="N627" s="116">
        <v>310.58999999999997</v>
      </c>
      <c r="O627" s="116">
        <v>304.32</v>
      </c>
      <c r="P627" s="116">
        <v>307.2</v>
      </c>
      <c r="Q627" s="116">
        <v>1546.85</v>
      </c>
      <c r="R627">
        <v>28867</v>
      </c>
    </row>
    <row r="628" spans="1:18" x14ac:dyDescent="0.25">
      <c r="A628" s="163">
        <v>42927</v>
      </c>
      <c r="B628" s="116">
        <v>314.2</v>
      </c>
      <c r="C628" s="116">
        <v>310.47000000000003</v>
      </c>
      <c r="D628" s="116">
        <v>308.45999999999998</v>
      </c>
      <c r="E628" s="116">
        <v>308.68</v>
      </c>
      <c r="F628" s="116">
        <v>1552.35</v>
      </c>
      <c r="G628">
        <v>10213</v>
      </c>
      <c r="H628" s="116"/>
      <c r="I628" s="116"/>
      <c r="L628" s="163">
        <v>42927</v>
      </c>
      <c r="M628" s="116">
        <v>310.82</v>
      </c>
      <c r="N628" s="116">
        <v>314.39999999999998</v>
      </c>
      <c r="O628" s="116">
        <v>308.48</v>
      </c>
      <c r="P628" s="116">
        <v>310</v>
      </c>
      <c r="Q628" s="116">
        <v>1554.1</v>
      </c>
      <c r="R628">
        <v>160770</v>
      </c>
    </row>
    <row r="629" spans="1:18" x14ac:dyDescent="0.25">
      <c r="A629" s="163">
        <v>42928</v>
      </c>
      <c r="B629" s="116">
        <v>313</v>
      </c>
      <c r="C629" s="116">
        <v>312.08999999999997</v>
      </c>
      <c r="D629" s="116">
        <v>310.14</v>
      </c>
      <c r="E629" s="116">
        <v>310.62</v>
      </c>
      <c r="F629" s="116">
        <v>1560.45</v>
      </c>
      <c r="G629">
        <v>5522</v>
      </c>
      <c r="H629" s="116"/>
      <c r="I629" s="116"/>
      <c r="L629" s="163">
        <v>42928</v>
      </c>
      <c r="M629" s="116">
        <v>311.25</v>
      </c>
      <c r="N629" s="116">
        <v>313.36</v>
      </c>
      <c r="O629" s="116">
        <v>309.8</v>
      </c>
      <c r="P629" s="116">
        <v>312.39</v>
      </c>
      <c r="Q629" s="116">
        <v>1556.25</v>
      </c>
      <c r="R629">
        <v>54779</v>
      </c>
    </row>
    <row r="630" spans="1:18" x14ac:dyDescent="0.25">
      <c r="A630" s="163">
        <v>42929</v>
      </c>
      <c r="B630" s="116">
        <v>315.18</v>
      </c>
      <c r="C630" s="116">
        <v>312.10000000000002</v>
      </c>
      <c r="D630" s="116">
        <v>310.27</v>
      </c>
      <c r="E630" s="116">
        <v>311.99</v>
      </c>
      <c r="F630" s="116">
        <v>1560.5</v>
      </c>
      <c r="G630">
        <v>6441</v>
      </c>
      <c r="H630" s="116"/>
      <c r="I630" s="116"/>
      <c r="L630" s="163">
        <v>42929</v>
      </c>
      <c r="M630" s="116">
        <v>311.57</v>
      </c>
      <c r="N630" s="116">
        <v>315.26</v>
      </c>
      <c r="O630" s="116">
        <v>310.32</v>
      </c>
      <c r="P630" s="116">
        <v>312.10000000000002</v>
      </c>
      <c r="Q630" s="116">
        <v>1557.85</v>
      </c>
      <c r="R630">
        <v>138096</v>
      </c>
    </row>
    <row r="631" spans="1:18" x14ac:dyDescent="0.25">
      <c r="A631" s="163">
        <v>42930</v>
      </c>
      <c r="B631" s="116">
        <v>314</v>
      </c>
      <c r="C631" s="116">
        <v>310.42</v>
      </c>
      <c r="D631" s="116">
        <v>309.31</v>
      </c>
      <c r="E631" s="116">
        <v>311.10000000000002</v>
      </c>
      <c r="F631" s="116">
        <v>1552.1</v>
      </c>
      <c r="G631">
        <v>4229</v>
      </c>
      <c r="H631" s="116"/>
      <c r="I631" s="116"/>
      <c r="L631" s="163">
        <v>42930</v>
      </c>
      <c r="M631" s="116">
        <v>310.20999999999998</v>
      </c>
      <c r="N631" s="116">
        <v>313.85000000000002</v>
      </c>
      <c r="O631" s="116">
        <v>309.2</v>
      </c>
      <c r="P631" s="116">
        <v>311.60000000000002</v>
      </c>
      <c r="Q631" s="116">
        <v>1551.05</v>
      </c>
      <c r="R631">
        <v>70592</v>
      </c>
    </row>
    <row r="632" spans="1:18" x14ac:dyDescent="0.25">
      <c r="A632" s="163">
        <v>42933</v>
      </c>
      <c r="B632" s="116">
        <v>311.77</v>
      </c>
      <c r="C632" s="116">
        <v>308.95999999999998</v>
      </c>
      <c r="D632" s="116">
        <v>306.52</v>
      </c>
      <c r="E632" s="116">
        <v>311</v>
      </c>
      <c r="F632" s="116">
        <v>1544.8</v>
      </c>
      <c r="G632">
        <v>4023</v>
      </c>
      <c r="H632" s="116"/>
      <c r="I632" s="116"/>
      <c r="L632" s="163">
        <v>42933</v>
      </c>
      <c r="M632" s="116">
        <v>308.23</v>
      </c>
      <c r="N632" s="116">
        <v>312.39</v>
      </c>
      <c r="O632" s="116">
        <v>306.44</v>
      </c>
      <c r="P632" s="116">
        <v>310.8</v>
      </c>
      <c r="Q632" s="116">
        <v>1541.15</v>
      </c>
      <c r="R632">
        <v>59748</v>
      </c>
    </row>
    <row r="633" spans="1:18" x14ac:dyDescent="0.25">
      <c r="A633" s="163">
        <v>42934</v>
      </c>
      <c r="B633" s="116">
        <v>308.22000000000003</v>
      </c>
      <c r="C633" s="116">
        <v>305.06</v>
      </c>
      <c r="D633" s="116">
        <v>302.39999999999998</v>
      </c>
      <c r="E633" s="116">
        <v>307.13</v>
      </c>
      <c r="F633" s="116">
        <v>1525.3</v>
      </c>
      <c r="G633">
        <v>5973</v>
      </c>
      <c r="H633" s="116"/>
      <c r="I633" s="116"/>
      <c r="L633" s="163">
        <v>42934</v>
      </c>
      <c r="M633" s="116">
        <v>304.54000000000002</v>
      </c>
      <c r="N633" s="116">
        <v>309</v>
      </c>
      <c r="O633" s="116">
        <v>302.06</v>
      </c>
      <c r="P633" s="116">
        <v>308.23</v>
      </c>
      <c r="Q633" s="116">
        <v>1522.7</v>
      </c>
      <c r="R633">
        <v>106028</v>
      </c>
    </row>
    <row r="634" spans="1:18" x14ac:dyDescent="0.25">
      <c r="A634" s="163">
        <v>42935</v>
      </c>
      <c r="B634" s="116">
        <v>307</v>
      </c>
      <c r="C634" s="116">
        <v>305.95999999999998</v>
      </c>
      <c r="D634" s="116">
        <v>301.8</v>
      </c>
      <c r="E634" s="116">
        <v>301.8</v>
      </c>
      <c r="F634" s="116">
        <v>1529.8</v>
      </c>
      <c r="G634">
        <v>6578</v>
      </c>
      <c r="H634" s="116"/>
      <c r="I634" s="116"/>
      <c r="L634" s="163">
        <v>42935</v>
      </c>
      <c r="M634" s="116">
        <v>305.62</v>
      </c>
      <c r="N634" s="116">
        <v>307</v>
      </c>
      <c r="O634" s="116">
        <v>301.05</v>
      </c>
      <c r="P634" s="116">
        <v>306.77</v>
      </c>
      <c r="Q634" s="116">
        <v>1528.1</v>
      </c>
      <c r="R634">
        <v>111001</v>
      </c>
    </row>
    <row r="635" spans="1:18" x14ac:dyDescent="0.25">
      <c r="A635" s="163">
        <v>42936</v>
      </c>
      <c r="B635" s="116">
        <v>306.39</v>
      </c>
      <c r="C635" s="116">
        <v>303</v>
      </c>
      <c r="D635" s="116">
        <v>301.89999999999998</v>
      </c>
      <c r="E635" s="116">
        <v>306.27999999999997</v>
      </c>
      <c r="F635" s="116">
        <v>1515</v>
      </c>
      <c r="G635">
        <v>5305</v>
      </c>
      <c r="H635" s="116"/>
      <c r="I635" s="116"/>
      <c r="L635" s="163">
        <v>42936</v>
      </c>
      <c r="M635" s="116">
        <v>300.45999999999998</v>
      </c>
      <c r="N635" s="116">
        <v>307.39999999999998</v>
      </c>
      <c r="O635" s="116">
        <v>300</v>
      </c>
      <c r="P635" s="116">
        <v>307.39999999999998</v>
      </c>
      <c r="Q635" s="116">
        <v>1502.3</v>
      </c>
      <c r="R635">
        <v>412853</v>
      </c>
    </row>
    <row r="636" spans="1:18" x14ac:dyDescent="0.25">
      <c r="A636" s="163">
        <v>42937</v>
      </c>
      <c r="B636" s="116">
        <v>305</v>
      </c>
      <c r="C636" s="116">
        <v>302.32</v>
      </c>
      <c r="D636" s="116">
        <v>299.39999999999998</v>
      </c>
      <c r="E636" s="116">
        <v>302.2</v>
      </c>
      <c r="F636" s="116">
        <v>1511.6</v>
      </c>
      <c r="G636">
        <v>7355</v>
      </c>
      <c r="H636" s="116"/>
      <c r="I636" s="116"/>
      <c r="L636" s="163">
        <v>42937</v>
      </c>
      <c r="M636" s="116">
        <v>302.31</v>
      </c>
      <c r="N636" s="116">
        <v>304.60000000000002</v>
      </c>
      <c r="O636" s="116">
        <v>299</v>
      </c>
      <c r="P636" s="116">
        <v>301.89999999999998</v>
      </c>
      <c r="Q636" s="116">
        <v>1511.55</v>
      </c>
      <c r="R636">
        <v>100427</v>
      </c>
    </row>
    <row r="637" spans="1:18" x14ac:dyDescent="0.25">
      <c r="A637" s="163">
        <v>42940</v>
      </c>
      <c r="B637" s="116">
        <v>304.3</v>
      </c>
      <c r="C637" s="116">
        <v>300.25</v>
      </c>
      <c r="D637" s="116">
        <v>300</v>
      </c>
      <c r="E637" s="116">
        <v>303.36</v>
      </c>
      <c r="F637" s="116">
        <v>1501.25</v>
      </c>
      <c r="G637">
        <v>258187</v>
      </c>
      <c r="H637" s="116"/>
      <c r="I637" s="116"/>
      <c r="L637" s="163">
        <v>42940</v>
      </c>
      <c r="M637" s="116">
        <v>300.18</v>
      </c>
      <c r="N637" s="116">
        <v>304.7</v>
      </c>
      <c r="O637" s="116">
        <v>300</v>
      </c>
      <c r="P637" s="116">
        <v>302.60000000000002</v>
      </c>
      <c r="Q637" s="116">
        <v>1500.9</v>
      </c>
      <c r="R637">
        <v>247914</v>
      </c>
    </row>
    <row r="638" spans="1:18" x14ac:dyDescent="0.25">
      <c r="A638" s="163">
        <v>42941</v>
      </c>
      <c r="B638" s="116">
        <v>305.02999999999997</v>
      </c>
      <c r="C638" s="116">
        <v>303.61</v>
      </c>
      <c r="D638" s="116">
        <v>299.60000000000002</v>
      </c>
      <c r="E638" s="116">
        <v>300.54000000000002</v>
      </c>
      <c r="F638" s="116">
        <v>1518.05</v>
      </c>
      <c r="G638">
        <v>7905</v>
      </c>
      <c r="H638" s="116"/>
      <c r="I638" s="116"/>
      <c r="L638" s="163">
        <v>42941</v>
      </c>
      <c r="M638" s="116">
        <v>303.25</v>
      </c>
      <c r="N638" s="116">
        <v>304.77</v>
      </c>
      <c r="O638" s="116">
        <v>299.14</v>
      </c>
      <c r="P638" s="116">
        <v>301.45</v>
      </c>
      <c r="Q638" s="116">
        <v>1516.25</v>
      </c>
      <c r="R638">
        <v>116610</v>
      </c>
    </row>
    <row r="639" spans="1:18" x14ac:dyDescent="0.25">
      <c r="A639" s="163">
        <v>42942</v>
      </c>
      <c r="B639" s="116">
        <v>313.97000000000003</v>
      </c>
      <c r="C639" s="116">
        <v>312.36</v>
      </c>
      <c r="D639" s="116">
        <v>302.67</v>
      </c>
      <c r="E639" s="116">
        <v>303.61</v>
      </c>
      <c r="F639" s="116">
        <v>1561.8</v>
      </c>
      <c r="G639">
        <v>19766</v>
      </c>
      <c r="H639" s="116"/>
      <c r="I639" s="116"/>
      <c r="L639" s="163">
        <v>42942</v>
      </c>
      <c r="M639" s="116">
        <v>311.7</v>
      </c>
      <c r="N639" s="116">
        <v>313</v>
      </c>
      <c r="O639" s="116">
        <v>302.60000000000002</v>
      </c>
      <c r="P639" s="116">
        <v>305.8</v>
      </c>
      <c r="Q639" s="116">
        <v>1558.5</v>
      </c>
      <c r="R639">
        <v>212059</v>
      </c>
    </row>
    <row r="640" spans="1:18" x14ac:dyDescent="0.25">
      <c r="A640" s="163">
        <v>42943</v>
      </c>
      <c r="B640" s="116">
        <v>314.11</v>
      </c>
      <c r="C640" s="116">
        <v>309.08</v>
      </c>
      <c r="D640" s="116">
        <v>307.99</v>
      </c>
      <c r="E640" s="116">
        <v>313.3</v>
      </c>
      <c r="F640" s="116">
        <v>1545.4</v>
      </c>
      <c r="G640">
        <v>11510</v>
      </c>
      <c r="H640" s="116"/>
      <c r="I640" s="116"/>
      <c r="L640" s="163">
        <v>42943</v>
      </c>
      <c r="M640" s="116">
        <v>309.35000000000002</v>
      </c>
      <c r="N640" s="116">
        <v>314.8</v>
      </c>
      <c r="O640" s="116">
        <v>307.2</v>
      </c>
      <c r="P640" s="116">
        <v>313</v>
      </c>
      <c r="Q640" s="116">
        <v>1546.75</v>
      </c>
      <c r="R640">
        <v>236031</v>
      </c>
    </row>
    <row r="641" spans="1:18" x14ac:dyDescent="0.25">
      <c r="A641" s="163">
        <v>42944</v>
      </c>
      <c r="B641" s="116">
        <v>316.60000000000002</v>
      </c>
      <c r="C641" s="116">
        <v>309.72000000000003</v>
      </c>
      <c r="D641" s="116">
        <v>304.51</v>
      </c>
      <c r="E641" s="116">
        <v>307.41000000000003</v>
      </c>
      <c r="F641" s="116">
        <v>1548.6</v>
      </c>
      <c r="G641">
        <v>3223</v>
      </c>
      <c r="H641" s="116"/>
      <c r="I641" s="116"/>
      <c r="L641" s="163">
        <v>42944</v>
      </c>
      <c r="M641" s="116">
        <v>308.12</v>
      </c>
      <c r="N641" s="116">
        <v>309.81</v>
      </c>
      <c r="O641" s="116">
        <v>304.42</v>
      </c>
      <c r="P641" s="116">
        <v>308.41000000000003</v>
      </c>
      <c r="Q641" s="116">
        <v>1540.6</v>
      </c>
      <c r="R641">
        <v>67652</v>
      </c>
    </row>
    <row r="642" spans="1:18" x14ac:dyDescent="0.25">
      <c r="A642" s="163">
        <v>42947</v>
      </c>
      <c r="B642" s="116">
        <v>311</v>
      </c>
      <c r="C642" s="116">
        <v>304.48</v>
      </c>
      <c r="D642" s="116">
        <v>302</v>
      </c>
      <c r="E642" s="116">
        <v>307.64999999999998</v>
      </c>
      <c r="F642" s="116">
        <v>1522.4</v>
      </c>
      <c r="G642">
        <v>5218</v>
      </c>
      <c r="H642" s="116"/>
      <c r="I642" s="116"/>
      <c r="L642" s="163">
        <v>42947</v>
      </c>
      <c r="M642" s="116">
        <v>303.75</v>
      </c>
      <c r="N642" s="116">
        <v>311.39999999999998</v>
      </c>
      <c r="O642" s="116">
        <v>301.8</v>
      </c>
      <c r="P642" s="116">
        <v>308.94</v>
      </c>
      <c r="Q642" s="116">
        <v>1518.75</v>
      </c>
      <c r="R642">
        <v>175486</v>
      </c>
    </row>
    <row r="643" spans="1:18" x14ac:dyDescent="0.25">
      <c r="A643" s="163">
        <v>42948</v>
      </c>
      <c r="B643" s="116">
        <v>307.39</v>
      </c>
      <c r="C643" s="116">
        <v>303.33999999999997</v>
      </c>
      <c r="D643" s="116">
        <v>302.18</v>
      </c>
      <c r="E643" s="116">
        <v>303.74</v>
      </c>
      <c r="F643" s="116">
        <v>1516.7</v>
      </c>
      <c r="G643">
        <v>7277</v>
      </c>
      <c r="H643" s="116"/>
      <c r="I643" s="116"/>
      <c r="L643" s="163">
        <v>42948</v>
      </c>
      <c r="M643" s="116">
        <v>302.72000000000003</v>
      </c>
      <c r="N643" s="116">
        <v>307.2</v>
      </c>
      <c r="O643" s="116">
        <v>301.81</v>
      </c>
      <c r="P643" s="116">
        <v>305.77999999999997</v>
      </c>
      <c r="Q643" s="116">
        <v>1513.6</v>
      </c>
      <c r="R643">
        <v>167510</v>
      </c>
    </row>
    <row r="644" spans="1:18" x14ac:dyDescent="0.25">
      <c r="A644" s="163">
        <v>42949</v>
      </c>
      <c r="B644" s="116">
        <v>311.69</v>
      </c>
      <c r="C644" s="116">
        <v>307.13</v>
      </c>
      <c r="D644" s="116">
        <v>302.60000000000002</v>
      </c>
      <c r="E644" s="116">
        <v>307</v>
      </c>
      <c r="F644" s="116">
        <v>1535.65</v>
      </c>
      <c r="G644">
        <v>6530</v>
      </c>
      <c r="H644" s="116"/>
      <c r="I644" s="116"/>
      <c r="L644" s="163">
        <v>42949</v>
      </c>
      <c r="M644" s="116">
        <v>307.27999999999997</v>
      </c>
      <c r="N644" s="116">
        <v>311.8</v>
      </c>
      <c r="O644" s="116">
        <v>302.38</v>
      </c>
      <c r="P644" s="116">
        <v>302.94</v>
      </c>
      <c r="Q644" s="116">
        <v>1536.4</v>
      </c>
      <c r="R644">
        <v>267459</v>
      </c>
    </row>
    <row r="645" spans="1:18" x14ac:dyDescent="0.25">
      <c r="A645" s="163">
        <v>42950</v>
      </c>
      <c r="B645" s="116">
        <v>308.77999999999997</v>
      </c>
      <c r="C645" s="116">
        <v>302.25</v>
      </c>
      <c r="D645" s="116">
        <v>297.86</v>
      </c>
      <c r="E645" s="116">
        <v>307.51</v>
      </c>
      <c r="F645" s="116">
        <v>1511.25</v>
      </c>
      <c r="G645">
        <v>8570</v>
      </c>
      <c r="H645" s="116"/>
      <c r="I645" s="116"/>
      <c r="L645" s="163">
        <v>42950</v>
      </c>
      <c r="M645" s="116">
        <v>301.56</v>
      </c>
      <c r="N645" s="116">
        <v>308.69</v>
      </c>
      <c r="O645" s="116">
        <v>299.35000000000002</v>
      </c>
      <c r="P645" s="116">
        <v>307.33999999999997</v>
      </c>
      <c r="Q645" s="116">
        <v>1507.8</v>
      </c>
      <c r="R645">
        <v>166415</v>
      </c>
    </row>
    <row r="646" spans="1:18" x14ac:dyDescent="0.25">
      <c r="A646" s="163">
        <v>42951</v>
      </c>
      <c r="B646" s="116">
        <v>305.39999999999998</v>
      </c>
      <c r="C646" s="116">
        <v>303.66000000000003</v>
      </c>
      <c r="D646" s="116">
        <v>299.58</v>
      </c>
      <c r="E646" s="116">
        <v>305</v>
      </c>
      <c r="F646" s="116">
        <v>1518.3</v>
      </c>
      <c r="G646">
        <v>2868</v>
      </c>
      <c r="H646" s="116"/>
      <c r="I646" s="116"/>
      <c r="L646" s="163">
        <v>42951</v>
      </c>
      <c r="M646" s="116">
        <v>303.20999999999998</v>
      </c>
      <c r="N646" s="116">
        <v>305.16000000000003</v>
      </c>
      <c r="O646" s="116">
        <v>299.51</v>
      </c>
      <c r="P646" s="116">
        <v>300.39999999999998</v>
      </c>
      <c r="Q646" s="116">
        <v>1516.05</v>
      </c>
      <c r="R646">
        <v>92171</v>
      </c>
    </row>
    <row r="647" spans="1:18" x14ac:dyDescent="0.25">
      <c r="A647" s="163">
        <v>42954</v>
      </c>
      <c r="B647" s="116">
        <v>311.04000000000002</v>
      </c>
      <c r="C647" s="116">
        <v>308.83999999999997</v>
      </c>
      <c r="D647" s="116">
        <v>303</v>
      </c>
      <c r="E647" s="116">
        <v>303.52999999999997</v>
      </c>
      <c r="F647" s="116">
        <v>1544.2</v>
      </c>
      <c r="G647">
        <v>7780</v>
      </c>
      <c r="H647" s="116"/>
      <c r="I647" s="116"/>
      <c r="L647" s="163">
        <v>42954</v>
      </c>
      <c r="M647" s="116">
        <v>308.79000000000002</v>
      </c>
      <c r="N647" s="116">
        <v>310.8</v>
      </c>
      <c r="O647" s="116">
        <v>303</v>
      </c>
      <c r="P647" s="116">
        <v>303</v>
      </c>
      <c r="Q647" s="116">
        <v>1543.95</v>
      </c>
      <c r="R647">
        <v>115795</v>
      </c>
    </row>
    <row r="648" spans="1:18" x14ac:dyDescent="0.25">
      <c r="A648" s="163">
        <v>42955</v>
      </c>
      <c r="B648" s="116">
        <v>317.39999999999998</v>
      </c>
      <c r="C648" s="116">
        <v>308.83999999999997</v>
      </c>
      <c r="D648" s="116">
        <v>307</v>
      </c>
      <c r="E648" s="116">
        <v>309.08</v>
      </c>
      <c r="F648" s="116">
        <v>1544.2</v>
      </c>
      <c r="G648">
        <v>28856</v>
      </c>
      <c r="H648" s="116"/>
      <c r="I648" s="116"/>
      <c r="L648" s="163">
        <v>42955</v>
      </c>
      <c r="M648" s="116">
        <v>309.37</v>
      </c>
      <c r="N648" s="116">
        <v>317.58</v>
      </c>
      <c r="O648" s="116">
        <v>306.67</v>
      </c>
      <c r="P648" s="116">
        <v>311</v>
      </c>
      <c r="Q648" s="116">
        <v>1546.85</v>
      </c>
      <c r="R648">
        <v>427879</v>
      </c>
    </row>
    <row r="649" spans="1:18" x14ac:dyDescent="0.25">
      <c r="A649" s="163">
        <v>42956</v>
      </c>
      <c r="B649" s="116">
        <v>304</v>
      </c>
      <c r="C649" s="116">
        <v>287.31</v>
      </c>
      <c r="D649" s="116">
        <v>284</v>
      </c>
      <c r="E649" s="116">
        <v>302.02</v>
      </c>
      <c r="F649" s="116">
        <v>1436.55</v>
      </c>
      <c r="G649">
        <v>46222</v>
      </c>
      <c r="H649" s="116"/>
      <c r="I649" s="116"/>
      <c r="L649" s="163">
        <v>42956</v>
      </c>
      <c r="M649" s="116">
        <v>287.08999999999997</v>
      </c>
      <c r="N649" s="116">
        <v>302.8</v>
      </c>
      <c r="O649" s="116">
        <v>283.05</v>
      </c>
      <c r="P649" s="116">
        <v>302.8</v>
      </c>
      <c r="Q649" s="116">
        <v>1435.45</v>
      </c>
      <c r="R649">
        <v>1081786</v>
      </c>
    </row>
    <row r="650" spans="1:18" x14ac:dyDescent="0.25">
      <c r="A650" s="163">
        <v>42957</v>
      </c>
      <c r="B650" s="116">
        <v>299.60000000000002</v>
      </c>
      <c r="C650" s="116">
        <v>295.24</v>
      </c>
      <c r="D650" s="116">
        <v>285.18</v>
      </c>
      <c r="E650" s="116">
        <v>287.31</v>
      </c>
      <c r="F650" s="116">
        <v>1476.2</v>
      </c>
      <c r="G650">
        <v>26198</v>
      </c>
      <c r="H650" s="116"/>
      <c r="I650" s="116"/>
      <c r="L650" s="163">
        <v>42957</v>
      </c>
      <c r="M650" s="116">
        <v>294.68</v>
      </c>
      <c r="N650" s="116">
        <v>299.8</v>
      </c>
      <c r="O650" s="116">
        <v>284.99</v>
      </c>
      <c r="P650" s="116">
        <v>286</v>
      </c>
      <c r="Q650" s="116">
        <v>1473.4</v>
      </c>
      <c r="R650">
        <v>702110</v>
      </c>
    </row>
    <row r="651" spans="1:18" x14ac:dyDescent="0.25">
      <c r="A651" s="163">
        <v>42958</v>
      </c>
      <c r="B651" s="116">
        <v>301.17</v>
      </c>
      <c r="C651" s="116">
        <v>296.75</v>
      </c>
      <c r="D651" s="116">
        <v>286.97000000000003</v>
      </c>
      <c r="E651" s="116">
        <v>289.2</v>
      </c>
      <c r="F651" s="116">
        <v>1483.75</v>
      </c>
      <c r="G651">
        <v>10692</v>
      </c>
      <c r="H651" s="116"/>
      <c r="I651" s="116"/>
      <c r="L651" s="163">
        <v>42958</v>
      </c>
      <c r="M651" s="116">
        <v>295.95999999999998</v>
      </c>
      <c r="N651" s="116">
        <v>302</v>
      </c>
      <c r="O651" s="116">
        <v>285</v>
      </c>
      <c r="P651" s="116">
        <v>287.60000000000002</v>
      </c>
      <c r="Q651" s="116">
        <v>1479.8</v>
      </c>
      <c r="R651">
        <v>238201</v>
      </c>
    </row>
    <row r="652" spans="1:18" x14ac:dyDescent="0.25">
      <c r="A652" s="163">
        <v>42961</v>
      </c>
      <c r="B652" s="116">
        <v>301</v>
      </c>
      <c r="C652" s="116">
        <v>293.14</v>
      </c>
      <c r="D652" s="116">
        <v>291.14999999999998</v>
      </c>
      <c r="E652" s="116">
        <v>297.64999999999998</v>
      </c>
      <c r="F652" s="116">
        <v>1465.7</v>
      </c>
      <c r="G652">
        <v>3731</v>
      </c>
      <c r="H652" s="116"/>
      <c r="I652" s="116"/>
      <c r="L652" s="163">
        <v>42961</v>
      </c>
      <c r="M652" s="116">
        <v>293.33999999999997</v>
      </c>
      <c r="N652" s="116">
        <v>301.99</v>
      </c>
      <c r="O652" s="116">
        <v>291.01</v>
      </c>
      <c r="P652" s="116">
        <v>296.2</v>
      </c>
      <c r="Q652" s="116">
        <v>1466.7</v>
      </c>
      <c r="R652">
        <v>129224</v>
      </c>
    </row>
    <row r="653" spans="1:18" x14ac:dyDescent="0.25">
      <c r="A653" s="163">
        <v>42963</v>
      </c>
      <c r="B653" s="116">
        <v>298</v>
      </c>
      <c r="C653" s="116">
        <v>296.33</v>
      </c>
      <c r="D653" s="116">
        <v>288.79000000000002</v>
      </c>
      <c r="E653" s="116">
        <v>294.60000000000002</v>
      </c>
      <c r="F653" s="116">
        <v>1481.65</v>
      </c>
      <c r="G653">
        <v>4595</v>
      </c>
      <c r="H653" s="116"/>
      <c r="I653" s="116"/>
      <c r="L653" s="163">
        <v>42963</v>
      </c>
      <c r="M653" s="116">
        <v>296.91000000000003</v>
      </c>
      <c r="N653" s="116">
        <v>298.39999999999998</v>
      </c>
      <c r="O653" s="116">
        <v>288.47000000000003</v>
      </c>
      <c r="P653" s="116">
        <v>293.8</v>
      </c>
      <c r="Q653" s="116">
        <v>1484.55</v>
      </c>
      <c r="R653">
        <v>141826</v>
      </c>
    </row>
    <row r="654" spans="1:18" x14ac:dyDescent="0.25">
      <c r="A654" s="163">
        <v>42964</v>
      </c>
      <c r="B654" s="116">
        <v>301.8</v>
      </c>
      <c r="C654" s="116">
        <v>298.5</v>
      </c>
      <c r="D654" s="116">
        <v>293.64</v>
      </c>
      <c r="E654" s="116">
        <v>295</v>
      </c>
      <c r="F654" s="116">
        <v>1492.5</v>
      </c>
      <c r="G654">
        <v>5189</v>
      </c>
      <c r="H654" s="116"/>
      <c r="I654" s="116"/>
      <c r="L654" s="163">
        <v>42964</v>
      </c>
      <c r="M654" s="116">
        <v>298.13</v>
      </c>
      <c r="N654" s="116">
        <v>302</v>
      </c>
      <c r="O654" s="116">
        <v>292.45999999999998</v>
      </c>
      <c r="P654" s="116">
        <v>295.99</v>
      </c>
      <c r="Q654" s="116">
        <v>1490.65</v>
      </c>
      <c r="R654">
        <v>237217</v>
      </c>
    </row>
    <row r="655" spans="1:18" x14ac:dyDescent="0.25">
      <c r="A655" s="163">
        <v>42965</v>
      </c>
      <c r="B655" s="116">
        <v>303.62</v>
      </c>
      <c r="C655" s="116">
        <v>298.24</v>
      </c>
      <c r="D655" s="116">
        <v>293.72000000000003</v>
      </c>
      <c r="E655" s="116">
        <v>297.10000000000002</v>
      </c>
      <c r="F655" s="116">
        <v>1491.2</v>
      </c>
      <c r="G655">
        <v>3491</v>
      </c>
      <c r="H655" s="116"/>
      <c r="I655" s="116"/>
      <c r="L655" s="163">
        <v>42965</v>
      </c>
      <c r="M655" s="116">
        <v>297.77999999999997</v>
      </c>
      <c r="N655" s="116">
        <v>304.2</v>
      </c>
      <c r="O655" s="116">
        <v>293.5</v>
      </c>
      <c r="P655" s="116">
        <v>296.02</v>
      </c>
      <c r="Q655" s="116">
        <v>1488.9</v>
      </c>
      <c r="R655">
        <v>171446</v>
      </c>
    </row>
    <row r="656" spans="1:18" x14ac:dyDescent="0.25">
      <c r="A656" s="163">
        <v>42968</v>
      </c>
      <c r="B656" s="116">
        <v>299.82</v>
      </c>
      <c r="C656" s="116">
        <v>296.33</v>
      </c>
      <c r="D656" s="116">
        <v>294.04000000000002</v>
      </c>
      <c r="E656" s="116">
        <v>299.82</v>
      </c>
      <c r="F656" s="116">
        <v>1481.65</v>
      </c>
      <c r="G656">
        <v>1627</v>
      </c>
      <c r="H656" s="116"/>
      <c r="I656" s="116"/>
      <c r="L656" s="163">
        <v>42968</v>
      </c>
      <c r="M656" s="116">
        <v>296.11</v>
      </c>
      <c r="N656" s="116">
        <v>300.41000000000003</v>
      </c>
      <c r="O656" s="116">
        <v>295.2</v>
      </c>
      <c r="P656" s="116">
        <v>296.22000000000003</v>
      </c>
      <c r="Q656" s="116">
        <v>1480.55</v>
      </c>
      <c r="R656">
        <v>52706</v>
      </c>
    </row>
    <row r="657" spans="1:18" x14ac:dyDescent="0.25">
      <c r="A657" s="163">
        <v>42969</v>
      </c>
      <c r="B657" s="116">
        <v>298.87</v>
      </c>
      <c r="C657" s="116">
        <v>292.20999999999998</v>
      </c>
      <c r="D657" s="116">
        <v>289.93</v>
      </c>
      <c r="E657" s="116">
        <v>296.2</v>
      </c>
      <c r="F657" s="116">
        <v>1461.05</v>
      </c>
      <c r="G657">
        <v>3303</v>
      </c>
      <c r="H657" s="116"/>
      <c r="I657" s="116"/>
      <c r="L657" s="163">
        <v>42969</v>
      </c>
      <c r="M657" s="116">
        <v>292.08999999999997</v>
      </c>
      <c r="N657" s="116">
        <v>298.77999999999997</v>
      </c>
      <c r="O657" s="116">
        <v>289.7</v>
      </c>
      <c r="P657" s="116">
        <v>296.60000000000002</v>
      </c>
      <c r="Q657" s="116">
        <v>1460.45</v>
      </c>
      <c r="R657">
        <v>103640</v>
      </c>
    </row>
    <row r="658" spans="1:18" x14ac:dyDescent="0.25">
      <c r="A658" s="163">
        <v>42970</v>
      </c>
      <c r="B658" s="116">
        <v>295.12</v>
      </c>
      <c r="C658" s="116">
        <v>292.92</v>
      </c>
      <c r="D658" s="116">
        <v>291.61</v>
      </c>
      <c r="E658" s="116">
        <v>294.63</v>
      </c>
      <c r="F658" s="116">
        <v>1464.6</v>
      </c>
      <c r="G658">
        <v>4651</v>
      </c>
      <c r="H658" s="116"/>
      <c r="I658" s="116"/>
      <c r="L658" s="163">
        <v>42970</v>
      </c>
      <c r="M658" s="116">
        <v>292.75</v>
      </c>
      <c r="N658" s="116">
        <v>295.88</v>
      </c>
      <c r="O658" s="116">
        <v>291.2</v>
      </c>
      <c r="P658" s="116">
        <v>292.39999999999998</v>
      </c>
      <c r="Q658" s="116">
        <v>1463.75</v>
      </c>
      <c r="R658">
        <v>148420</v>
      </c>
    </row>
    <row r="659" spans="1:18" x14ac:dyDescent="0.25">
      <c r="A659" s="163">
        <v>42971</v>
      </c>
      <c r="B659" s="116">
        <v>293.14999999999998</v>
      </c>
      <c r="C659" s="116">
        <v>289.98</v>
      </c>
      <c r="D659" s="116">
        <v>289.60000000000002</v>
      </c>
      <c r="E659" s="116">
        <v>292.99</v>
      </c>
      <c r="F659" s="116">
        <v>1449.9</v>
      </c>
      <c r="G659">
        <v>2884</v>
      </c>
      <c r="H659" s="116"/>
      <c r="I659" s="116"/>
      <c r="L659" s="163">
        <v>42971</v>
      </c>
      <c r="M659" s="116">
        <v>290.27</v>
      </c>
      <c r="N659" s="116">
        <v>293.69</v>
      </c>
      <c r="O659" s="116">
        <v>289.26</v>
      </c>
      <c r="P659" s="116">
        <v>292.75</v>
      </c>
      <c r="Q659" s="116">
        <v>1451.35</v>
      </c>
      <c r="R659">
        <v>163047</v>
      </c>
    </row>
    <row r="660" spans="1:18" x14ac:dyDescent="0.25">
      <c r="A660" s="163">
        <v>42975</v>
      </c>
      <c r="B660" s="116">
        <v>295.39999999999998</v>
      </c>
      <c r="C660" s="116">
        <v>294.08</v>
      </c>
      <c r="D660" s="116">
        <v>286.64999999999998</v>
      </c>
      <c r="E660" s="116">
        <v>289.98</v>
      </c>
      <c r="F660" s="116">
        <v>1470.4</v>
      </c>
      <c r="G660">
        <v>7058</v>
      </c>
      <c r="H660" s="116"/>
      <c r="I660" s="116"/>
      <c r="L660" s="163">
        <v>42975</v>
      </c>
      <c r="M660" s="116">
        <v>294.27</v>
      </c>
      <c r="N660" s="116">
        <v>296.12</v>
      </c>
      <c r="O660" s="116">
        <v>286.56</v>
      </c>
      <c r="P660" s="116">
        <v>290</v>
      </c>
      <c r="Q660" s="116">
        <v>1471.35</v>
      </c>
      <c r="R660">
        <v>168965</v>
      </c>
    </row>
    <row r="661" spans="1:18" x14ac:dyDescent="0.25">
      <c r="A661" s="163">
        <v>42976</v>
      </c>
      <c r="B661" s="116">
        <v>297.60000000000002</v>
      </c>
      <c r="C661" s="116">
        <v>292.51</v>
      </c>
      <c r="D661" s="116">
        <v>291.5</v>
      </c>
      <c r="E661" s="116">
        <v>292.68</v>
      </c>
      <c r="F661" s="116">
        <v>1462.55</v>
      </c>
      <c r="G661">
        <v>8412</v>
      </c>
      <c r="H661" s="116"/>
      <c r="I661" s="116"/>
      <c r="L661" s="163">
        <v>42976</v>
      </c>
      <c r="M661" s="116">
        <v>292.83999999999997</v>
      </c>
      <c r="N661" s="116">
        <v>298</v>
      </c>
      <c r="O661" s="116">
        <v>291.31</v>
      </c>
      <c r="P661" s="116">
        <v>293.98</v>
      </c>
      <c r="Q661" s="116">
        <v>1464.2</v>
      </c>
      <c r="R661">
        <v>244370</v>
      </c>
    </row>
    <row r="662" spans="1:18" x14ac:dyDescent="0.25">
      <c r="A662" s="163">
        <v>42977</v>
      </c>
      <c r="B662" s="116">
        <v>297.60000000000002</v>
      </c>
      <c r="C662" s="116">
        <v>295.3</v>
      </c>
      <c r="D662" s="116">
        <v>292.49</v>
      </c>
      <c r="E662" s="116">
        <v>295.31</v>
      </c>
      <c r="F662" s="116">
        <v>1476.5</v>
      </c>
      <c r="G662">
        <v>4765</v>
      </c>
      <c r="H662" s="116"/>
      <c r="I662" s="116"/>
      <c r="L662" s="163">
        <v>42977</v>
      </c>
      <c r="M662" s="116">
        <v>295.39</v>
      </c>
      <c r="N662" s="116">
        <v>297</v>
      </c>
      <c r="O662" s="116">
        <v>292.22000000000003</v>
      </c>
      <c r="P662" s="116">
        <v>293.25</v>
      </c>
      <c r="Q662" s="116">
        <v>1476.95</v>
      </c>
      <c r="R662">
        <v>97478</v>
      </c>
    </row>
    <row r="663" spans="1:18" x14ac:dyDescent="0.25">
      <c r="A663" s="163">
        <v>42978</v>
      </c>
      <c r="B663" s="116">
        <v>307.82</v>
      </c>
      <c r="C663" s="116">
        <v>306.39999999999998</v>
      </c>
      <c r="D663" s="116">
        <v>295.36</v>
      </c>
      <c r="E663" s="116">
        <v>295.36</v>
      </c>
      <c r="F663" s="116">
        <v>1532</v>
      </c>
      <c r="G663">
        <v>9982</v>
      </c>
      <c r="H663" s="116"/>
      <c r="I663" s="116"/>
      <c r="L663" s="163">
        <v>42978</v>
      </c>
      <c r="M663" s="116">
        <v>306.64999999999998</v>
      </c>
      <c r="N663" s="116">
        <v>308.43</v>
      </c>
      <c r="O663" s="116">
        <v>294.02</v>
      </c>
      <c r="P663" s="116">
        <v>294.02</v>
      </c>
      <c r="Q663" s="116">
        <v>1533.25</v>
      </c>
      <c r="R663">
        <v>263068</v>
      </c>
    </row>
    <row r="664" spans="1:18" x14ac:dyDescent="0.25">
      <c r="A664" s="163">
        <v>42979</v>
      </c>
      <c r="B664" s="116">
        <v>309</v>
      </c>
      <c r="C664" s="116">
        <v>303.73</v>
      </c>
      <c r="D664" s="116">
        <v>302.89</v>
      </c>
      <c r="E664" s="116">
        <v>309</v>
      </c>
      <c r="F664" s="116">
        <v>1518.65</v>
      </c>
      <c r="G664">
        <v>5410</v>
      </c>
      <c r="H664" s="116"/>
      <c r="I664" s="116"/>
      <c r="L664" s="163">
        <v>42979</v>
      </c>
      <c r="M664" s="116">
        <v>304.04000000000002</v>
      </c>
      <c r="N664" s="116">
        <v>309.58999999999997</v>
      </c>
      <c r="O664" s="116">
        <v>302.8</v>
      </c>
      <c r="P664" s="116">
        <v>309.58999999999997</v>
      </c>
      <c r="Q664" s="116">
        <v>1520.2</v>
      </c>
      <c r="R664">
        <v>105817</v>
      </c>
    </row>
    <row r="665" spans="1:18" x14ac:dyDescent="0.25">
      <c r="A665" s="163">
        <v>42982</v>
      </c>
      <c r="B665" s="116">
        <v>308.99</v>
      </c>
      <c r="C665" s="116">
        <v>300.74</v>
      </c>
      <c r="D665" s="116">
        <v>298.44</v>
      </c>
      <c r="E665" s="116">
        <v>304.07</v>
      </c>
      <c r="F665" s="116">
        <v>1503.7</v>
      </c>
      <c r="G665">
        <v>3426</v>
      </c>
      <c r="H665" s="116"/>
      <c r="I665" s="116"/>
      <c r="L665" s="163">
        <v>42982</v>
      </c>
      <c r="M665" s="116">
        <v>300.77</v>
      </c>
      <c r="N665" s="116">
        <v>309</v>
      </c>
      <c r="O665" s="116">
        <v>297.95999999999998</v>
      </c>
      <c r="P665" s="116">
        <v>304.04000000000002</v>
      </c>
      <c r="Q665" s="116">
        <v>1503.85</v>
      </c>
      <c r="R665">
        <v>112566</v>
      </c>
    </row>
    <row r="666" spans="1:18" x14ac:dyDescent="0.25">
      <c r="A666" s="163">
        <v>42983</v>
      </c>
      <c r="B666" s="116">
        <v>308.60000000000002</v>
      </c>
      <c r="C666" s="116">
        <v>306.35000000000002</v>
      </c>
      <c r="D666" s="116">
        <v>302.64999999999998</v>
      </c>
      <c r="E666" s="116">
        <v>303.58999999999997</v>
      </c>
      <c r="F666" s="116">
        <v>1531.75</v>
      </c>
      <c r="G666">
        <v>6690</v>
      </c>
      <c r="H666" s="116"/>
      <c r="I666" s="116"/>
      <c r="L666" s="163">
        <v>42983</v>
      </c>
      <c r="M666" s="116">
        <v>306.79000000000002</v>
      </c>
      <c r="N666" s="116">
        <v>309.51</v>
      </c>
      <c r="O666" s="116">
        <v>302.49</v>
      </c>
      <c r="P666" s="116">
        <v>302.8</v>
      </c>
      <c r="Q666" s="116">
        <v>1533.95</v>
      </c>
      <c r="R666">
        <v>213214</v>
      </c>
    </row>
    <row r="667" spans="1:18" x14ac:dyDescent="0.25">
      <c r="A667" s="163">
        <v>42984</v>
      </c>
      <c r="B667" s="116">
        <v>314</v>
      </c>
      <c r="C667" s="116">
        <v>312.77</v>
      </c>
      <c r="D667" s="116">
        <v>304.85000000000002</v>
      </c>
      <c r="E667" s="116">
        <v>305.64999999999998</v>
      </c>
      <c r="F667" s="116">
        <v>1563.85</v>
      </c>
      <c r="G667">
        <v>7772</v>
      </c>
      <c r="H667" s="116"/>
      <c r="I667" s="116"/>
      <c r="L667" s="163">
        <v>42984</v>
      </c>
      <c r="M667" s="116">
        <v>312.48</v>
      </c>
      <c r="N667" s="116">
        <v>313.8</v>
      </c>
      <c r="O667" s="116">
        <v>304.47000000000003</v>
      </c>
      <c r="P667" s="116">
        <v>304.98</v>
      </c>
      <c r="Q667" s="116">
        <v>1562.4</v>
      </c>
      <c r="R667">
        <v>183330</v>
      </c>
    </row>
    <row r="668" spans="1:18" x14ac:dyDescent="0.25">
      <c r="A668" s="163">
        <v>42985</v>
      </c>
      <c r="B668" s="116">
        <v>315</v>
      </c>
      <c r="C668" s="116">
        <v>309.89999999999998</v>
      </c>
      <c r="D668" s="116">
        <v>307.63</v>
      </c>
      <c r="E668" s="116">
        <v>315</v>
      </c>
      <c r="F668" s="116">
        <v>1549.5</v>
      </c>
      <c r="G668">
        <v>6270</v>
      </c>
      <c r="H668" s="116"/>
      <c r="I668" s="116"/>
      <c r="L668" s="163">
        <v>42985</v>
      </c>
      <c r="M668" s="116">
        <v>310.10000000000002</v>
      </c>
      <c r="N668" s="116">
        <v>315.29000000000002</v>
      </c>
      <c r="O668" s="116">
        <v>307.62</v>
      </c>
      <c r="P668" s="116">
        <v>314.8</v>
      </c>
      <c r="Q668" s="116">
        <v>1550.5</v>
      </c>
      <c r="R668">
        <v>157639</v>
      </c>
    </row>
    <row r="669" spans="1:18" x14ac:dyDescent="0.25">
      <c r="A669" s="163">
        <v>42986</v>
      </c>
      <c r="B669" s="116">
        <v>313</v>
      </c>
      <c r="C669" s="116">
        <v>309.69</v>
      </c>
      <c r="D669" s="116">
        <v>308.02</v>
      </c>
      <c r="E669" s="116">
        <v>310</v>
      </c>
      <c r="F669" s="116">
        <v>1548.45</v>
      </c>
      <c r="G669">
        <v>5528</v>
      </c>
      <c r="H669" s="116"/>
      <c r="I669" s="116"/>
      <c r="L669" s="163">
        <v>42986</v>
      </c>
      <c r="M669" s="116">
        <v>308.89999999999998</v>
      </c>
      <c r="N669" s="116">
        <v>313.19</v>
      </c>
      <c r="O669" s="116">
        <v>308</v>
      </c>
      <c r="P669" s="116">
        <v>311.77</v>
      </c>
      <c r="Q669" s="116">
        <v>1544.5</v>
      </c>
      <c r="R669">
        <v>88504</v>
      </c>
    </row>
    <row r="670" spans="1:18" x14ac:dyDescent="0.25">
      <c r="A670" s="163">
        <v>42989</v>
      </c>
      <c r="B670" s="116">
        <v>313.36</v>
      </c>
      <c r="C670" s="116">
        <v>310.39</v>
      </c>
      <c r="D670" s="116">
        <v>309</v>
      </c>
      <c r="E670" s="116">
        <v>310.12</v>
      </c>
      <c r="F670" s="116">
        <v>1551.95</v>
      </c>
      <c r="G670">
        <v>7953</v>
      </c>
      <c r="H670" s="116"/>
      <c r="I670" s="116"/>
      <c r="L670" s="163">
        <v>42989</v>
      </c>
      <c r="M670" s="116">
        <v>310.05</v>
      </c>
      <c r="N670" s="116">
        <v>314</v>
      </c>
      <c r="O670" s="116">
        <v>308.85000000000002</v>
      </c>
      <c r="P670" s="116">
        <v>310.02</v>
      </c>
      <c r="Q670" s="116">
        <v>1550.25</v>
      </c>
      <c r="R670">
        <v>154180</v>
      </c>
    </row>
    <row r="671" spans="1:18" x14ac:dyDescent="0.25">
      <c r="A671" s="163">
        <v>42990</v>
      </c>
      <c r="B671" s="116">
        <v>320.92</v>
      </c>
      <c r="C671" s="116">
        <v>318.55</v>
      </c>
      <c r="D671" s="116">
        <v>310.60000000000002</v>
      </c>
      <c r="E671" s="116">
        <v>311.62</v>
      </c>
      <c r="F671" s="116">
        <v>1592.75</v>
      </c>
      <c r="G671">
        <v>16090</v>
      </c>
      <c r="H671" s="116"/>
      <c r="I671" s="116"/>
      <c r="L671" s="163">
        <v>42990</v>
      </c>
      <c r="M671" s="116">
        <v>318.98</v>
      </c>
      <c r="N671" s="116">
        <v>320.81</v>
      </c>
      <c r="O671" s="116">
        <v>310.42</v>
      </c>
      <c r="P671" s="116">
        <v>310.8</v>
      </c>
      <c r="Q671" s="116">
        <v>1594.9</v>
      </c>
      <c r="R671">
        <v>156927</v>
      </c>
    </row>
    <row r="672" spans="1:18" x14ac:dyDescent="0.25">
      <c r="A672" s="163">
        <v>42991</v>
      </c>
      <c r="B672" s="116">
        <v>318.63</v>
      </c>
      <c r="C672" s="116">
        <v>313.7</v>
      </c>
      <c r="D672" s="116">
        <v>312.26</v>
      </c>
      <c r="E672" s="116">
        <v>317.51</v>
      </c>
      <c r="F672" s="116">
        <v>1568.5</v>
      </c>
      <c r="G672">
        <v>4453</v>
      </c>
      <c r="H672" s="116"/>
      <c r="I672" s="116"/>
      <c r="L672" s="163">
        <v>42991</v>
      </c>
      <c r="M672" s="116">
        <v>313</v>
      </c>
      <c r="N672" s="116">
        <v>318.98</v>
      </c>
      <c r="O672" s="116">
        <v>312.06</v>
      </c>
      <c r="P672" s="116">
        <v>318.8</v>
      </c>
      <c r="Q672" s="116">
        <v>1565</v>
      </c>
      <c r="R672">
        <v>61581</v>
      </c>
    </row>
    <row r="673" spans="1:18" x14ac:dyDescent="0.25">
      <c r="A673" s="163">
        <v>42992</v>
      </c>
      <c r="B673" s="116">
        <v>318.3</v>
      </c>
      <c r="C673" s="116">
        <v>315.81</v>
      </c>
      <c r="D673" s="116">
        <v>310.39999999999998</v>
      </c>
      <c r="E673" s="116">
        <v>318.3</v>
      </c>
      <c r="F673" s="116">
        <v>1579.05</v>
      </c>
      <c r="G673">
        <v>2940</v>
      </c>
      <c r="H673" s="116"/>
      <c r="I673" s="116"/>
      <c r="L673" s="163">
        <v>42992</v>
      </c>
      <c r="M673" s="116">
        <v>313.14</v>
      </c>
      <c r="N673" s="116">
        <v>318.42</v>
      </c>
      <c r="O673" s="116">
        <v>310.8</v>
      </c>
      <c r="P673" s="116">
        <v>313.8</v>
      </c>
      <c r="Q673" s="116">
        <v>1565.7</v>
      </c>
      <c r="R673">
        <v>165907</v>
      </c>
    </row>
    <row r="674" spans="1:18" x14ac:dyDescent="0.25">
      <c r="A674" s="163">
        <v>42993</v>
      </c>
      <c r="B674" s="116">
        <v>316.86</v>
      </c>
      <c r="C674" s="116">
        <v>315.68</v>
      </c>
      <c r="D674" s="116">
        <v>312.04000000000002</v>
      </c>
      <c r="E674" s="116">
        <v>315.24</v>
      </c>
      <c r="F674" s="116">
        <v>1578.4</v>
      </c>
      <c r="G674">
        <v>5214</v>
      </c>
      <c r="H674" s="116"/>
      <c r="I674" s="116"/>
      <c r="L674" s="163">
        <v>42993</v>
      </c>
      <c r="M674" s="116">
        <v>316.45</v>
      </c>
      <c r="N674" s="116">
        <v>317.60000000000002</v>
      </c>
      <c r="O674" s="116">
        <v>312.31</v>
      </c>
      <c r="P674" s="116">
        <v>315</v>
      </c>
      <c r="Q674" s="116">
        <v>1582.25</v>
      </c>
      <c r="R674">
        <v>58521</v>
      </c>
    </row>
    <row r="675" spans="1:18" x14ac:dyDescent="0.25">
      <c r="A675" s="163">
        <v>42996</v>
      </c>
      <c r="B675" s="116">
        <v>329</v>
      </c>
      <c r="C675" s="116">
        <v>327.79</v>
      </c>
      <c r="D675" s="116">
        <v>315.68</v>
      </c>
      <c r="E675" s="116">
        <v>315.68</v>
      </c>
      <c r="F675" s="116">
        <v>1638.95</v>
      </c>
      <c r="G675">
        <v>20604</v>
      </c>
      <c r="H675" s="116"/>
      <c r="I675" s="116"/>
      <c r="L675" s="163">
        <v>42996</v>
      </c>
      <c r="M675" s="116">
        <v>326.81</v>
      </c>
      <c r="N675" s="116">
        <v>327.78</v>
      </c>
      <c r="O675" s="116">
        <v>317</v>
      </c>
      <c r="P675" s="116">
        <v>317</v>
      </c>
      <c r="Q675" s="116">
        <v>1634.05</v>
      </c>
      <c r="R675">
        <v>219844</v>
      </c>
    </row>
    <row r="676" spans="1:18" x14ac:dyDescent="0.25">
      <c r="A676" s="163">
        <v>42997</v>
      </c>
      <c r="B676" s="116">
        <v>328.97</v>
      </c>
      <c r="C676" s="116">
        <v>323.19</v>
      </c>
      <c r="D676" s="116">
        <v>322</v>
      </c>
      <c r="E676" s="116">
        <v>328.97</v>
      </c>
      <c r="F676" s="116">
        <v>1615.95</v>
      </c>
      <c r="G676">
        <v>2241</v>
      </c>
      <c r="H676" s="116"/>
      <c r="I676" s="116"/>
      <c r="L676" s="163">
        <v>42997</v>
      </c>
      <c r="M676" s="116">
        <v>323.26</v>
      </c>
      <c r="N676" s="116">
        <v>328.7</v>
      </c>
      <c r="O676" s="116">
        <v>321.39999999999998</v>
      </c>
      <c r="P676" s="116">
        <v>328.17</v>
      </c>
      <c r="Q676" s="116">
        <v>1616.3</v>
      </c>
      <c r="R676">
        <v>75941</v>
      </c>
    </row>
    <row r="677" spans="1:18" x14ac:dyDescent="0.25">
      <c r="A677" s="163">
        <v>42998</v>
      </c>
      <c r="B677" s="116">
        <v>326.38</v>
      </c>
      <c r="C677" s="116">
        <v>320.2</v>
      </c>
      <c r="D677" s="116">
        <v>318.83999999999997</v>
      </c>
      <c r="E677" s="116">
        <v>323.02999999999997</v>
      </c>
      <c r="F677" s="116">
        <v>1601</v>
      </c>
      <c r="G677">
        <v>4004</v>
      </c>
      <c r="H677" s="116"/>
      <c r="I677" s="116"/>
      <c r="L677" s="163">
        <v>42998</v>
      </c>
      <c r="M677" s="116">
        <v>320.48</v>
      </c>
      <c r="N677" s="116">
        <v>326.7</v>
      </c>
      <c r="O677" s="116">
        <v>319</v>
      </c>
      <c r="P677" s="116">
        <v>324</v>
      </c>
      <c r="Q677" s="116">
        <v>1602.4</v>
      </c>
      <c r="R677">
        <v>65776</v>
      </c>
    </row>
    <row r="678" spans="1:18" x14ac:dyDescent="0.25">
      <c r="A678" s="163">
        <v>42999</v>
      </c>
      <c r="B678" s="116">
        <v>322.39999999999998</v>
      </c>
      <c r="C678" s="116">
        <v>320.69</v>
      </c>
      <c r="D678" s="116">
        <v>317.77999999999997</v>
      </c>
      <c r="E678" s="116">
        <v>321.23</v>
      </c>
      <c r="F678" s="116">
        <v>1603.45</v>
      </c>
      <c r="G678">
        <v>2352</v>
      </c>
      <c r="H678" s="116"/>
      <c r="I678" s="116"/>
      <c r="L678" s="163">
        <v>42999</v>
      </c>
      <c r="M678" s="116">
        <v>320.24</v>
      </c>
      <c r="N678" s="116">
        <v>323.58999999999997</v>
      </c>
      <c r="O678" s="116">
        <v>317.3</v>
      </c>
      <c r="P678" s="116">
        <v>323.58999999999997</v>
      </c>
      <c r="Q678" s="116">
        <v>1601.2</v>
      </c>
      <c r="R678">
        <v>55980</v>
      </c>
    </row>
    <row r="679" spans="1:18" x14ac:dyDescent="0.25">
      <c r="A679" s="163">
        <v>43000</v>
      </c>
      <c r="B679" s="116">
        <v>317.82</v>
      </c>
      <c r="C679" s="116">
        <v>308.02</v>
      </c>
      <c r="D679" s="116">
        <v>306.69</v>
      </c>
      <c r="E679" s="116">
        <v>317.82</v>
      </c>
      <c r="F679" s="116">
        <v>1540.1</v>
      </c>
      <c r="G679">
        <v>4629</v>
      </c>
      <c r="H679" s="116"/>
      <c r="I679" s="116"/>
      <c r="L679" s="163">
        <v>43000</v>
      </c>
      <c r="M679" s="116">
        <v>307.43</v>
      </c>
      <c r="N679" s="116">
        <v>318.69</v>
      </c>
      <c r="O679" s="116">
        <v>306.2</v>
      </c>
      <c r="P679" s="116">
        <v>318.60000000000002</v>
      </c>
      <c r="Q679" s="116">
        <v>1537.15</v>
      </c>
      <c r="R679">
        <v>65408</v>
      </c>
    </row>
    <row r="680" spans="1:18" x14ac:dyDescent="0.25">
      <c r="A680" s="163">
        <v>43003</v>
      </c>
      <c r="B680" s="116">
        <v>311.39</v>
      </c>
      <c r="C680" s="116">
        <v>306.77999999999997</v>
      </c>
      <c r="D680" s="116">
        <v>302.39</v>
      </c>
      <c r="E680" s="116">
        <v>308.73</v>
      </c>
      <c r="F680" s="116">
        <v>1533.9</v>
      </c>
      <c r="G680">
        <v>4456</v>
      </c>
      <c r="H680" s="116"/>
      <c r="I680" s="116"/>
      <c r="L680" s="163">
        <v>43003</v>
      </c>
      <c r="M680" s="116">
        <v>306.88</v>
      </c>
      <c r="N680" s="116">
        <v>314.76</v>
      </c>
      <c r="O680" s="116">
        <v>302</v>
      </c>
      <c r="P680" s="116">
        <v>305.39999999999998</v>
      </c>
      <c r="Q680" s="116">
        <v>1534.4</v>
      </c>
      <c r="R680">
        <v>181536</v>
      </c>
    </row>
    <row r="681" spans="1:18" x14ac:dyDescent="0.25">
      <c r="A681" s="163">
        <v>43004</v>
      </c>
      <c r="B681" s="116">
        <v>310.86</v>
      </c>
      <c r="C681" s="116">
        <v>306.92</v>
      </c>
      <c r="D681" s="116">
        <v>302.83999999999997</v>
      </c>
      <c r="E681" s="116">
        <v>307.79000000000002</v>
      </c>
      <c r="F681" s="116">
        <v>1534.6</v>
      </c>
      <c r="G681">
        <v>2380</v>
      </c>
      <c r="H681" s="116"/>
      <c r="I681" s="116"/>
      <c r="L681" s="163">
        <v>43004</v>
      </c>
      <c r="M681" s="116">
        <v>307.22000000000003</v>
      </c>
      <c r="N681" s="116">
        <v>311.39</v>
      </c>
      <c r="O681" s="116">
        <v>302.36</v>
      </c>
      <c r="P681" s="116">
        <v>309</v>
      </c>
      <c r="Q681" s="116">
        <v>1536.1</v>
      </c>
      <c r="R681">
        <v>142515</v>
      </c>
    </row>
    <row r="682" spans="1:18" x14ac:dyDescent="0.25">
      <c r="A682" s="163">
        <v>43005</v>
      </c>
      <c r="B682" s="116">
        <v>308.87</v>
      </c>
      <c r="C682" s="116">
        <v>304.82</v>
      </c>
      <c r="D682" s="116">
        <v>303.36</v>
      </c>
      <c r="E682" s="116">
        <v>308</v>
      </c>
      <c r="F682" s="116">
        <v>1524.1</v>
      </c>
      <c r="G682">
        <v>3033</v>
      </c>
      <c r="H682" s="116"/>
      <c r="I682" s="116"/>
      <c r="L682" s="163">
        <v>43005</v>
      </c>
      <c r="M682" s="116">
        <v>304.44</v>
      </c>
      <c r="N682" s="116">
        <v>309.95999999999998</v>
      </c>
      <c r="O682" s="116">
        <v>303.14999999999998</v>
      </c>
      <c r="P682" s="116">
        <v>309.57</v>
      </c>
      <c r="Q682" s="116">
        <v>1522.2</v>
      </c>
      <c r="R682">
        <v>77229</v>
      </c>
    </row>
    <row r="683" spans="1:18" x14ac:dyDescent="0.25">
      <c r="A683" s="163">
        <v>43006</v>
      </c>
      <c r="B683" s="116">
        <v>308.8</v>
      </c>
      <c r="C683" s="116">
        <v>306.64999999999998</v>
      </c>
      <c r="D683" s="116">
        <v>302.99</v>
      </c>
      <c r="E683" s="116">
        <v>307.45999999999998</v>
      </c>
      <c r="F683" s="116">
        <v>1533.25</v>
      </c>
      <c r="G683">
        <v>2133</v>
      </c>
      <c r="H683" s="116"/>
      <c r="I683" s="116"/>
      <c r="L683" s="163">
        <v>43006</v>
      </c>
      <c r="M683" s="116">
        <v>307.14</v>
      </c>
      <c r="N683" s="116">
        <v>309.81</v>
      </c>
      <c r="O683" s="116">
        <v>302</v>
      </c>
      <c r="P683" s="116">
        <v>306.95999999999998</v>
      </c>
      <c r="Q683" s="116">
        <v>1535.7</v>
      </c>
      <c r="R683">
        <v>56468</v>
      </c>
    </row>
    <row r="684" spans="1:18" x14ac:dyDescent="0.25">
      <c r="A684" s="163">
        <v>43007</v>
      </c>
      <c r="B684" s="116">
        <v>312</v>
      </c>
      <c r="C684" s="116">
        <v>307.76</v>
      </c>
      <c r="D684" s="116">
        <v>306.83999999999997</v>
      </c>
      <c r="E684" s="116">
        <v>308.52</v>
      </c>
      <c r="F684" s="116">
        <v>1538.8</v>
      </c>
      <c r="G684">
        <v>2106</v>
      </c>
      <c r="H684" s="116"/>
      <c r="I684" s="116"/>
      <c r="L684" s="163">
        <v>43007</v>
      </c>
      <c r="M684" s="116">
        <v>308.22000000000003</v>
      </c>
      <c r="N684" s="116">
        <v>311.58</v>
      </c>
      <c r="O684" s="116">
        <v>306.39999999999998</v>
      </c>
      <c r="P684" s="116">
        <v>309.39999999999998</v>
      </c>
      <c r="Q684" s="116">
        <v>1541.1</v>
      </c>
      <c r="R684">
        <v>40067</v>
      </c>
    </row>
    <row r="685" spans="1:18" x14ac:dyDescent="0.25">
      <c r="A685" s="163">
        <v>43011</v>
      </c>
      <c r="B685" s="116">
        <v>317.2</v>
      </c>
      <c r="C685" s="116">
        <v>314.18</v>
      </c>
      <c r="D685" s="116">
        <v>308.76</v>
      </c>
      <c r="E685" s="116">
        <v>309.79000000000002</v>
      </c>
      <c r="F685" s="116">
        <v>1570.9</v>
      </c>
      <c r="G685">
        <v>2952</v>
      </c>
      <c r="H685" s="116"/>
      <c r="I685" s="116"/>
      <c r="L685" s="163">
        <v>43011</v>
      </c>
      <c r="M685" s="116">
        <v>313.68</v>
      </c>
      <c r="N685" s="116">
        <v>316.08999999999997</v>
      </c>
      <c r="O685" s="116">
        <v>308.99</v>
      </c>
      <c r="P685" s="116">
        <v>309.2</v>
      </c>
      <c r="Q685" s="116">
        <v>1568.4</v>
      </c>
      <c r="R685">
        <v>50706</v>
      </c>
    </row>
    <row r="686" spans="1:18" x14ac:dyDescent="0.25">
      <c r="A686" s="163">
        <v>43012</v>
      </c>
      <c r="B686" s="116">
        <v>312</v>
      </c>
      <c r="C686" s="116">
        <v>309.52999999999997</v>
      </c>
      <c r="D686" s="116">
        <v>306.87</v>
      </c>
      <c r="E686" s="116">
        <v>311.44</v>
      </c>
      <c r="F686" s="116">
        <v>1547.65</v>
      </c>
      <c r="G686">
        <v>3698</v>
      </c>
      <c r="H686" s="116"/>
      <c r="I686" s="116"/>
      <c r="L686" s="163">
        <v>43012</v>
      </c>
      <c r="M686" s="116">
        <v>308.66000000000003</v>
      </c>
      <c r="N686" s="116">
        <v>313.60000000000002</v>
      </c>
      <c r="O686" s="116">
        <v>307.36</v>
      </c>
      <c r="P686" s="116">
        <v>313.60000000000002</v>
      </c>
      <c r="Q686" s="116">
        <v>1543.3</v>
      </c>
      <c r="R686">
        <v>99532</v>
      </c>
    </row>
    <row r="687" spans="1:18" x14ac:dyDescent="0.25">
      <c r="A687" s="163">
        <v>43013</v>
      </c>
      <c r="B687" s="116">
        <v>312.85000000000002</v>
      </c>
      <c r="C687" s="116">
        <v>311.92</v>
      </c>
      <c r="D687" s="116">
        <v>306.45</v>
      </c>
      <c r="E687" s="116">
        <v>307.83</v>
      </c>
      <c r="F687" s="116">
        <v>1559.6</v>
      </c>
      <c r="G687">
        <v>4404</v>
      </c>
      <c r="H687" s="116"/>
      <c r="I687" s="116"/>
      <c r="L687" s="163">
        <v>43013</v>
      </c>
      <c r="M687" s="116">
        <v>311.33999999999997</v>
      </c>
      <c r="N687" s="116">
        <v>315</v>
      </c>
      <c r="O687" s="116">
        <v>305.52</v>
      </c>
      <c r="P687" s="116">
        <v>308.39999999999998</v>
      </c>
      <c r="Q687" s="116">
        <v>1556.7</v>
      </c>
      <c r="R687">
        <v>134577</v>
      </c>
    </row>
    <row r="688" spans="1:18" x14ac:dyDescent="0.25">
      <c r="A688" s="163">
        <v>43014</v>
      </c>
      <c r="B688" s="116">
        <v>330.64</v>
      </c>
      <c r="C688" s="116">
        <v>315.39999999999998</v>
      </c>
      <c r="D688" s="116">
        <v>313</v>
      </c>
      <c r="E688" s="116">
        <v>313</v>
      </c>
      <c r="F688" s="116">
        <v>1577</v>
      </c>
      <c r="G688">
        <v>6765</v>
      </c>
      <c r="H688" s="116"/>
      <c r="I688" s="116"/>
      <c r="L688" s="163">
        <v>43014</v>
      </c>
      <c r="M688" s="116">
        <v>315.57</v>
      </c>
      <c r="N688" s="116">
        <v>317.8</v>
      </c>
      <c r="O688" s="116">
        <v>313.39999999999998</v>
      </c>
      <c r="P688" s="116">
        <v>314</v>
      </c>
      <c r="Q688" s="116">
        <v>1577.85</v>
      </c>
      <c r="R688">
        <v>205064</v>
      </c>
    </row>
    <row r="689" spans="1:18" x14ac:dyDescent="0.25">
      <c r="A689" s="163">
        <v>43017</v>
      </c>
      <c r="B689" s="116">
        <v>350.92</v>
      </c>
      <c r="C689" s="116">
        <v>348.72</v>
      </c>
      <c r="D689" s="116">
        <v>317.39</v>
      </c>
      <c r="E689" s="116">
        <v>317.39</v>
      </c>
      <c r="F689" s="116">
        <v>1743.6</v>
      </c>
      <c r="G689">
        <v>111809</v>
      </c>
      <c r="H689" s="116"/>
      <c r="I689" s="116"/>
      <c r="L689" s="163">
        <v>43017</v>
      </c>
      <c r="M689" s="116">
        <v>348.78</v>
      </c>
      <c r="N689" s="116">
        <v>350.55</v>
      </c>
      <c r="O689" s="116">
        <v>316</v>
      </c>
      <c r="P689" s="116">
        <v>316</v>
      </c>
      <c r="Q689" s="116">
        <v>1743.9</v>
      </c>
      <c r="R689">
        <v>1422276</v>
      </c>
    </row>
    <row r="690" spans="1:18" x14ac:dyDescent="0.25">
      <c r="A690" s="163">
        <v>43018</v>
      </c>
      <c r="B690" s="116">
        <v>350</v>
      </c>
      <c r="C690" s="116">
        <v>343.63</v>
      </c>
      <c r="D690" s="116">
        <v>339.22</v>
      </c>
      <c r="E690" s="116">
        <v>349</v>
      </c>
      <c r="F690" s="116">
        <v>1718.15</v>
      </c>
      <c r="G690">
        <v>24192</v>
      </c>
      <c r="H690" s="116"/>
      <c r="I690" s="116"/>
      <c r="L690" s="163">
        <v>43018</v>
      </c>
      <c r="M690" s="116">
        <v>343.72</v>
      </c>
      <c r="N690" s="116">
        <v>349.61</v>
      </c>
      <c r="O690" s="116">
        <v>339.2</v>
      </c>
      <c r="P690" s="116">
        <v>347.21</v>
      </c>
      <c r="Q690" s="116">
        <v>1718.6</v>
      </c>
      <c r="R690">
        <v>585037</v>
      </c>
    </row>
    <row r="691" spans="1:18" x14ac:dyDescent="0.25">
      <c r="A691" s="163">
        <v>43019</v>
      </c>
      <c r="B691" s="116">
        <v>358.7</v>
      </c>
      <c r="C691" s="116">
        <v>344.87</v>
      </c>
      <c r="D691" s="116">
        <v>337.45</v>
      </c>
      <c r="E691" s="116">
        <v>346</v>
      </c>
      <c r="F691" s="116">
        <v>1724.35</v>
      </c>
      <c r="G691">
        <v>31006</v>
      </c>
      <c r="H691" s="116"/>
      <c r="I691" s="116"/>
      <c r="L691" s="163">
        <v>43019</v>
      </c>
      <c r="M691" s="116">
        <v>344.97</v>
      </c>
      <c r="N691" s="116">
        <v>358.78</v>
      </c>
      <c r="O691" s="116">
        <v>336.32</v>
      </c>
      <c r="P691" s="116">
        <v>345.95</v>
      </c>
      <c r="Q691" s="116">
        <v>1724.85</v>
      </c>
      <c r="R691">
        <v>1032256</v>
      </c>
    </row>
    <row r="692" spans="1:18" x14ac:dyDescent="0.25">
      <c r="A692" s="163">
        <v>43020</v>
      </c>
      <c r="B692" s="116">
        <v>354.84</v>
      </c>
      <c r="C692" s="116">
        <v>352.42</v>
      </c>
      <c r="D692" s="116">
        <v>345.26</v>
      </c>
      <c r="E692" s="116">
        <v>345.4</v>
      </c>
      <c r="F692" s="116">
        <v>1762.1</v>
      </c>
      <c r="G692">
        <v>44200</v>
      </c>
      <c r="H692" s="116"/>
      <c r="I692" s="116"/>
      <c r="L692" s="163">
        <v>43020</v>
      </c>
      <c r="M692" s="116">
        <v>351.94</v>
      </c>
      <c r="N692" s="116">
        <v>354.78</v>
      </c>
      <c r="O692" s="116">
        <v>344.82</v>
      </c>
      <c r="P692" s="116">
        <v>345.2</v>
      </c>
      <c r="Q692" s="116">
        <v>1759.7</v>
      </c>
      <c r="R692">
        <v>468866</v>
      </c>
    </row>
    <row r="693" spans="1:18" x14ac:dyDescent="0.25">
      <c r="A693" s="163">
        <v>43021</v>
      </c>
      <c r="B693" s="116">
        <v>353.66</v>
      </c>
      <c r="C693" s="116">
        <v>346.05</v>
      </c>
      <c r="D693" s="116">
        <v>345.12</v>
      </c>
      <c r="E693" s="116">
        <v>353.2</v>
      </c>
      <c r="F693" s="116">
        <v>1730.25</v>
      </c>
      <c r="G693">
        <v>10635</v>
      </c>
      <c r="H693" s="116"/>
      <c r="I693" s="116"/>
      <c r="L693" s="163">
        <v>43021</v>
      </c>
      <c r="M693" s="116">
        <v>345.33</v>
      </c>
      <c r="N693" s="116">
        <v>353.78</v>
      </c>
      <c r="O693" s="116">
        <v>344.02</v>
      </c>
      <c r="P693" s="116">
        <v>350.2</v>
      </c>
      <c r="Q693" s="116">
        <v>1726.65</v>
      </c>
      <c r="R693">
        <v>204451</v>
      </c>
    </row>
    <row r="694" spans="1:18" x14ac:dyDescent="0.25">
      <c r="A694" s="163">
        <v>43024</v>
      </c>
      <c r="B694" s="116">
        <v>352.21</v>
      </c>
      <c r="C694" s="116">
        <v>345.59</v>
      </c>
      <c r="D694" s="116">
        <v>344.38</v>
      </c>
      <c r="E694" s="116">
        <v>347.38</v>
      </c>
      <c r="F694" s="116">
        <v>1727.95</v>
      </c>
      <c r="G694">
        <v>10870</v>
      </c>
      <c r="H694" s="116"/>
      <c r="I694" s="116"/>
      <c r="L694" s="163">
        <v>43024</v>
      </c>
      <c r="M694" s="116">
        <v>344.65</v>
      </c>
      <c r="N694" s="116">
        <v>352.51</v>
      </c>
      <c r="O694" s="116">
        <v>343.45</v>
      </c>
      <c r="P694" s="116">
        <v>345.4</v>
      </c>
      <c r="Q694" s="116">
        <v>1723.25</v>
      </c>
      <c r="R694">
        <v>207586</v>
      </c>
    </row>
    <row r="695" spans="1:18" x14ac:dyDescent="0.25">
      <c r="A695" s="163">
        <v>43025</v>
      </c>
      <c r="B695" s="116">
        <v>350.2</v>
      </c>
      <c r="C695" s="116">
        <v>343.54</v>
      </c>
      <c r="D695" s="116">
        <v>341.14</v>
      </c>
      <c r="E695" s="116">
        <v>345.8</v>
      </c>
      <c r="F695" s="116">
        <v>1717.7</v>
      </c>
      <c r="G695">
        <v>10434</v>
      </c>
      <c r="H695" s="116"/>
      <c r="I695" s="116"/>
      <c r="L695" s="163">
        <v>43025</v>
      </c>
      <c r="M695" s="116">
        <v>343.04</v>
      </c>
      <c r="N695" s="116">
        <v>350.69</v>
      </c>
      <c r="O695" s="116">
        <v>340.71</v>
      </c>
      <c r="P695" s="116">
        <v>346</v>
      </c>
      <c r="Q695" s="116">
        <v>1715.2</v>
      </c>
      <c r="R695">
        <v>206837</v>
      </c>
    </row>
    <row r="696" spans="1:18" x14ac:dyDescent="0.25">
      <c r="A696" s="163">
        <v>43026</v>
      </c>
      <c r="B696" s="116">
        <v>345.92</v>
      </c>
      <c r="C696" s="116">
        <v>334.63</v>
      </c>
      <c r="D696" s="116">
        <v>330.59</v>
      </c>
      <c r="E696" s="116">
        <v>343.25</v>
      </c>
      <c r="F696" s="116">
        <v>1673.15</v>
      </c>
      <c r="G696">
        <v>16348</v>
      </c>
      <c r="H696" s="116"/>
      <c r="I696" s="116"/>
      <c r="L696" s="163">
        <v>43026</v>
      </c>
      <c r="M696" s="116">
        <v>335</v>
      </c>
      <c r="N696" s="116">
        <v>345.67</v>
      </c>
      <c r="O696" s="116">
        <v>330.21</v>
      </c>
      <c r="P696" s="116">
        <v>343</v>
      </c>
      <c r="Q696" s="116">
        <v>1675</v>
      </c>
      <c r="R696">
        <v>285860</v>
      </c>
    </row>
    <row r="697" spans="1:18" x14ac:dyDescent="0.25">
      <c r="A697" s="163">
        <v>43027</v>
      </c>
      <c r="B697" s="116">
        <v>336.8</v>
      </c>
      <c r="C697" s="116">
        <v>329.77</v>
      </c>
      <c r="D697" s="116">
        <v>327.61</v>
      </c>
      <c r="E697" s="116">
        <v>336.8</v>
      </c>
      <c r="F697" s="116">
        <v>1648.85</v>
      </c>
      <c r="G697">
        <v>2023</v>
      </c>
      <c r="H697" s="116"/>
      <c r="I697" s="116"/>
      <c r="L697" s="163">
        <v>43027</v>
      </c>
      <c r="M697" s="116">
        <v>330.79</v>
      </c>
      <c r="N697" s="116">
        <v>337.56</v>
      </c>
      <c r="O697" s="116">
        <v>327.9</v>
      </c>
      <c r="P697" s="116">
        <v>336.98</v>
      </c>
      <c r="Q697" s="116">
        <v>1653.95</v>
      </c>
      <c r="R697">
        <v>34931</v>
      </c>
    </row>
    <row r="698" spans="1:18" x14ac:dyDescent="0.25">
      <c r="A698" s="163">
        <v>43031</v>
      </c>
      <c r="B698" s="116">
        <v>338.19</v>
      </c>
      <c r="C698" s="116">
        <v>336.34</v>
      </c>
      <c r="D698" s="116">
        <v>330.71</v>
      </c>
      <c r="E698" s="116">
        <v>333.8</v>
      </c>
      <c r="F698" s="116">
        <v>1681.7</v>
      </c>
      <c r="G698">
        <v>7347</v>
      </c>
      <c r="H698" s="116"/>
      <c r="I698" s="116"/>
      <c r="L698" s="163">
        <v>43031</v>
      </c>
      <c r="M698" s="116">
        <v>336.25</v>
      </c>
      <c r="N698" s="116">
        <v>338.66</v>
      </c>
      <c r="O698" s="116">
        <v>330.19</v>
      </c>
      <c r="P698" s="116">
        <v>334.8</v>
      </c>
      <c r="Q698" s="116">
        <v>1681.25</v>
      </c>
      <c r="R698">
        <v>217633</v>
      </c>
    </row>
    <row r="699" spans="1:18" x14ac:dyDescent="0.25">
      <c r="A699" s="163">
        <v>43032</v>
      </c>
      <c r="B699" s="116">
        <v>337.66</v>
      </c>
      <c r="C699" s="116">
        <v>332.53</v>
      </c>
      <c r="D699" s="116">
        <v>331.36</v>
      </c>
      <c r="E699" s="116">
        <v>337.66</v>
      </c>
      <c r="F699" s="116">
        <v>1662.65</v>
      </c>
      <c r="G699">
        <v>4401</v>
      </c>
      <c r="H699" s="116"/>
      <c r="I699" s="116"/>
      <c r="L699" s="163">
        <v>43032</v>
      </c>
      <c r="M699" s="116">
        <v>332.07</v>
      </c>
      <c r="N699" s="116">
        <v>338.59</v>
      </c>
      <c r="O699" s="116">
        <v>330.94</v>
      </c>
      <c r="P699" s="116">
        <v>337.8</v>
      </c>
      <c r="Q699" s="116">
        <v>1660.35</v>
      </c>
      <c r="R699">
        <v>117222</v>
      </c>
    </row>
    <row r="700" spans="1:18" x14ac:dyDescent="0.25">
      <c r="A700" s="163">
        <v>43033</v>
      </c>
      <c r="B700" s="116">
        <v>335</v>
      </c>
      <c r="C700" s="116">
        <v>328.04</v>
      </c>
      <c r="D700" s="116">
        <v>326.39999999999998</v>
      </c>
      <c r="E700" s="116">
        <v>329.2</v>
      </c>
      <c r="F700" s="116">
        <v>1640.2</v>
      </c>
      <c r="G700">
        <v>63729</v>
      </c>
      <c r="H700" s="116"/>
      <c r="I700" s="116"/>
      <c r="L700" s="163">
        <v>43033</v>
      </c>
      <c r="M700" s="116">
        <v>328.16</v>
      </c>
      <c r="N700" s="116">
        <v>335.49</v>
      </c>
      <c r="O700" s="116">
        <v>326.22000000000003</v>
      </c>
      <c r="P700" s="116">
        <v>332.6</v>
      </c>
      <c r="Q700" s="116">
        <v>1640.8</v>
      </c>
      <c r="R700">
        <v>172407</v>
      </c>
    </row>
    <row r="701" spans="1:18" x14ac:dyDescent="0.25">
      <c r="A701" s="163">
        <v>43034</v>
      </c>
      <c r="B701" s="116">
        <v>336.06</v>
      </c>
      <c r="C701" s="116">
        <v>328.8</v>
      </c>
      <c r="D701" s="116">
        <v>324.72000000000003</v>
      </c>
      <c r="E701" s="116">
        <v>326.8</v>
      </c>
      <c r="F701" s="116">
        <v>1644</v>
      </c>
      <c r="G701">
        <v>8929</v>
      </c>
      <c r="H701" s="116"/>
      <c r="I701" s="116"/>
      <c r="L701" s="163">
        <v>43034</v>
      </c>
      <c r="M701" s="116">
        <v>328.48</v>
      </c>
      <c r="N701" s="116">
        <v>336.22</v>
      </c>
      <c r="O701" s="116">
        <v>324.51</v>
      </c>
      <c r="P701" s="116">
        <v>327.39999999999998</v>
      </c>
      <c r="Q701" s="116">
        <v>1642.4</v>
      </c>
      <c r="R701">
        <v>183995</v>
      </c>
    </row>
    <row r="702" spans="1:18" x14ac:dyDescent="0.25">
      <c r="A702" s="163">
        <v>43035</v>
      </c>
      <c r="B702" s="116">
        <v>334.29</v>
      </c>
      <c r="C702" s="116">
        <v>330.99</v>
      </c>
      <c r="D702" s="116">
        <v>330.08</v>
      </c>
      <c r="E702" s="116">
        <v>331</v>
      </c>
      <c r="F702" s="116">
        <v>1654.95</v>
      </c>
      <c r="G702">
        <v>5272</v>
      </c>
      <c r="H702" s="116"/>
      <c r="I702" s="116"/>
      <c r="L702" s="163">
        <v>43035</v>
      </c>
      <c r="M702" s="116">
        <v>330.21</v>
      </c>
      <c r="N702" s="116">
        <v>334.68</v>
      </c>
      <c r="O702" s="116">
        <v>329.01</v>
      </c>
      <c r="P702" s="116">
        <v>329.98</v>
      </c>
      <c r="Q702" s="116">
        <v>1651.05</v>
      </c>
      <c r="R702">
        <v>63430</v>
      </c>
    </row>
    <row r="703" spans="1:18" x14ac:dyDescent="0.25">
      <c r="A703" s="163">
        <v>43038</v>
      </c>
      <c r="B703" s="116">
        <v>343.98</v>
      </c>
      <c r="C703" s="116">
        <v>341.72</v>
      </c>
      <c r="D703" s="116">
        <v>327.20999999999998</v>
      </c>
      <c r="E703" s="116">
        <v>330.6</v>
      </c>
      <c r="F703" s="116">
        <v>1708.6</v>
      </c>
      <c r="G703">
        <v>18141</v>
      </c>
      <c r="H703" s="116"/>
      <c r="I703" s="116"/>
      <c r="L703" s="163">
        <v>43038</v>
      </c>
      <c r="M703" s="116">
        <v>341.46</v>
      </c>
      <c r="N703" s="116">
        <v>344</v>
      </c>
      <c r="O703" s="116">
        <v>326.82</v>
      </c>
      <c r="P703" s="116">
        <v>330</v>
      </c>
      <c r="Q703" s="116">
        <v>1707.3</v>
      </c>
      <c r="R703">
        <v>220815</v>
      </c>
    </row>
    <row r="704" spans="1:18" x14ac:dyDescent="0.25">
      <c r="A704" s="163">
        <v>43039</v>
      </c>
      <c r="B704" s="116">
        <v>345.49</v>
      </c>
      <c r="C704" s="116">
        <v>337.53</v>
      </c>
      <c r="D704" s="116">
        <v>333.87</v>
      </c>
      <c r="E704" s="116">
        <v>342</v>
      </c>
      <c r="F704" s="116">
        <v>1687.65</v>
      </c>
      <c r="G704">
        <v>6978</v>
      </c>
      <c r="H704" s="116"/>
      <c r="I704" s="116"/>
      <c r="L704" s="163">
        <v>43039</v>
      </c>
      <c r="M704" s="116">
        <v>337.81</v>
      </c>
      <c r="N704" s="116">
        <v>345.51</v>
      </c>
      <c r="O704" s="116">
        <v>336.1</v>
      </c>
      <c r="P704" s="116">
        <v>341</v>
      </c>
      <c r="Q704" s="116">
        <v>1689.05</v>
      </c>
      <c r="R704">
        <v>114515</v>
      </c>
    </row>
    <row r="705" spans="1:18" x14ac:dyDescent="0.25">
      <c r="A705" s="163">
        <v>43040</v>
      </c>
      <c r="B705" s="116">
        <v>342.8</v>
      </c>
      <c r="C705" s="116">
        <v>338.49</v>
      </c>
      <c r="D705" s="116">
        <v>337</v>
      </c>
      <c r="E705" s="116">
        <v>340.29</v>
      </c>
      <c r="F705" s="116">
        <v>1692.45</v>
      </c>
      <c r="G705">
        <v>7956</v>
      </c>
      <c r="H705" s="116"/>
      <c r="I705" s="116"/>
      <c r="L705" s="163">
        <v>43040</v>
      </c>
      <c r="M705" s="116">
        <v>339.3</v>
      </c>
      <c r="N705" s="116">
        <v>343</v>
      </c>
      <c r="O705" s="116">
        <v>336.64</v>
      </c>
      <c r="P705" s="116">
        <v>340</v>
      </c>
      <c r="Q705" s="116">
        <v>1696.5</v>
      </c>
      <c r="R705">
        <v>137877</v>
      </c>
    </row>
    <row r="706" spans="1:18" x14ac:dyDescent="0.25">
      <c r="A706" s="163">
        <v>43041</v>
      </c>
      <c r="B706" s="116">
        <v>350.72</v>
      </c>
      <c r="C706" s="116">
        <v>347.82</v>
      </c>
      <c r="D706" s="116">
        <v>335.2</v>
      </c>
      <c r="E706" s="116">
        <v>335.2</v>
      </c>
      <c r="F706" s="116">
        <v>1739.1</v>
      </c>
      <c r="G706">
        <v>22739</v>
      </c>
      <c r="H706" s="116"/>
      <c r="I706" s="116"/>
      <c r="L706" s="163">
        <v>43041</v>
      </c>
      <c r="M706" s="116">
        <v>348.52</v>
      </c>
      <c r="N706" s="116">
        <v>351.7</v>
      </c>
      <c r="O706" s="116">
        <v>339.35</v>
      </c>
      <c r="P706" s="116">
        <v>340</v>
      </c>
      <c r="Q706" s="116">
        <v>1742.6</v>
      </c>
      <c r="R706">
        <v>313148</v>
      </c>
    </row>
    <row r="707" spans="1:18" x14ac:dyDescent="0.25">
      <c r="A707" s="163">
        <v>43042</v>
      </c>
      <c r="B707" s="116">
        <v>353.24</v>
      </c>
      <c r="C707" s="116">
        <v>342.1</v>
      </c>
      <c r="D707" s="116">
        <v>339.88</v>
      </c>
      <c r="E707" s="116">
        <v>352</v>
      </c>
      <c r="F707" s="116">
        <v>1710.5</v>
      </c>
      <c r="G707">
        <v>10826</v>
      </c>
      <c r="H707" s="116"/>
      <c r="I707" s="116"/>
      <c r="L707" s="163">
        <v>43042</v>
      </c>
      <c r="M707" s="116">
        <v>341.99</v>
      </c>
      <c r="N707" s="116">
        <v>353.38</v>
      </c>
      <c r="O707" s="116">
        <v>339.4</v>
      </c>
      <c r="P707" s="116">
        <v>351.8</v>
      </c>
      <c r="Q707" s="116">
        <v>1709.95</v>
      </c>
      <c r="R707">
        <v>208515</v>
      </c>
    </row>
    <row r="708" spans="1:18" x14ac:dyDescent="0.25">
      <c r="A708" s="163">
        <v>43045</v>
      </c>
      <c r="B708" s="116">
        <v>344</v>
      </c>
      <c r="C708" s="116">
        <v>334.49</v>
      </c>
      <c r="D708" s="116">
        <v>331.01</v>
      </c>
      <c r="E708" s="116">
        <v>344</v>
      </c>
      <c r="F708" s="116">
        <v>1672.45</v>
      </c>
      <c r="G708">
        <v>5131</v>
      </c>
      <c r="H708" s="116"/>
      <c r="I708" s="116"/>
      <c r="L708" s="163">
        <v>43045</v>
      </c>
      <c r="M708" s="116">
        <v>334.46</v>
      </c>
      <c r="N708" s="116">
        <v>345.28</v>
      </c>
      <c r="O708" s="116">
        <v>330.2</v>
      </c>
      <c r="P708" s="116">
        <v>342.02</v>
      </c>
      <c r="Q708" s="116">
        <v>1672.3</v>
      </c>
      <c r="R708">
        <v>128936</v>
      </c>
    </row>
    <row r="709" spans="1:18" x14ac:dyDescent="0.25">
      <c r="A709" s="163">
        <v>43046</v>
      </c>
      <c r="B709" s="116">
        <v>337.72</v>
      </c>
      <c r="C709" s="116">
        <v>333.84</v>
      </c>
      <c r="D709" s="116">
        <v>330.23</v>
      </c>
      <c r="E709" s="116">
        <v>331.86</v>
      </c>
      <c r="F709" s="116">
        <v>1669.2</v>
      </c>
      <c r="G709">
        <v>7569</v>
      </c>
      <c r="H709" s="116"/>
      <c r="I709" s="116"/>
      <c r="L709" s="163">
        <v>43046</v>
      </c>
      <c r="M709" s="116">
        <v>333.78</v>
      </c>
      <c r="N709" s="116">
        <v>337.63</v>
      </c>
      <c r="O709" s="116">
        <v>330.01</v>
      </c>
      <c r="P709" s="116">
        <v>334.25</v>
      </c>
      <c r="Q709" s="116">
        <v>1668.9</v>
      </c>
      <c r="R709">
        <v>123347</v>
      </c>
    </row>
    <row r="710" spans="1:18" x14ac:dyDescent="0.25">
      <c r="A710" s="163">
        <v>43047</v>
      </c>
      <c r="B710" s="116">
        <v>336.57</v>
      </c>
      <c r="C710" s="116">
        <v>332.03</v>
      </c>
      <c r="D710" s="116">
        <v>329.84</v>
      </c>
      <c r="E710" s="116">
        <v>332.59</v>
      </c>
      <c r="F710" s="116">
        <v>1660.15</v>
      </c>
      <c r="G710">
        <v>6664</v>
      </c>
      <c r="H710" s="116"/>
      <c r="I710" s="116"/>
      <c r="L710" s="163">
        <v>43047</v>
      </c>
      <c r="M710" s="116">
        <v>331.72</v>
      </c>
      <c r="N710" s="116">
        <v>336.77</v>
      </c>
      <c r="O710" s="116">
        <v>329</v>
      </c>
      <c r="P710" s="116">
        <v>333.04</v>
      </c>
      <c r="Q710" s="116">
        <v>1658.6</v>
      </c>
      <c r="R710">
        <v>97594</v>
      </c>
    </row>
    <row r="711" spans="1:18" x14ac:dyDescent="0.25">
      <c r="A711" s="163">
        <v>43048</v>
      </c>
      <c r="B711" s="116">
        <v>332.79</v>
      </c>
      <c r="C711" s="116">
        <v>327.58999999999997</v>
      </c>
      <c r="D711" s="116">
        <v>326.20999999999998</v>
      </c>
      <c r="E711" s="116">
        <v>331.5</v>
      </c>
      <c r="F711" s="116">
        <v>1637.95</v>
      </c>
      <c r="G711">
        <v>9134</v>
      </c>
      <c r="H711" s="116"/>
      <c r="I711" s="116"/>
      <c r="L711" s="163">
        <v>43048</v>
      </c>
      <c r="M711" s="116">
        <v>327.33</v>
      </c>
      <c r="N711" s="116">
        <v>333.49</v>
      </c>
      <c r="O711" s="116">
        <v>324.87</v>
      </c>
      <c r="P711" s="116">
        <v>331.72</v>
      </c>
      <c r="Q711" s="116">
        <v>1636.65</v>
      </c>
      <c r="R711">
        <v>163795</v>
      </c>
    </row>
    <row r="712" spans="1:18" x14ac:dyDescent="0.25">
      <c r="A712" s="163">
        <v>43049</v>
      </c>
      <c r="B712" s="116">
        <v>349</v>
      </c>
      <c r="C712" s="116">
        <v>346.39</v>
      </c>
      <c r="D712" s="116">
        <v>311.20999999999998</v>
      </c>
      <c r="E712" s="116">
        <v>319.8</v>
      </c>
      <c r="F712" s="116">
        <v>1731.95</v>
      </c>
      <c r="G712">
        <v>64817</v>
      </c>
      <c r="H712" s="116"/>
      <c r="I712" s="116"/>
      <c r="L712" s="163">
        <v>43049</v>
      </c>
      <c r="M712" s="116">
        <v>346.58</v>
      </c>
      <c r="N712" s="116">
        <v>348.72</v>
      </c>
      <c r="O712" s="116">
        <v>311.10000000000002</v>
      </c>
      <c r="P712" s="116">
        <v>316.39999999999998</v>
      </c>
      <c r="Q712" s="116">
        <v>1732.9</v>
      </c>
      <c r="R712">
        <v>1063747</v>
      </c>
    </row>
    <row r="713" spans="1:18" x14ac:dyDescent="0.25">
      <c r="A713" s="163">
        <v>43052</v>
      </c>
      <c r="B713" s="116">
        <v>355.34</v>
      </c>
      <c r="C713" s="116">
        <v>350.23</v>
      </c>
      <c r="D713" s="116">
        <v>338.44</v>
      </c>
      <c r="E713" s="116">
        <v>347</v>
      </c>
      <c r="F713" s="116">
        <v>1751.15</v>
      </c>
      <c r="G713">
        <v>41394</v>
      </c>
      <c r="H713" s="116"/>
      <c r="I713" s="116"/>
      <c r="L713" s="163">
        <v>43052</v>
      </c>
      <c r="M713" s="116">
        <v>350.04</v>
      </c>
      <c r="N713" s="116">
        <v>355.29</v>
      </c>
      <c r="O713" s="116">
        <v>338.62</v>
      </c>
      <c r="P713" s="116">
        <v>344</v>
      </c>
      <c r="Q713" s="116">
        <v>1750.2</v>
      </c>
      <c r="R713">
        <v>557601</v>
      </c>
    </row>
    <row r="714" spans="1:18" x14ac:dyDescent="0.25">
      <c r="A714" s="163">
        <v>43053</v>
      </c>
      <c r="B714" s="116">
        <v>352.52</v>
      </c>
      <c r="C714" s="116">
        <v>343.25</v>
      </c>
      <c r="D714" s="116">
        <v>340.36</v>
      </c>
      <c r="E714" s="116">
        <v>348.5</v>
      </c>
      <c r="F714" s="116">
        <v>1716.25</v>
      </c>
      <c r="G714">
        <v>3652</v>
      </c>
      <c r="H714" s="116"/>
      <c r="I714" s="116"/>
      <c r="L714" s="163">
        <v>43053</v>
      </c>
      <c r="M714" s="116">
        <v>343.02</v>
      </c>
      <c r="N714" s="116">
        <v>352.06</v>
      </c>
      <c r="O714" s="116">
        <v>340</v>
      </c>
      <c r="P714" s="116">
        <v>346.42</v>
      </c>
      <c r="Q714" s="116">
        <v>1715.1</v>
      </c>
      <c r="R714">
        <v>88959</v>
      </c>
    </row>
    <row r="715" spans="1:18" x14ac:dyDescent="0.25">
      <c r="A715" s="163">
        <v>43054</v>
      </c>
      <c r="B715" s="116">
        <v>347.6</v>
      </c>
      <c r="C715" s="116">
        <v>341.89</v>
      </c>
      <c r="D715" s="116">
        <v>339.9</v>
      </c>
      <c r="E715" s="116">
        <v>342.05</v>
      </c>
      <c r="F715" s="116">
        <v>1709.45</v>
      </c>
      <c r="G715">
        <v>5749</v>
      </c>
      <c r="H715" s="116"/>
      <c r="I715" s="116"/>
      <c r="L715" s="163">
        <v>43054</v>
      </c>
      <c r="M715" s="116">
        <v>341.28</v>
      </c>
      <c r="N715" s="116">
        <v>347.66</v>
      </c>
      <c r="O715" s="116">
        <v>338.8</v>
      </c>
      <c r="P715" s="116">
        <v>343</v>
      </c>
      <c r="Q715" s="116">
        <v>1706.4</v>
      </c>
      <c r="R715">
        <v>170746</v>
      </c>
    </row>
    <row r="716" spans="1:18" x14ac:dyDescent="0.25">
      <c r="A716" s="163">
        <v>43055</v>
      </c>
      <c r="B716" s="116">
        <v>350.64</v>
      </c>
      <c r="C716" s="116">
        <v>348.26</v>
      </c>
      <c r="D716" s="116">
        <v>340</v>
      </c>
      <c r="E716" s="116">
        <v>342.85</v>
      </c>
      <c r="F716" s="116">
        <v>1741.3</v>
      </c>
      <c r="G716">
        <v>6422</v>
      </c>
      <c r="H716" s="116"/>
      <c r="I716" s="116"/>
      <c r="L716" s="163">
        <v>43055</v>
      </c>
      <c r="M716" s="116">
        <v>348.42</v>
      </c>
      <c r="N716" s="116">
        <v>350.99</v>
      </c>
      <c r="O716" s="116">
        <v>339.88</v>
      </c>
      <c r="P716" s="116">
        <v>341.2</v>
      </c>
      <c r="Q716" s="116">
        <v>1742.1</v>
      </c>
      <c r="R716">
        <v>148790</v>
      </c>
    </row>
    <row r="717" spans="1:18" x14ac:dyDescent="0.25">
      <c r="A717" s="163">
        <v>43056</v>
      </c>
      <c r="B717" s="116">
        <v>359.8</v>
      </c>
      <c r="C717" s="116">
        <v>354.59</v>
      </c>
      <c r="D717" s="116">
        <v>345.7</v>
      </c>
      <c r="E717" s="116">
        <v>350</v>
      </c>
      <c r="F717" s="116">
        <v>1772.95</v>
      </c>
      <c r="G717">
        <v>25196</v>
      </c>
      <c r="H717" s="116"/>
      <c r="I717" s="116"/>
      <c r="L717" s="163">
        <v>43056</v>
      </c>
      <c r="M717" s="116">
        <v>354.61</v>
      </c>
      <c r="N717" s="116">
        <v>360</v>
      </c>
      <c r="O717" s="116">
        <v>345.43</v>
      </c>
      <c r="P717" s="116">
        <v>350</v>
      </c>
      <c r="Q717" s="116">
        <v>1773.05</v>
      </c>
      <c r="R717">
        <v>318256</v>
      </c>
    </row>
    <row r="718" spans="1:18" x14ac:dyDescent="0.25">
      <c r="A718" s="163">
        <v>43059</v>
      </c>
      <c r="B718" s="116">
        <v>360.76</v>
      </c>
      <c r="C718" s="116">
        <v>352.09</v>
      </c>
      <c r="D718" s="116">
        <v>342.37</v>
      </c>
      <c r="E718" s="116">
        <v>352.8</v>
      </c>
      <c r="F718" s="116">
        <v>1760.45</v>
      </c>
      <c r="G718">
        <v>12404</v>
      </c>
      <c r="H718" s="116"/>
      <c r="I718" s="116"/>
      <c r="L718" s="163">
        <v>43059</v>
      </c>
      <c r="M718" s="116">
        <v>351.57</v>
      </c>
      <c r="N718" s="116">
        <v>359</v>
      </c>
      <c r="O718" s="116">
        <v>346.55</v>
      </c>
      <c r="P718" s="116">
        <v>355</v>
      </c>
      <c r="Q718" s="116">
        <v>1757.85</v>
      </c>
      <c r="R718">
        <v>167794</v>
      </c>
    </row>
    <row r="719" spans="1:18" x14ac:dyDescent="0.25">
      <c r="A719" s="163">
        <v>43060</v>
      </c>
      <c r="B719" s="116">
        <v>359.6</v>
      </c>
      <c r="C719" s="116">
        <v>353.19</v>
      </c>
      <c r="D719" s="116">
        <v>350.92</v>
      </c>
      <c r="E719" s="116">
        <v>354.57</v>
      </c>
      <c r="F719" s="116">
        <v>1765.95</v>
      </c>
      <c r="G719">
        <v>8044</v>
      </c>
      <c r="H719" s="116"/>
      <c r="I719" s="116"/>
      <c r="L719" s="163">
        <v>43060</v>
      </c>
      <c r="M719" s="116">
        <v>352.41</v>
      </c>
      <c r="N719" s="116">
        <v>359.58</v>
      </c>
      <c r="O719" s="116">
        <v>350.41</v>
      </c>
      <c r="P719" s="116">
        <v>353.8</v>
      </c>
      <c r="Q719" s="116">
        <v>1762.05</v>
      </c>
      <c r="R719">
        <v>273439</v>
      </c>
    </row>
    <row r="720" spans="1:18" x14ac:dyDescent="0.25">
      <c r="A720" s="163">
        <v>43061</v>
      </c>
      <c r="B720" s="116">
        <v>358.07</v>
      </c>
      <c r="C720" s="116">
        <v>355.88</v>
      </c>
      <c r="D720" s="116">
        <v>351</v>
      </c>
      <c r="E720" s="116">
        <v>355.29</v>
      </c>
      <c r="F720" s="116">
        <v>1779.4</v>
      </c>
      <c r="G720">
        <v>12277</v>
      </c>
      <c r="H720" s="116"/>
      <c r="I720" s="116"/>
      <c r="L720" s="163">
        <v>43061</v>
      </c>
      <c r="M720" s="116">
        <v>356.08</v>
      </c>
      <c r="N720" s="116">
        <v>358.36</v>
      </c>
      <c r="O720" s="116">
        <v>350.41</v>
      </c>
      <c r="P720" s="116">
        <v>354.88</v>
      </c>
      <c r="Q720" s="116">
        <v>1780.4</v>
      </c>
      <c r="R720">
        <v>241972</v>
      </c>
    </row>
    <row r="721" spans="1:18" x14ac:dyDescent="0.25">
      <c r="A721" s="163">
        <v>43062</v>
      </c>
      <c r="B721" s="116">
        <v>374.6</v>
      </c>
      <c r="C721" s="116">
        <v>372.29</v>
      </c>
      <c r="D721" s="116">
        <v>356.01</v>
      </c>
      <c r="E721" s="116">
        <v>356.01</v>
      </c>
      <c r="F721" s="116">
        <v>1861.45</v>
      </c>
      <c r="G721">
        <v>65033</v>
      </c>
      <c r="H721" s="116"/>
      <c r="I721" s="116"/>
      <c r="L721" s="163">
        <v>43062</v>
      </c>
      <c r="M721" s="116">
        <v>373.08</v>
      </c>
      <c r="N721" s="116">
        <v>375.36</v>
      </c>
      <c r="O721" s="116">
        <v>357.47</v>
      </c>
      <c r="P721" s="116">
        <v>358</v>
      </c>
      <c r="Q721" s="116">
        <v>1865.4</v>
      </c>
      <c r="R721">
        <v>1335537</v>
      </c>
    </row>
    <row r="722" spans="1:18" x14ac:dyDescent="0.25">
      <c r="A722" s="163">
        <v>43063</v>
      </c>
      <c r="B722" s="116">
        <v>377.75</v>
      </c>
      <c r="C722" s="116">
        <v>369.87</v>
      </c>
      <c r="D722" s="116">
        <v>368.5</v>
      </c>
      <c r="E722" s="116">
        <v>371</v>
      </c>
      <c r="F722" s="116">
        <v>1849.35</v>
      </c>
      <c r="G722">
        <v>24138</v>
      </c>
      <c r="H722" s="116"/>
      <c r="I722" s="116"/>
      <c r="L722" s="163">
        <v>43063</v>
      </c>
      <c r="M722" s="116">
        <v>369.61</v>
      </c>
      <c r="N722" s="116">
        <v>377.98</v>
      </c>
      <c r="O722" s="116">
        <v>367.44</v>
      </c>
      <c r="P722" s="116">
        <v>372</v>
      </c>
      <c r="Q722" s="116">
        <v>1848.05</v>
      </c>
      <c r="R722">
        <v>539673</v>
      </c>
    </row>
    <row r="723" spans="1:18" x14ac:dyDescent="0.25">
      <c r="A723" s="163">
        <v>43066</v>
      </c>
      <c r="B723" s="116">
        <v>375.45</v>
      </c>
      <c r="C723" s="116">
        <v>370.93</v>
      </c>
      <c r="D723" s="116">
        <v>367.13</v>
      </c>
      <c r="E723" s="116">
        <v>368.53</v>
      </c>
      <c r="F723" s="116">
        <v>1854.65</v>
      </c>
      <c r="G723">
        <v>19361</v>
      </c>
      <c r="H723" s="116"/>
      <c r="I723" s="116"/>
      <c r="L723" s="163">
        <v>43066</v>
      </c>
      <c r="M723" s="116">
        <v>371.42</v>
      </c>
      <c r="N723" s="116">
        <v>375.8</v>
      </c>
      <c r="O723" s="116">
        <v>367.24</v>
      </c>
      <c r="P723" s="116">
        <v>369.22</v>
      </c>
      <c r="Q723" s="116">
        <v>1857.1</v>
      </c>
      <c r="R723">
        <v>226695</v>
      </c>
    </row>
    <row r="724" spans="1:18" x14ac:dyDescent="0.25">
      <c r="A724" s="163">
        <v>43067</v>
      </c>
      <c r="B724" s="116">
        <v>381.52</v>
      </c>
      <c r="C724" s="116">
        <v>375.27</v>
      </c>
      <c r="D724" s="116">
        <v>370.46</v>
      </c>
      <c r="E724" s="116">
        <v>370.46</v>
      </c>
      <c r="F724" s="116">
        <v>1876.35</v>
      </c>
      <c r="G724">
        <v>26968</v>
      </c>
      <c r="H724" s="116"/>
      <c r="I724" s="116"/>
      <c r="L724" s="163">
        <v>43067</v>
      </c>
      <c r="M724" s="116">
        <v>375.34</v>
      </c>
      <c r="N724" s="116">
        <v>381.98</v>
      </c>
      <c r="O724" s="116">
        <v>371.45</v>
      </c>
      <c r="P724" s="116">
        <v>372</v>
      </c>
      <c r="Q724" s="116">
        <v>1876.7</v>
      </c>
      <c r="R724">
        <v>548575</v>
      </c>
    </row>
    <row r="725" spans="1:18" x14ac:dyDescent="0.25">
      <c r="A725" s="163">
        <v>43068</v>
      </c>
      <c r="B725" s="116">
        <v>378.34</v>
      </c>
      <c r="C725" s="116">
        <v>371.56</v>
      </c>
      <c r="D725" s="116">
        <v>370.54</v>
      </c>
      <c r="E725" s="116">
        <v>374.31</v>
      </c>
      <c r="F725" s="116">
        <v>1857.8</v>
      </c>
      <c r="G725">
        <v>8965</v>
      </c>
      <c r="H725" s="116"/>
      <c r="I725" s="116"/>
      <c r="L725" s="163">
        <v>43068</v>
      </c>
      <c r="M725" s="116">
        <v>371.66</v>
      </c>
      <c r="N725" s="116">
        <v>378.75</v>
      </c>
      <c r="O725" s="116">
        <v>370.34</v>
      </c>
      <c r="P725" s="116">
        <v>375.6</v>
      </c>
      <c r="Q725" s="116">
        <v>1858.3</v>
      </c>
      <c r="R725">
        <v>185537</v>
      </c>
    </row>
    <row r="726" spans="1:18" x14ac:dyDescent="0.25">
      <c r="A726" s="163">
        <v>43069</v>
      </c>
      <c r="B726" s="116">
        <v>372.94</v>
      </c>
      <c r="C726" s="116">
        <v>365.84</v>
      </c>
      <c r="D726" s="116">
        <v>364.4</v>
      </c>
      <c r="E726" s="116">
        <v>370</v>
      </c>
      <c r="F726" s="116">
        <v>1829.2</v>
      </c>
      <c r="G726">
        <v>8118</v>
      </c>
      <c r="H726" s="116"/>
      <c r="I726" s="116"/>
      <c r="L726" s="163">
        <v>43069</v>
      </c>
      <c r="M726" s="116">
        <v>366.28</v>
      </c>
      <c r="N726" s="116">
        <v>373</v>
      </c>
      <c r="O726" s="116">
        <v>364.3</v>
      </c>
      <c r="P726" s="116">
        <v>370.48</v>
      </c>
      <c r="Q726" s="116">
        <v>1831.4</v>
      </c>
      <c r="R726">
        <v>140539</v>
      </c>
    </row>
    <row r="727" spans="1:18" x14ac:dyDescent="0.25">
      <c r="A727" s="163">
        <v>43070</v>
      </c>
      <c r="B727" s="116">
        <v>373.4</v>
      </c>
      <c r="C727" s="116">
        <v>366.1</v>
      </c>
      <c r="D727" s="116">
        <v>365.01</v>
      </c>
      <c r="E727" s="116">
        <v>367.16</v>
      </c>
      <c r="F727" s="116">
        <v>1830.5</v>
      </c>
      <c r="G727">
        <v>9838</v>
      </c>
      <c r="H727" s="116"/>
      <c r="I727" s="116"/>
      <c r="L727" s="163">
        <v>43070</v>
      </c>
      <c r="M727" s="116">
        <v>366.04</v>
      </c>
      <c r="N727" s="116">
        <v>373.39</v>
      </c>
      <c r="O727" s="116">
        <v>365.2</v>
      </c>
      <c r="P727" s="116">
        <v>365.6</v>
      </c>
      <c r="Q727" s="116">
        <v>1830.2</v>
      </c>
      <c r="R727">
        <v>166493</v>
      </c>
    </row>
    <row r="728" spans="1:18" x14ac:dyDescent="0.25">
      <c r="A728" s="163">
        <v>43073</v>
      </c>
      <c r="B728" s="116">
        <v>371.8</v>
      </c>
      <c r="C728" s="116">
        <v>358.94</v>
      </c>
      <c r="D728" s="116">
        <v>355.54</v>
      </c>
      <c r="E728" s="116">
        <v>367.15</v>
      </c>
      <c r="F728" s="116">
        <v>1794.7</v>
      </c>
      <c r="G728">
        <v>9314</v>
      </c>
      <c r="H728" s="116"/>
      <c r="I728" s="116"/>
      <c r="L728" s="163">
        <v>43073</v>
      </c>
      <c r="M728" s="116">
        <v>358.35</v>
      </c>
      <c r="N728" s="116">
        <v>368.58</v>
      </c>
      <c r="O728" s="116">
        <v>354.93</v>
      </c>
      <c r="P728" s="116">
        <v>366.67</v>
      </c>
      <c r="Q728" s="116">
        <v>1791.75</v>
      </c>
      <c r="R728">
        <v>172981</v>
      </c>
    </row>
    <row r="729" spans="1:18" x14ac:dyDescent="0.25">
      <c r="A729" s="163">
        <v>43074</v>
      </c>
      <c r="B729" s="116">
        <v>368.8</v>
      </c>
      <c r="C729" s="116">
        <v>366.37</v>
      </c>
      <c r="D729" s="116">
        <v>352.61</v>
      </c>
      <c r="E729" s="116">
        <v>360.6</v>
      </c>
      <c r="F729" s="116">
        <v>1831.85</v>
      </c>
      <c r="G729">
        <v>18084</v>
      </c>
      <c r="H729" s="116"/>
      <c r="I729" s="116"/>
      <c r="L729" s="163">
        <v>43074</v>
      </c>
      <c r="M729" s="116">
        <v>365.81</v>
      </c>
      <c r="N729" s="116">
        <v>369.65</v>
      </c>
      <c r="O729" s="116">
        <v>351.9</v>
      </c>
      <c r="P729" s="116">
        <v>358.6</v>
      </c>
      <c r="Q729" s="116">
        <v>1829.05</v>
      </c>
      <c r="R729">
        <v>236145</v>
      </c>
    </row>
    <row r="730" spans="1:18" x14ac:dyDescent="0.25">
      <c r="A730" s="163">
        <v>43075</v>
      </c>
      <c r="B730" s="116">
        <v>371.99</v>
      </c>
      <c r="C730" s="116">
        <v>357.22</v>
      </c>
      <c r="D730" s="116">
        <v>354</v>
      </c>
      <c r="E730" s="116">
        <v>369.6</v>
      </c>
      <c r="F730" s="116">
        <v>1786.1</v>
      </c>
      <c r="G730">
        <v>24758</v>
      </c>
      <c r="H730" s="116"/>
      <c r="I730" s="116"/>
      <c r="L730" s="163">
        <v>43075</v>
      </c>
      <c r="M730" s="116">
        <v>355.86</v>
      </c>
      <c r="N730" s="116">
        <v>371.6</v>
      </c>
      <c r="O730" s="116">
        <v>351.8</v>
      </c>
      <c r="P730" s="116">
        <v>365.81</v>
      </c>
      <c r="Q730" s="116">
        <v>1779.3</v>
      </c>
      <c r="R730">
        <v>285803</v>
      </c>
    </row>
    <row r="731" spans="1:18" x14ac:dyDescent="0.25">
      <c r="A731" s="163">
        <v>43076</v>
      </c>
      <c r="B731" s="116">
        <v>364.79</v>
      </c>
      <c r="C731" s="116">
        <v>361.25</v>
      </c>
      <c r="D731" s="116">
        <v>356.02</v>
      </c>
      <c r="E731" s="116">
        <v>358.6</v>
      </c>
      <c r="F731" s="116">
        <v>1806.25</v>
      </c>
      <c r="G731">
        <v>10569</v>
      </c>
      <c r="H731" s="116"/>
      <c r="I731" s="116"/>
      <c r="L731" s="163">
        <v>43076</v>
      </c>
      <c r="M731" s="116">
        <v>361.59</v>
      </c>
      <c r="N731" s="116">
        <v>364.59</v>
      </c>
      <c r="O731" s="116">
        <v>356.29</v>
      </c>
      <c r="P731" s="116">
        <v>358.6</v>
      </c>
      <c r="Q731" s="116">
        <v>1807.95</v>
      </c>
      <c r="R731">
        <v>183863</v>
      </c>
    </row>
    <row r="732" spans="1:18" x14ac:dyDescent="0.25">
      <c r="A732" s="163">
        <v>43077</v>
      </c>
      <c r="B732" s="116">
        <v>369</v>
      </c>
      <c r="C732" s="116">
        <v>365.08</v>
      </c>
      <c r="D732" s="116">
        <v>362.86</v>
      </c>
      <c r="E732" s="116">
        <v>363.99</v>
      </c>
      <c r="F732" s="116">
        <v>1825.4</v>
      </c>
      <c r="G732">
        <v>13394</v>
      </c>
      <c r="H732" s="116"/>
      <c r="I732" s="116"/>
      <c r="L732" s="163">
        <v>43077</v>
      </c>
      <c r="M732" s="116">
        <v>365.04</v>
      </c>
      <c r="N732" s="116">
        <v>369.79</v>
      </c>
      <c r="O732" s="116">
        <v>362.24</v>
      </c>
      <c r="P732" s="116">
        <v>363.98</v>
      </c>
      <c r="Q732" s="116">
        <v>1825.2</v>
      </c>
      <c r="R732">
        <v>228131</v>
      </c>
    </row>
    <row r="733" spans="1:18" x14ac:dyDescent="0.25">
      <c r="A733" s="163">
        <v>43080</v>
      </c>
      <c r="B733" s="116">
        <v>371.83</v>
      </c>
      <c r="C733" s="116">
        <v>367.16</v>
      </c>
      <c r="D733" s="116">
        <v>365.83</v>
      </c>
      <c r="E733" s="116">
        <v>366.1</v>
      </c>
      <c r="F733" s="116">
        <v>1835.8</v>
      </c>
      <c r="G733">
        <v>10423</v>
      </c>
      <c r="H733" s="116"/>
      <c r="I733" s="116"/>
      <c r="L733" s="163">
        <v>43080</v>
      </c>
      <c r="M733" s="116">
        <v>368.06</v>
      </c>
      <c r="N733" s="116">
        <v>372.35</v>
      </c>
      <c r="O733" s="116">
        <v>365.21</v>
      </c>
      <c r="P733" s="116">
        <v>368</v>
      </c>
      <c r="Q733" s="116">
        <v>1840.3</v>
      </c>
      <c r="R733">
        <v>132308</v>
      </c>
    </row>
    <row r="734" spans="1:18" x14ac:dyDescent="0.25">
      <c r="A734" s="163">
        <v>43081</v>
      </c>
      <c r="B734" s="116">
        <v>373.95</v>
      </c>
      <c r="C734" s="116">
        <v>369.44</v>
      </c>
      <c r="D734" s="116">
        <v>365.49</v>
      </c>
      <c r="E734" s="116">
        <v>365.49</v>
      </c>
      <c r="F734" s="116">
        <v>1847.2</v>
      </c>
      <c r="G734">
        <v>16312</v>
      </c>
      <c r="H734" s="116"/>
      <c r="I734" s="116"/>
      <c r="L734" s="163">
        <v>43081</v>
      </c>
      <c r="M734" s="116">
        <v>370.44</v>
      </c>
      <c r="N734" s="116">
        <v>374.4</v>
      </c>
      <c r="O734" s="116">
        <v>364.09</v>
      </c>
      <c r="P734" s="116">
        <v>366.6</v>
      </c>
      <c r="Q734" s="116">
        <v>1852.2</v>
      </c>
      <c r="R734">
        <v>305182</v>
      </c>
    </row>
    <row r="735" spans="1:18" x14ac:dyDescent="0.25">
      <c r="A735" s="163">
        <v>43082</v>
      </c>
      <c r="B735" s="116">
        <v>373.99</v>
      </c>
      <c r="C735" s="116">
        <v>361.65</v>
      </c>
      <c r="D735" s="116">
        <v>360.8</v>
      </c>
      <c r="E735" s="116">
        <v>364.2</v>
      </c>
      <c r="F735" s="116">
        <v>1808.25</v>
      </c>
      <c r="G735">
        <v>16486</v>
      </c>
      <c r="H735" s="116"/>
      <c r="I735" s="116"/>
      <c r="L735" s="163">
        <v>43082</v>
      </c>
      <c r="M735" s="116">
        <v>361.69</v>
      </c>
      <c r="N735" s="116">
        <v>374.39</v>
      </c>
      <c r="O735" s="116">
        <v>360.2</v>
      </c>
      <c r="P735" s="116">
        <v>368.4</v>
      </c>
      <c r="Q735" s="116">
        <v>1808.45</v>
      </c>
      <c r="R735">
        <v>169015</v>
      </c>
    </row>
    <row r="736" spans="1:18" x14ac:dyDescent="0.25">
      <c r="A736" s="163">
        <v>43083</v>
      </c>
      <c r="B736" s="116">
        <v>368.35</v>
      </c>
      <c r="C736" s="116">
        <v>362.27</v>
      </c>
      <c r="D736" s="116">
        <v>356.51</v>
      </c>
      <c r="E736" s="116">
        <v>364.86</v>
      </c>
      <c r="F736" s="116">
        <v>1811.35</v>
      </c>
      <c r="G736">
        <v>8510</v>
      </c>
      <c r="H736" s="116"/>
      <c r="I736" s="116"/>
      <c r="L736" s="163">
        <v>43083</v>
      </c>
      <c r="M736" s="116">
        <v>363.35</v>
      </c>
      <c r="N736" s="116">
        <v>367</v>
      </c>
      <c r="O736" s="116">
        <v>356.17</v>
      </c>
      <c r="P736" s="116">
        <v>362</v>
      </c>
      <c r="Q736" s="116">
        <v>1816.75</v>
      </c>
      <c r="R736">
        <v>195450</v>
      </c>
    </row>
    <row r="737" spans="1:18" x14ac:dyDescent="0.25">
      <c r="A737" s="163">
        <v>43084</v>
      </c>
      <c r="B737" s="116">
        <v>377.3</v>
      </c>
      <c r="C737" s="116">
        <v>373.61</v>
      </c>
      <c r="D737" s="116">
        <v>365.54</v>
      </c>
      <c r="E737" s="116">
        <v>366.02</v>
      </c>
      <c r="F737" s="116">
        <v>1868.05</v>
      </c>
      <c r="G737">
        <v>15513</v>
      </c>
      <c r="H737" s="116"/>
      <c r="I737" s="116"/>
      <c r="L737" s="163">
        <v>43084</v>
      </c>
      <c r="M737" s="116">
        <v>374.81</v>
      </c>
      <c r="N737" s="116">
        <v>378.36</v>
      </c>
      <c r="O737" s="116">
        <v>363.35</v>
      </c>
      <c r="P737" s="116">
        <v>367.4</v>
      </c>
      <c r="Q737" s="116">
        <v>1874.05</v>
      </c>
      <c r="R737">
        <v>409910</v>
      </c>
    </row>
    <row r="738" spans="1:18" x14ac:dyDescent="0.25">
      <c r="A738" s="163">
        <v>43087</v>
      </c>
      <c r="B738" s="116">
        <v>382</v>
      </c>
      <c r="C738" s="116">
        <v>377.54</v>
      </c>
      <c r="D738" s="116">
        <v>361.33</v>
      </c>
      <c r="E738" s="116">
        <v>369</v>
      </c>
      <c r="F738" s="116">
        <v>1887.7</v>
      </c>
      <c r="G738">
        <v>23297</v>
      </c>
      <c r="H738" s="116"/>
      <c r="I738" s="116"/>
      <c r="L738" s="163">
        <v>43087</v>
      </c>
      <c r="M738" s="116">
        <v>377.48</v>
      </c>
      <c r="N738" s="116">
        <v>382.64</v>
      </c>
      <c r="O738" s="116">
        <v>360</v>
      </c>
      <c r="P738" s="116">
        <v>373.76</v>
      </c>
      <c r="Q738" s="116">
        <v>1887.4</v>
      </c>
      <c r="R738">
        <v>261275</v>
      </c>
    </row>
    <row r="739" spans="1:18" x14ac:dyDescent="0.25">
      <c r="A739" s="163">
        <v>43088</v>
      </c>
      <c r="B739" s="116">
        <v>388</v>
      </c>
      <c r="C739" s="116">
        <v>385.63</v>
      </c>
      <c r="D739" s="116">
        <v>376.8</v>
      </c>
      <c r="E739" s="116">
        <v>378</v>
      </c>
      <c r="F739" s="116">
        <v>1928.15</v>
      </c>
      <c r="G739">
        <v>26823</v>
      </c>
      <c r="H739" s="116"/>
      <c r="I739" s="116"/>
      <c r="L739" s="163">
        <v>43088</v>
      </c>
      <c r="M739" s="116">
        <v>385.35</v>
      </c>
      <c r="N739" s="116">
        <v>387.28</v>
      </c>
      <c r="O739" s="116">
        <v>374.61</v>
      </c>
      <c r="P739" s="116">
        <v>379</v>
      </c>
      <c r="Q739" s="116">
        <v>1926.75</v>
      </c>
      <c r="R739">
        <v>334566</v>
      </c>
    </row>
    <row r="740" spans="1:18" x14ac:dyDescent="0.25">
      <c r="A740" s="163">
        <v>43089</v>
      </c>
      <c r="B740" s="116">
        <v>389.8</v>
      </c>
      <c r="C740" s="116">
        <v>383.92</v>
      </c>
      <c r="D740" s="116">
        <v>382</v>
      </c>
      <c r="E740" s="116">
        <v>389</v>
      </c>
      <c r="F740" s="116">
        <v>1919.6</v>
      </c>
      <c r="G740">
        <v>14251</v>
      </c>
      <c r="H740" s="116"/>
      <c r="I740" s="116"/>
      <c r="L740" s="163">
        <v>43089</v>
      </c>
      <c r="M740" s="116">
        <v>383.41</v>
      </c>
      <c r="N740" s="116">
        <v>389.29</v>
      </c>
      <c r="O740" s="116">
        <v>382.26</v>
      </c>
      <c r="P740" s="116">
        <v>386.78</v>
      </c>
      <c r="Q740" s="116">
        <v>1917.05</v>
      </c>
      <c r="R740">
        <v>220185</v>
      </c>
    </row>
    <row r="741" spans="1:18" x14ac:dyDescent="0.25">
      <c r="A741" s="163">
        <v>43090</v>
      </c>
      <c r="B741" s="116">
        <v>391.6</v>
      </c>
      <c r="C741" s="116">
        <v>389.02</v>
      </c>
      <c r="D741" s="116">
        <v>381</v>
      </c>
      <c r="E741" s="116">
        <v>386.13</v>
      </c>
      <c r="F741" s="116">
        <v>1945.1</v>
      </c>
      <c r="G741">
        <v>11349</v>
      </c>
      <c r="H741" s="116"/>
      <c r="I741" s="116"/>
      <c r="L741" s="163">
        <v>43090</v>
      </c>
      <c r="M741" s="116">
        <v>389.36</v>
      </c>
      <c r="N741" s="116">
        <v>391.98</v>
      </c>
      <c r="O741" s="116">
        <v>380.6</v>
      </c>
      <c r="P741" s="116">
        <v>386</v>
      </c>
      <c r="Q741" s="116">
        <v>1946.8</v>
      </c>
      <c r="R741">
        <v>228317</v>
      </c>
    </row>
    <row r="742" spans="1:18" x14ac:dyDescent="0.25">
      <c r="A742" s="163">
        <v>43091</v>
      </c>
      <c r="B742" s="116">
        <v>394.99</v>
      </c>
      <c r="C742" s="116">
        <v>390.96</v>
      </c>
      <c r="D742" s="116">
        <v>384.09</v>
      </c>
      <c r="E742" s="116">
        <v>390.2</v>
      </c>
      <c r="F742" s="116">
        <v>1954.8</v>
      </c>
      <c r="G742">
        <v>15619</v>
      </c>
      <c r="H742" s="116"/>
      <c r="I742" s="116"/>
      <c r="L742" s="163">
        <v>43091</v>
      </c>
      <c r="M742" s="116">
        <v>391.4</v>
      </c>
      <c r="N742" s="116">
        <v>395.6</v>
      </c>
      <c r="O742" s="116">
        <v>388.81</v>
      </c>
      <c r="P742" s="116">
        <v>389.4</v>
      </c>
      <c r="Q742" s="116">
        <v>1957</v>
      </c>
      <c r="R742">
        <v>264063</v>
      </c>
    </row>
    <row r="743" spans="1:18" x14ac:dyDescent="0.25">
      <c r="A743" s="163">
        <v>43095</v>
      </c>
      <c r="B743" s="116">
        <v>393.57</v>
      </c>
      <c r="C743" s="116">
        <v>389.65</v>
      </c>
      <c r="D743" s="116">
        <v>385.66</v>
      </c>
      <c r="E743" s="116">
        <v>390.78</v>
      </c>
      <c r="F743" s="116">
        <v>1948.25</v>
      </c>
      <c r="G743">
        <v>6236</v>
      </c>
      <c r="H743" s="116"/>
      <c r="I743" s="116"/>
      <c r="L743" s="163">
        <v>43095</v>
      </c>
      <c r="M743" s="116">
        <v>390.15</v>
      </c>
      <c r="N743" s="116">
        <v>393.62</v>
      </c>
      <c r="O743" s="116">
        <v>387.62</v>
      </c>
      <c r="P743" s="116">
        <v>390.94</v>
      </c>
      <c r="Q743" s="116">
        <v>1950.75</v>
      </c>
      <c r="R743">
        <v>133606</v>
      </c>
    </row>
    <row r="744" spans="1:18" x14ac:dyDescent="0.25">
      <c r="A744" s="163">
        <v>43096</v>
      </c>
      <c r="B744" s="116">
        <v>391.99</v>
      </c>
      <c r="C744" s="116">
        <v>389.49</v>
      </c>
      <c r="D744" s="116">
        <v>388</v>
      </c>
      <c r="E744" s="116">
        <v>390.63</v>
      </c>
      <c r="F744" s="116">
        <v>1947.45</v>
      </c>
      <c r="G744">
        <v>8206</v>
      </c>
      <c r="H744" s="116"/>
      <c r="I744" s="116"/>
      <c r="L744" s="163">
        <v>43096</v>
      </c>
      <c r="M744" s="116">
        <v>389.76</v>
      </c>
      <c r="N744" s="116">
        <v>392.78</v>
      </c>
      <c r="O744" s="116">
        <v>387.73</v>
      </c>
      <c r="P744" s="116">
        <v>389.2</v>
      </c>
      <c r="Q744" s="116">
        <v>1948.8</v>
      </c>
      <c r="R744">
        <v>119840</v>
      </c>
    </row>
    <row r="745" spans="1:18" x14ac:dyDescent="0.25">
      <c r="A745" s="163">
        <v>43097</v>
      </c>
      <c r="B745" s="116">
        <v>391.83</v>
      </c>
      <c r="C745" s="116">
        <v>388.83</v>
      </c>
      <c r="D745" s="116">
        <v>384.18</v>
      </c>
      <c r="E745" s="116">
        <v>390.8</v>
      </c>
      <c r="F745" s="116">
        <v>1944.15</v>
      </c>
      <c r="G745">
        <v>4387</v>
      </c>
      <c r="H745" s="116"/>
      <c r="I745" s="116"/>
      <c r="L745" s="163">
        <v>43097</v>
      </c>
      <c r="M745" s="116">
        <v>389.95</v>
      </c>
      <c r="N745" s="116">
        <v>392.19</v>
      </c>
      <c r="O745" s="116">
        <v>388.33</v>
      </c>
      <c r="P745" s="116">
        <v>389.6</v>
      </c>
      <c r="Q745" s="116">
        <v>1949.75</v>
      </c>
      <c r="R745">
        <v>103632</v>
      </c>
    </row>
    <row r="746" spans="1:18" x14ac:dyDescent="0.25">
      <c r="A746" s="163">
        <v>43098</v>
      </c>
      <c r="B746" s="116">
        <v>399.4</v>
      </c>
      <c r="C746" s="116">
        <v>396.82</v>
      </c>
      <c r="D746" s="116">
        <v>390.27</v>
      </c>
      <c r="E746" s="116">
        <v>390.29</v>
      </c>
      <c r="F746" s="116">
        <v>1984.1</v>
      </c>
      <c r="G746">
        <v>18487</v>
      </c>
      <c r="H746" s="116"/>
      <c r="I746" s="116"/>
      <c r="L746" s="163">
        <v>43098</v>
      </c>
      <c r="M746" s="116">
        <v>396.24</v>
      </c>
      <c r="N746" s="116">
        <v>399.91</v>
      </c>
      <c r="O746" s="116">
        <v>389.98</v>
      </c>
      <c r="P746" s="116">
        <v>390.48</v>
      </c>
      <c r="Q746" s="116">
        <v>1981.2</v>
      </c>
      <c r="R746">
        <v>349851</v>
      </c>
    </row>
    <row r="747" spans="1:18" x14ac:dyDescent="0.25">
      <c r="A747" s="163">
        <v>43101</v>
      </c>
      <c r="B747" s="116">
        <v>399.77</v>
      </c>
      <c r="C747" s="116">
        <v>393.77</v>
      </c>
      <c r="D747" s="116">
        <v>393</v>
      </c>
      <c r="E747" s="116">
        <v>397.99</v>
      </c>
      <c r="F747" s="116">
        <v>1968.85</v>
      </c>
      <c r="G747">
        <v>5875</v>
      </c>
      <c r="H747" s="116"/>
      <c r="I747" s="116"/>
      <c r="L747" s="163">
        <v>43101</v>
      </c>
      <c r="M747" s="116">
        <v>393.44</v>
      </c>
      <c r="N747" s="116">
        <v>404.4</v>
      </c>
      <c r="O747" s="116">
        <v>392.83</v>
      </c>
      <c r="P747" s="116">
        <v>396.4</v>
      </c>
      <c r="Q747" s="116">
        <v>1967.2</v>
      </c>
      <c r="R747">
        <v>117434</v>
      </c>
    </row>
    <row r="748" spans="1:18" x14ac:dyDescent="0.25">
      <c r="A748" s="163">
        <v>43102</v>
      </c>
      <c r="B748" s="116">
        <v>396.97</v>
      </c>
      <c r="C748" s="116">
        <v>389.5</v>
      </c>
      <c r="D748" s="116">
        <v>385.6</v>
      </c>
      <c r="E748" s="116">
        <v>396.86</v>
      </c>
      <c r="F748" s="116">
        <v>1947.5</v>
      </c>
      <c r="G748">
        <v>8488</v>
      </c>
      <c r="H748" s="116"/>
      <c r="I748" s="116"/>
      <c r="L748" s="163">
        <v>43102</v>
      </c>
      <c r="M748" s="116">
        <v>389.1</v>
      </c>
      <c r="N748" s="116">
        <v>399.18</v>
      </c>
      <c r="O748" s="116">
        <v>384.85</v>
      </c>
      <c r="P748" s="116">
        <v>395</v>
      </c>
      <c r="Q748" s="116">
        <v>1945.5</v>
      </c>
      <c r="R748">
        <v>167071</v>
      </c>
    </row>
    <row r="749" spans="1:18" x14ac:dyDescent="0.25">
      <c r="A749" s="163">
        <v>43103</v>
      </c>
      <c r="B749" s="116">
        <v>393.98</v>
      </c>
      <c r="C749" s="116">
        <v>384.11</v>
      </c>
      <c r="D749" s="116">
        <v>381.8</v>
      </c>
      <c r="E749" s="116">
        <v>390.71</v>
      </c>
      <c r="F749" s="116">
        <v>1920.55</v>
      </c>
      <c r="G749">
        <v>16777</v>
      </c>
      <c r="H749" s="116"/>
      <c r="I749" s="116"/>
      <c r="L749" s="163">
        <v>43103</v>
      </c>
      <c r="M749" s="116">
        <v>384.28</v>
      </c>
      <c r="N749" s="116">
        <v>394.2</v>
      </c>
      <c r="O749" s="116">
        <v>381.51</v>
      </c>
      <c r="P749" s="116">
        <v>389</v>
      </c>
      <c r="Q749" s="116">
        <v>1921.4</v>
      </c>
      <c r="R749">
        <v>204284</v>
      </c>
    </row>
    <row r="750" spans="1:18" x14ac:dyDescent="0.25">
      <c r="A750" s="163">
        <v>43104</v>
      </c>
      <c r="B750" s="116">
        <v>388.5</v>
      </c>
      <c r="C750" s="116">
        <v>387.07</v>
      </c>
      <c r="D750" s="116">
        <v>383</v>
      </c>
      <c r="E750" s="116">
        <v>386.26</v>
      </c>
      <c r="F750" s="116">
        <v>1935.35</v>
      </c>
      <c r="G750">
        <v>8355</v>
      </c>
      <c r="H750" s="116"/>
      <c r="I750" s="116"/>
      <c r="L750" s="163">
        <v>43104</v>
      </c>
      <c r="M750" s="116">
        <v>386.88</v>
      </c>
      <c r="N750" s="116">
        <v>388.78</v>
      </c>
      <c r="O750" s="116">
        <v>383</v>
      </c>
      <c r="P750" s="116">
        <v>385.2</v>
      </c>
      <c r="Q750" s="116">
        <v>1934.4</v>
      </c>
      <c r="R750">
        <v>141467</v>
      </c>
    </row>
    <row r="751" spans="1:18" x14ac:dyDescent="0.25">
      <c r="A751" s="163">
        <v>43105</v>
      </c>
      <c r="B751" s="116">
        <v>393.76</v>
      </c>
      <c r="C751" s="116">
        <v>390.23</v>
      </c>
      <c r="D751" s="116">
        <v>383.69</v>
      </c>
      <c r="E751" s="116">
        <v>388.12</v>
      </c>
      <c r="F751" s="116">
        <v>1951.15</v>
      </c>
      <c r="G751">
        <v>14533</v>
      </c>
      <c r="H751" s="116"/>
      <c r="I751" s="116"/>
      <c r="L751" s="163">
        <v>43105</v>
      </c>
      <c r="M751" s="116">
        <v>390.93</v>
      </c>
      <c r="N751" s="116">
        <v>394.4</v>
      </c>
      <c r="O751" s="116">
        <v>383.32</v>
      </c>
      <c r="P751" s="116">
        <v>386.2</v>
      </c>
      <c r="Q751" s="116">
        <v>1954.65</v>
      </c>
      <c r="R751">
        <v>191711</v>
      </c>
    </row>
    <row r="752" spans="1:18" x14ac:dyDescent="0.25">
      <c r="A752" s="163">
        <v>43108</v>
      </c>
      <c r="B752" s="116">
        <v>394.52</v>
      </c>
      <c r="C752" s="116">
        <v>389.82</v>
      </c>
      <c r="D752" s="116">
        <v>385.98</v>
      </c>
      <c r="E752" s="116">
        <v>391</v>
      </c>
      <c r="F752" s="116">
        <v>1949.1</v>
      </c>
      <c r="G752">
        <v>8354</v>
      </c>
      <c r="H752" s="116"/>
      <c r="I752" s="116"/>
      <c r="L752" s="163">
        <v>43108</v>
      </c>
      <c r="M752" s="116">
        <v>390.65</v>
      </c>
      <c r="N752" s="116">
        <v>394.8</v>
      </c>
      <c r="O752" s="116">
        <v>388.1</v>
      </c>
      <c r="P752" s="116">
        <v>391.04</v>
      </c>
      <c r="Q752" s="116">
        <v>1953.25</v>
      </c>
      <c r="R752">
        <v>161829</v>
      </c>
    </row>
    <row r="753" spans="1:18" x14ac:dyDescent="0.25">
      <c r="A753" s="163">
        <v>43109</v>
      </c>
      <c r="B753" s="116">
        <v>395.2</v>
      </c>
      <c r="C753" s="116">
        <v>389.72</v>
      </c>
      <c r="D753" s="116">
        <v>387.5</v>
      </c>
      <c r="E753" s="116">
        <v>390</v>
      </c>
      <c r="F753" s="116">
        <v>1948.6</v>
      </c>
      <c r="G753">
        <v>8347</v>
      </c>
      <c r="H753" s="116"/>
      <c r="I753" s="116"/>
      <c r="L753" s="163">
        <v>43109</v>
      </c>
      <c r="M753" s="116">
        <v>391.07</v>
      </c>
      <c r="N753" s="116">
        <v>395.83</v>
      </c>
      <c r="O753" s="116">
        <v>388.11</v>
      </c>
      <c r="P753" s="116">
        <v>390.04</v>
      </c>
      <c r="Q753" s="116">
        <v>1955.35</v>
      </c>
      <c r="R753">
        <v>194059</v>
      </c>
    </row>
    <row r="754" spans="1:18" x14ac:dyDescent="0.25">
      <c r="A754" s="163">
        <v>43110</v>
      </c>
      <c r="B754" s="116">
        <v>393.09</v>
      </c>
      <c r="C754" s="116">
        <v>388.26</v>
      </c>
      <c r="D754" s="116">
        <v>386.2</v>
      </c>
      <c r="E754" s="116">
        <v>393</v>
      </c>
      <c r="F754" s="116">
        <v>1941.3</v>
      </c>
      <c r="G754">
        <v>4385</v>
      </c>
      <c r="H754" s="116"/>
      <c r="I754" s="116"/>
      <c r="L754" s="163">
        <v>43110</v>
      </c>
      <c r="M754" s="116">
        <v>387.96</v>
      </c>
      <c r="N754" s="116">
        <v>394</v>
      </c>
      <c r="O754" s="116">
        <v>386.01</v>
      </c>
      <c r="P754" s="116">
        <v>391.11</v>
      </c>
      <c r="Q754" s="116">
        <v>1939.8</v>
      </c>
      <c r="R754">
        <v>108589</v>
      </c>
    </row>
    <row r="755" spans="1:18" x14ac:dyDescent="0.25">
      <c r="A755" s="163">
        <v>43111</v>
      </c>
      <c r="B755" s="116">
        <v>392</v>
      </c>
      <c r="C755" s="116">
        <v>386.61</v>
      </c>
      <c r="D755" s="116">
        <v>385.8</v>
      </c>
      <c r="E755" s="116">
        <v>388.46</v>
      </c>
      <c r="F755" s="116">
        <v>1933.05</v>
      </c>
      <c r="G755">
        <v>78815</v>
      </c>
      <c r="H755" s="116"/>
      <c r="I755" s="116"/>
      <c r="L755" s="163">
        <v>43111</v>
      </c>
      <c r="M755" s="116">
        <v>387.44</v>
      </c>
      <c r="N755" s="116">
        <v>391.76</v>
      </c>
      <c r="O755" s="116">
        <v>385.6</v>
      </c>
      <c r="P755" s="116">
        <v>389.6</v>
      </c>
      <c r="Q755" s="116">
        <v>1937.2</v>
      </c>
      <c r="R755">
        <v>161710</v>
      </c>
    </row>
    <row r="756" spans="1:18" x14ac:dyDescent="0.25">
      <c r="A756" s="163">
        <v>43112</v>
      </c>
      <c r="B756" s="116">
        <v>405</v>
      </c>
      <c r="C756" s="116">
        <v>401.35</v>
      </c>
      <c r="D756" s="116">
        <v>386.8</v>
      </c>
      <c r="E756" s="116">
        <v>386.8</v>
      </c>
      <c r="F756" s="116">
        <v>2006.75</v>
      </c>
      <c r="G756">
        <v>25676</v>
      </c>
      <c r="H756" s="116"/>
      <c r="I756" s="116"/>
      <c r="L756" s="163">
        <v>43112</v>
      </c>
      <c r="M756" s="116">
        <v>401.63</v>
      </c>
      <c r="N756" s="116">
        <v>405.34</v>
      </c>
      <c r="O756" s="116">
        <v>386.77</v>
      </c>
      <c r="P756" s="116">
        <v>387.79</v>
      </c>
      <c r="Q756" s="116">
        <v>2008.15</v>
      </c>
      <c r="R756">
        <v>563881</v>
      </c>
    </row>
    <row r="757" spans="1:18" x14ac:dyDescent="0.25">
      <c r="A757" s="163">
        <v>43115</v>
      </c>
      <c r="B757" s="116">
        <v>409</v>
      </c>
      <c r="C757" s="116">
        <v>401.11</v>
      </c>
      <c r="D757" s="116">
        <v>398.87</v>
      </c>
      <c r="E757" s="116">
        <v>403.2</v>
      </c>
      <c r="F757" s="116">
        <v>2005.55</v>
      </c>
      <c r="G757">
        <v>15535</v>
      </c>
      <c r="H757" s="116"/>
      <c r="I757" s="116"/>
      <c r="L757" s="163">
        <v>43115</v>
      </c>
      <c r="M757" s="116">
        <v>402.18</v>
      </c>
      <c r="N757" s="116">
        <v>409.69</v>
      </c>
      <c r="O757" s="116">
        <v>398.91</v>
      </c>
      <c r="P757" s="116">
        <v>405</v>
      </c>
      <c r="Q757" s="116">
        <v>2010.9</v>
      </c>
      <c r="R757">
        <v>442204</v>
      </c>
    </row>
    <row r="758" spans="1:18" x14ac:dyDescent="0.25">
      <c r="A758" s="163">
        <v>43116</v>
      </c>
      <c r="B758" s="116">
        <v>403.6</v>
      </c>
      <c r="C758" s="116">
        <v>392.77</v>
      </c>
      <c r="D758" s="116">
        <v>391</v>
      </c>
      <c r="E758" s="116">
        <v>403.6</v>
      </c>
      <c r="F758" s="116">
        <v>1963.85</v>
      </c>
      <c r="G758">
        <v>7108</v>
      </c>
      <c r="H758" s="116"/>
      <c r="I758" s="116"/>
      <c r="L758" s="163">
        <v>43116</v>
      </c>
      <c r="M758" s="116">
        <v>391.83</v>
      </c>
      <c r="N758" s="116">
        <v>403</v>
      </c>
      <c r="O758" s="116">
        <v>390.6</v>
      </c>
      <c r="P758" s="116">
        <v>400.41</v>
      </c>
      <c r="Q758" s="116">
        <v>1959.15</v>
      </c>
      <c r="R758">
        <v>165652</v>
      </c>
    </row>
    <row r="759" spans="1:18" x14ac:dyDescent="0.25">
      <c r="A759" s="163">
        <v>43117</v>
      </c>
      <c r="B759" s="116">
        <v>393.62</v>
      </c>
      <c r="C759" s="116">
        <v>390.58</v>
      </c>
      <c r="D759" s="116">
        <v>383.2</v>
      </c>
      <c r="E759" s="116">
        <v>390</v>
      </c>
      <c r="F759" s="116">
        <v>1952.9</v>
      </c>
      <c r="G759">
        <v>7926</v>
      </c>
      <c r="H759" s="116"/>
      <c r="I759" s="116"/>
      <c r="L759" s="163">
        <v>43117</v>
      </c>
      <c r="M759" s="116">
        <v>390.3</v>
      </c>
      <c r="N759" s="116">
        <v>393.94</v>
      </c>
      <c r="O759" s="116">
        <v>382</v>
      </c>
      <c r="P759" s="116">
        <v>389.98</v>
      </c>
      <c r="Q759" s="116">
        <v>1951.5</v>
      </c>
      <c r="R759">
        <v>268364</v>
      </c>
    </row>
    <row r="760" spans="1:18" x14ac:dyDescent="0.25">
      <c r="A760" s="163">
        <v>43118</v>
      </c>
      <c r="B760" s="116">
        <v>395.72</v>
      </c>
      <c r="C760" s="116">
        <v>383.59</v>
      </c>
      <c r="D760" s="116">
        <v>379.3</v>
      </c>
      <c r="E760" s="116">
        <v>393.94</v>
      </c>
      <c r="F760" s="116">
        <v>1917.95</v>
      </c>
      <c r="G760">
        <v>8231</v>
      </c>
      <c r="H760" s="116"/>
      <c r="I760" s="116"/>
      <c r="L760" s="163">
        <v>43118</v>
      </c>
      <c r="M760" s="116">
        <v>384.21</v>
      </c>
      <c r="N760" s="116">
        <v>396.62</v>
      </c>
      <c r="O760" s="116">
        <v>379.11</v>
      </c>
      <c r="P760" s="116">
        <v>395.3</v>
      </c>
      <c r="Q760" s="116">
        <v>1921.05</v>
      </c>
      <c r="R760">
        <v>151986</v>
      </c>
    </row>
    <row r="761" spans="1:18" x14ac:dyDescent="0.25">
      <c r="A761" s="163">
        <v>43119</v>
      </c>
      <c r="B761" s="116">
        <v>384.39</v>
      </c>
      <c r="C761" s="116">
        <v>381.43</v>
      </c>
      <c r="D761" s="116">
        <v>372.72</v>
      </c>
      <c r="E761" s="116">
        <v>381.81</v>
      </c>
      <c r="F761" s="116">
        <v>1907.15</v>
      </c>
      <c r="G761">
        <v>15318</v>
      </c>
      <c r="H761" s="116"/>
      <c r="I761" s="116"/>
      <c r="L761" s="163">
        <v>43119</v>
      </c>
      <c r="M761" s="116">
        <v>381.96</v>
      </c>
      <c r="N761" s="116">
        <v>384.56</v>
      </c>
      <c r="O761" s="116">
        <v>372.68</v>
      </c>
      <c r="P761" s="116">
        <v>382.99</v>
      </c>
      <c r="Q761" s="116">
        <v>1909.8</v>
      </c>
      <c r="R761">
        <v>215314</v>
      </c>
    </row>
    <row r="762" spans="1:18" x14ac:dyDescent="0.25">
      <c r="A762" s="163">
        <v>43122</v>
      </c>
      <c r="B762" s="116">
        <v>391</v>
      </c>
      <c r="C762" s="116">
        <v>389.89</v>
      </c>
      <c r="D762" s="116">
        <v>378.81</v>
      </c>
      <c r="E762" s="116">
        <v>379.08</v>
      </c>
      <c r="F762" s="116">
        <v>1949.45</v>
      </c>
      <c r="G762">
        <v>5697</v>
      </c>
      <c r="H762" s="116"/>
      <c r="I762" s="116"/>
      <c r="L762" s="163">
        <v>43122</v>
      </c>
      <c r="M762" s="116">
        <v>390.04</v>
      </c>
      <c r="N762" s="116">
        <v>391.5</v>
      </c>
      <c r="O762" s="116">
        <v>378.19</v>
      </c>
      <c r="P762" s="116">
        <v>381</v>
      </c>
      <c r="Q762" s="116">
        <v>1950.2</v>
      </c>
      <c r="R762">
        <v>156712</v>
      </c>
    </row>
    <row r="763" spans="1:18" x14ac:dyDescent="0.25">
      <c r="A763" s="163">
        <v>43123</v>
      </c>
      <c r="B763" s="116">
        <v>392.91</v>
      </c>
      <c r="C763" s="116">
        <v>390.62</v>
      </c>
      <c r="D763" s="116">
        <v>387.4</v>
      </c>
      <c r="E763" s="116">
        <v>392.1</v>
      </c>
      <c r="F763" s="116">
        <v>1953.1</v>
      </c>
      <c r="G763">
        <v>5504</v>
      </c>
      <c r="H763" s="116"/>
      <c r="I763" s="116"/>
      <c r="L763" s="163">
        <v>43123</v>
      </c>
      <c r="M763" s="116">
        <v>390.45</v>
      </c>
      <c r="N763" s="116">
        <v>393.33</v>
      </c>
      <c r="O763" s="116">
        <v>387.08</v>
      </c>
      <c r="P763" s="116">
        <v>392</v>
      </c>
      <c r="Q763" s="116">
        <v>1952.25</v>
      </c>
      <c r="R763">
        <v>142164</v>
      </c>
    </row>
    <row r="764" spans="1:18" x14ac:dyDescent="0.25">
      <c r="A764" s="163">
        <v>43124</v>
      </c>
      <c r="B764" s="116">
        <v>390.54</v>
      </c>
      <c r="C764" s="116">
        <v>380.3</v>
      </c>
      <c r="D764" s="116">
        <v>378</v>
      </c>
      <c r="E764" s="116">
        <v>389.04</v>
      </c>
      <c r="F764" s="116">
        <v>1901.5</v>
      </c>
      <c r="G764">
        <v>4455</v>
      </c>
      <c r="H764" s="116"/>
      <c r="I764" s="116"/>
      <c r="L764" s="163">
        <v>43124</v>
      </c>
      <c r="M764" s="116">
        <v>379.66</v>
      </c>
      <c r="N764" s="116">
        <v>390.23</v>
      </c>
      <c r="O764" s="116">
        <v>377.6</v>
      </c>
      <c r="P764" s="116">
        <v>390.02</v>
      </c>
      <c r="Q764" s="116">
        <v>1898.3</v>
      </c>
      <c r="R764">
        <v>108574</v>
      </c>
    </row>
    <row r="765" spans="1:18" x14ac:dyDescent="0.25">
      <c r="A765" s="163">
        <v>43125</v>
      </c>
      <c r="B765" s="116">
        <v>382.85</v>
      </c>
      <c r="C765" s="116">
        <v>368.35</v>
      </c>
      <c r="D765" s="116">
        <v>366.01</v>
      </c>
      <c r="E765" s="116">
        <v>379</v>
      </c>
      <c r="F765" s="116">
        <v>1841.75</v>
      </c>
      <c r="G765">
        <v>6655</v>
      </c>
      <c r="H765" s="116"/>
      <c r="I765" s="116"/>
      <c r="L765" s="163">
        <v>43125</v>
      </c>
      <c r="M765" s="116">
        <v>367.93</v>
      </c>
      <c r="N765" s="116">
        <v>382.99</v>
      </c>
      <c r="O765" s="116">
        <v>365.58</v>
      </c>
      <c r="P765" s="116">
        <v>378</v>
      </c>
      <c r="Q765" s="116">
        <v>1839.65</v>
      </c>
      <c r="R765">
        <v>239937</v>
      </c>
    </row>
    <row r="766" spans="1:18" x14ac:dyDescent="0.25">
      <c r="A766" s="163">
        <v>43129</v>
      </c>
      <c r="B766" s="116">
        <v>374</v>
      </c>
      <c r="C766" s="116">
        <v>367.37</v>
      </c>
      <c r="D766" s="116">
        <v>366.3</v>
      </c>
      <c r="E766" s="116">
        <v>374</v>
      </c>
      <c r="F766" s="116">
        <v>1836.85</v>
      </c>
      <c r="G766">
        <v>5414</v>
      </c>
      <c r="H766" s="116"/>
      <c r="I766" s="116"/>
      <c r="L766" s="163">
        <v>43129</v>
      </c>
      <c r="M766" s="116">
        <v>366.88</v>
      </c>
      <c r="N766" s="116">
        <v>372.94</v>
      </c>
      <c r="O766" s="116">
        <v>364.57</v>
      </c>
      <c r="P766" s="116">
        <v>371.2</v>
      </c>
      <c r="Q766" s="116">
        <v>1834.4</v>
      </c>
      <c r="R766">
        <v>126586</v>
      </c>
    </row>
    <row r="767" spans="1:18" x14ac:dyDescent="0.25">
      <c r="A767" s="163">
        <v>43130</v>
      </c>
      <c r="B767" s="116">
        <v>369.29</v>
      </c>
      <c r="C767" s="116">
        <v>359.02</v>
      </c>
      <c r="D767" s="116">
        <v>356.42</v>
      </c>
      <c r="E767" s="116">
        <v>366.6</v>
      </c>
      <c r="F767" s="116">
        <v>1795.1</v>
      </c>
      <c r="G767">
        <v>21837</v>
      </c>
      <c r="H767" s="116"/>
      <c r="I767" s="116"/>
      <c r="L767" s="163">
        <v>43130</v>
      </c>
      <c r="M767" s="116">
        <v>358.98</v>
      </c>
      <c r="N767" s="116">
        <v>368.91</v>
      </c>
      <c r="O767" s="116">
        <v>356.8</v>
      </c>
      <c r="P767" s="116">
        <v>367.54</v>
      </c>
      <c r="Q767" s="116">
        <v>1794.9</v>
      </c>
      <c r="R767">
        <v>185045</v>
      </c>
    </row>
    <row r="768" spans="1:18" x14ac:dyDescent="0.25">
      <c r="A768" s="163">
        <v>43131</v>
      </c>
      <c r="B768" s="116">
        <v>367.01</v>
      </c>
      <c r="C768" s="116">
        <v>356.57</v>
      </c>
      <c r="D768" s="116">
        <v>354.22</v>
      </c>
      <c r="E768" s="116">
        <v>360.19</v>
      </c>
      <c r="F768" s="116">
        <v>1782.85</v>
      </c>
      <c r="G768">
        <v>19592</v>
      </c>
      <c r="H768" s="116"/>
      <c r="I768" s="116"/>
      <c r="L768" s="163">
        <v>43131</v>
      </c>
      <c r="M768" s="116">
        <v>356.69</v>
      </c>
      <c r="N768" s="116">
        <v>365.59</v>
      </c>
      <c r="O768" s="116">
        <v>354.24</v>
      </c>
      <c r="P768" s="116">
        <v>358</v>
      </c>
      <c r="Q768" s="116">
        <v>1783.45</v>
      </c>
      <c r="R768">
        <v>188183</v>
      </c>
    </row>
    <row r="769" spans="1:18" x14ac:dyDescent="0.25">
      <c r="A769" s="163">
        <v>43132</v>
      </c>
      <c r="B769" s="116">
        <v>364.01</v>
      </c>
      <c r="C769" s="116">
        <v>361.34</v>
      </c>
      <c r="D769" s="116">
        <v>347.35</v>
      </c>
      <c r="E769" s="116">
        <v>355.45</v>
      </c>
      <c r="F769" s="116">
        <v>1806.7</v>
      </c>
      <c r="G769">
        <v>11178</v>
      </c>
      <c r="H769" s="116"/>
      <c r="I769" s="116"/>
      <c r="L769" s="163">
        <v>43132</v>
      </c>
      <c r="M769" s="116">
        <v>361.26</v>
      </c>
      <c r="N769" s="116">
        <v>364.4</v>
      </c>
      <c r="O769" s="116">
        <v>346.72</v>
      </c>
      <c r="P769" s="116">
        <v>356.8</v>
      </c>
      <c r="Q769" s="116">
        <v>1806.3</v>
      </c>
      <c r="R769">
        <v>141309</v>
      </c>
    </row>
    <row r="770" spans="1:18" x14ac:dyDescent="0.25">
      <c r="A770" s="163">
        <v>43133</v>
      </c>
      <c r="B770" s="116">
        <v>363.47</v>
      </c>
      <c r="C770" s="116">
        <v>358.34</v>
      </c>
      <c r="D770" s="116">
        <v>338.38</v>
      </c>
      <c r="E770" s="116">
        <v>357.32</v>
      </c>
      <c r="F770" s="116">
        <v>1791.7</v>
      </c>
      <c r="G770">
        <v>11355</v>
      </c>
      <c r="H770" s="116"/>
      <c r="I770" s="116"/>
      <c r="L770" s="163">
        <v>43133</v>
      </c>
      <c r="M770" s="116">
        <v>359.54</v>
      </c>
      <c r="N770" s="116">
        <v>364.34</v>
      </c>
      <c r="O770" s="116">
        <v>338</v>
      </c>
      <c r="P770" s="116">
        <v>358.9</v>
      </c>
      <c r="Q770" s="116">
        <v>1797.7</v>
      </c>
      <c r="R770">
        <v>317696</v>
      </c>
    </row>
    <row r="771" spans="1:18" x14ac:dyDescent="0.25">
      <c r="A771" s="163">
        <v>43136</v>
      </c>
      <c r="B771" s="116">
        <v>361.85</v>
      </c>
      <c r="C771" s="116">
        <v>354.82</v>
      </c>
      <c r="D771" s="116">
        <v>348.6</v>
      </c>
      <c r="E771" s="116">
        <v>348.6</v>
      </c>
      <c r="F771" s="116">
        <v>1774.1</v>
      </c>
      <c r="G771">
        <v>7032</v>
      </c>
      <c r="H771" s="116"/>
      <c r="I771" s="116"/>
      <c r="L771" s="163">
        <v>43136</v>
      </c>
      <c r="M771" s="116">
        <v>355.01</v>
      </c>
      <c r="N771" s="116">
        <v>362.47</v>
      </c>
      <c r="O771" s="116">
        <v>349.4</v>
      </c>
      <c r="P771" s="116">
        <v>353.2</v>
      </c>
      <c r="Q771" s="116">
        <v>1775.05</v>
      </c>
      <c r="R771">
        <v>159576</v>
      </c>
    </row>
    <row r="772" spans="1:18" x14ac:dyDescent="0.25">
      <c r="A772" s="163">
        <v>43137</v>
      </c>
      <c r="B772" s="116">
        <v>350.4</v>
      </c>
      <c r="C772" s="116">
        <v>344.88</v>
      </c>
      <c r="D772" s="116">
        <v>325.39999999999998</v>
      </c>
      <c r="E772" s="116">
        <v>345.96</v>
      </c>
      <c r="F772" s="116">
        <v>1724.4</v>
      </c>
      <c r="G772">
        <v>11584</v>
      </c>
      <c r="H772" s="116"/>
      <c r="I772" s="116"/>
      <c r="L772" s="163">
        <v>43137</v>
      </c>
      <c r="M772" s="116">
        <v>346.07</v>
      </c>
      <c r="N772" s="116">
        <v>351.4</v>
      </c>
      <c r="O772" s="116">
        <v>328.15</v>
      </c>
      <c r="P772" s="116">
        <v>338.1</v>
      </c>
      <c r="Q772" s="116">
        <v>1730.35</v>
      </c>
      <c r="R772">
        <v>167404</v>
      </c>
    </row>
    <row r="773" spans="1:18" x14ac:dyDescent="0.25">
      <c r="A773" s="163">
        <v>43138</v>
      </c>
      <c r="B773" s="116">
        <v>359.92</v>
      </c>
      <c r="C773" s="116">
        <v>355.34</v>
      </c>
      <c r="D773" s="116">
        <v>347.04</v>
      </c>
      <c r="E773" s="116">
        <v>347.04</v>
      </c>
      <c r="F773" s="116">
        <v>1776.7</v>
      </c>
      <c r="G773">
        <v>9656</v>
      </c>
      <c r="H773" s="116"/>
      <c r="I773" s="116"/>
      <c r="L773" s="163">
        <v>43138</v>
      </c>
      <c r="M773" s="116">
        <v>355.24</v>
      </c>
      <c r="N773" s="116">
        <v>359.5</v>
      </c>
      <c r="O773" s="116">
        <v>348.03</v>
      </c>
      <c r="P773" s="116">
        <v>349.4</v>
      </c>
      <c r="Q773" s="116">
        <v>1776.2</v>
      </c>
      <c r="R773">
        <v>121256</v>
      </c>
    </row>
    <row r="774" spans="1:18" x14ac:dyDescent="0.25">
      <c r="A774" s="163">
        <v>43139</v>
      </c>
      <c r="B774" s="116">
        <v>376.88</v>
      </c>
      <c r="C774" s="116">
        <v>369.14</v>
      </c>
      <c r="D774" s="116">
        <v>360.8</v>
      </c>
      <c r="E774" s="116">
        <v>360.8</v>
      </c>
      <c r="F774" s="116">
        <v>1845.7</v>
      </c>
      <c r="G774">
        <v>29295</v>
      </c>
      <c r="H774" s="116"/>
      <c r="I774" s="116"/>
      <c r="L774" s="163">
        <v>43139</v>
      </c>
      <c r="M774" s="116">
        <v>368.64</v>
      </c>
      <c r="N774" s="116">
        <v>377.88</v>
      </c>
      <c r="O774" s="116">
        <v>361.11</v>
      </c>
      <c r="P774" s="116">
        <v>361.2</v>
      </c>
      <c r="Q774" s="116">
        <v>1843.2</v>
      </c>
      <c r="R774">
        <v>540155</v>
      </c>
    </row>
    <row r="775" spans="1:18" x14ac:dyDescent="0.25">
      <c r="A775" s="163">
        <v>43140</v>
      </c>
      <c r="B775" s="116">
        <v>376.96</v>
      </c>
      <c r="C775" s="116">
        <v>374.65</v>
      </c>
      <c r="D775" s="116">
        <v>360.83</v>
      </c>
      <c r="E775" s="116">
        <v>362</v>
      </c>
      <c r="F775" s="116">
        <v>1873.25</v>
      </c>
      <c r="G775">
        <v>8913</v>
      </c>
      <c r="H775" s="116"/>
      <c r="I775" s="116"/>
      <c r="L775" s="163">
        <v>43140</v>
      </c>
      <c r="M775" s="116">
        <v>375.01</v>
      </c>
      <c r="N775" s="116">
        <v>377.91</v>
      </c>
      <c r="O775" s="116">
        <v>359.63</v>
      </c>
      <c r="P775" s="116">
        <v>360</v>
      </c>
      <c r="Q775" s="116">
        <v>1875.05</v>
      </c>
      <c r="R775">
        <v>227219</v>
      </c>
    </row>
    <row r="776" spans="1:18" x14ac:dyDescent="0.25">
      <c r="A776" s="163">
        <v>43143</v>
      </c>
      <c r="B776" s="116">
        <v>381.28</v>
      </c>
      <c r="C776" s="116">
        <v>378.63</v>
      </c>
      <c r="D776" s="116">
        <v>375.77</v>
      </c>
      <c r="E776" s="116">
        <v>377.7</v>
      </c>
      <c r="F776" s="116">
        <v>1893.15</v>
      </c>
      <c r="G776">
        <v>4127</v>
      </c>
      <c r="H776" s="116"/>
      <c r="I776" s="116"/>
      <c r="L776" s="163">
        <v>43143</v>
      </c>
      <c r="M776" s="116">
        <v>378.69</v>
      </c>
      <c r="N776" s="116">
        <v>381.54</v>
      </c>
      <c r="O776" s="116">
        <v>375</v>
      </c>
      <c r="P776" s="116">
        <v>375</v>
      </c>
      <c r="Q776" s="116">
        <v>1893.45</v>
      </c>
      <c r="R776">
        <v>116947</v>
      </c>
    </row>
    <row r="777" spans="1:18" x14ac:dyDescent="0.25">
      <c r="A777" s="163">
        <v>43145</v>
      </c>
      <c r="B777" s="116">
        <v>385</v>
      </c>
      <c r="C777" s="116">
        <v>381.23</v>
      </c>
      <c r="D777" s="116">
        <v>377.82</v>
      </c>
      <c r="E777" s="116">
        <v>377.82</v>
      </c>
      <c r="F777" s="116">
        <v>1906.15</v>
      </c>
      <c r="G777">
        <v>4851</v>
      </c>
      <c r="H777" s="116"/>
      <c r="I777" s="116"/>
      <c r="L777" s="163">
        <v>43145</v>
      </c>
      <c r="M777" s="116">
        <v>381.62</v>
      </c>
      <c r="N777" s="116">
        <v>385.13</v>
      </c>
      <c r="O777" s="116">
        <v>377.36</v>
      </c>
      <c r="P777" s="116">
        <v>378.99</v>
      </c>
      <c r="Q777" s="116">
        <v>1908.1</v>
      </c>
      <c r="R777">
        <v>164882</v>
      </c>
    </row>
    <row r="778" spans="1:18" x14ac:dyDescent="0.25">
      <c r="A778" s="163">
        <v>43146</v>
      </c>
      <c r="B778" s="116">
        <v>385.55</v>
      </c>
      <c r="C778" s="116">
        <v>379.33</v>
      </c>
      <c r="D778" s="116">
        <v>378</v>
      </c>
      <c r="E778" s="116">
        <v>381.54</v>
      </c>
      <c r="F778" s="116">
        <v>1896.65</v>
      </c>
      <c r="G778">
        <v>6828</v>
      </c>
      <c r="H778" s="116"/>
      <c r="I778" s="116"/>
      <c r="L778" s="163">
        <v>43146</v>
      </c>
      <c r="M778" s="116">
        <v>380.01</v>
      </c>
      <c r="N778" s="116">
        <v>386.08</v>
      </c>
      <c r="O778" s="116">
        <v>378.2</v>
      </c>
      <c r="P778" s="116">
        <v>381.99</v>
      </c>
      <c r="Q778" s="116">
        <v>1900.05</v>
      </c>
      <c r="R778">
        <v>141789</v>
      </c>
    </row>
    <row r="779" spans="1:18" x14ac:dyDescent="0.25">
      <c r="A779" s="163">
        <v>43147</v>
      </c>
      <c r="B779" s="116">
        <v>382.91</v>
      </c>
      <c r="C779" s="116">
        <v>373.38</v>
      </c>
      <c r="D779" s="116">
        <v>372</v>
      </c>
      <c r="E779" s="116">
        <v>382.26</v>
      </c>
      <c r="F779" s="116">
        <v>1866.9</v>
      </c>
      <c r="G779">
        <v>4613</v>
      </c>
      <c r="H779" s="116"/>
      <c r="I779" s="116"/>
      <c r="L779" s="163">
        <v>43147</v>
      </c>
      <c r="M779" s="116">
        <v>372.79</v>
      </c>
      <c r="N779" s="116">
        <v>383</v>
      </c>
      <c r="O779" s="116">
        <v>369</v>
      </c>
      <c r="P779" s="116">
        <v>380.58</v>
      </c>
      <c r="Q779" s="116">
        <v>1863.95</v>
      </c>
      <c r="R779">
        <v>114543</v>
      </c>
    </row>
    <row r="780" spans="1:18" x14ac:dyDescent="0.25">
      <c r="A780" s="163">
        <v>43150</v>
      </c>
      <c r="B780" s="116">
        <v>380.8</v>
      </c>
      <c r="C780" s="116">
        <v>377.97</v>
      </c>
      <c r="D780" s="116">
        <v>368.63</v>
      </c>
      <c r="E780" s="116">
        <v>372.7</v>
      </c>
      <c r="F780" s="116">
        <v>1889.85</v>
      </c>
      <c r="G780">
        <v>8946</v>
      </c>
      <c r="H780" s="116"/>
      <c r="I780" s="116"/>
      <c r="L780" s="163">
        <v>43150</v>
      </c>
      <c r="M780" s="116">
        <v>378.55</v>
      </c>
      <c r="N780" s="116">
        <v>380.8</v>
      </c>
      <c r="O780" s="116">
        <v>367.62</v>
      </c>
      <c r="P780" s="116">
        <v>372.01</v>
      </c>
      <c r="Q780" s="116">
        <v>1892.75</v>
      </c>
      <c r="R780">
        <v>146475</v>
      </c>
    </row>
    <row r="781" spans="1:18" x14ac:dyDescent="0.25">
      <c r="A781" s="163">
        <v>43151</v>
      </c>
      <c r="B781" s="116">
        <v>383.53</v>
      </c>
      <c r="C781" s="116">
        <v>378.04</v>
      </c>
      <c r="D781" s="116">
        <v>374.79</v>
      </c>
      <c r="E781" s="116">
        <v>378.82</v>
      </c>
      <c r="F781" s="116">
        <v>1890.2</v>
      </c>
      <c r="G781">
        <v>47560</v>
      </c>
      <c r="H781" s="116"/>
      <c r="I781" s="116"/>
      <c r="L781" s="163">
        <v>43151</v>
      </c>
      <c r="M781" s="116">
        <v>377.66</v>
      </c>
      <c r="N781" s="116">
        <v>383.2</v>
      </c>
      <c r="O781" s="116">
        <v>374.61</v>
      </c>
      <c r="P781" s="116">
        <v>379.1</v>
      </c>
      <c r="Q781" s="116">
        <v>1888.3</v>
      </c>
      <c r="R781">
        <v>192498</v>
      </c>
    </row>
    <row r="782" spans="1:18" x14ac:dyDescent="0.25">
      <c r="A782" s="163">
        <v>43152</v>
      </c>
      <c r="B782" s="116">
        <v>379.96</v>
      </c>
      <c r="C782" s="116">
        <v>375.01</v>
      </c>
      <c r="D782" s="116">
        <v>374.4</v>
      </c>
      <c r="E782" s="116">
        <v>377.75</v>
      </c>
      <c r="F782" s="116">
        <v>1875.05</v>
      </c>
      <c r="G782">
        <v>1532</v>
      </c>
      <c r="H782" s="116"/>
      <c r="I782" s="116"/>
      <c r="L782" s="163">
        <v>43152</v>
      </c>
      <c r="M782" s="116">
        <v>375.74</v>
      </c>
      <c r="N782" s="116">
        <v>380.59</v>
      </c>
      <c r="O782" s="116">
        <v>374.64</v>
      </c>
      <c r="P782" s="116">
        <v>377.2</v>
      </c>
      <c r="Q782" s="116">
        <v>1878.7</v>
      </c>
      <c r="R782">
        <v>56383</v>
      </c>
    </row>
    <row r="783" spans="1:18" x14ac:dyDescent="0.25">
      <c r="A783" s="163">
        <v>43153</v>
      </c>
      <c r="B783" s="116">
        <v>382.87</v>
      </c>
      <c r="C783" s="116">
        <v>378.33</v>
      </c>
      <c r="D783" s="116">
        <v>373.64</v>
      </c>
      <c r="E783" s="116">
        <v>375.1</v>
      </c>
      <c r="F783" s="116">
        <v>1891.65</v>
      </c>
      <c r="G783">
        <v>3516</v>
      </c>
      <c r="H783" s="116"/>
      <c r="I783" s="116"/>
      <c r="L783" s="163">
        <v>43153</v>
      </c>
      <c r="M783" s="116">
        <v>379.89</v>
      </c>
      <c r="N783" s="116">
        <v>383.42</v>
      </c>
      <c r="O783" s="116">
        <v>373.31</v>
      </c>
      <c r="P783" s="116">
        <v>376.96</v>
      </c>
      <c r="Q783" s="116">
        <v>1899.45</v>
      </c>
      <c r="R783">
        <v>251486</v>
      </c>
    </row>
    <row r="784" spans="1:18" x14ac:dyDescent="0.25">
      <c r="A784" s="163">
        <v>43154</v>
      </c>
      <c r="B784" s="116">
        <v>386.2</v>
      </c>
      <c r="C784" s="116">
        <v>383.9</v>
      </c>
      <c r="D784" s="116">
        <v>377.67</v>
      </c>
      <c r="E784" s="116">
        <v>377.67</v>
      </c>
      <c r="F784" s="116">
        <v>1919.5</v>
      </c>
      <c r="G784">
        <v>5780</v>
      </c>
      <c r="H784" s="116"/>
      <c r="I784" s="116"/>
      <c r="L784" s="163">
        <v>43154</v>
      </c>
      <c r="M784" s="116">
        <v>384.4</v>
      </c>
      <c r="N784" s="116">
        <v>386.69</v>
      </c>
      <c r="O784" s="116">
        <v>376.38</v>
      </c>
      <c r="P784" s="116">
        <v>379</v>
      </c>
      <c r="Q784" s="116">
        <v>1922</v>
      </c>
      <c r="R784">
        <v>145850</v>
      </c>
    </row>
    <row r="785" spans="1:18" x14ac:dyDescent="0.25">
      <c r="A785" s="163">
        <v>43157</v>
      </c>
      <c r="B785" s="116">
        <v>392</v>
      </c>
      <c r="C785" s="116">
        <v>385.04</v>
      </c>
      <c r="D785" s="116">
        <v>380.6</v>
      </c>
      <c r="E785" s="116">
        <v>384</v>
      </c>
      <c r="F785" s="116">
        <v>1925.2</v>
      </c>
      <c r="G785">
        <v>9515</v>
      </c>
      <c r="H785" s="116"/>
      <c r="I785" s="116"/>
      <c r="L785" s="163">
        <v>43157</v>
      </c>
      <c r="M785" s="116">
        <v>385.24</v>
      </c>
      <c r="N785" s="116">
        <v>392.2</v>
      </c>
      <c r="O785" s="116">
        <v>383.48</v>
      </c>
      <c r="P785" s="116">
        <v>384.2</v>
      </c>
      <c r="Q785" s="116">
        <v>1926.2</v>
      </c>
      <c r="R785">
        <v>210785</v>
      </c>
    </row>
    <row r="786" spans="1:18" x14ac:dyDescent="0.25">
      <c r="A786" s="163">
        <v>43158</v>
      </c>
      <c r="B786" s="116">
        <v>388</v>
      </c>
      <c r="C786" s="116">
        <v>381.08</v>
      </c>
      <c r="D786" s="116">
        <v>379.6</v>
      </c>
      <c r="E786" s="116">
        <v>386.76</v>
      </c>
      <c r="F786" s="116">
        <v>1905.4</v>
      </c>
      <c r="G786">
        <v>7245</v>
      </c>
      <c r="H786" s="116"/>
      <c r="I786" s="116"/>
      <c r="L786" s="163">
        <v>43158</v>
      </c>
      <c r="M786" s="116">
        <v>380.66</v>
      </c>
      <c r="N786" s="116">
        <v>388.1</v>
      </c>
      <c r="O786" s="116">
        <v>379.34</v>
      </c>
      <c r="P786" s="116">
        <v>387.51</v>
      </c>
      <c r="Q786" s="116">
        <v>1903.3</v>
      </c>
      <c r="R786">
        <v>92322</v>
      </c>
    </row>
    <row r="787" spans="1:18" x14ac:dyDescent="0.25">
      <c r="A787" s="163">
        <v>43159</v>
      </c>
      <c r="B787" s="116">
        <v>385.02</v>
      </c>
      <c r="C787" s="116">
        <v>379.73</v>
      </c>
      <c r="D787" s="116">
        <v>377.07</v>
      </c>
      <c r="E787" s="116">
        <v>380.09</v>
      </c>
      <c r="F787" s="116">
        <v>1898.65</v>
      </c>
      <c r="G787">
        <v>9162</v>
      </c>
      <c r="H787" s="116"/>
      <c r="I787" s="116"/>
      <c r="L787" s="163">
        <v>43159</v>
      </c>
      <c r="M787" s="116">
        <v>379.75</v>
      </c>
      <c r="N787" s="116">
        <v>383.8</v>
      </c>
      <c r="O787" s="116">
        <v>377</v>
      </c>
      <c r="P787" s="116">
        <v>379.98</v>
      </c>
      <c r="Q787" s="116">
        <v>1898.75</v>
      </c>
      <c r="R787">
        <v>146617</v>
      </c>
    </row>
    <row r="788" spans="1:18" x14ac:dyDescent="0.25">
      <c r="A788" s="163">
        <v>43160</v>
      </c>
      <c r="B788" s="116">
        <v>386</v>
      </c>
      <c r="C788" s="116">
        <v>378.81</v>
      </c>
      <c r="D788" s="116">
        <v>377.4</v>
      </c>
      <c r="E788" s="116">
        <v>379.46</v>
      </c>
      <c r="F788" s="116">
        <v>1894.05</v>
      </c>
      <c r="G788">
        <v>4761</v>
      </c>
      <c r="H788" s="116"/>
      <c r="I788" s="116"/>
      <c r="L788" s="163">
        <v>43160</v>
      </c>
      <c r="M788" s="116">
        <v>378.53</v>
      </c>
      <c r="N788" s="116">
        <v>386.77</v>
      </c>
      <c r="O788" s="116">
        <v>376.34</v>
      </c>
      <c r="P788" s="116">
        <v>379.39</v>
      </c>
      <c r="Q788" s="116">
        <v>1892.65</v>
      </c>
      <c r="R788">
        <v>91056</v>
      </c>
    </row>
    <row r="789" spans="1:18" x14ac:dyDescent="0.25">
      <c r="A789" s="163">
        <v>43164</v>
      </c>
      <c r="B789" s="116">
        <v>380.23</v>
      </c>
      <c r="C789" s="116">
        <v>375.56</v>
      </c>
      <c r="D789" s="116">
        <v>373.6</v>
      </c>
      <c r="E789" s="116">
        <v>379.73</v>
      </c>
      <c r="F789" s="116">
        <v>1877.8</v>
      </c>
      <c r="G789">
        <v>1968</v>
      </c>
      <c r="H789" s="116"/>
      <c r="I789" s="116"/>
      <c r="L789" s="163">
        <v>43164</v>
      </c>
      <c r="M789" s="116">
        <v>376.31</v>
      </c>
      <c r="N789" s="116">
        <v>380.91</v>
      </c>
      <c r="O789" s="116">
        <v>373.01</v>
      </c>
      <c r="P789" s="116">
        <v>378.96</v>
      </c>
      <c r="Q789" s="116">
        <v>1881.55</v>
      </c>
      <c r="R789">
        <v>64519</v>
      </c>
    </row>
    <row r="790" spans="1:18" x14ac:dyDescent="0.25">
      <c r="A790" s="163">
        <v>43165</v>
      </c>
      <c r="B790" s="116">
        <v>379.8</v>
      </c>
      <c r="C790" s="116">
        <v>370.99</v>
      </c>
      <c r="D790" s="116">
        <v>369.39</v>
      </c>
      <c r="E790" s="116">
        <v>378.2</v>
      </c>
      <c r="F790" s="116">
        <v>1854.95</v>
      </c>
      <c r="G790">
        <v>3568</v>
      </c>
      <c r="H790" s="116"/>
      <c r="I790" s="116"/>
      <c r="L790" s="163">
        <v>43165</v>
      </c>
      <c r="M790" s="116">
        <v>371.32</v>
      </c>
      <c r="N790" s="116">
        <v>380.8</v>
      </c>
      <c r="O790" s="116">
        <v>369</v>
      </c>
      <c r="P790" s="116">
        <v>379.33</v>
      </c>
      <c r="Q790" s="116">
        <v>1856.6</v>
      </c>
      <c r="R790">
        <v>127481</v>
      </c>
    </row>
    <row r="791" spans="1:18" x14ac:dyDescent="0.25">
      <c r="A791" s="163">
        <v>43166</v>
      </c>
      <c r="B791" s="116">
        <v>371.26</v>
      </c>
      <c r="C791" s="116">
        <v>359.77</v>
      </c>
      <c r="D791" s="116">
        <v>353.27</v>
      </c>
      <c r="E791" s="116">
        <v>369.82</v>
      </c>
      <c r="F791" s="116">
        <v>1798.85</v>
      </c>
      <c r="G791">
        <v>5659</v>
      </c>
      <c r="H791" s="116"/>
      <c r="I791" s="116"/>
      <c r="L791" s="163">
        <v>43166</v>
      </c>
      <c r="M791" s="116">
        <v>361.12</v>
      </c>
      <c r="N791" s="116">
        <v>371.8</v>
      </c>
      <c r="O791" s="116">
        <v>359.6</v>
      </c>
      <c r="P791" s="116">
        <v>371.8</v>
      </c>
      <c r="Q791" s="116">
        <v>1805.6</v>
      </c>
      <c r="R791">
        <v>110597</v>
      </c>
    </row>
    <row r="792" spans="1:18" x14ac:dyDescent="0.25">
      <c r="A792" s="163">
        <v>43167</v>
      </c>
      <c r="B792" s="116">
        <v>371</v>
      </c>
      <c r="C792" s="116">
        <v>369.55</v>
      </c>
      <c r="D792" s="116">
        <v>355.68</v>
      </c>
      <c r="E792" s="116">
        <v>362.52</v>
      </c>
      <c r="F792" s="116">
        <v>1847.75</v>
      </c>
      <c r="G792">
        <v>4593</v>
      </c>
      <c r="H792" s="116"/>
      <c r="I792" s="116"/>
      <c r="L792" s="163">
        <v>43167</v>
      </c>
      <c r="M792" s="116">
        <v>369.86</v>
      </c>
      <c r="N792" s="116">
        <v>372.07</v>
      </c>
      <c r="O792" s="116">
        <v>355</v>
      </c>
      <c r="P792" s="116">
        <v>364.4</v>
      </c>
      <c r="Q792" s="116">
        <v>1849.3</v>
      </c>
      <c r="R792">
        <v>143698</v>
      </c>
    </row>
    <row r="793" spans="1:18" x14ac:dyDescent="0.25">
      <c r="A793" s="163">
        <v>43168</v>
      </c>
      <c r="B793" s="116">
        <v>372.6</v>
      </c>
      <c r="C793" s="116">
        <v>370.79</v>
      </c>
      <c r="D793" s="116">
        <v>366</v>
      </c>
      <c r="E793" s="116">
        <v>369.98</v>
      </c>
      <c r="F793" s="116">
        <v>1853.95</v>
      </c>
      <c r="G793">
        <v>6897</v>
      </c>
      <c r="H793" s="116"/>
      <c r="I793" s="116"/>
      <c r="L793" s="163">
        <v>43168</v>
      </c>
      <c r="M793" s="116">
        <v>370.67</v>
      </c>
      <c r="N793" s="116">
        <v>373.16</v>
      </c>
      <c r="O793" s="116">
        <v>365</v>
      </c>
      <c r="P793" s="116">
        <v>370.04</v>
      </c>
      <c r="Q793" s="116">
        <v>1853.35</v>
      </c>
      <c r="R793">
        <v>172275</v>
      </c>
    </row>
    <row r="794" spans="1:18" x14ac:dyDescent="0.25">
      <c r="A794" s="163">
        <v>43171</v>
      </c>
      <c r="B794" s="116">
        <v>388.8</v>
      </c>
      <c r="C794" s="116">
        <v>375.45</v>
      </c>
      <c r="D794" s="116">
        <v>369.01</v>
      </c>
      <c r="E794" s="116">
        <v>372.66</v>
      </c>
      <c r="F794" s="116">
        <v>1877.25</v>
      </c>
      <c r="G794">
        <v>5654</v>
      </c>
      <c r="H794" s="116"/>
      <c r="I794" s="116"/>
      <c r="L794" s="163">
        <v>43171</v>
      </c>
      <c r="M794" s="116">
        <v>373.79</v>
      </c>
      <c r="N794" s="116">
        <v>374.68</v>
      </c>
      <c r="O794" s="116">
        <v>368.41</v>
      </c>
      <c r="P794" s="116">
        <v>372.4</v>
      </c>
      <c r="Q794" s="116">
        <v>1868.95</v>
      </c>
      <c r="R794">
        <v>99184</v>
      </c>
    </row>
    <row r="795" spans="1:18" x14ac:dyDescent="0.25">
      <c r="A795" s="163">
        <v>43172</v>
      </c>
      <c r="B795" s="116">
        <v>386.9</v>
      </c>
      <c r="C795" s="116">
        <v>375.96</v>
      </c>
      <c r="D795" s="116">
        <v>370.6</v>
      </c>
      <c r="E795" s="116">
        <v>373.6</v>
      </c>
      <c r="F795" s="116">
        <v>1879.8</v>
      </c>
      <c r="G795">
        <v>3798</v>
      </c>
      <c r="H795" s="116"/>
      <c r="I795" s="116"/>
      <c r="L795" s="163">
        <v>43172</v>
      </c>
      <c r="M795" s="116">
        <v>373.29</v>
      </c>
      <c r="N795" s="116">
        <v>376.96</v>
      </c>
      <c r="O795" s="116">
        <v>369.71</v>
      </c>
      <c r="P795" s="116">
        <v>370.8</v>
      </c>
      <c r="Q795" s="116">
        <v>1866.45</v>
      </c>
      <c r="R795">
        <v>90378</v>
      </c>
    </row>
    <row r="796" spans="1:18" x14ac:dyDescent="0.25">
      <c r="A796" s="163">
        <v>43173</v>
      </c>
      <c r="B796" s="116">
        <v>378.24</v>
      </c>
      <c r="C796" s="116">
        <v>373.58</v>
      </c>
      <c r="D796" s="116">
        <v>371.59</v>
      </c>
      <c r="E796" s="116">
        <v>371.59</v>
      </c>
      <c r="F796" s="116">
        <v>1867.9</v>
      </c>
      <c r="G796">
        <v>5452</v>
      </c>
      <c r="H796" s="116"/>
      <c r="I796" s="116"/>
      <c r="L796" s="163">
        <v>43173</v>
      </c>
      <c r="M796" s="116">
        <v>373.8</v>
      </c>
      <c r="N796" s="116">
        <v>377.7</v>
      </c>
      <c r="O796" s="116">
        <v>371.33</v>
      </c>
      <c r="P796" s="116">
        <v>372</v>
      </c>
      <c r="Q796" s="116">
        <v>1869</v>
      </c>
      <c r="R796">
        <v>76126</v>
      </c>
    </row>
    <row r="797" spans="1:18" x14ac:dyDescent="0.25">
      <c r="A797" s="163">
        <v>43174</v>
      </c>
      <c r="B797" s="116">
        <v>378.08</v>
      </c>
      <c r="C797" s="116">
        <v>375.71</v>
      </c>
      <c r="D797" s="116">
        <v>373.22</v>
      </c>
      <c r="E797" s="116">
        <v>375.96</v>
      </c>
      <c r="F797" s="116">
        <v>1878.55</v>
      </c>
      <c r="G797">
        <v>2623</v>
      </c>
      <c r="H797" s="116"/>
      <c r="I797" s="116"/>
      <c r="L797" s="163">
        <v>43174</v>
      </c>
      <c r="M797" s="116">
        <v>375.55</v>
      </c>
      <c r="N797" s="116">
        <v>378</v>
      </c>
      <c r="O797" s="116">
        <v>373.33</v>
      </c>
      <c r="P797" s="116">
        <v>374</v>
      </c>
      <c r="Q797" s="116">
        <v>1877.75</v>
      </c>
      <c r="R797">
        <v>66461</v>
      </c>
    </row>
    <row r="798" spans="1:18" x14ac:dyDescent="0.25">
      <c r="A798" s="163">
        <v>43175</v>
      </c>
      <c r="B798" s="116">
        <v>378</v>
      </c>
      <c r="C798" s="116">
        <v>374.04</v>
      </c>
      <c r="D798" s="116">
        <v>373.4</v>
      </c>
      <c r="E798" s="116">
        <v>375</v>
      </c>
      <c r="F798" s="116">
        <v>1870.2</v>
      </c>
      <c r="G798">
        <v>1624</v>
      </c>
      <c r="H798" s="116"/>
      <c r="I798" s="116"/>
      <c r="L798" s="163">
        <v>43175</v>
      </c>
      <c r="M798" s="116">
        <v>374.55</v>
      </c>
      <c r="N798" s="116">
        <v>378.4</v>
      </c>
      <c r="O798" s="116">
        <v>373.48</v>
      </c>
      <c r="P798" s="116">
        <v>375.4</v>
      </c>
      <c r="Q798" s="116">
        <v>1872.75</v>
      </c>
      <c r="R798">
        <v>59244</v>
      </c>
    </row>
    <row r="799" spans="1:18" x14ac:dyDescent="0.25">
      <c r="A799" s="163">
        <v>43178</v>
      </c>
      <c r="B799" s="116">
        <v>376.26</v>
      </c>
      <c r="C799" s="116">
        <v>374.66</v>
      </c>
      <c r="D799" s="116">
        <v>371.06</v>
      </c>
      <c r="E799" s="116">
        <v>374.27</v>
      </c>
      <c r="F799" s="116">
        <v>1873.3</v>
      </c>
      <c r="G799">
        <v>6477</v>
      </c>
      <c r="H799" s="116"/>
      <c r="I799" s="116"/>
      <c r="L799" s="163">
        <v>43178</v>
      </c>
      <c r="M799" s="116">
        <v>375.09</v>
      </c>
      <c r="N799" s="116">
        <v>377.15</v>
      </c>
      <c r="O799" s="116">
        <v>370.31</v>
      </c>
      <c r="P799" s="116">
        <v>374</v>
      </c>
      <c r="Q799" s="116">
        <v>1875.45</v>
      </c>
      <c r="R799">
        <v>105208</v>
      </c>
    </row>
    <row r="800" spans="1:18" x14ac:dyDescent="0.25">
      <c r="A800" s="163">
        <v>43179</v>
      </c>
      <c r="B800" s="116">
        <v>383.99</v>
      </c>
      <c r="C800" s="116">
        <v>381.3</v>
      </c>
      <c r="D800" s="116">
        <v>370.03</v>
      </c>
      <c r="E800" s="116">
        <v>373.81</v>
      </c>
      <c r="F800" s="116">
        <v>1906.5</v>
      </c>
      <c r="G800">
        <v>10071</v>
      </c>
      <c r="H800" s="116"/>
      <c r="I800" s="116"/>
      <c r="L800" s="163">
        <v>43179</v>
      </c>
      <c r="M800" s="116">
        <v>382.89</v>
      </c>
      <c r="N800" s="116">
        <v>384.39</v>
      </c>
      <c r="O800" s="116">
        <v>371.4</v>
      </c>
      <c r="P800" s="116">
        <v>371.4</v>
      </c>
      <c r="Q800" s="116">
        <v>1914.45</v>
      </c>
      <c r="R800">
        <v>202883</v>
      </c>
    </row>
    <row r="801" spans="1:18" x14ac:dyDescent="0.25">
      <c r="A801" s="163">
        <v>43180</v>
      </c>
      <c r="B801" s="116">
        <v>390</v>
      </c>
      <c r="C801" s="116">
        <v>389.5</v>
      </c>
      <c r="D801" s="116">
        <v>383</v>
      </c>
      <c r="E801" s="116">
        <v>383</v>
      </c>
      <c r="F801" s="116">
        <v>1947.5</v>
      </c>
      <c r="G801">
        <v>15813</v>
      </c>
      <c r="H801" s="116"/>
      <c r="I801" s="116"/>
      <c r="L801" s="163">
        <v>43180</v>
      </c>
      <c r="M801" s="116">
        <v>389.34</v>
      </c>
      <c r="N801" s="116">
        <v>390.36</v>
      </c>
      <c r="O801" s="116">
        <v>383.61</v>
      </c>
      <c r="P801" s="116">
        <v>383.61</v>
      </c>
      <c r="Q801" s="116">
        <v>1946.7</v>
      </c>
      <c r="R801">
        <v>350041</v>
      </c>
    </row>
    <row r="802" spans="1:18" x14ac:dyDescent="0.25">
      <c r="A802" s="163">
        <v>43181</v>
      </c>
      <c r="B802" s="116">
        <v>391.8</v>
      </c>
      <c r="C802" s="116">
        <v>387.35</v>
      </c>
      <c r="D802" s="116">
        <v>385.11</v>
      </c>
      <c r="E802" s="116">
        <v>390.6</v>
      </c>
      <c r="F802" s="116">
        <v>1936.75</v>
      </c>
      <c r="G802">
        <v>6419</v>
      </c>
      <c r="H802" s="116"/>
      <c r="I802" s="116"/>
      <c r="L802" s="163">
        <v>43181</v>
      </c>
      <c r="M802" s="116">
        <v>388.42</v>
      </c>
      <c r="N802" s="116">
        <v>392</v>
      </c>
      <c r="O802" s="116">
        <v>385.02</v>
      </c>
      <c r="P802" s="116">
        <v>391.96</v>
      </c>
      <c r="Q802" s="116">
        <v>1942.1</v>
      </c>
      <c r="R802">
        <v>200100</v>
      </c>
    </row>
    <row r="803" spans="1:18" x14ac:dyDescent="0.25">
      <c r="A803" s="163">
        <v>43182</v>
      </c>
      <c r="B803" s="116">
        <v>384.7</v>
      </c>
      <c r="C803" s="116">
        <v>382.22</v>
      </c>
      <c r="D803" s="116">
        <v>379.44</v>
      </c>
      <c r="E803" s="116">
        <v>380</v>
      </c>
      <c r="F803" s="116">
        <v>1911.1</v>
      </c>
      <c r="G803">
        <v>3062</v>
      </c>
      <c r="H803" s="116"/>
      <c r="I803" s="116"/>
      <c r="L803" s="163">
        <v>43182</v>
      </c>
      <c r="M803" s="116">
        <v>383.42</v>
      </c>
      <c r="N803" s="116">
        <v>385.05</v>
      </c>
      <c r="O803" s="116">
        <v>377.53</v>
      </c>
      <c r="P803" s="116">
        <v>384.4</v>
      </c>
      <c r="Q803" s="116">
        <v>1917.1</v>
      </c>
      <c r="R803">
        <v>98391</v>
      </c>
    </row>
    <row r="804" spans="1:18" x14ac:dyDescent="0.25">
      <c r="A804" s="163">
        <v>43185</v>
      </c>
      <c r="B804" s="116">
        <v>391</v>
      </c>
      <c r="C804" s="116">
        <v>384.43</v>
      </c>
      <c r="D804" s="116">
        <v>376.55</v>
      </c>
      <c r="E804" s="116">
        <v>383.6</v>
      </c>
      <c r="F804" s="116">
        <v>1922.15</v>
      </c>
      <c r="G804">
        <v>13145</v>
      </c>
      <c r="H804" s="116"/>
      <c r="I804" s="116"/>
      <c r="L804" s="163">
        <v>43185</v>
      </c>
      <c r="M804" s="116">
        <v>385.14</v>
      </c>
      <c r="N804" s="116">
        <v>386.79</v>
      </c>
      <c r="O804" s="116">
        <v>382.47</v>
      </c>
      <c r="P804" s="116">
        <v>383.42</v>
      </c>
      <c r="Q804" s="116">
        <v>1925.7</v>
      </c>
      <c r="R804">
        <v>88981</v>
      </c>
    </row>
    <row r="805" spans="1:18" x14ac:dyDescent="0.25">
      <c r="A805" s="163">
        <v>43186</v>
      </c>
      <c r="B805" s="116">
        <v>401.1</v>
      </c>
      <c r="C805" s="116">
        <v>399.52</v>
      </c>
      <c r="D805" s="116">
        <v>385.53</v>
      </c>
      <c r="E805" s="116">
        <v>387.45</v>
      </c>
      <c r="F805" s="116">
        <v>1997.6</v>
      </c>
      <c r="G805">
        <v>13411</v>
      </c>
      <c r="H805" s="116"/>
      <c r="I805" s="116"/>
      <c r="L805" s="163">
        <v>43186</v>
      </c>
      <c r="M805" s="116">
        <v>399.25</v>
      </c>
      <c r="N805" s="116">
        <v>401.51</v>
      </c>
      <c r="O805" s="116">
        <v>385</v>
      </c>
      <c r="P805" s="116">
        <v>388</v>
      </c>
      <c r="Q805" s="116">
        <v>1996.25</v>
      </c>
      <c r="R805">
        <v>274733</v>
      </c>
    </row>
    <row r="806" spans="1:18" x14ac:dyDescent="0.25">
      <c r="A806" s="163">
        <v>43187</v>
      </c>
      <c r="B806" s="116">
        <v>402</v>
      </c>
      <c r="C806" s="116">
        <v>391.56</v>
      </c>
      <c r="D806" s="116">
        <v>388</v>
      </c>
      <c r="E806" s="116">
        <v>401</v>
      </c>
      <c r="F806" s="116">
        <v>1957.8</v>
      </c>
      <c r="G806">
        <v>13890</v>
      </c>
      <c r="H806" s="116"/>
      <c r="I806" s="116"/>
      <c r="L806" s="163">
        <v>43187</v>
      </c>
      <c r="M806" s="116">
        <v>391.03</v>
      </c>
      <c r="N806" s="116">
        <v>402.8</v>
      </c>
      <c r="O806" s="116">
        <v>387.6</v>
      </c>
      <c r="P806" s="116">
        <v>402.8</v>
      </c>
      <c r="Q806" s="116">
        <v>1955.15</v>
      </c>
      <c r="R806">
        <v>376365</v>
      </c>
    </row>
    <row r="807" spans="1:18" x14ac:dyDescent="0.25">
      <c r="A807" s="163">
        <v>43192</v>
      </c>
      <c r="B807" s="116">
        <v>401</v>
      </c>
      <c r="C807" s="116">
        <v>397.61</v>
      </c>
      <c r="D807" s="116">
        <v>393.57</v>
      </c>
      <c r="E807" s="116">
        <v>394.01</v>
      </c>
      <c r="F807" s="116">
        <v>1988.05</v>
      </c>
      <c r="G807">
        <v>8764</v>
      </c>
      <c r="H807" s="116"/>
      <c r="I807" s="116"/>
      <c r="L807" s="163">
        <v>43192</v>
      </c>
      <c r="M807" s="116">
        <v>397.63</v>
      </c>
      <c r="N807" s="116">
        <v>399.2</v>
      </c>
      <c r="O807" s="116">
        <v>392</v>
      </c>
      <c r="P807" s="116">
        <v>394.94</v>
      </c>
      <c r="Q807" s="116">
        <v>1988.15</v>
      </c>
      <c r="R807">
        <v>119688</v>
      </c>
    </row>
    <row r="808" spans="1:18" x14ac:dyDescent="0.25">
      <c r="A808" s="163">
        <v>43193</v>
      </c>
      <c r="B808" s="116">
        <v>404.59</v>
      </c>
      <c r="C808" s="116">
        <v>401.59</v>
      </c>
      <c r="D808" s="116">
        <v>396.97</v>
      </c>
      <c r="E808" s="116">
        <v>397.6</v>
      </c>
      <c r="F808" s="116">
        <v>2007.95</v>
      </c>
      <c r="G808">
        <v>11131</v>
      </c>
      <c r="H808" s="116"/>
      <c r="I808" s="116"/>
      <c r="L808" s="163">
        <v>43193</v>
      </c>
      <c r="M808" s="116">
        <v>401.53</v>
      </c>
      <c r="N808" s="116">
        <v>404.4</v>
      </c>
      <c r="O808" s="116">
        <v>395.99</v>
      </c>
      <c r="P808" s="116">
        <v>397.4</v>
      </c>
      <c r="Q808" s="116">
        <v>2007.65</v>
      </c>
      <c r="R808">
        <v>200413</v>
      </c>
    </row>
    <row r="809" spans="1:18" x14ac:dyDescent="0.25">
      <c r="A809" s="163">
        <v>43194</v>
      </c>
      <c r="B809" s="116">
        <v>408</v>
      </c>
      <c r="C809" s="116">
        <v>400.14</v>
      </c>
      <c r="D809" s="116">
        <v>397.78</v>
      </c>
      <c r="E809" s="116">
        <v>403</v>
      </c>
      <c r="F809" s="116">
        <v>2000.7</v>
      </c>
      <c r="G809">
        <v>7899</v>
      </c>
      <c r="H809" s="116"/>
      <c r="I809" s="116"/>
      <c r="L809" s="163">
        <v>43194</v>
      </c>
      <c r="M809" s="116">
        <v>400.07</v>
      </c>
      <c r="N809" s="116">
        <v>408.86</v>
      </c>
      <c r="O809" s="116">
        <v>397.81</v>
      </c>
      <c r="P809" s="116">
        <v>403</v>
      </c>
      <c r="Q809" s="116">
        <v>2000.35</v>
      </c>
      <c r="R809">
        <v>241438</v>
      </c>
    </row>
    <row r="810" spans="1:18" x14ac:dyDescent="0.25">
      <c r="A810" s="163">
        <v>43195</v>
      </c>
      <c r="B810" s="116">
        <v>410.73</v>
      </c>
      <c r="C810" s="116">
        <v>401.62</v>
      </c>
      <c r="D810" s="116">
        <v>394.31</v>
      </c>
      <c r="E810" s="116">
        <v>404</v>
      </c>
      <c r="F810" s="116">
        <v>2008.1</v>
      </c>
      <c r="G810">
        <v>23901</v>
      </c>
      <c r="H810" s="116"/>
      <c r="I810" s="116"/>
      <c r="L810" s="163">
        <v>43195</v>
      </c>
      <c r="M810" s="116">
        <v>405.87</v>
      </c>
      <c r="N810" s="116">
        <v>411.4</v>
      </c>
      <c r="O810" s="116">
        <v>401.2</v>
      </c>
      <c r="P810" s="116">
        <v>403</v>
      </c>
      <c r="Q810" s="116">
        <v>2029.35</v>
      </c>
      <c r="R810">
        <v>190591</v>
      </c>
    </row>
    <row r="811" spans="1:18" x14ac:dyDescent="0.25">
      <c r="A811" s="163">
        <v>43196</v>
      </c>
      <c r="B811" s="116">
        <v>413</v>
      </c>
      <c r="C811" s="116">
        <v>407.67</v>
      </c>
      <c r="D811" s="116">
        <v>402.8</v>
      </c>
      <c r="E811" s="116">
        <v>402.8</v>
      </c>
      <c r="F811" s="116">
        <v>2038.35</v>
      </c>
      <c r="G811">
        <v>10049</v>
      </c>
      <c r="H811" s="116"/>
      <c r="I811" s="116"/>
      <c r="L811" s="163">
        <v>43196</v>
      </c>
      <c r="M811" s="116">
        <v>408.42</v>
      </c>
      <c r="N811" s="116">
        <v>413</v>
      </c>
      <c r="O811" s="116">
        <v>403.2</v>
      </c>
      <c r="P811" s="116">
        <v>405.6</v>
      </c>
      <c r="Q811" s="116">
        <v>2042.1</v>
      </c>
      <c r="R811">
        <v>196319</v>
      </c>
    </row>
    <row r="812" spans="1:18" x14ac:dyDescent="0.25">
      <c r="A812" s="163">
        <v>43199</v>
      </c>
      <c r="B812" s="116">
        <v>413.31</v>
      </c>
      <c r="C812" s="116">
        <v>409.69</v>
      </c>
      <c r="D812" s="116">
        <v>408</v>
      </c>
      <c r="E812" s="116">
        <v>408.81</v>
      </c>
      <c r="F812" s="116">
        <v>2048.4499999999998</v>
      </c>
      <c r="G812">
        <v>4862</v>
      </c>
      <c r="H812" s="116"/>
      <c r="I812" s="116"/>
      <c r="L812" s="163">
        <v>43199</v>
      </c>
      <c r="M812" s="116">
        <v>409.49</v>
      </c>
      <c r="N812" s="116">
        <v>413.54</v>
      </c>
      <c r="O812" s="116">
        <v>406.4</v>
      </c>
      <c r="P812" s="116">
        <v>406.4</v>
      </c>
      <c r="Q812" s="116">
        <v>2047.45</v>
      </c>
      <c r="R812">
        <v>101713</v>
      </c>
    </row>
    <row r="813" spans="1:18" x14ac:dyDescent="0.25">
      <c r="A813" s="163">
        <v>43200</v>
      </c>
      <c r="B813" s="116">
        <v>412.39</v>
      </c>
      <c r="C813" s="116">
        <v>408.24</v>
      </c>
      <c r="D813" s="116">
        <v>406.72</v>
      </c>
      <c r="E813" s="116">
        <v>410.4</v>
      </c>
      <c r="F813" s="116">
        <v>2041.2</v>
      </c>
      <c r="G813">
        <v>1728</v>
      </c>
      <c r="H813" s="116"/>
      <c r="I813" s="116"/>
      <c r="L813" s="163">
        <v>43200</v>
      </c>
      <c r="M813" s="116">
        <v>408.44</v>
      </c>
      <c r="N813" s="116">
        <v>412.45</v>
      </c>
      <c r="O813" s="116">
        <v>406.69</v>
      </c>
      <c r="P813" s="116">
        <v>409.4</v>
      </c>
      <c r="Q813" s="116">
        <v>2042.2</v>
      </c>
      <c r="R813">
        <v>66269</v>
      </c>
    </row>
    <row r="814" spans="1:18" x14ac:dyDescent="0.25">
      <c r="A814" s="163">
        <v>43201</v>
      </c>
      <c r="B814" s="116">
        <v>417.74</v>
      </c>
      <c r="C814" s="116">
        <v>411.82</v>
      </c>
      <c r="D814" s="116">
        <v>409</v>
      </c>
      <c r="E814" s="116">
        <v>409.24</v>
      </c>
      <c r="F814" s="116">
        <v>2059.1</v>
      </c>
      <c r="G814">
        <v>9696</v>
      </c>
      <c r="H814" s="116"/>
      <c r="I814" s="116"/>
      <c r="L814" s="163">
        <v>43201</v>
      </c>
      <c r="M814" s="116">
        <v>412.01</v>
      </c>
      <c r="N814" s="116">
        <v>417.8</v>
      </c>
      <c r="O814" s="116">
        <v>408</v>
      </c>
      <c r="P814" s="116">
        <v>408</v>
      </c>
      <c r="Q814" s="116">
        <v>2060.0500000000002</v>
      </c>
      <c r="R814">
        <v>275400</v>
      </c>
    </row>
    <row r="815" spans="1:18" x14ac:dyDescent="0.25">
      <c r="A815" s="163">
        <v>43202</v>
      </c>
      <c r="B815" s="116">
        <v>416.4</v>
      </c>
      <c r="C815" s="116">
        <v>413.34</v>
      </c>
      <c r="D815" s="116">
        <v>408</v>
      </c>
      <c r="E815" s="116">
        <v>408.8</v>
      </c>
      <c r="F815" s="116">
        <v>2066.6999999999998</v>
      </c>
      <c r="G815">
        <v>13147</v>
      </c>
      <c r="H815" s="116"/>
      <c r="I815" s="116"/>
      <c r="L815" s="163">
        <v>43202</v>
      </c>
      <c r="M815" s="116">
        <v>414.04</v>
      </c>
      <c r="N815" s="116">
        <v>416.38</v>
      </c>
      <c r="O815" s="116">
        <v>408.21</v>
      </c>
      <c r="P815" s="116">
        <v>411</v>
      </c>
      <c r="Q815" s="116">
        <v>2070.1999999999998</v>
      </c>
      <c r="R815">
        <v>265152</v>
      </c>
    </row>
    <row r="816" spans="1:18" x14ac:dyDescent="0.25">
      <c r="A816" s="163">
        <v>43203</v>
      </c>
      <c r="B816" s="116">
        <v>420</v>
      </c>
      <c r="C816" s="116">
        <v>417.19</v>
      </c>
      <c r="D816" s="116">
        <v>411.84</v>
      </c>
      <c r="E816" s="116">
        <v>414.13</v>
      </c>
      <c r="F816" s="116">
        <v>2085.9499999999998</v>
      </c>
      <c r="G816">
        <v>5092</v>
      </c>
      <c r="H816" s="116"/>
      <c r="I816" s="116"/>
      <c r="L816" s="163">
        <v>43203</v>
      </c>
      <c r="M816" s="116">
        <v>417.68</v>
      </c>
      <c r="N816" s="116">
        <v>420.96</v>
      </c>
      <c r="O816" s="116">
        <v>411.69</v>
      </c>
      <c r="P816" s="116">
        <v>414.98</v>
      </c>
      <c r="Q816" s="116">
        <v>2088.4</v>
      </c>
      <c r="R816">
        <v>109363</v>
      </c>
    </row>
    <row r="817" spans="1:18" x14ac:dyDescent="0.25">
      <c r="A817" s="163">
        <v>43206</v>
      </c>
      <c r="B817" s="116">
        <v>430</v>
      </c>
      <c r="C817" s="116">
        <v>426.77</v>
      </c>
      <c r="D817" s="116">
        <v>413</v>
      </c>
      <c r="E817" s="116">
        <v>413</v>
      </c>
      <c r="F817" s="116">
        <v>2133.85</v>
      </c>
      <c r="G817">
        <v>7382</v>
      </c>
      <c r="H817" s="116"/>
      <c r="I817" s="116"/>
      <c r="L817" s="163">
        <v>43206</v>
      </c>
      <c r="M817" s="116">
        <v>427.57</v>
      </c>
      <c r="N817" s="116">
        <v>429.76</v>
      </c>
      <c r="O817" s="116">
        <v>413.24</v>
      </c>
      <c r="P817" s="116">
        <v>413.4</v>
      </c>
      <c r="Q817" s="116">
        <v>2137.85</v>
      </c>
      <c r="R817">
        <v>214927</v>
      </c>
    </row>
    <row r="818" spans="1:18" x14ac:dyDescent="0.25">
      <c r="A818" s="163">
        <v>43207</v>
      </c>
      <c r="B818" s="116">
        <v>433.38</v>
      </c>
      <c r="C818" s="116">
        <v>430.56</v>
      </c>
      <c r="D818" s="116">
        <v>425.9</v>
      </c>
      <c r="E818" s="116">
        <v>427.6</v>
      </c>
      <c r="F818" s="116">
        <v>2152.8000000000002</v>
      </c>
      <c r="G818">
        <v>7774</v>
      </c>
      <c r="H818" s="116"/>
      <c r="I818" s="116"/>
      <c r="L818" s="163">
        <v>43207</v>
      </c>
      <c r="M818" s="116">
        <v>430.64</v>
      </c>
      <c r="N818" s="116">
        <v>434.98</v>
      </c>
      <c r="O818" s="116">
        <v>426</v>
      </c>
      <c r="P818" s="116">
        <v>426.6</v>
      </c>
      <c r="Q818" s="116">
        <v>2153.1999999999998</v>
      </c>
      <c r="R818">
        <v>252046</v>
      </c>
    </row>
    <row r="819" spans="1:18" x14ac:dyDescent="0.25">
      <c r="A819" s="163">
        <v>43208</v>
      </c>
      <c r="B819" s="116">
        <v>435</v>
      </c>
      <c r="C819" s="116">
        <v>431.5</v>
      </c>
      <c r="D819" s="116">
        <v>430</v>
      </c>
      <c r="E819" s="116">
        <v>430</v>
      </c>
      <c r="F819" s="116">
        <v>2157.5</v>
      </c>
      <c r="G819">
        <v>8041</v>
      </c>
      <c r="H819" s="116"/>
      <c r="I819" s="116"/>
      <c r="L819" s="163">
        <v>43208</v>
      </c>
      <c r="M819" s="116">
        <v>432.58</v>
      </c>
      <c r="N819" s="116">
        <v>435.78</v>
      </c>
      <c r="O819" s="116">
        <v>430.64</v>
      </c>
      <c r="P819" s="116">
        <v>430.82</v>
      </c>
      <c r="Q819" s="116">
        <v>2162.9</v>
      </c>
      <c r="R819">
        <v>169850</v>
      </c>
    </row>
    <row r="820" spans="1:18" x14ac:dyDescent="0.25">
      <c r="A820" s="163">
        <v>43209</v>
      </c>
      <c r="B820" s="116">
        <v>437</v>
      </c>
      <c r="C820" s="116">
        <v>435.71</v>
      </c>
      <c r="D820" s="116">
        <v>431.21</v>
      </c>
      <c r="E820" s="116">
        <v>431.6</v>
      </c>
      <c r="F820" s="116">
        <v>2178.5500000000002</v>
      </c>
      <c r="G820">
        <v>39682</v>
      </c>
      <c r="H820" s="116"/>
      <c r="I820" s="116"/>
      <c r="L820" s="163">
        <v>43209</v>
      </c>
      <c r="M820" s="116">
        <v>436.87</v>
      </c>
      <c r="N820" s="116">
        <v>438</v>
      </c>
      <c r="O820" s="116">
        <v>430.52</v>
      </c>
      <c r="P820" s="116">
        <v>432.4</v>
      </c>
      <c r="Q820" s="116">
        <v>2184.35</v>
      </c>
      <c r="R820">
        <v>150847</v>
      </c>
    </row>
    <row r="821" spans="1:18" x14ac:dyDescent="0.25">
      <c r="A821" s="163">
        <v>43210</v>
      </c>
      <c r="B821" s="116">
        <v>445</v>
      </c>
      <c r="C821" s="116">
        <v>443.32</v>
      </c>
      <c r="D821" s="116">
        <v>435.39</v>
      </c>
      <c r="E821" s="116">
        <v>436.01</v>
      </c>
      <c r="F821" s="116">
        <v>2216.6</v>
      </c>
      <c r="G821">
        <v>29795</v>
      </c>
      <c r="H821" s="116"/>
      <c r="I821" s="116"/>
      <c r="L821" s="163">
        <v>43210</v>
      </c>
      <c r="M821" s="116">
        <v>443.75</v>
      </c>
      <c r="N821" s="116">
        <v>446</v>
      </c>
      <c r="O821" s="116">
        <v>434.43</v>
      </c>
      <c r="P821" s="116">
        <v>435.9</v>
      </c>
      <c r="Q821" s="116">
        <v>2218.75</v>
      </c>
      <c r="R821">
        <v>164052</v>
      </c>
    </row>
    <row r="822" spans="1:18" x14ac:dyDescent="0.25">
      <c r="A822" s="163">
        <v>43213</v>
      </c>
      <c r="B822" s="116">
        <v>445</v>
      </c>
      <c r="C822" s="116">
        <v>441.08</v>
      </c>
      <c r="D822" s="116">
        <v>434.68</v>
      </c>
      <c r="E822" s="116">
        <v>443</v>
      </c>
      <c r="F822" s="116">
        <v>2205.4</v>
      </c>
      <c r="G822">
        <v>2280</v>
      </c>
      <c r="H822" s="116"/>
      <c r="I822" s="116"/>
      <c r="L822" s="163">
        <v>43213</v>
      </c>
      <c r="M822" s="116">
        <v>442.66</v>
      </c>
      <c r="N822" s="116">
        <v>446.34</v>
      </c>
      <c r="O822" s="116">
        <v>440.01</v>
      </c>
      <c r="P822" s="116">
        <v>445</v>
      </c>
      <c r="Q822" s="116">
        <v>2213.3000000000002</v>
      </c>
      <c r="R822">
        <v>115447</v>
      </c>
    </row>
    <row r="823" spans="1:18" x14ac:dyDescent="0.25">
      <c r="A823" s="163">
        <v>43214</v>
      </c>
      <c r="B823" s="116">
        <v>444.01</v>
      </c>
      <c r="C823" s="116">
        <v>440.47</v>
      </c>
      <c r="D823" s="116">
        <v>435.87</v>
      </c>
      <c r="E823" s="116">
        <v>444.01</v>
      </c>
      <c r="F823" s="116">
        <v>2202.35</v>
      </c>
      <c r="G823">
        <v>2643</v>
      </c>
      <c r="H823" s="116"/>
      <c r="I823" s="116"/>
      <c r="L823" s="163">
        <v>43214</v>
      </c>
      <c r="M823" s="116">
        <v>441.2</v>
      </c>
      <c r="N823" s="116">
        <v>444.29</v>
      </c>
      <c r="O823" s="116">
        <v>435.14</v>
      </c>
      <c r="P823" s="116">
        <v>441.98</v>
      </c>
      <c r="Q823" s="116">
        <v>2206</v>
      </c>
      <c r="R823">
        <v>84401</v>
      </c>
    </row>
    <row r="824" spans="1:18" x14ac:dyDescent="0.25">
      <c r="A824" s="163">
        <v>43215</v>
      </c>
      <c r="B824" s="116">
        <v>446.25</v>
      </c>
      <c r="C824" s="116">
        <v>434.24</v>
      </c>
      <c r="D824" s="116">
        <v>430</v>
      </c>
      <c r="E824" s="116">
        <v>438.47</v>
      </c>
      <c r="F824" s="116">
        <v>2171.1999999999998</v>
      </c>
      <c r="G824">
        <v>7250</v>
      </c>
      <c r="H824" s="116"/>
      <c r="I824" s="116"/>
      <c r="L824" s="163">
        <v>43215</v>
      </c>
      <c r="M824" s="116">
        <v>434.05</v>
      </c>
      <c r="N824" s="116">
        <v>446.84</v>
      </c>
      <c r="O824" s="116">
        <v>430.81</v>
      </c>
      <c r="P824" s="116">
        <v>439.11</v>
      </c>
      <c r="Q824" s="116">
        <v>2170.25</v>
      </c>
      <c r="R824">
        <v>162522</v>
      </c>
    </row>
    <row r="825" spans="1:18" x14ac:dyDescent="0.25">
      <c r="A825" s="163">
        <v>43216</v>
      </c>
      <c r="B825" s="116">
        <v>468.74</v>
      </c>
      <c r="C825" s="116">
        <v>462.65</v>
      </c>
      <c r="D825" s="116">
        <v>434.77</v>
      </c>
      <c r="E825" s="116">
        <v>434.78</v>
      </c>
      <c r="F825" s="116">
        <v>2313.25</v>
      </c>
      <c r="G825">
        <v>26573</v>
      </c>
      <c r="H825" s="116"/>
      <c r="I825" s="116"/>
      <c r="L825" s="163">
        <v>43216</v>
      </c>
      <c r="M825" s="116">
        <v>463.76</v>
      </c>
      <c r="N825" s="116">
        <v>470.56</v>
      </c>
      <c r="O825" s="116">
        <v>434.41</v>
      </c>
      <c r="P825" s="116">
        <v>435.4</v>
      </c>
      <c r="Q825" s="116">
        <v>2318.8000000000002</v>
      </c>
      <c r="R825">
        <v>434601</v>
      </c>
    </row>
    <row r="826" spans="1:18" x14ac:dyDescent="0.25">
      <c r="A826" s="163">
        <v>43217</v>
      </c>
      <c r="B826" s="116">
        <v>478.86</v>
      </c>
      <c r="C826" s="116">
        <v>474.64</v>
      </c>
      <c r="D826" s="116">
        <v>457.61</v>
      </c>
      <c r="E826" s="116">
        <v>462.6</v>
      </c>
      <c r="F826" s="116">
        <v>2373.1999999999998</v>
      </c>
      <c r="G826">
        <v>23811</v>
      </c>
      <c r="H826" s="116"/>
      <c r="I826" s="116"/>
      <c r="L826" s="163">
        <v>43217</v>
      </c>
      <c r="M826" s="116">
        <v>476.11</v>
      </c>
      <c r="N826" s="116">
        <v>479.99</v>
      </c>
      <c r="O826" s="116">
        <v>456.6</v>
      </c>
      <c r="P826" s="116">
        <v>462.45</v>
      </c>
      <c r="Q826" s="116">
        <v>2380.5500000000002</v>
      </c>
      <c r="R826">
        <v>375466</v>
      </c>
    </row>
    <row r="827" spans="1:18" x14ac:dyDescent="0.25">
      <c r="A827" s="163">
        <v>43220</v>
      </c>
      <c r="B827" s="116">
        <v>488.6</v>
      </c>
      <c r="C827" s="116">
        <v>478.63</v>
      </c>
      <c r="D827" s="116">
        <v>475.59</v>
      </c>
      <c r="E827" s="116">
        <v>475.6</v>
      </c>
      <c r="F827" s="116">
        <v>2393.15</v>
      </c>
      <c r="G827">
        <v>10242</v>
      </c>
      <c r="H827" s="116"/>
      <c r="I827" s="116"/>
      <c r="L827" s="163">
        <v>43220</v>
      </c>
      <c r="M827" s="116">
        <v>478.49</v>
      </c>
      <c r="N827" s="116">
        <v>489.32</v>
      </c>
      <c r="O827" s="116">
        <v>474.21</v>
      </c>
      <c r="P827" s="116">
        <v>474.21</v>
      </c>
      <c r="Q827" s="116">
        <v>2392.4499999999998</v>
      </c>
      <c r="R827">
        <v>247143</v>
      </c>
    </row>
    <row r="828" spans="1:18" x14ac:dyDescent="0.25">
      <c r="A828" s="163">
        <v>43222</v>
      </c>
      <c r="B828" s="116">
        <v>484.8</v>
      </c>
      <c r="C828" s="116">
        <v>469.31</v>
      </c>
      <c r="D828" s="116">
        <v>467.16</v>
      </c>
      <c r="E828" s="116">
        <v>484.8</v>
      </c>
      <c r="F828" s="116">
        <v>2346.5500000000002</v>
      </c>
      <c r="G828">
        <v>6891</v>
      </c>
      <c r="H828" s="116"/>
      <c r="I828" s="116"/>
      <c r="L828" s="163">
        <v>43222</v>
      </c>
      <c r="M828" s="116">
        <v>469.94</v>
      </c>
      <c r="N828" s="116">
        <v>482.35</v>
      </c>
      <c r="O828" s="116">
        <v>467</v>
      </c>
      <c r="P828" s="116">
        <v>481.8</v>
      </c>
      <c r="Q828" s="116">
        <v>2349.6999999999998</v>
      </c>
      <c r="R828">
        <v>217698</v>
      </c>
    </row>
    <row r="829" spans="1:18" x14ac:dyDescent="0.25">
      <c r="A829" s="163">
        <v>43223</v>
      </c>
      <c r="B829" s="116">
        <v>471.2</v>
      </c>
      <c r="C829" s="116">
        <v>458.41</v>
      </c>
      <c r="D829" s="116">
        <v>456.6</v>
      </c>
      <c r="E829" s="116">
        <v>471.11</v>
      </c>
      <c r="F829" s="116">
        <v>2292.0500000000002</v>
      </c>
      <c r="G829">
        <v>9100</v>
      </c>
      <c r="H829" s="116"/>
      <c r="I829" s="116"/>
      <c r="L829" s="163">
        <v>43223</v>
      </c>
      <c r="M829" s="116">
        <v>459.63</v>
      </c>
      <c r="N829" s="116">
        <v>472.88</v>
      </c>
      <c r="O829" s="116">
        <v>456</v>
      </c>
      <c r="P829" s="116">
        <v>472.6</v>
      </c>
      <c r="Q829" s="116">
        <v>2298.15</v>
      </c>
      <c r="R829">
        <v>119279</v>
      </c>
    </row>
    <row r="830" spans="1:18" x14ac:dyDescent="0.25">
      <c r="A830" s="163">
        <v>43224</v>
      </c>
      <c r="B830" s="116">
        <v>471.78</v>
      </c>
      <c r="C830" s="116">
        <v>463.7</v>
      </c>
      <c r="D830" s="116">
        <v>456.92</v>
      </c>
      <c r="E830" s="116">
        <v>457.38</v>
      </c>
      <c r="F830" s="116">
        <v>2318.5</v>
      </c>
      <c r="G830">
        <v>4604</v>
      </c>
      <c r="H830" s="116"/>
      <c r="I830" s="116"/>
      <c r="L830" s="163">
        <v>43224</v>
      </c>
      <c r="M830" s="116">
        <v>463.04</v>
      </c>
      <c r="N830" s="116">
        <v>471.68</v>
      </c>
      <c r="O830" s="116">
        <v>454.2</v>
      </c>
      <c r="P830" s="116">
        <v>459</v>
      </c>
      <c r="Q830" s="116">
        <v>2315.1999999999998</v>
      </c>
      <c r="R830">
        <v>130618</v>
      </c>
    </row>
    <row r="831" spans="1:18" x14ac:dyDescent="0.25">
      <c r="A831" s="163">
        <v>43227</v>
      </c>
      <c r="B831" s="116">
        <v>468.8</v>
      </c>
      <c r="C831" s="116">
        <v>463.65</v>
      </c>
      <c r="D831" s="116">
        <v>459.44</v>
      </c>
      <c r="E831" s="116">
        <v>463.81</v>
      </c>
      <c r="F831" s="116">
        <v>2318.25</v>
      </c>
      <c r="G831">
        <v>2776</v>
      </c>
      <c r="H831" s="116"/>
      <c r="I831" s="116"/>
      <c r="L831" s="163">
        <v>43227</v>
      </c>
      <c r="M831" s="116">
        <v>463.07</v>
      </c>
      <c r="N831" s="116">
        <v>466.4</v>
      </c>
      <c r="O831" s="116">
        <v>458.31</v>
      </c>
      <c r="P831" s="116">
        <v>466.4</v>
      </c>
      <c r="Q831" s="116">
        <v>2315.35</v>
      </c>
      <c r="R831">
        <v>75960</v>
      </c>
    </row>
    <row r="832" spans="1:18" x14ac:dyDescent="0.25">
      <c r="A832" s="163">
        <v>43228</v>
      </c>
      <c r="B832" s="116">
        <v>482</v>
      </c>
      <c r="C832" s="116">
        <v>479.86</v>
      </c>
      <c r="D832" s="116">
        <v>460.33</v>
      </c>
      <c r="E832" s="116">
        <v>464</v>
      </c>
      <c r="F832" s="116">
        <v>2399.3000000000002</v>
      </c>
      <c r="G832">
        <v>16051</v>
      </c>
      <c r="H832" s="116"/>
      <c r="I832" s="116"/>
      <c r="L832" s="163">
        <v>43228</v>
      </c>
      <c r="M832" s="116">
        <v>480.4</v>
      </c>
      <c r="N832" s="116">
        <v>482.7</v>
      </c>
      <c r="O832" s="116">
        <v>460.42</v>
      </c>
      <c r="P832" s="116">
        <v>463.39</v>
      </c>
      <c r="Q832" s="116">
        <v>2402</v>
      </c>
      <c r="R832">
        <v>223724</v>
      </c>
    </row>
    <row r="833" spans="1:18" x14ac:dyDescent="0.25">
      <c r="A833" s="163">
        <v>43229</v>
      </c>
      <c r="B833" s="116">
        <v>481</v>
      </c>
      <c r="C833" s="116">
        <v>468.1</v>
      </c>
      <c r="D833" s="116">
        <v>466</v>
      </c>
      <c r="E833" s="116">
        <v>481</v>
      </c>
      <c r="F833" s="116">
        <v>2340.5</v>
      </c>
      <c r="G833">
        <v>7920</v>
      </c>
      <c r="H833" s="116"/>
      <c r="I833" s="116"/>
      <c r="L833" s="163">
        <v>43229</v>
      </c>
      <c r="M833" s="116">
        <v>466.91</v>
      </c>
      <c r="N833" s="116">
        <v>480.27</v>
      </c>
      <c r="O833" s="116">
        <v>464.46</v>
      </c>
      <c r="P833" s="116">
        <v>480</v>
      </c>
      <c r="Q833" s="116">
        <v>2334.5500000000002</v>
      </c>
      <c r="R833">
        <v>177214</v>
      </c>
    </row>
    <row r="834" spans="1:18" x14ac:dyDescent="0.25">
      <c r="A834" s="163">
        <v>43230</v>
      </c>
      <c r="B834" s="116">
        <v>469.79</v>
      </c>
      <c r="C834" s="116">
        <v>447.43</v>
      </c>
      <c r="D834" s="116">
        <v>444.02</v>
      </c>
      <c r="E834" s="116">
        <v>469.79</v>
      </c>
      <c r="F834" s="116">
        <v>2237.15</v>
      </c>
      <c r="G834">
        <v>6097</v>
      </c>
      <c r="H834" s="116"/>
      <c r="I834" s="116"/>
      <c r="L834" s="163">
        <v>43230</v>
      </c>
      <c r="M834" s="116">
        <v>446.99</v>
      </c>
      <c r="N834" s="116">
        <v>470.93</v>
      </c>
      <c r="O834" s="116">
        <v>444.8</v>
      </c>
      <c r="P834" s="116">
        <v>467.22</v>
      </c>
      <c r="Q834" s="116">
        <v>2234.9499999999998</v>
      </c>
      <c r="R834">
        <v>187116</v>
      </c>
    </row>
    <row r="835" spans="1:18" x14ac:dyDescent="0.25">
      <c r="A835" s="163">
        <v>43231</v>
      </c>
      <c r="B835" s="116">
        <v>455</v>
      </c>
      <c r="C835" s="116">
        <v>449.59</v>
      </c>
      <c r="D835" s="116">
        <v>443.66</v>
      </c>
      <c r="E835" s="116">
        <v>449.57</v>
      </c>
      <c r="F835" s="116">
        <v>2247.9499999999998</v>
      </c>
      <c r="G835">
        <v>5968</v>
      </c>
      <c r="H835" s="116"/>
      <c r="I835" s="116"/>
      <c r="L835" s="163">
        <v>43231</v>
      </c>
      <c r="M835" s="116">
        <v>449.34</v>
      </c>
      <c r="N835" s="116">
        <v>455.48</v>
      </c>
      <c r="O835" s="116">
        <v>443</v>
      </c>
      <c r="P835" s="116">
        <v>451.6</v>
      </c>
      <c r="Q835" s="116">
        <v>2246.6999999999998</v>
      </c>
      <c r="R835">
        <v>173838</v>
      </c>
    </row>
    <row r="836" spans="1:18" x14ac:dyDescent="0.25">
      <c r="A836" s="163">
        <v>43234</v>
      </c>
      <c r="B836" s="116">
        <v>452</v>
      </c>
      <c r="C836" s="116">
        <v>444.13</v>
      </c>
      <c r="D836" s="116">
        <v>440.2</v>
      </c>
      <c r="E836" s="116">
        <v>450.13</v>
      </c>
      <c r="F836" s="116">
        <v>2220.65</v>
      </c>
      <c r="G836">
        <v>1978</v>
      </c>
      <c r="H836" s="116"/>
      <c r="I836" s="116"/>
      <c r="L836" s="163">
        <v>43234</v>
      </c>
      <c r="M836" s="116">
        <v>443.77</v>
      </c>
      <c r="N836" s="116">
        <v>453.08</v>
      </c>
      <c r="O836" s="116">
        <v>440.56</v>
      </c>
      <c r="P836" s="116">
        <v>449.34</v>
      </c>
      <c r="Q836" s="116">
        <v>2218.85</v>
      </c>
      <c r="R836">
        <v>63486</v>
      </c>
    </row>
    <row r="837" spans="1:18" x14ac:dyDescent="0.25">
      <c r="A837" s="163">
        <v>43235</v>
      </c>
      <c r="B837" s="116">
        <v>454.36</v>
      </c>
      <c r="C837" s="116">
        <v>446.81</v>
      </c>
      <c r="D837" s="116">
        <v>442.37</v>
      </c>
      <c r="E837" s="116">
        <v>442.97</v>
      </c>
      <c r="F837" s="116">
        <v>2234.0500000000002</v>
      </c>
      <c r="G837">
        <v>4138</v>
      </c>
      <c r="H837" s="116"/>
      <c r="I837" s="116"/>
      <c r="L837" s="163">
        <v>43235</v>
      </c>
      <c r="M837" s="116">
        <v>447.17</v>
      </c>
      <c r="N837" s="116">
        <v>454.8</v>
      </c>
      <c r="O837" s="116">
        <v>443.21</v>
      </c>
      <c r="P837" s="116">
        <v>443.8</v>
      </c>
      <c r="Q837" s="116">
        <v>2235.85</v>
      </c>
      <c r="R837">
        <v>103050</v>
      </c>
    </row>
    <row r="838" spans="1:18" x14ac:dyDescent="0.25">
      <c r="A838" s="163">
        <v>43236</v>
      </c>
      <c r="B838" s="116">
        <v>453.71</v>
      </c>
      <c r="C838" s="116">
        <v>451.6</v>
      </c>
      <c r="D838" s="116">
        <v>442.7</v>
      </c>
      <c r="E838" s="116">
        <v>443.36</v>
      </c>
      <c r="F838" s="116">
        <v>2258</v>
      </c>
      <c r="G838">
        <v>3490</v>
      </c>
      <c r="H838" s="116"/>
      <c r="I838" s="116"/>
      <c r="L838" s="163">
        <v>43236</v>
      </c>
      <c r="M838" s="116">
        <v>451.14</v>
      </c>
      <c r="N838" s="116">
        <v>454</v>
      </c>
      <c r="O838" s="116">
        <v>442.51</v>
      </c>
      <c r="P838" s="116">
        <v>446</v>
      </c>
      <c r="Q838" s="116">
        <v>2255.6999999999998</v>
      </c>
      <c r="R838">
        <v>90760</v>
      </c>
    </row>
    <row r="839" spans="1:18" x14ac:dyDescent="0.25">
      <c r="A839" s="163">
        <v>43237</v>
      </c>
      <c r="B839" s="116">
        <v>456.84</v>
      </c>
      <c r="C839" s="116">
        <v>446.38</v>
      </c>
      <c r="D839" s="116">
        <v>444.78</v>
      </c>
      <c r="E839" s="116">
        <v>455.38</v>
      </c>
      <c r="F839" s="116">
        <v>2231.9</v>
      </c>
      <c r="G839">
        <v>4710</v>
      </c>
      <c r="H839" s="116"/>
      <c r="I839" s="116"/>
      <c r="L839" s="163">
        <v>43237</v>
      </c>
      <c r="M839" s="116">
        <v>445.52</v>
      </c>
      <c r="N839" s="116">
        <v>457.4</v>
      </c>
      <c r="O839" s="116">
        <v>443.4</v>
      </c>
      <c r="P839" s="116">
        <v>452</v>
      </c>
      <c r="Q839" s="116">
        <v>2227.6</v>
      </c>
      <c r="R839">
        <v>134737</v>
      </c>
    </row>
    <row r="840" spans="1:18" x14ac:dyDescent="0.25">
      <c r="A840" s="163">
        <v>43238</v>
      </c>
      <c r="B840" s="116">
        <v>443.89</v>
      </c>
      <c r="C840" s="116">
        <v>384.84</v>
      </c>
      <c r="D840" s="116">
        <v>366.67</v>
      </c>
      <c r="E840" s="116">
        <v>443.89</v>
      </c>
      <c r="F840" s="116">
        <v>1924.2</v>
      </c>
      <c r="G840">
        <v>119938</v>
      </c>
      <c r="H840" s="116"/>
      <c r="I840" s="116"/>
      <c r="L840" s="163">
        <v>43238</v>
      </c>
      <c r="M840" s="116">
        <v>384.88</v>
      </c>
      <c r="N840" s="116">
        <v>441.11</v>
      </c>
      <c r="O840" s="116">
        <v>366.63</v>
      </c>
      <c r="P840" s="116">
        <v>441.11</v>
      </c>
      <c r="Q840" s="116">
        <v>1924.4</v>
      </c>
      <c r="R840">
        <v>2212894</v>
      </c>
    </row>
    <row r="841" spans="1:18" x14ac:dyDescent="0.25">
      <c r="A841" s="163">
        <v>43241</v>
      </c>
      <c r="B841" s="116">
        <v>387.87</v>
      </c>
      <c r="C841" s="116">
        <v>375.45</v>
      </c>
      <c r="D841" s="116">
        <v>365</v>
      </c>
      <c r="E841" s="116">
        <v>386</v>
      </c>
      <c r="F841" s="116">
        <v>1877.25</v>
      </c>
      <c r="G841">
        <v>49596</v>
      </c>
      <c r="H841" s="116"/>
      <c r="I841" s="116"/>
      <c r="L841" s="163">
        <v>43241</v>
      </c>
      <c r="M841" s="116">
        <v>375.51</v>
      </c>
      <c r="N841" s="116">
        <v>388.2</v>
      </c>
      <c r="O841" s="116">
        <v>364.41</v>
      </c>
      <c r="P841" s="116">
        <v>385</v>
      </c>
      <c r="Q841" s="116">
        <v>1877.55</v>
      </c>
      <c r="R841">
        <v>924726</v>
      </c>
    </row>
    <row r="842" spans="1:18" x14ac:dyDescent="0.25">
      <c r="A842" s="163">
        <v>43242</v>
      </c>
      <c r="B842" s="116">
        <v>383</v>
      </c>
      <c r="C842" s="116">
        <v>378.78</v>
      </c>
      <c r="D842" s="116">
        <v>373</v>
      </c>
      <c r="E842" s="116">
        <v>375.45</v>
      </c>
      <c r="F842" s="116">
        <v>1893.9</v>
      </c>
      <c r="G842">
        <v>15755</v>
      </c>
      <c r="H842" s="116"/>
      <c r="I842" s="116"/>
      <c r="L842" s="163">
        <v>43242</v>
      </c>
      <c r="M842" s="116">
        <v>379.21</v>
      </c>
      <c r="N842" s="116">
        <v>383.4</v>
      </c>
      <c r="O842" s="116">
        <v>372.02</v>
      </c>
      <c r="P842" s="116">
        <v>374</v>
      </c>
      <c r="Q842" s="116">
        <v>1896.05</v>
      </c>
      <c r="R842">
        <v>324936</v>
      </c>
    </row>
    <row r="843" spans="1:18" x14ac:dyDescent="0.25">
      <c r="A843" s="163">
        <v>43243</v>
      </c>
      <c r="B843" s="116">
        <v>378.6</v>
      </c>
      <c r="C843" s="116">
        <v>361.15</v>
      </c>
      <c r="D843" s="116">
        <v>359.6</v>
      </c>
      <c r="E843" s="116">
        <v>372.25</v>
      </c>
      <c r="F843" s="116">
        <v>1805.75</v>
      </c>
      <c r="G843">
        <v>17589</v>
      </c>
      <c r="H843" s="116"/>
      <c r="I843" s="116"/>
      <c r="L843" s="163">
        <v>43243</v>
      </c>
      <c r="M843" s="116">
        <v>361.01</v>
      </c>
      <c r="N843" s="116">
        <v>378.4</v>
      </c>
      <c r="O843" s="116">
        <v>358.96</v>
      </c>
      <c r="P843" s="116">
        <v>377.96</v>
      </c>
      <c r="Q843" s="116">
        <v>1805.05</v>
      </c>
      <c r="R843">
        <v>457317</v>
      </c>
    </row>
    <row r="844" spans="1:18" x14ac:dyDescent="0.25">
      <c r="A844" s="163">
        <v>43244</v>
      </c>
      <c r="B844" s="116">
        <v>368</v>
      </c>
      <c r="C844" s="116">
        <v>359.16</v>
      </c>
      <c r="D844" s="116">
        <v>352.66</v>
      </c>
      <c r="E844" s="116">
        <v>360.53</v>
      </c>
      <c r="F844" s="116">
        <v>1795.8</v>
      </c>
      <c r="G844">
        <v>27917</v>
      </c>
      <c r="H844" s="116"/>
      <c r="I844" s="116"/>
      <c r="L844" s="163">
        <v>43244</v>
      </c>
      <c r="M844" s="116">
        <v>358.72</v>
      </c>
      <c r="N844" s="116">
        <v>365.64</v>
      </c>
      <c r="O844" s="116">
        <v>352.42</v>
      </c>
      <c r="P844" s="116">
        <v>358.2</v>
      </c>
      <c r="Q844" s="116">
        <v>1793.6</v>
      </c>
      <c r="R844">
        <v>377369</v>
      </c>
    </row>
    <row r="845" spans="1:18" x14ac:dyDescent="0.25">
      <c r="A845" s="163">
        <v>43245</v>
      </c>
      <c r="B845" s="116">
        <v>384.72</v>
      </c>
      <c r="C845" s="116">
        <v>373.69</v>
      </c>
      <c r="D845" s="116">
        <v>361</v>
      </c>
      <c r="E845" s="116">
        <v>362.13</v>
      </c>
      <c r="F845" s="116">
        <v>1868.45</v>
      </c>
      <c r="G845">
        <v>56604</v>
      </c>
      <c r="H845" s="116"/>
      <c r="I845" s="116"/>
      <c r="L845" s="163">
        <v>43245</v>
      </c>
      <c r="M845" s="116">
        <v>373.1</v>
      </c>
      <c r="N845" s="116">
        <v>385.6</v>
      </c>
      <c r="O845" s="116">
        <v>359.03</v>
      </c>
      <c r="P845" s="116">
        <v>359.03</v>
      </c>
      <c r="Q845" s="116">
        <v>1865.5</v>
      </c>
      <c r="R845">
        <v>977104</v>
      </c>
    </row>
    <row r="846" spans="1:18" x14ac:dyDescent="0.25">
      <c r="A846" s="163">
        <v>43248</v>
      </c>
      <c r="B846" s="116">
        <v>389.18</v>
      </c>
      <c r="C846" s="116">
        <v>384.91</v>
      </c>
      <c r="D846" s="116">
        <v>373.8</v>
      </c>
      <c r="E846" s="116">
        <v>374.6</v>
      </c>
      <c r="F846" s="116">
        <v>1924.55</v>
      </c>
      <c r="G846">
        <v>14987</v>
      </c>
      <c r="H846" s="116"/>
      <c r="I846" s="116"/>
      <c r="L846" s="163">
        <v>43248</v>
      </c>
      <c r="M846" s="116">
        <v>385.41</v>
      </c>
      <c r="N846" s="116">
        <v>389.18</v>
      </c>
      <c r="O846" s="116">
        <v>374.4</v>
      </c>
      <c r="P846" s="116">
        <v>375</v>
      </c>
      <c r="Q846" s="116">
        <v>1927.05</v>
      </c>
      <c r="R846">
        <v>535998</v>
      </c>
    </row>
    <row r="847" spans="1:18" x14ac:dyDescent="0.25">
      <c r="A847" s="163">
        <v>43249</v>
      </c>
      <c r="B847" s="116">
        <v>392.78</v>
      </c>
      <c r="C847" s="116">
        <v>384.55</v>
      </c>
      <c r="D847" s="116">
        <v>378</v>
      </c>
      <c r="E847" s="116">
        <v>384</v>
      </c>
      <c r="F847" s="116">
        <v>1922.75</v>
      </c>
      <c r="G847">
        <v>17225</v>
      </c>
      <c r="H847" s="116"/>
      <c r="I847" s="116"/>
      <c r="L847" s="163">
        <v>43249</v>
      </c>
      <c r="M847" s="116">
        <v>385.21</v>
      </c>
      <c r="N847" s="116">
        <v>392.98</v>
      </c>
      <c r="O847" s="116">
        <v>378.96</v>
      </c>
      <c r="P847" s="116">
        <v>387.9</v>
      </c>
      <c r="Q847" s="116">
        <v>1926.05</v>
      </c>
      <c r="R847">
        <v>468148</v>
      </c>
    </row>
    <row r="848" spans="1:18" x14ac:dyDescent="0.25">
      <c r="A848" s="163">
        <v>43250</v>
      </c>
      <c r="B848" s="116">
        <v>386.92</v>
      </c>
      <c r="C848" s="116">
        <v>378.96</v>
      </c>
      <c r="D848" s="116">
        <v>368.25</v>
      </c>
      <c r="E848" s="116">
        <v>380.8</v>
      </c>
      <c r="F848" s="116">
        <v>1894.8</v>
      </c>
      <c r="G848">
        <v>12475</v>
      </c>
      <c r="H848" s="116"/>
      <c r="I848" s="116"/>
      <c r="L848" s="163">
        <v>43250</v>
      </c>
      <c r="M848" s="116">
        <v>378.93</v>
      </c>
      <c r="N848" s="116">
        <v>387.3</v>
      </c>
      <c r="O848" s="116">
        <v>375.11</v>
      </c>
      <c r="P848" s="116">
        <v>380.4</v>
      </c>
      <c r="Q848" s="116">
        <v>1894.65</v>
      </c>
      <c r="R848">
        <v>260249</v>
      </c>
    </row>
    <row r="849" spans="1:18" x14ac:dyDescent="0.25">
      <c r="A849" s="163">
        <v>43251</v>
      </c>
      <c r="B849" s="116">
        <v>389.8</v>
      </c>
      <c r="C849" s="116">
        <v>385.84</v>
      </c>
      <c r="D849" s="116">
        <v>373</v>
      </c>
      <c r="E849" s="116">
        <v>379.99</v>
      </c>
      <c r="F849" s="116">
        <v>1929.2</v>
      </c>
      <c r="G849">
        <v>12777</v>
      </c>
      <c r="H849" s="116"/>
      <c r="I849" s="116"/>
      <c r="L849" s="163">
        <v>43251</v>
      </c>
      <c r="M849" s="116">
        <v>386.44</v>
      </c>
      <c r="N849" s="116">
        <v>387.97</v>
      </c>
      <c r="O849" s="116">
        <v>372.42</v>
      </c>
      <c r="P849" s="116">
        <v>379</v>
      </c>
      <c r="Q849" s="116">
        <v>1932.2</v>
      </c>
      <c r="R849">
        <v>364313</v>
      </c>
    </row>
    <row r="850" spans="1:18" x14ac:dyDescent="0.25">
      <c r="A850" s="163">
        <v>43252</v>
      </c>
      <c r="B850" s="116">
        <v>388.88</v>
      </c>
      <c r="C850" s="116">
        <v>375.14</v>
      </c>
      <c r="D850" s="116">
        <v>373.56</v>
      </c>
      <c r="E850" s="116">
        <v>386</v>
      </c>
      <c r="F850" s="116">
        <v>1875.7</v>
      </c>
      <c r="G850">
        <v>13299</v>
      </c>
      <c r="H850" s="116"/>
      <c r="I850" s="116"/>
      <c r="L850" s="163">
        <v>43252</v>
      </c>
      <c r="M850" s="116">
        <v>373.91</v>
      </c>
      <c r="N850" s="116">
        <v>388.99</v>
      </c>
      <c r="O850" s="116">
        <v>371.84</v>
      </c>
      <c r="P850" s="116">
        <v>386</v>
      </c>
      <c r="Q850" s="116">
        <v>1869.55</v>
      </c>
      <c r="R850">
        <v>328574</v>
      </c>
    </row>
    <row r="851" spans="1:18" x14ac:dyDescent="0.25">
      <c r="A851" s="163">
        <v>43255</v>
      </c>
      <c r="B851" s="116">
        <v>383.6</v>
      </c>
      <c r="C851" s="116">
        <v>378.01</v>
      </c>
      <c r="D851" s="116">
        <v>375</v>
      </c>
      <c r="E851" s="116">
        <v>376.4</v>
      </c>
      <c r="F851" s="116">
        <v>1890.05</v>
      </c>
      <c r="G851">
        <v>20906</v>
      </c>
      <c r="H851" s="116"/>
      <c r="I851" s="116"/>
      <c r="L851" s="163">
        <v>43255</v>
      </c>
      <c r="M851" s="116">
        <v>377.89</v>
      </c>
      <c r="N851" s="116">
        <v>383.77</v>
      </c>
      <c r="O851" s="116">
        <v>374.4</v>
      </c>
      <c r="P851" s="116">
        <v>376</v>
      </c>
      <c r="Q851" s="116">
        <v>1889.45</v>
      </c>
      <c r="R851">
        <v>357747</v>
      </c>
    </row>
    <row r="852" spans="1:18" x14ac:dyDescent="0.25">
      <c r="A852" s="163">
        <v>43256</v>
      </c>
      <c r="B852" s="116">
        <v>379.9</v>
      </c>
      <c r="C852" s="116">
        <v>375.24</v>
      </c>
      <c r="D852" s="116">
        <v>370</v>
      </c>
      <c r="E852" s="116">
        <v>378.01</v>
      </c>
      <c r="F852" s="116">
        <v>1876.2</v>
      </c>
      <c r="G852">
        <v>6304</v>
      </c>
      <c r="H852" s="116"/>
      <c r="I852" s="116"/>
      <c r="L852" s="163">
        <v>43256</v>
      </c>
      <c r="M852" s="116">
        <v>375.51</v>
      </c>
      <c r="N852" s="116">
        <v>381</v>
      </c>
      <c r="O852" s="116">
        <v>369.6</v>
      </c>
      <c r="P852" s="116">
        <v>378.6</v>
      </c>
      <c r="Q852" s="116">
        <v>1877.55</v>
      </c>
      <c r="R852">
        <v>168067</v>
      </c>
    </row>
    <row r="853" spans="1:18" x14ac:dyDescent="0.25">
      <c r="A853" s="163">
        <v>43257</v>
      </c>
      <c r="B853" s="116">
        <v>381.8</v>
      </c>
      <c r="C853" s="116">
        <v>379.12</v>
      </c>
      <c r="D853" s="116">
        <v>372.71</v>
      </c>
      <c r="E853" s="116">
        <v>374.52</v>
      </c>
      <c r="F853" s="116">
        <v>1895.6</v>
      </c>
      <c r="G853">
        <v>11181</v>
      </c>
      <c r="H853" s="116"/>
      <c r="I853" s="116"/>
      <c r="L853" s="163">
        <v>43257</v>
      </c>
      <c r="M853" s="116">
        <v>378.6</v>
      </c>
      <c r="N853" s="116">
        <v>382.4</v>
      </c>
      <c r="O853" s="116">
        <v>373.21</v>
      </c>
      <c r="P853" s="116">
        <v>376</v>
      </c>
      <c r="Q853" s="116">
        <v>1893</v>
      </c>
      <c r="R853">
        <v>163064</v>
      </c>
    </row>
    <row r="854" spans="1:18" x14ac:dyDescent="0.25">
      <c r="A854" s="163">
        <v>43258</v>
      </c>
      <c r="B854" s="116">
        <v>385</v>
      </c>
      <c r="C854" s="116">
        <v>379.94</v>
      </c>
      <c r="D854" s="116">
        <v>379</v>
      </c>
      <c r="E854" s="116">
        <v>382.23</v>
      </c>
      <c r="F854" s="116">
        <v>1899.7</v>
      </c>
      <c r="G854">
        <v>10138</v>
      </c>
      <c r="H854" s="116"/>
      <c r="I854" s="116"/>
      <c r="L854" s="163">
        <v>43258</v>
      </c>
      <c r="M854" s="116">
        <v>379.31</v>
      </c>
      <c r="N854" s="116">
        <v>385.5</v>
      </c>
      <c r="O854" s="116">
        <v>378.8</v>
      </c>
      <c r="P854" s="116">
        <v>381.6</v>
      </c>
      <c r="Q854" s="116">
        <v>1896.55</v>
      </c>
      <c r="R854">
        <v>179363</v>
      </c>
    </row>
    <row r="855" spans="1:18" x14ac:dyDescent="0.25">
      <c r="A855" s="163">
        <v>43259</v>
      </c>
      <c r="B855" s="116">
        <v>383.4</v>
      </c>
      <c r="C855" s="116">
        <v>377.51</v>
      </c>
      <c r="D855" s="116">
        <v>376.2</v>
      </c>
      <c r="E855" s="116">
        <v>376.2</v>
      </c>
      <c r="F855" s="116">
        <v>1887.55</v>
      </c>
      <c r="G855">
        <v>3118</v>
      </c>
      <c r="H855" s="116"/>
      <c r="I855" s="116"/>
      <c r="L855" s="163">
        <v>43259</v>
      </c>
      <c r="M855" s="116">
        <v>377.95</v>
      </c>
      <c r="N855" s="116">
        <v>380.79</v>
      </c>
      <c r="O855" s="116">
        <v>376.9</v>
      </c>
      <c r="P855" s="116">
        <v>379.1</v>
      </c>
      <c r="Q855" s="116">
        <v>1889.75</v>
      </c>
      <c r="R855">
        <v>106186</v>
      </c>
    </row>
    <row r="856" spans="1:18" x14ac:dyDescent="0.25">
      <c r="A856" s="163">
        <v>43262</v>
      </c>
      <c r="B856" s="116">
        <v>382.29</v>
      </c>
      <c r="C856" s="116">
        <v>374.12</v>
      </c>
      <c r="D856" s="116">
        <v>373</v>
      </c>
      <c r="E856" s="116">
        <v>380.81</v>
      </c>
      <c r="F856" s="116">
        <v>1870.6</v>
      </c>
      <c r="G856">
        <v>4733</v>
      </c>
      <c r="H856" s="116"/>
      <c r="I856" s="116"/>
      <c r="L856" s="163">
        <v>43262</v>
      </c>
      <c r="M856" s="116">
        <v>374</v>
      </c>
      <c r="N856" s="116">
        <v>383</v>
      </c>
      <c r="O856" s="116">
        <v>372.74</v>
      </c>
      <c r="P856" s="116">
        <v>378.24</v>
      </c>
      <c r="Q856" s="116">
        <v>1870</v>
      </c>
      <c r="R856">
        <v>111778</v>
      </c>
    </row>
    <row r="857" spans="1:18" x14ac:dyDescent="0.25">
      <c r="A857" s="163">
        <v>43263</v>
      </c>
      <c r="B857" s="116">
        <v>377</v>
      </c>
      <c r="C857" s="116">
        <v>373.34</v>
      </c>
      <c r="D857" s="116">
        <v>370.6</v>
      </c>
      <c r="E857" s="116">
        <v>370.6</v>
      </c>
      <c r="F857" s="116">
        <v>1866.7</v>
      </c>
      <c r="G857">
        <v>2946</v>
      </c>
      <c r="H857" s="116"/>
      <c r="I857" s="116"/>
      <c r="L857" s="163">
        <v>43263</v>
      </c>
      <c r="M857" s="116">
        <v>373.11</v>
      </c>
      <c r="N857" s="116">
        <v>377.21</v>
      </c>
      <c r="O857" s="116">
        <v>372.2</v>
      </c>
      <c r="P857" s="116">
        <v>374.98</v>
      </c>
      <c r="Q857" s="116">
        <v>1865.55</v>
      </c>
      <c r="R857">
        <v>88521</v>
      </c>
    </row>
    <row r="858" spans="1:18" x14ac:dyDescent="0.25">
      <c r="A858" s="163">
        <v>43264</v>
      </c>
      <c r="B858" s="116">
        <v>375.78</v>
      </c>
      <c r="C858" s="116">
        <v>367.7</v>
      </c>
      <c r="D858" s="116">
        <v>365.1</v>
      </c>
      <c r="E858" s="116">
        <v>373.61</v>
      </c>
      <c r="F858" s="116">
        <v>1838.5</v>
      </c>
      <c r="G858">
        <v>3150</v>
      </c>
      <c r="H858" s="116"/>
      <c r="I858" s="116"/>
      <c r="L858" s="163">
        <v>43264</v>
      </c>
      <c r="M858" s="116">
        <v>367.68</v>
      </c>
      <c r="N858" s="116">
        <v>376.73</v>
      </c>
      <c r="O858" s="116">
        <v>365.08</v>
      </c>
      <c r="P858" s="116">
        <v>373.59</v>
      </c>
      <c r="Q858" s="116">
        <v>1838.4</v>
      </c>
      <c r="R858">
        <v>95521</v>
      </c>
    </row>
    <row r="859" spans="1:18" x14ac:dyDescent="0.25">
      <c r="A859" s="163">
        <v>43265</v>
      </c>
      <c r="B859" s="116">
        <v>377.34</v>
      </c>
      <c r="C859" s="116">
        <v>376.03</v>
      </c>
      <c r="D859" s="116">
        <v>368.71</v>
      </c>
      <c r="E859" s="116">
        <v>369.8</v>
      </c>
      <c r="F859" s="116">
        <v>1880.15</v>
      </c>
      <c r="G859">
        <v>3858</v>
      </c>
      <c r="H859" s="116"/>
      <c r="I859" s="116"/>
      <c r="L859" s="163">
        <v>43265</v>
      </c>
      <c r="M859" s="116">
        <v>376.03</v>
      </c>
      <c r="N859" s="116">
        <v>377.8</v>
      </c>
      <c r="O859" s="116">
        <v>368</v>
      </c>
      <c r="P859" s="116">
        <v>368</v>
      </c>
      <c r="Q859" s="116">
        <v>1880.15</v>
      </c>
      <c r="R859">
        <v>131739</v>
      </c>
    </row>
    <row r="860" spans="1:18" x14ac:dyDescent="0.25">
      <c r="A860" s="163">
        <v>43266</v>
      </c>
      <c r="B860" s="116">
        <v>387.6</v>
      </c>
      <c r="C860" s="116">
        <v>380.29</v>
      </c>
      <c r="D860" s="116">
        <v>367.51</v>
      </c>
      <c r="E860" s="116">
        <v>379.2</v>
      </c>
      <c r="F860" s="116">
        <v>1901.45</v>
      </c>
      <c r="G860">
        <v>16890</v>
      </c>
      <c r="H860" s="116"/>
      <c r="I860" s="116"/>
      <c r="L860" s="163">
        <v>43266</v>
      </c>
      <c r="M860" s="116">
        <v>380.56</v>
      </c>
      <c r="N860" s="116">
        <v>388.33</v>
      </c>
      <c r="O860" s="116">
        <v>375.67</v>
      </c>
      <c r="P860" s="116">
        <v>379.1</v>
      </c>
      <c r="Q860" s="116">
        <v>1902.8</v>
      </c>
      <c r="R860">
        <v>465196</v>
      </c>
    </row>
    <row r="861" spans="1:18" x14ac:dyDescent="0.25">
      <c r="A861" s="163">
        <v>43269</v>
      </c>
      <c r="B861" s="116">
        <v>382</v>
      </c>
      <c r="C861" s="116">
        <v>374.76</v>
      </c>
      <c r="D861" s="116">
        <v>372.3</v>
      </c>
      <c r="E861" s="116">
        <v>382</v>
      </c>
      <c r="F861" s="116">
        <v>1873.8</v>
      </c>
      <c r="G861">
        <v>3670</v>
      </c>
      <c r="H861" s="116"/>
      <c r="I861" s="116"/>
      <c r="L861" s="163">
        <v>43269</v>
      </c>
      <c r="M861" s="116">
        <v>374.53</v>
      </c>
      <c r="N861" s="116">
        <v>380.98</v>
      </c>
      <c r="O861" s="116">
        <v>372</v>
      </c>
      <c r="P861" s="116">
        <v>380.98</v>
      </c>
      <c r="Q861" s="116">
        <v>1872.65</v>
      </c>
      <c r="R861">
        <v>164310</v>
      </c>
    </row>
    <row r="862" spans="1:18" x14ac:dyDescent="0.25">
      <c r="A862" s="163">
        <v>43270</v>
      </c>
      <c r="B862" s="116">
        <v>373.49</v>
      </c>
      <c r="C862" s="116">
        <v>369.76</v>
      </c>
      <c r="D862" s="116">
        <v>367.58</v>
      </c>
      <c r="E862" s="116">
        <v>372.4</v>
      </c>
      <c r="F862" s="116">
        <v>1848.8</v>
      </c>
      <c r="G862">
        <v>3596</v>
      </c>
      <c r="H862" s="116"/>
      <c r="I862" s="116"/>
      <c r="L862" s="163">
        <v>43270</v>
      </c>
      <c r="M862" s="116">
        <v>369.78</v>
      </c>
      <c r="N862" s="116">
        <v>373.8</v>
      </c>
      <c r="O862" s="116">
        <v>367.01</v>
      </c>
      <c r="P862" s="116">
        <v>373.7</v>
      </c>
      <c r="Q862" s="116">
        <v>1848.9</v>
      </c>
      <c r="R862">
        <v>119722</v>
      </c>
    </row>
    <row r="863" spans="1:18" x14ac:dyDescent="0.25">
      <c r="A863" s="163">
        <v>43271</v>
      </c>
      <c r="B863" s="116">
        <v>372.2</v>
      </c>
      <c r="C863" s="116">
        <v>364.99</v>
      </c>
      <c r="D863" s="116">
        <v>363.5</v>
      </c>
      <c r="E863" s="116">
        <v>372.19</v>
      </c>
      <c r="F863" s="116">
        <v>1824.95</v>
      </c>
      <c r="G863">
        <v>5657</v>
      </c>
      <c r="H863" s="116"/>
      <c r="I863" s="116"/>
      <c r="L863" s="163">
        <v>43271</v>
      </c>
      <c r="M863" s="116">
        <v>364.61</v>
      </c>
      <c r="N863" s="116">
        <v>371.99</v>
      </c>
      <c r="O863" s="116">
        <v>363.4</v>
      </c>
      <c r="P863" s="116">
        <v>371.99</v>
      </c>
      <c r="Q863" s="116">
        <v>1823.05</v>
      </c>
      <c r="R863">
        <v>177689</v>
      </c>
    </row>
    <row r="864" spans="1:18" x14ac:dyDescent="0.25">
      <c r="A864" s="163">
        <v>43272</v>
      </c>
      <c r="B864" s="116">
        <v>364</v>
      </c>
      <c r="C864" s="116">
        <v>356.04</v>
      </c>
      <c r="D864" s="116">
        <v>352.37</v>
      </c>
      <c r="E864" s="116">
        <v>363</v>
      </c>
      <c r="F864" s="116">
        <v>1780.2</v>
      </c>
      <c r="G864">
        <v>21509</v>
      </c>
      <c r="H864" s="116"/>
      <c r="I864" s="116"/>
      <c r="L864" s="163">
        <v>43272</v>
      </c>
      <c r="M864" s="116">
        <v>356.59</v>
      </c>
      <c r="N864" s="116">
        <v>364.65</v>
      </c>
      <c r="O864" s="116">
        <v>351.97</v>
      </c>
      <c r="P864" s="116">
        <v>364.61</v>
      </c>
      <c r="Q864" s="116">
        <v>1782.95</v>
      </c>
      <c r="R864">
        <v>441179</v>
      </c>
    </row>
    <row r="865" spans="1:18" x14ac:dyDescent="0.25">
      <c r="A865" s="163">
        <v>43273</v>
      </c>
      <c r="B865" s="116">
        <v>356.4</v>
      </c>
      <c r="C865" s="116">
        <v>334.25</v>
      </c>
      <c r="D865" s="116">
        <v>332.28</v>
      </c>
      <c r="E865" s="116">
        <v>356.4</v>
      </c>
      <c r="F865" s="116">
        <v>1671.25</v>
      </c>
      <c r="G865">
        <v>158959</v>
      </c>
      <c r="H865" s="116"/>
      <c r="I865" s="116"/>
      <c r="L865" s="163">
        <v>43273</v>
      </c>
      <c r="M865" s="116">
        <v>334.28</v>
      </c>
      <c r="N865" s="116">
        <v>357.59</v>
      </c>
      <c r="O865" s="116">
        <v>332.41</v>
      </c>
      <c r="P865" s="116">
        <v>356.6</v>
      </c>
      <c r="Q865" s="116">
        <v>1671.4</v>
      </c>
      <c r="R865">
        <v>1629350</v>
      </c>
    </row>
    <row r="866" spans="1:18" x14ac:dyDescent="0.25">
      <c r="A866" s="163">
        <v>43276</v>
      </c>
      <c r="B866" s="116">
        <v>336.5</v>
      </c>
      <c r="C866" s="116">
        <v>332.14</v>
      </c>
      <c r="D866" s="116">
        <v>325.95</v>
      </c>
      <c r="E866" s="116">
        <v>334</v>
      </c>
      <c r="F866" s="116">
        <v>1660.7</v>
      </c>
      <c r="G866">
        <v>49603</v>
      </c>
      <c r="H866" s="116"/>
      <c r="I866" s="116"/>
      <c r="L866" s="163">
        <v>43276</v>
      </c>
      <c r="M866" s="116">
        <v>332.01</v>
      </c>
      <c r="N866" s="116">
        <v>336.71</v>
      </c>
      <c r="O866" s="116">
        <v>325.39999999999998</v>
      </c>
      <c r="P866" s="116">
        <v>332.43</v>
      </c>
      <c r="Q866" s="116">
        <v>1660.05</v>
      </c>
      <c r="R866">
        <v>1272037</v>
      </c>
    </row>
    <row r="867" spans="1:18" x14ac:dyDescent="0.25">
      <c r="A867" s="163">
        <v>43277</v>
      </c>
      <c r="B867" s="116">
        <v>338.98</v>
      </c>
      <c r="C867" s="116">
        <v>336.04</v>
      </c>
      <c r="D867" s="116">
        <v>329.12</v>
      </c>
      <c r="E867" s="116">
        <v>332.14</v>
      </c>
      <c r="F867" s="116">
        <v>1680.2</v>
      </c>
      <c r="G867">
        <v>35503</v>
      </c>
      <c r="H867" s="116"/>
      <c r="I867" s="116"/>
      <c r="L867" s="163">
        <v>43277</v>
      </c>
      <c r="M867" s="116">
        <v>336.58</v>
      </c>
      <c r="N867" s="116">
        <v>339.18</v>
      </c>
      <c r="O867" s="116">
        <v>329.11</v>
      </c>
      <c r="P867" s="116">
        <v>331.6</v>
      </c>
      <c r="Q867" s="116">
        <v>1682.9</v>
      </c>
      <c r="R867">
        <v>889805</v>
      </c>
    </row>
    <row r="868" spans="1:18" x14ac:dyDescent="0.25">
      <c r="A868" s="163">
        <v>43278</v>
      </c>
      <c r="B868" s="116">
        <v>339.32</v>
      </c>
      <c r="C868" s="116">
        <v>329.5</v>
      </c>
      <c r="D868" s="116">
        <v>326.60000000000002</v>
      </c>
      <c r="E868" s="116">
        <v>338.4</v>
      </c>
      <c r="F868" s="116">
        <v>1647.5</v>
      </c>
      <c r="G868">
        <v>24642</v>
      </c>
      <c r="H868" s="116"/>
      <c r="I868" s="116"/>
      <c r="L868" s="163">
        <v>43278</v>
      </c>
      <c r="M868" s="116">
        <v>330.67</v>
      </c>
      <c r="N868" s="116">
        <v>339.59</v>
      </c>
      <c r="O868" s="116">
        <v>327.14</v>
      </c>
      <c r="P868" s="116">
        <v>339.59</v>
      </c>
      <c r="Q868" s="116">
        <v>1653.35</v>
      </c>
      <c r="R868">
        <v>529526</v>
      </c>
    </row>
    <row r="869" spans="1:18" x14ac:dyDescent="0.25">
      <c r="A869" s="163">
        <v>43279</v>
      </c>
      <c r="B869" s="116">
        <v>331.24</v>
      </c>
      <c r="C869" s="116">
        <v>328.31</v>
      </c>
      <c r="D869" s="116">
        <v>322.91000000000003</v>
      </c>
      <c r="E869" s="116">
        <v>329.6</v>
      </c>
      <c r="F869" s="116">
        <v>1641.55</v>
      </c>
      <c r="G869">
        <v>24429</v>
      </c>
      <c r="H869" s="116"/>
      <c r="I869" s="116"/>
      <c r="L869" s="163">
        <v>43279</v>
      </c>
      <c r="M869" s="116">
        <v>328.42</v>
      </c>
      <c r="N869" s="116">
        <v>331.8</v>
      </c>
      <c r="O869" s="116">
        <v>322.45</v>
      </c>
      <c r="P869" s="116">
        <v>330</v>
      </c>
      <c r="Q869" s="116">
        <v>1642.1</v>
      </c>
      <c r="R869">
        <v>755603</v>
      </c>
    </row>
    <row r="870" spans="1:18" x14ac:dyDescent="0.25">
      <c r="A870" s="163">
        <v>43280</v>
      </c>
      <c r="B870" s="116">
        <v>340.79</v>
      </c>
      <c r="C870" s="116">
        <v>338.97</v>
      </c>
      <c r="D870" s="116">
        <v>331.2</v>
      </c>
      <c r="E870" s="116">
        <v>331.2</v>
      </c>
      <c r="F870" s="116">
        <v>1694.85</v>
      </c>
      <c r="G870">
        <v>15122</v>
      </c>
      <c r="H870" s="116"/>
      <c r="I870" s="116"/>
      <c r="L870" s="163">
        <v>43280</v>
      </c>
      <c r="M870" s="116">
        <v>339.32</v>
      </c>
      <c r="N870" s="116">
        <v>341.4</v>
      </c>
      <c r="O870" s="116">
        <v>329.1</v>
      </c>
      <c r="P870" s="116">
        <v>330.2</v>
      </c>
      <c r="Q870" s="116">
        <v>1696.6</v>
      </c>
      <c r="R870">
        <v>477024</v>
      </c>
    </row>
    <row r="871" spans="1:18" x14ac:dyDescent="0.25">
      <c r="A871" s="163">
        <v>43283</v>
      </c>
      <c r="B871" s="116">
        <v>341.75</v>
      </c>
      <c r="C871" s="116">
        <v>329.66</v>
      </c>
      <c r="D871" s="116">
        <v>327</v>
      </c>
      <c r="E871" s="116">
        <v>340.6</v>
      </c>
      <c r="F871" s="116">
        <v>1648.3</v>
      </c>
      <c r="G871">
        <v>20961</v>
      </c>
      <c r="H871" s="116"/>
      <c r="I871" s="116"/>
      <c r="L871" s="163">
        <v>43283</v>
      </c>
      <c r="M871" s="116">
        <v>330.03</v>
      </c>
      <c r="N871" s="116">
        <v>342</v>
      </c>
      <c r="O871" s="116">
        <v>326.52999999999997</v>
      </c>
      <c r="P871" s="116">
        <v>342</v>
      </c>
      <c r="Q871" s="116">
        <v>1650.15</v>
      </c>
      <c r="R871">
        <v>421281</v>
      </c>
    </row>
    <row r="872" spans="1:18" x14ac:dyDescent="0.25">
      <c r="A872" s="163">
        <v>43284</v>
      </c>
      <c r="B872" s="116">
        <v>333.6</v>
      </c>
      <c r="C872" s="116">
        <v>332.03</v>
      </c>
      <c r="D872" s="116">
        <v>326.27</v>
      </c>
      <c r="E872" s="116">
        <v>331.38</v>
      </c>
      <c r="F872" s="116">
        <v>1660.15</v>
      </c>
      <c r="G872">
        <v>17647</v>
      </c>
      <c r="H872" s="116"/>
      <c r="I872" s="116"/>
      <c r="L872" s="163">
        <v>43284</v>
      </c>
      <c r="M872" s="116">
        <v>332.2</v>
      </c>
      <c r="N872" s="116">
        <v>333.84</v>
      </c>
      <c r="O872" s="116">
        <v>326.31</v>
      </c>
      <c r="P872" s="116">
        <v>331.78</v>
      </c>
      <c r="Q872" s="116">
        <v>1661</v>
      </c>
      <c r="R872">
        <v>290724</v>
      </c>
    </row>
    <row r="873" spans="1:18" x14ac:dyDescent="0.25">
      <c r="A873" s="163">
        <v>43285</v>
      </c>
      <c r="B873" s="116">
        <v>333.8</v>
      </c>
      <c r="C873" s="116">
        <v>329.3</v>
      </c>
      <c r="D873" s="116">
        <v>328.24</v>
      </c>
      <c r="E873" s="116">
        <v>333.8</v>
      </c>
      <c r="F873" s="116">
        <v>1646.5</v>
      </c>
      <c r="G873">
        <v>7156</v>
      </c>
      <c r="H873" s="116"/>
      <c r="I873" s="116"/>
      <c r="L873" s="163">
        <v>43285</v>
      </c>
      <c r="M873" s="116">
        <v>330.11</v>
      </c>
      <c r="N873" s="116">
        <v>333.49</v>
      </c>
      <c r="O873" s="116">
        <v>328.48</v>
      </c>
      <c r="P873" s="116">
        <v>332.4</v>
      </c>
      <c r="Q873" s="116">
        <v>1650.55</v>
      </c>
      <c r="R873">
        <v>169081</v>
      </c>
    </row>
    <row r="874" spans="1:18" x14ac:dyDescent="0.25">
      <c r="A874" s="163">
        <v>43286</v>
      </c>
      <c r="B874" s="116">
        <v>329.83</v>
      </c>
      <c r="C874" s="116">
        <v>325.89</v>
      </c>
      <c r="D874" s="116">
        <v>320.5</v>
      </c>
      <c r="E874" s="116">
        <v>329.82</v>
      </c>
      <c r="F874" s="116">
        <v>1629.45</v>
      </c>
      <c r="G874">
        <v>16542</v>
      </c>
      <c r="H874" s="116"/>
      <c r="I874" s="116"/>
      <c r="L874" s="163">
        <v>43286</v>
      </c>
      <c r="M874" s="116">
        <v>325.60000000000002</v>
      </c>
      <c r="N874" s="116">
        <v>330.98</v>
      </c>
      <c r="O874" s="116">
        <v>320.55</v>
      </c>
      <c r="P874" s="116">
        <v>330.98</v>
      </c>
      <c r="Q874" s="116">
        <v>1628</v>
      </c>
      <c r="R874">
        <v>396326</v>
      </c>
    </row>
    <row r="875" spans="1:18" x14ac:dyDescent="0.25">
      <c r="A875" s="163">
        <v>43287</v>
      </c>
      <c r="B875" s="116">
        <v>331.39</v>
      </c>
      <c r="C875" s="116">
        <v>328.91</v>
      </c>
      <c r="D875" s="116">
        <v>322.61</v>
      </c>
      <c r="E875" s="116">
        <v>322.61</v>
      </c>
      <c r="F875" s="116">
        <v>1644.55</v>
      </c>
      <c r="G875">
        <v>10810</v>
      </c>
      <c r="H875" s="116"/>
      <c r="I875" s="116"/>
      <c r="L875" s="163">
        <v>43287</v>
      </c>
      <c r="M875" s="116">
        <v>328.68</v>
      </c>
      <c r="N875" s="116">
        <v>331.76</v>
      </c>
      <c r="O875" s="116">
        <v>322.60000000000002</v>
      </c>
      <c r="P875" s="116">
        <v>325.60000000000002</v>
      </c>
      <c r="Q875" s="116">
        <v>1643.4</v>
      </c>
      <c r="R875">
        <v>368569</v>
      </c>
    </row>
    <row r="876" spans="1:18" x14ac:dyDescent="0.25">
      <c r="A876" s="163">
        <v>43290</v>
      </c>
      <c r="B876" s="116">
        <v>347</v>
      </c>
      <c r="C876" s="116">
        <v>345.52</v>
      </c>
      <c r="D876" s="116">
        <v>328.43</v>
      </c>
      <c r="E876" s="116">
        <v>330.94</v>
      </c>
      <c r="F876" s="116">
        <v>1727.6</v>
      </c>
      <c r="G876">
        <v>22475</v>
      </c>
      <c r="H876" s="116"/>
      <c r="I876" s="116"/>
      <c r="L876" s="163">
        <v>43290</v>
      </c>
      <c r="M876" s="116">
        <v>345.38</v>
      </c>
      <c r="N876" s="116">
        <v>347.16</v>
      </c>
      <c r="O876" s="116">
        <v>327.60000000000002</v>
      </c>
      <c r="P876" s="116">
        <v>328.9</v>
      </c>
      <c r="Q876" s="116">
        <v>1726.9</v>
      </c>
      <c r="R876">
        <v>498961</v>
      </c>
    </row>
    <row r="877" spans="1:18" x14ac:dyDescent="0.25">
      <c r="A877" s="163">
        <v>43291</v>
      </c>
      <c r="B877" s="116">
        <v>355.59</v>
      </c>
      <c r="C877" s="116">
        <v>348.68</v>
      </c>
      <c r="D877" s="116">
        <v>346.4</v>
      </c>
      <c r="E877" s="116">
        <v>349.6</v>
      </c>
      <c r="F877" s="116">
        <v>1743.4</v>
      </c>
      <c r="G877">
        <v>49367</v>
      </c>
      <c r="H877" s="116"/>
      <c r="I877" s="116"/>
      <c r="L877" s="163">
        <v>43291</v>
      </c>
      <c r="M877" s="116">
        <v>348.69</v>
      </c>
      <c r="N877" s="116">
        <v>355.5</v>
      </c>
      <c r="O877" s="116">
        <v>345.84</v>
      </c>
      <c r="P877" s="116">
        <v>349.2</v>
      </c>
      <c r="Q877" s="116">
        <v>1743.45</v>
      </c>
      <c r="R877">
        <v>810392</v>
      </c>
    </row>
    <row r="878" spans="1:18" x14ac:dyDescent="0.25">
      <c r="A878" s="163">
        <v>43292</v>
      </c>
      <c r="B878" s="116">
        <v>347.5</v>
      </c>
      <c r="C878" s="116">
        <v>338.31</v>
      </c>
      <c r="D878" s="116">
        <v>336.91</v>
      </c>
      <c r="E878" s="116">
        <v>345.24</v>
      </c>
      <c r="F878" s="116">
        <v>1691.55</v>
      </c>
      <c r="G878">
        <v>17872</v>
      </c>
      <c r="H878" s="116"/>
      <c r="I878" s="116"/>
      <c r="L878" s="163">
        <v>43292</v>
      </c>
      <c r="M878" s="116">
        <v>338.68</v>
      </c>
      <c r="N878" s="116">
        <v>347.42</v>
      </c>
      <c r="O878" s="116">
        <v>336.52</v>
      </c>
      <c r="P878" s="116">
        <v>346.81</v>
      </c>
      <c r="Q878" s="116">
        <v>1693.4</v>
      </c>
      <c r="R878">
        <v>322310</v>
      </c>
    </row>
    <row r="879" spans="1:18" x14ac:dyDescent="0.25">
      <c r="A879" s="163">
        <v>43293</v>
      </c>
      <c r="B879" s="116">
        <v>345.27</v>
      </c>
      <c r="C879" s="116">
        <v>336.05</v>
      </c>
      <c r="D879" s="116">
        <v>331.32</v>
      </c>
      <c r="E879" s="116">
        <v>340.07</v>
      </c>
      <c r="F879" s="116">
        <v>1680.25</v>
      </c>
      <c r="G879">
        <v>14885</v>
      </c>
      <c r="H879" s="116"/>
      <c r="I879" s="116"/>
      <c r="L879" s="163">
        <v>43293</v>
      </c>
      <c r="M879" s="116">
        <v>335.76</v>
      </c>
      <c r="N879" s="116">
        <v>345.78</v>
      </c>
      <c r="O879" s="116">
        <v>331.2</v>
      </c>
      <c r="P879" s="116">
        <v>340</v>
      </c>
      <c r="Q879" s="116">
        <v>1678.8</v>
      </c>
      <c r="R879">
        <v>447728</v>
      </c>
    </row>
    <row r="880" spans="1:18" x14ac:dyDescent="0.25">
      <c r="A880" s="163">
        <v>43294</v>
      </c>
      <c r="B880" s="116">
        <v>337.96</v>
      </c>
      <c r="C880" s="116">
        <v>330.62</v>
      </c>
      <c r="D880" s="116">
        <v>329.02</v>
      </c>
      <c r="E880" s="116">
        <v>337.2</v>
      </c>
      <c r="F880" s="116">
        <v>1653.1</v>
      </c>
      <c r="G880">
        <v>18010</v>
      </c>
      <c r="H880" s="116"/>
      <c r="I880" s="116"/>
      <c r="L880" s="163">
        <v>43294</v>
      </c>
      <c r="M880" s="116">
        <v>330.09</v>
      </c>
      <c r="N880" s="116">
        <v>338</v>
      </c>
      <c r="O880" s="116">
        <v>328.8</v>
      </c>
      <c r="P880" s="116">
        <v>335.97</v>
      </c>
      <c r="Q880" s="116">
        <v>1650.45</v>
      </c>
      <c r="R880">
        <v>253114</v>
      </c>
    </row>
    <row r="881" spans="1:18" x14ac:dyDescent="0.25">
      <c r="A881" s="163">
        <v>43297</v>
      </c>
      <c r="B881" s="116">
        <v>330.6</v>
      </c>
      <c r="C881" s="116">
        <v>316.91000000000003</v>
      </c>
      <c r="D881" s="116">
        <v>314.25</v>
      </c>
      <c r="E881" s="116">
        <v>330.05</v>
      </c>
      <c r="F881" s="116">
        <v>1584.55</v>
      </c>
      <c r="G881">
        <v>19912</v>
      </c>
      <c r="H881" s="116"/>
      <c r="I881" s="116"/>
      <c r="L881" s="163">
        <v>43297</v>
      </c>
      <c r="M881" s="116">
        <v>316.89999999999998</v>
      </c>
      <c r="N881" s="116">
        <v>331.49</v>
      </c>
      <c r="O881" s="116">
        <v>315</v>
      </c>
      <c r="P881" s="116">
        <v>330</v>
      </c>
      <c r="Q881" s="116">
        <v>1584.5</v>
      </c>
      <c r="R881">
        <v>327183</v>
      </c>
    </row>
    <row r="882" spans="1:18" x14ac:dyDescent="0.25">
      <c r="A882" s="163">
        <v>43298</v>
      </c>
      <c r="B882" s="116">
        <v>330.58</v>
      </c>
      <c r="C882" s="116">
        <v>329.24</v>
      </c>
      <c r="D882" s="116">
        <v>317.24</v>
      </c>
      <c r="E882" s="116">
        <v>319.2</v>
      </c>
      <c r="F882" s="116">
        <v>1646.2</v>
      </c>
      <c r="G882">
        <v>15226</v>
      </c>
      <c r="H882" s="116"/>
      <c r="I882" s="116"/>
      <c r="L882" s="163">
        <v>43298</v>
      </c>
      <c r="M882" s="116">
        <v>329.23</v>
      </c>
      <c r="N882" s="116">
        <v>330.86</v>
      </c>
      <c r="O882" s="116">
        <v>317</v>
      </c>
      <c r="P882" s="116">
        <v>319</v>
      </c>
      <c r="Q882" s="116">
        <v>1646.15</v>
      </c>
      <c r="R882">
        <v>326051</v>
      </c>
    </row>
    <row r="883" spans="1:18" x14ac:dyDescent="0.25">
      <c r="A883" s="163">
        <v>43299</v>
      </c>
      <c r="B883" s="116">
        <v>332.89</v>
      </c>
      <c r="C883" s="116">
        <v>319.83999999999997</v>
      </c>
      <c r="D883" s="116">
        <v>316.8</v>
      </c>
      <c r="E883" s="116">
        <v>330.88</v>
      </c>
      <c r="F883" s="116">
        <v>1599.2</v>
      </c>
      <c r="G883">
        <v>11861</v>
      </c>
      <c r="H883" s="116"/>
      <c r="I883" s="116"/>
      <c r="L883" s="163">
        <v>43299</v>
      </c>
      <c r="M883" s="116">
        <v>320.35000000000002</v>
      </c>
      <c r="N883" s="116">
        <v>332.99</v>
      </c>
      <c r="O883" s="116">
        <v>316.39999999999998</v>
      </c>
      <c r="P883" s="116">
        <v>329.23</v>
      </c>
      <c r="Q883" s="116">
        <v>1601.75</v>
      </c>
      <c r="R883">
        <v>405709</v>
      </c>
    </row>
    <row r="884" spans="1:18" x14ac:dyDescent="0.25">
      <c r="A884" s="163">
        <v>43300</v>
      </c>
      <c r="B884" s="116">
        <v>319</v>
      </c>
      <c r="C884" s="116">
        <v>315.13</v>
      </c>
      <c r="D884" s="116">
        <v>306.2</v>
      </c>
      <c r="E884" s="116">
        <v>319</v>
      </c>
      <c r="F884" s="116">
        <v>1575.65</v>
      </c>
      <c r="G884">
        <v>18416</v>
      </c>
      <c r="H884" s="116"/>
      <c r="I884" s="116"/>
      <c r="L884" s="163">
        <v>43300</v>
      </c>
      <c r="M884" s="116">
        <v>314.11</v>
      </c>
      <c r="N884" s="116">
        <v>321</v>
      </c>
      <c r="O884" s="116">
        <v>306.05</v>
      </c>
      <c r="P884" s="116">
        <v>321</v>
      </c>
      <c r="Q884" s="116">
        <v>1570.55</v>
      </c>
      <c r="R884">
        <v>592266</v>
      </c>
    </row>
    <row r="885" spans="1:18" x14ac:dyDescent="0.25">
      <c r="A885" s="163">
        <v>43301</v>
      </c>
      <c r="B885" s="116">
        <v>317</v>
      </c>
      <c r="C885" s="116">
        <v>312.85000000000002</v>
      </c>
      <c r="D885" s="116">
        <v>306.2</v>
      </c>
      <c r="E885" s="116">
        <v>310.60000000000002</v>
      </c>
      <c r="F885" s="116">
        <v>1564.25</v>
      </c>
      <c r="G885">
        <v>18995</v>
      </c>
      <c r="H885" s="116"/>
      <c r="I885" s="116"/>
      <c r="L885" s="163">
        <v>43301</v>
      </c>
      <c r="M885" s="116">
        <v>312.66000000000003</v>
      </c>
      <c r="N885" s="116">
        <v>317.10000000000002</v>
      </c>
      <c r="O885" s="116">
        <v>306.01</v>
      </c>
      <c r="P885" s="116">
        <v>316</v>
      </c>
      <c r="Q885" s="116">
        <v>1563.3</v>
      </c>
      <c r="R885">
        <v>535086</v>
      </c>
    </row>
    <row r="886" spans="1:18" x14ac:dyDescent="0.25">
      <c r="A886" s="163">
        <v>43304</v>
      </c>
      <c r="B886" s="116">
        <v>315.8</v>
      </c>
      <c r="C886" s="116">
        <v>313.86</v>
      </c>
      <c r="D886" s="116">
        <v>309.2</v>
      </c>
      <c r="E886" s="116">
        <v>312.02999999999997</v>
      </c>
      <c r="F886" s="116">
        <v>1569.3</v>
      </c>
      <c r="G886">
        <v>9225</v>
      </c>
      <c r="H886" s="116"/>
      <c r="I886" s="116"/>
      <c r="L886" s="163">
        <v>43304</v>
      </c>
      <c r="M886" s="116">
        <v>313.52999999999997</v>
      </c>
      <c r="N886" s="116">
        <v>316</v>
      </c>
      <c r="O886" s="116">
        <v>308.41000000000003</v>
      </c>
      <c r="P886" s="116">
        <v>312.66000000000003</v>
      </c>
      <c r="Q886" s="116">
        <v>1567.65</v>
      </c>
      <c r="R886">
        <v>313678</v>
      </c>
    </row>
    <row r="887" spans="1:18" x14ac:dyDescent="0.25">
      <c r="A887" s="163">
        <v>43305</v>
      </c>
      <c r="B887" s="116">
        <v>331</v>
      </c>
      <c r="C887" s="116">
        <v>328.14</v>
      </c>
      <c r="D887" s="116">
        <v>311.01</v>
      </c>
      <c r="E887" s="116">
        <v>314.54000000000002</v>
      </c>
      <c r="F887" s="116">
        <v>1640.7</v>
      </c>
      <c r="G887">
        <v>33829</v>
      </c>
      <c r="H887" s="116"/>
      <c r="I887" s="116"/>
      <c r="L887" s="163">
        <v>43305</v>
      </c>
      <c r="M887" s="116">
        <v>328.07</v>
      </c>
      <c r="N887" s="116">
        <v>330.6</v>
      </c>
      <c r="O887" s="116">
        <v>311.26</v>
      </c>
      <c r="P887" s="116">
        <v>315.76</v>
      </c>
      <c r="Q887" s="116">
        <v>1640.35</v>
      </c>
      <c r="R887">
        <v>556365</v>
      </c>
    </row>
    <row r="888" spans="1:18" x14ac:dyDescent="0.25">
      <c r="A888" s="163">
        <v>43306</v>
      </c>
      <c r="B888" s="116">
        <v>338.57</v>
      </c>
      <c r="C888" s="116">
        <v>332.94</v>
      </c>
      <c r="D888" s="116">
        <v>324.39999999999998</v>
      </c>
      <c r="E888" s="116">
        <v>330.13</v>
      </c>
      <c r="F888" s="116">
        <v>1664.7</v>
      </c>
      <c r="G888">
        <v>28026</v>
      </c>
      <c r="H888" s="116"/>
      <c r="I888" s="116"/>
      <c r="L888" s="163">
        <v>43306</v>
      </c>
      <c r="M888" s="116">
        <v>333.56</v>
      </c>
      <c r="N888" s="116">
        <v>338.82</v>
      </c>
      <c r="O888" s="116">
        <v>324.10000000000002</v>
      </c>
      <c r="P888" s="116">
        <v>330.16</v>
      </c>
      <c r="Q888" s="116">
        <v>1667.8</v>
      </c>
      <c r="R888">
        <v>511942</v>
      </c>
    </row>
    <row r="889" spans="1:18" x14ac:dyDescent="0.25">
      <c r="A889" s="163">
        <v>43307</v>
      </c>
      <c r="B889" s="116">
        <v>340.02</v>
      </c>
      <c r="C889" s="116">
        <v>329.55</v>
      </c>
      <c r="D889" s="116">
        <v>325</v>
      </c>
      <c r="E889" s="116">
        <v>334.6</v>
      </c>
      <c r="F889" s="116">
        <v>1647.75</v>
      </c>
      <c r="G889">
        <v>23830</v>
      </c>
      <c r="H889" s="116"/>
      <c r="I889" s="116"/>
      <c r="L889" s="163">
        <v>43307</v>
      </c>
      <c r="M889" s="116">
        <v>328.96</v>
      </c>
      <c r="N889" s="116">
        <v>339.66</v>
      </c>
      <c r="O889" s="116">
        <v>323.66000000000003</v>
      </c>
      <c r="P889" s="116">
        <v>336.2</v>
      </c>
      <c r="Q889" s="116">
        <v>1644.8</v>
      </c>
      <c r="R889">
        <v>373039</v>
      </c>
    </row>
    <row r="890" spans="1:18" x14ac:dyDescent="0.25">
      <c r="A890" s="163">
        <v>43308</v>
      </c>
      <c r="B890" s="116">
        <v>344.8</v>
      </c>
      <c r="C890" s="116">
        <v>336.62</v>
      </c>
      <c r="D890" s="116">
        <v>327.45</v>
      </c>
      <c r="E890" s="116">
        <v>328.52</v>
      </c>
      <c r="F890" s="116">
        <v>1683.1</v>
      </c>
      <c r="G890">
        <v>36889</v>
      </c>
      <c r="H890" s="116"/>
      <c r="I890" s="116"/>
      <c r="L890" s="163">
        <v>43308</v>
      </c>
      <c r="M890" s="116">
        <v>336.83</v>
      </c>
      <c r="N890" s="116">
        <v>345</v>
      </c>
      <c r="O890" s="116">
        <v>326</v>
      </c>
      <c r="P890" s="116">
        <v>327.60000000000002</v>
      </c>
      <c r="Q890" s="116">
        <v>1684.15</v>
      </c>
      <c r="R890">
        <v>750168</v>
      </c>
    </row>
    <row r="891" spans="1:18" x14ac:dyDescent="0.25">
      <c r="A891" s="163">
        <v>43311</v>
      </c>
      <c r="B891" s="116">
        <v>348.19</v>
      </c>
      <c r="C891" s="116">
        <v>344.13</v>
      </c>
      <c r="D891" s="116">
        <v>339.2</v>
      </c>
      <c r="E891" s="116">
        <v>339.2</v>
      </c>
      <c r="F891" s="116">
        <v>1720.65</v>
      </c>
      <c r="G891">
        <v>32514</v>
      </c>
      <c r="H891" s="116"/>
      <c r="I891" s="116"/>
      <c r="L891" s="163">
        <v>43311</v>
      </c>
      <c r="M891" s="116">
        <v>344.06</v>
      </c>
      <c r="N891" s="116">
        <v>347.9</v>
      </c>
      <c r="O891" s="116">
        <v>338</v>
      </c>
      <c r="P891" s="116">
        <v>338</v>
      </c>
      <c r="Q891" s="116">
        <v>1720.3</v>
      </c>
      <c r="R891">
        <v>597393</v>
      </c>
    </row>
    <row r="892" spans="1:18" x14ac:dyDescent="0.25">
      <c r="A892" s="163">
        <v>43312</v>
      </c>
      <c r="B892" s="116">
        <v>347.6</v>
      </c>
      <c r="C892" s="116">
        <v>346.08</v>
      </c>
      <c r="D892" s="116">
        <v>337.81</v>
      </c>
      <c r="E892" s="116">
        <v>342.89</v>
      </c>
      <c r="F892" s="116">
        <v>1730.4</v>
      </c>
      <c r="G892">
        <v>17915</v>
      </c>
      <c r="H892" s="116"/>
      <c r="I892" s="116"/>
      <c r="L892" s="163">
        <v>43312</v>
      </c>
      <c r="M892" s="116">
        <v>346.25</v>
      </c>
      <c r="N892" s="116">
        <v>347.74</v>
      </c>
      <c r="O892" s="116">
        <v>337.2</v>
      </c>
      <c r="P892" s="116">
        <v>342.79</v>
      </c>
      <c r="Q892" s="116">
        <v>1731.25</v>
      </c>
      <c r="R892">
        <v>291519</v>
      </c>
    </row>
    <row r="893" spans="1:18" x14ac:dyDescent="0.25">
      <c r="A893" s="163">
        <v>43313</v>
      </c>
      <c r="B893" s="116">
        <v>349.57</v>
      </c>
      <c r="C893" s="116">
        <v>346.02</v>
      </c>
      <c r="D893" s="116">
        <v>343.1</v>
      </c>
      <c r="E893" s="116">
        <v>346.2</v>
      </c>
      <c r="F893" s="116">
        <v>1730.1</v>
      </c>
      <c r="G893">
        <v>14314</v>
      </c>
      <c r="H893" s="116"/>
      <c r="I893" s="116"/>
      <c r="L893" s="163">
        <v>43313</v>
      </c>
      <c r="M893" s="116">
        <v>345.87</v>
      </c>
      <c r="N893" s="116">
        <v>349.62</v>
      </c>
      <c r="O893" s="116">
        <v>343</v>
      </c>
      <c r="P893" s="116">
        <v>344.02</v>
      </c>
      <c r="Q893" s="116">
        <v>1729.35</v>
      </c>
      <c r="R893">
        <v>339398</v>
      </c>
    </row>
    <row r="894" spans="1:18" x14ac:dyDescent="0.25">
      <c r="A894" s="163">
        <v>43314</v>
      </c>
      <c r="B894" s="116">
        <v>343.89</v>
      </c>
      <c r="C894" s="116">
        <v>339.79</v>
      </c>
      <c r="D894" s="116">
        <v>337</v>
      </c>
      <c r="E894" s="116">
        <v>337.01</v>
      </c>
      <c r="F894" s="116">
        <v>1698.95</v>
      </c>
      <c r="G894">
        <v>12431</v>
      </c>
      <c r="H894" s="116"/>
      <c r="I894" s="116"/>
      <c r="L894" s="163">
        <v>43314</v>
      </c>
      <c r="M894" s="116">
        <v>338.8</v>
      </c>
      <c r="N894" s="116">
        <v>345.06</v>
      </c>
      <c r="O894" s="116">
        <v>337.21</v>
      </c>
      <c r="P894" s="116">
        <v>344.14</v>
      </c>
      <c r="Q894" s="116">
        <v>1694</v>
      </c>
      <c r="R894">
        <v>300731</v>
      </c>
    </row>
    <row r="895" spans="1:18" x14ac:dyDescent="0.25">
      <c r="A895" s="163">
        <v>43315</v>
      </c>
      <c r="B895" s="116">
        <v>351.66</v>
      </c>
      <c r="C895" s="116">
        <v>348.58</v>
      </c>
      <c r="D895" s="116">
        <v>340.38</v>
      </c>
      <c r="E895" s="116">
        <v>340.43</v>
      </c>
      <c r="F895" s="116">
        <v>1742.9</v>
      </c>
      <c r="G895">
        <v>17291</v>
      </c>
      <c r="H895" s="116"/>
      <c r="I895" s="116"/>
      <c r="L895" s="163">
        <v>43315</v>
      </c>
      <c r="M895" s="116">
        <v>348.53</v>
      </c>
      <c r="N895" s="116">
        <v>351.3</v>
      </c>
      <c r="O895" s="116">
        <v>339.42</v>
      </c>
      <c r="P895" s="116">
        <v>341</v>
      </c>
      <c r="Q895" s="116">
        <v>1742.65</v>
      </c>
      <c r="R895">
        <v>398878</v>
      </c>
    </row>
    <row r="896" spans="1:18" x14ac:dyDescent="0.25">
      <c r="A896" s="163">
        <v>43318</v>
      </c>
      <c r="B896" s="116">
        <v>359.96</v>
      </c>
      <c r="C896" s="116">
        <v>358.78</v>
      </c>
      <c r="D896" s="116">
        <v>350.87</v>
      </c>
      <c r="E896" s="116">
        <v>351.96</v>
      </c>
      <c r="F896" s="116">
        <v>1793.9</v>
      </c>
      <c r="G896">
        <v>34598</v>
      </c>
      <c r="H896" s="116"/>
      <c r="I896" s="116"/>
      <c r="L896" s="163">
        <v>43318</v>
      </c>
      <c r="M896" s="116">
        <v>358.46</v>
      </c>
      <c r="N896" s="116">
        <v>359.82</v>
      </c>
      <c r="O896" s="116">
        <v>350</v>
      </c>
      <c r="P896" s="116">
        <v>350</v>
      </c>
      <c r="Q896" s="116">
        <v>1792.3</v>
      </c>
      <c r="R896">
        <v>536137</v>
      </c>
    </row>
    <row r="897" spans="1:18" x14ac:dyDescent="0.25">
      <c r="A897" s="163">
        <v>43319</v>
      </c>
      <c r="B897" s="116">
        <v>368</v>
      </c>
      <c r="C897" s="116">
        <v>365.81</v>
      </c>
      <c r="D897" s="116">
        <v>360</v>
      </c>
      <c r="E897" s="116">
        <v>360</v>
      </c>
      <c r="F897" s="116">
        <v>1829.05</v>
      </c>
      <c r="G897">
        <v>42881</v>
      </c>
      <c r="H897" s="116"/>
      <c r="I897" s="116"/>
      <c r="L897" s="163">
        <v>43319</v>
      </c>
      <c r="M897" s="116">
        <v>365.5</v>
      </c>
      <c r="N897" s="116">
        <v>368.4</v>
      </c>
      <c r="O897" s="116">
        <v>360</v>
      </c>
      <c r="P897" s="116">
        <v>360</v>
      </c>
      <c r="Q897" s="116">
        <v>1827.5</v>
      </c>
      <c r="R897">
        <v>825865</v>
      </c>
    </row>
    <row r="898" spans="1:18" x14ac:dyDescent="0.25">
      <c r="A898" s="163">
        <v>43320</v>
      </c>
      <c r="B898" s="116">
        <v>374.25</v>
      </c>
      <c r="C898" s="116">
        <v>370.54</v>
      </c>
      <c r="D898" s="116">
        <v>364.2</v>
      </c>
      <c r="E898" s="116">
        <v>370.2</v>
      </c>
      <c r="F898" s="116">
        <v>1852.7</v>
      </c>
      <c r="G898">
        <v>97366</v>
      </c>
      <c r="H898" s="116"/>
      <c r="I898" s="116"/>
      <c r="L898" s="163">
        <v>43320</v>
      </c>
      <c r="M898" s="116">
        <v>370.66</v>
      </c>
      <c r="N898" s="116">
        <v>375.4</v>
      </c>
      <c r="O898" s="116">
        <v>364.4</v>
      </c>
      <c r="P898" s="116">
        <v>369.56</v>
      </c>
      <c r="Q898" s="116">
        <v>1853.3</v>
      </c>
      <c r="R898">
        <v>1405032</v>
      </c>
    </row>
    <row r="899" spans="1:18" x14ac:dyDescent="0.25">
      <c r="A899" s="163">
        <v>43321</v>
      </c>
      <c r="B899" s="116">
        <v>381</v>
      </c>
      <c r="C899" s="116">
        <v>378.46</v>
      </c>
      <c r="D899" s="116">
        <v>372.2</v>
      </c>
      <c r="E899" s="116">
        <v>372.2</v>
      </c>
      <c r="F899" s="116">
        <v>1892.3</v>
      </c>
      <c r="G899">
        <v>80576</v>
      </c>
      <c r="H899" s="116"/>
      <c r="I899" s="116"/>
      <c r="L899" s="163">
        <v>43321</v>
      </c>
      <c r="M899" s="116">
        <v>379.47</v>
      </c>
      <c r="N899" s="116">
        <v>381.6</v>
      </c>
      <c r="O899" s="116">
        <v>373.01</v>
      </c>
      <c r="P899" s="116">
        <v>374.9</v>
      </c>
      <c r="Q899" s="116">
        <v>1897.35</v>
      </c>
      <c r="R899">
        <v>725230</v>
      </c>
    </row>
    <row r="900" spans="1:18" x14ac:dyDescent="0.25">
      <c r="A900" s="163">
        <v>43322</v>
      </c>
      <c r="B900" s="116">
        <v>383.8</v>
      </c>
      <c r="C900" s="116">
        <v>380.84</v>
      </c>
      <c r="D900" s="116">
        <v>374</v>
      </c>
      <c r="E900" s="116">
        <v>376</v>
      </c>
      <c r="F900" s="116">
        <v>1904.2</v>
      </c>
      <c r="G900">
        <v>22955</v>
      </c>
      <c r="H900" s="116"/>
      <c r="I900" s="116"/>
      <c r="L900" s="163">
        <v>43322</v>
      </c>
      <c r="M900" s="116">
        <v>380.82</v>
      </c>
      <c r="N900" s="116">
        <v>384</v>
      </c>
      <c r="O900" s="116">
        <v>373.61</v>
      </c>
      <c r="P900" s="116">
        <v>379.47</v>
      </c>
      <c r="Q900" s="116">
        <v>1904.1</v>
      </c>
      <c r="R900">
        <v>482456</v>
      </c>
    </row>
    <row r="901" spans="1:18" x14ac:dyDescent="0.25">
      <c r="A901" s="163">
        <v>43325</v>
      </c>
      <c r="B901" s="116">
        <v>380</v>
      </c>
      <c r="C901" s="116">
        <v>375.3</v>
      </c>
      <c r="D901" s="116">
        <v>374.56</v>
      </c>
      <c r="E901" s="116">
        <v>380</v>
      </c>
      <c r="F901" s="116">
        <v>1876.5</v>
      </c>
      <c r="G901">
        <v>8506</v>
      </c>
      <c r="H901" s="116"/>
      <c r="I901" s="116"/>
      <c r="L901" s="163">
        <v>43325</v>
      </c>
      <c r="M901" s="116">
        <v>375.97</v>
      </c>
      <c r="N901" s="116">
        <v>379.94</v>
      </c>
      <c r="O901" s="116">
        <v>374</v>
      </c>
      <c r="P901" s="116">
        <v>379.94</v>
      </c>
      <c r="Q901" s="116">
        <v>1879.85</v>
      </c>
      <c r="R901">
        <v>218787</v>
      </c>
    </row>
    <row r="902" spans="1:18" x14ac:dyDescent="0.25">
      <c r="A902" s="163">
        <v>43326</v>
      </c>
      <c r="B902" s="116">
        <v>387.8</v>
      </c>
      <c r="C902" s="116">
        <v>386.48</v>
      </c>
      <c r="D902" s="116">
        <v>372.79</v>
      </c>
      <c r="E902" s="116">
        <v>375.2</v>
      </c>
      <c r="F902" s="116">
        <v>1932.4</v>
      </c>
      <c r="G902">
        <v>20487</v>
      </c>
      <c r="H902" s="116"/>
      <c r="I902" s="116"/>
      <c r="L902" s="163">
        <v>43326</v>
      </c>
      <c r="M902" s="116">
        <v>386.78</v>
      </c>
      <c r="N902" s="116">
        <v>388</v>
      </c>
      <c r="O902" s="116">
        <v>372</v>
      </c>
      <c r="P902" s="116">
        <v>376</v>
      </c>
      <c r="Q902" s="116">
        <v>1933.9</v>
      </c>
      <c r="R902">
        <v>537884</v>
      </c>
    </row>
    <row r="903" spans="1:18" x14ac:dyDescent="0.25">
      <c r="A903" s="163">
        <v>43328</v>
      </c>
      <c r="B903" s="116">
        <v>395.52</v>
      </c>
      <c r="C903" s="116">
        <v>392.19</v>
      </c>
      <c r="D903" s="116">
        <v>382.99</v>
      </c>
      <c r="E903" s="116">
        <v>386.48</v>
      </c>
      <c r="F903" s="116">
        <v>1960.95</v>
      </c>
      <c r="G903">
        <v>27177</v>
      </c>
      <c r="H903" s="116"/>
      <c r="I903" s="116"/>
      <c r="L903" s="163">
        <v>43328</v>
      </c>
      <c r="M903" s="116">
        <v>392.23</v>
      </c>
      <c r="N903" s="116">
        <v>395</v>
      </c>
      <c r="O903" s="116">
        <v>382.19</v>
      </c>
      <c r="P903" s="116">
        <v>385.6</v>
      </c>
      <c r="Q903" s="116">
        <v>1961.15</v>
      </c>
      <c r="R903">
        <v>600215</v>
      </c>
    </row>
    <row r="904" spans="1:18" x14ac:dyDescent="0.25">
      <c r="A904" s="163">
        <v>43329</v>
      </c>
      <c r="B904" s="116">
        <v>399.64</v>
      </c>
      <c r="C904" s="116">
        <v>398.05</v>
      </c>
      <c r="D904" s="116">
        <v>393</v>
      </c>
      <c r="E904" s="116">
        <v>393</v>
      </c>
      <c r="F904" s="116">
        <v>1990.25</v>
      </c>
      <c r="G904">
        <v>18249</v>
      </c>
      <c r="H904" s="116"/>
      <c r="I904" s="116"/>
      <c r="L904" s="163">
        <v>43329</v>
      </c>
      <c r="M904" s="116">
        <v>398.13</v>
      </c>
      <c r="N904" s="116">
        <v>400</v>
      </c>
      <c r="O904" s="116">
        <v>391</v>
      </c>
      <c r="P904" s="116">
        <v>392.4</v>
      </c>
      <c r="Q904" s="116">
        <v>1990.65</v>
      </c>
      <c r="R904">
        <v>437313</v>
      </c>
    </row>
    <row r="905" spans="1:18" x14ac:dyDescent="0.25">
      <c r="A905" s="163">
        <v>43332</v>
      </c>
      <c r="B905" s="116">
        <v>401.17</v>
      </c>
      <c r="C905" s="116">
        <v>394.23</v>
      </c>
      <c r="D905" s="116">
        <v>392.72</v>
      </c>
      <c r="E905" s="116">
        <v>399.6</v>
      </c>
      <c r="F905" s="116">
        <v>1971.15</v>
      </c>
      <c r="G905">
        <v>13473</v>
      </c>
      <c r="H905" s="116"/>
      <c r="I905" s="116"/>
      <c r="L905" s="163">
        <v>43332</v>
      </c>
      <c r="M905" s="116">
        <v>393.81</v>
      </c>
      <c r="N905" s="116">
        <v>402.03</v>
      </c>
      <c r="O905" s="116">
        <v>392.39</v>
      </c>
      <c r="P905" s="116">
        <v>399.8</v>
      </c>
      <c r="Q905" s="116">
        <v>1969.05</v>
      </c>
      <c r="R905">
        <v>242935</v>
      </c>
    </row>
    <row r="906" spans="1:18" x14ac:dyDescent="0.25">
      <c r="A906" s="163">
        <v>43333</v>
      </c>
      <c r="B906" s="116">
        <v>395.69</v>
      </c>
      <c r="C906" s="116">
        <v>392.38</v>
      </c>
      <c r="D906" s="116">
        <v>385.41</v>
      </c>
      <c r="E906" s="116">
        <v>394.15</v>
      </c>
      <c r="F906" s="116">
        <v>1961.9</v>
      </c>
      <c r="G906">
        <v>28160</v>
      </c>
      <c r="H906" s="116"/>
      <c r="I906" s="116"/>
      <c r="L906" s="163">
        <v>43333</v>
      </c>
      <c r="M906" s="116">
        <v>392.67</v>
      </c>
      <c r="N906" s="116">
        <v>396.75</v>
      </c>
      <c r="O906" s="116">
        <v>385.22</v>
      </c>
      <c r="P906" s="116">
        <v>394</v>
      </c>
      <c r="Q906" s="116">
        <v>1963.35</v>
      </c>
      <c r="R906">
        <v>404784</v>
      </c>
    </row>
    <row r="907" spans="1:18" x14ac:dyDescent="0.25">
      <c r="A907" s="163">
        <v>43335</v>
      </c>
      <c r="B907" s="116">
        <v>395.14</v>
      </c>
      <c r="C907" s="116">
        <v>390.92</v>
      </c>
      <c r="D907" s="116">
        <v>388.21</v>
      </c>
      <c r="E907" s="116">
        <v>390.72</v>
      </c>
      <c r="F907" s="116">
        <v>1954.6</v>
      </c>
      <c r="G907">
        <v>7904</v>
      </c>
      <c r="H907" s="116"/>
      <c r="I907" s="116"/>
      <c r="L907" s="163">
        <v>43335</v>
      </c>
      <c r="M907" s="116">
        <v>391.07</v>
      </c>
      <c r="N907" s="116">
        <v>395.69</v>
      </c>
      <c r="O907" s="116">
        <v>388.01</v>
      </c>
      <c r="P907" s="116">
        <v>393.5</v>
      </c>
      <c r="Q907" s="116">
        <v>1955.35</v>
      </c>
      <c r="R907">
        <v>304315</v>
      </c>
    </row>
    <row r="908" spans="1:18" x14ac:dyDescent="0.25">
      <c r="A908" s="163">
        <v>43336</v>
      </c>
      <c r="B908" s="116">
        <v>399.01</v>
      </c>
      <c r="C908" s="116">
        <v>394.38</v>
      </c>
      <c r="D908" s="116">
        <v>386.91</v>
      </c>
      <c r="E908" s="116">
        <v>388.41</v>
      </c>
      <c r="F908" s="116">
        <v>1971.9</v>
      </c>
      <c r="G908">
        <v>13927</v>
      </c>
      <c r="H908" s="116"/>
      <c r="I908" s="116"/>
      <c r="L908" s="163">
        <v>43336</v>
      </c>
      <c r="M908" s="116">
        <v>394.64</v>
      </c>
      <c r="N908" s="116">
        <v>399.02</v>
      </c>
      <c r="O908" s="116">
        <v>388</v>
      </c>
      <c r="P908" s="116">
        <v>388</v>
      </c>
      <c r="Q908" s="116">
        <v>1973.2</v>
      </c>
      <c r="R908">
        <v>329709</v>
      </c>
    </row>
    <row r="909" spans="1:18" x14ac:dyDescent="0.25">
      <c r="A909" s="163">
        <v>43339</v>
      </c>
      <c r="B909" s="116">
        <v>398</v>
      </c>
      <c r="C909" s="116">
        <v>394.47</v>
      </c>
      <c r="D909" s="116">
        <v>391.28</v>
      </c>
      <c r="E909" s="116">
        <v>394.5</v>
      </c>
      <c r="F909" s="116">
        <v>1972.35</v>
      </c>
      <c r="G909">
        <v>9065</v>
      </c>
      <c r="H909" s="116"/>
      <c r="I909" s="116"/>
      <c r="L909" s="163">
        <v>43339</v>
      </c>
      <c r="M909" s="116">
        <v>394.46</v>
      </c>
      <c r="N909" s="116">
        <v>398.79</v>
      </c>
      <c r="O909" s="116">
        <v>391.03</v>
      </c>
      <c r="P909" s="116">
        <v>394</v>
      </c>
      <c r="Q909" s="116">
        <v>1972.3</v>
      </c>
      <c r="R909">
        <v>171818</v>
      </c>
    </row>
    <row r="910" spans="1:18" x14ac:dyDescent="0.25">
      <c r="A910" s="163">
        <v>43340</v>
      </c>
      <c r="B910" s="116">
        <v>395.32</v>
      </c>
      <c r="C910" s="116">
        <v>390.32</v>
      </c>
      <c r="D910" s="116">
        <v>388.22</v>
      </c>
      <c r="E910" s="116">
        <v>395</v>
      </c>
      <c r="F910" s="116">
        <v>1951.6</v>
      </c>
      <c r="G910">
        <v>4957</v>
      </c>
      <c r="H910" s="116"/>
      <c r="I910" s="116"/>
      <c r="L910" s="163">
        <v>43340</v>
      </c>
      <c r="M910" s="116">
        <v>389.83</v>
      </c>
      <c r="N910" s="116">
        <v>396.98</v>
      </c>
      <c r="O910" s="116">
        <v>388.57</v>
      </c>
      <c r="P910" s="116">
        <v>394.38</v>
      </c>
      <c r="Q910" s="116">
        <v>1949.15</v>
      </c>
      <c r="R910">
        <v>145749</v>
      </c>
    </row>
    <row r="911" spans="1:18" x14ac:dyDescent="0.25">
      <c r="A911" s="163">
        <v>43341</v>
      </c>
      <c r="B911" s="116">
        <v>413.8</v>
      </c>
      <c r="C911" s="116">
        <v>410.58</v>
      </c>
      <c r="D911" s="116">
        <v>387.95</v>
      </c>
      <c r="E911" s="116">
        <v>392.17</v>
      </c>
      <c r="F911" s="116">
        <v>2052.9</v>
      </c>
      <c r="G911">
        <v>33047</v>
      </c>
      <c r="H911" s="116"/>
      <c r="I911" s="116"/>
      <c r="L911" s="163">
        <v>43341</v>
      </c>
      <c r="M911" s="116">
        <v>410.62</v>
      </c>
      <c r="N911" s="116">
        <v>413.8</v>
      </c>
      <c r="O911" s="116">
        <v>388.23</v>
      </c>
      <c r="P911" s="116">
        <v>390.96</v>
      </c>
      <c r="Q911" s="116">
        <v>2053.1</v>
      </c>
      <c r="R911">
        <v>640289</v>
      </c>
    </row>
    <row r="912" spans="1:18" x14ac:dyDescent="0.25">
      <c r="A912" s="163">
        <v>43342</v>
      </c>
      <c r="B912" s="116">
        <v>416.6</v>
      </c>
      <c r="C912" s="116">
        <v>408.15</v>
      </c>
      <c r="D912" s="116">
        <v>406.74</v>
      </c>
      <c r="E912" s="116">
        <v>412.5</v>
      </c>
      <c r="F912" s="116">
        <v>2040.75</v>
      </c>
      <c r="G912">
        <v>17749</v>
      </c>
      <c r="H912" s="116"/>
      <c r="I912" s="116"/>
      <c r="L912" s="163">
        <v>43342</v>
      </c>
      <c r="M912" s="116">
        <v>408.11</v>
      </c>
      <c r="N912" s="116">
        <v>416.9</v>
      </c>
      <c r="O912" s="116">
        <v>406.6</v>
      </c>
      <c r="P912" s="116">
        <v>411.98</v>
      </c>
      <c r="Q912" s="116">
        <v>2040.55</v>
      </c>
      <c r="R912">
        <v>493601</v>
      </c>
    </row>
    <row r="913" spans="1:18" x14ac:dyDescent="0.25">
      <c r="A913" s="163">
        <v>43343</v>
      </c>
      <c r="B913" s="116">
        <v>413.24</v>
      </c>
      <c r="C913" s="116">
        <v>404.88</v>
      </c>
      <c r="D913" s="116">
        <v>396.4</v>
      </c>
      <c r="E913" s="116">
        <v>400.52</v>
      </c>
      <c r="F913" s="116">
        <v>2024.4</v>
      </c>
      <c r="G913">
        <v>22173</v>
      </c>
      <c r="H913" s="116"/>
      <c r="I913" s="116"/>
      <c r="L913" s="163">
        <v>43343</v>
      </c>
      <c r="M913" s="116">
        <v>404.48</v>
      </c>
      <c r="N913" s="116">
        <v>412.96</v>
      </c>
      <c r="O913" s="116">
        <v>396.43</v>
      </c>
      <c r="P913" s="116">
        <v>405.01</v>
      </c>
      <c r="Q913" s="116">
        <v>2022.4</v>
      </c>
      <c r="R913">
        <v>481207</v>
      </c>
    </row>
    <row r="914" spans="1:18" x14ac:dyDescent="0.25">
      <c r="A914" s="163">
        <v>43346</v>
      </c>
      <c r="B914" s="116">
        <v>411.61</v>
      </c>
      <c r="C914" s="116">
        <v>400.79</v>
      </c>
      <c r="D914" s="116">
        <v>399.21</v>
      </c>
      <c r="E914" s="116">
        <v>409.8</v>
      </c>
      <c r="F914" s="116">
        <v>2003.95</v>
      </c>
      <c r="G914">
        <v>8869</v>
      </c>
      <c r="H914" s="116"/>
      <c r="I914" s="116"/>
      <c r="L914" s="163">
        <v>43346</v>
      </c>
      <c r="M914" s="116">
        <v>400.58</v>
      </c>
      <c r="N914" s="116">
        <v>411.8</v>
      </c>
      <c r="O914" s="116">
        <v>399.23</v>
      </c>
      <c r="P914" s="116">
        <v>406.2</v>
      </c>
      <c r="Q914" s="116">
        <v>2002.9</v>
      </c>
      <c r="R914">
        <v>186991</v>
      </c>
    </row>
    <row r="915" spans="1:18" x14ac:dyDescent="0.25">
      <c r="A915" s="163">
        <v>43347</v>
      </c>
      <c r="B915" s="116">
        <v>403.32</v>
      </c>
      <c r="C915" s="116">
        <v>389.3</v>
      </c>
      <c r="D915" s="116">
        <v>387.65</v>
      </c>
      <c r="E915" s="116">
        <v>403.01</v>
      </c>
      <c r="F915" s="116">
        <v>1946.5</v>
      </c>
      <c r="G915">
        <v>6422</v>
      </c>
      <c r="H915" s="116"/>
      <c r="I915" s="116"/>
      <c r="L915" s="163">
        <v>43347</v>
      </c>
      <c r="M915" s="116">
        <v>389.28</v>
      </c>
      <c r="N915" s="116">
        <v>403.6</v>
      </c>
      <c r="O915" s="116">
        <v>387.05</v>
      </c>
      <c r="P915" s="116">
        <v>403.2</v>
      </c>
      <c r="Q915" s="116">
        <v>1946.4</v>
      </c>
      <c r="R915">
        <v>228497</v>
      </c>
    </row>
    <row r="916" spans="1:18" x14ac:dyDescent="0.25">
      <c r="A916" s="163">
        <v>43348</v>
      </c>
      <c r="B916" s="116">
        <v>393.47</v>
      </c>
      <c r="C916" s="116">
        <v>385.49</v>
      </c>
      <c r="D916" s="116">
        <v>373.79</v>
      </c>
      <c r="E916" s="116">
        <v>387.82</v>
      </c>
      <c r="F916" s="116">
        <v>1927.45</v>
      </c>
      <c r="G916">
        <v>13722</v>
      </c>
      <c r="H916" s="116"/>
      <c r="I916" s="116"/>
      <c r="L916" s="163">
        <v>43348</v>
      </c>
      <c r="M916" s="116">
        <v>385.02</v>
      </c>
      <c r="N916" s="116">
        <v>393.77</v>
      </c>
      <c r="O916" s="116">
        <v>373.73</v>
      </c>
      <c r="P916" s="116">
        <v>390.8</v>
      </c>
      <c r="Q916" s="116">
        <v>1925.1</v>
      </c>
      <c r="R916">
        <v>368873</v>
      </c>
    </row>
    <row r="917" spans="1:18" x14ac:dyDescent="0.25">
      <c r="A917" s="163">
        <v>43349</v>
      </c>
      <c r="B917" s="116">
        <v>400</v>
      </c>
      <c r="C917" s="116">
        <v>397.3</v>
      </c>
      <c r="D917" s="116">
        <v>381.42</v>
      </c>
      <c r="E917" s="116">
        <v>388.31</v>
      </c>
      <c r="F917" s="116">
        <v>1986.5</v>
      </c>
      <c r="G917">
        <v>17288</v>
      </c>
      <c r="H917" s="116"/>
      <c r="I917" s="116"/>
      <c r="L917" s="163">
        <v>43349</v>
      </c>
      <c r="M917" s="116">
        <v>397.64</v>
      </c>
      <c r="N917" s="116">
        <v>400.8</v>
      </c>
      <c r="O917" s="116">
        <v>381.16</v>
      </c>
      <c r="P917" s="116">
        <v>388.8</v>
      </c>
      <c r="Q917" s="116">
        <v>1988.2</v>
      </c>
      <c r="R917">
        <v>449320</v>
      </c>
    </row>
    <row r="918" spans="1:18" x14ac:dyDescent="0.25">
      <c r="A918" s="163">
        <v>43350</v>
      </c>
      <c r="B918" s="116">
        <v>408</v>
      </c>
      <c r="C918" s="116">
        <v>402.79</v>
      </c>
      <c r="D918" s="116">
        <v>391.8</v>
      </c>
      <c r="E918" s="116">
        <v>397.4</v>
      </c>
      <c r="F918" s="116">
        <v>2013.95</v>
      </c>
      <c r="G918">
        <v>24069</v>
      </c>
      <c r="H918" s="116"/>
      <c r="I918" s="116"/>
      <c r="L918" s="163">
        <v>43350</v>
      </c>
      <c r="M918" s="116">
        <v>403.14</v>
      </c>
      <c r="N918" s="116">
        <v>408.4</v>
      </c>
      <c r="O918" s="116">
        <v>391.6</v>
      </c>
      <c r="P918" s="116">
        <v>398</v>
      </c>
      <c r="Q918" s="116">
        <v>2015.7</v>
      </c>
      <c r="R918">
        <v>430669</v>
      </c>
    </row>
    <row r="919" spans="1:18" x14ac:dyDescent="0.25">
      <c r="A919" s="163">
        <v>43353</v>
      </c>
      <c r="B919" s="116">
        <v>402.6</v>
      </c>
      <c r="C919" s="116">
        <v>390.58</v>
      </c>
      <c r="D919" s="116">
        <v>388</v>
      </c>
      <c r="E919" s="116">
        <v>400.53</v>
      </c>
      <c r="F919" s="116">
        <v>1952.9</v>
      </c>
      <c r="G919">
        <v>10410</v>
      </c>
      <c r="H919" s="116"/>
      <c r="I919" s="116"/>
      <c r="L919" s="163">
        <v>43353</v>
      </c>
      <c r="M919" s="116">
        <v>390.6</v>
      </c>
      <c r="N919" s="116">
        <v>402.97</v>
      </c>
      <c r="O919" s="116">
        <v>387.32</v>
      </c>
      <c r="P919" s="116">
        <v>400</v>
      </c>
      <c r="Q919" s="116">
        <v>1953</v>
      </c>
      <c r="R919">
        <v>232600</v>
      </c>
    </row>
    <row r="920" spans="1:18" x14ac:dyDescent="0.25">
      <c r="A920" s="163">
        <v>43354</v>
      </c>
      <c r="B920" s="116">
        <v>398</v>
      </c>
      <c r="C920" s="116">
        <v>388.24</v>
      </c>
      <c r="D920" s="116">
        <v>387</v>
      </c>
      <c r="E920" s="116">
        <v>389</v>
      </c>
      <c r="F920" s="116">
        <v>1941.2</v>
      </c>
      <c r="G920">
        <v>15988</v>
      </c>
      <c r="H920" s="116"/>
      <c r="I920" s="116"/>
      <c r="L920" s="163">
        <v>43354</v>
      </c>
      <c r="M920" s="116">
        <v>388.34</v>
      </c>
      <c r="N920" s="116">
        <v>398.4</v>
      </c>
      <c r="O920" s="116">
        <v>386.72</v>
      </c>
      <c r="P920" s="116">
        <v>389.01</v>
      </c>
      <c r="Q920" s="116">
        <v>1941.7</v>
      </c>
      <c r="R920">
        <v>416178</v>
      </c>
    </row>
    <row r="921" spans="1:18" x14ac:dyDescent="0.25">
      <c r="A921" s="163">
        <v>43355</v>
      </c>
      <c r="B921" s="116">
        <v>401.96</v>
      </c>
      <c r="C921" s="116">
        <v>397.29</v>
      </c>
      <c r="D921" s="116">
        <v>380.31</v>
      </c>
      <c r="E921" s="116">
        <v>389.01</v>
      </c>
      <c r="F921" s="116">
        <v>1986.45</v>
      </c>
      <c r="G921">
        <v>24394</v>
      </c>
      <c r="H921" s="116"/>
      <c r="I921" s="116"/>
      <c r="L921" s="163">
        <v>43355</v>
      </c>
      <c r="M921" s="116">
        <v>397.66</v>
      </c>
      <c r="N921" s="116">
        <v>402.44</v>
      </c>
      <c r="O921" s="116">
        <v>380.57</v>
      </c>
      <c r="P921" s="116">
        <v>389.8</v>
      </c>
      <c r="Q921" s="116">
        <v>1988.3</v>
      </c>
      <c r="R921">
        <v>440455</v>
      </c>
    </row>
    <row r="922" spans="1:18" x14ac:dyDescent="0.25">
      <c r="A922" s="163">
        <v>43357</v>
      </c>
      <c r="B922" s="116">
        <v>406.8</v>
      </c>
      <c r="C922" s="116">
        <v>401.56</v>
      </c>
      <c r="D922" s="116">
        <v>398.54</v>
      </c>
      <c r="E922" s="116">
        <v>399.68</v>
      </c>
      <c r="F922" s="116">
        <v>2007.8</v>
      </c>
      <c r="G922">
        <v>18657</v>
      </c>
      <c r="H922" s="116"/>
      <c r="I922" s="116"/>
      <c r="L922" s="163">
        <v>43357</v>
      </c>
      <c r="M922" s="116">
        <v>401.65</v>
      </c>
      <c r="N922" s="116">
        <v>407</v>
      </c>
      <c r="O922" s="116">
        <v>398.11</v>
      </c>
      <c r="P922" s="116">
        <v>399.74</v>
      </c>
      <c r="Q922" s="116">
        <v>2008.25</v>
      </c>
      <c r="R922">
        <v>469554</v>
      </c>
    </row>
    <row r="923" spans="1:18" x14ac:dyDescent="0.25">
      <c r="A923" s="163">
        <v>43360</v>
      </c>
      <c r="B923" s="116">
        <v>410.96</v>
      </c>
      <c r="C923" s="116">
        <v>405.12</v>
      </c>
      <c r="D923" s="116">
        <v>394.14</v>
      </c>
      <c r="E923" s="116">
        <v>399.2</v>
      </c>
      <c r="F923" s="116">
        <v>2025.6</v>
      </c>
      <c r="G923">
        <v>26845</v>
      </c>
      <c r="H923" s="116"/>
      <c r="I923" s="116"/>
      <c r="L923" s="163">
        <v>43360</v>
      </c>
      <c r="M923" s="116">
        <v>405.03</v>
      </c>
      <c r="N923" s="116">
        <v>411</v>
      </c>
      <c r="O923" s="116">
        <v>394.02</v>
      </c>
      <c r="P923" s="116">
        <v>398.71</v>
      </c>
      <c r="Q923" s="116">
        <v>2025.15</v>
      </c>
      <c r="R923">
        <v>513861</v>
      </c>
    </row>
    <row r="924" spans="1:18" x14ac:dyDescent="0.25">
      <c r="A924" s="163">
        <v>43361</v>
      </c>
      <c r="B924" s="116">
        <v>411.87</v>
      </c>
      <c r="C924" s="116">
        <v>398.41</v>
      </c>
      <c r="D924" s="116">
        <v>396.47</v>
      </c>
      <c r="E924" s="116">
        <v>406.24</v>
      </c>
      <c r="F924" s="116">
        <v>1992.05</v>
      </c>
      <c r="G924">
        <v>21733</v>
      </c>
      <c r="H924" s="116"/>
      <c r="I924" s="116"/>
      <c r="L924" s="163">
        <v>43361</v>
      </c>
      <c r="M924" s="116">
        <v>398.54</v>
      </c>
      <c r="N924" s="116">
        <v>412</v>
      </c>
      <c r="O924" s="116">
        <v>396.27</v>
      </c>
      <c r="P924" s="116">
        <v>403</v>
      </c>
      <c r="Q924" s="116">
        <v>1992.7</v>
      </c>
      <c r="R924">
        <v>482494</v>
      </c>
    </row>
    <row r="925" spans="1:18" x14ac:dyDescent="0.25">
      <c r="A925" s="163">
        <v>43362</v>
      </c>
      <c r="B925" s="116">
        <v>405.31</v>
      </c>
      <c r="C925" s="116">
        <v>397.03</v>
      </c>
      <c r="D925" s="116">
        <v>393.63</v>
      </c>
      <c r="E925" s="116">
        <v>400</v>
      </c>
      <c r="F925" s="116">
        <v>1985.15</v>
      </c>
      <c r="G925">
        <v>18615</v>
      </c>
      <c r="H925" s="116"/>
      <c r="I925" s="116"/>
      <c r="L925" s="163">
        <v>43362</v>
      </c>
      <c r="M925" s="116">
        <v>396.51</v>
      </c>
      <c r="N925" s="116">
        <v>405.42</v>
      </c>
      <c r="O925" s="116">
        <v>394.07</v>
      </c>
      <c r="P925" s="116">
        <v>401.52</v>
      </c>
      <c r="Q925" s="116">
        <v>1982.55</v>
      </c>
      <c r="R925">
        <v>386856</v>
      </c>
    </row>
    <row r="926" spans="1:18" x14ac:dyDescent="0.25">
      <c r="A926" s="163">
        <v>43364</v>
      </c>
      <c r="B926" s="116">
        <v>406.11</v>
      </c>
      <c r="C926" s="116">
        <v>386.48</v>
      </c>
      <c r="D926" s="116">
        <v>356.57</v>
      </c>
      <c r="E926" s="116">
        <v>399.89</v>
      </c>
      <c r="F926" s="116">
        <v>1932.4</v>
      </c>
      <c r="G926">
        <v>30541</v>
      </c>
      <c r="H926" s="116"/>
      <c r="I926" s="116"/>
      <c r="L926" s="163">
        <v>43364</v>
      </c>
      <c r="M926" s="116">
        <v>386.47</v>
      </c>
      <c r="N926" s="116">
        <v>405.84</v>
      </c>
      <c r="O926" s="116">
        <v>337.04</v>
      </c>
      <c r="P926" s="116">
        <v>399.48</v>
      </c>
      <c r="Q926" s="116">
        <v>1932.35</v>
      </c>
      <c r="R926">
        <v>600969</v>
      </c>
    </row>
    <row r="927" spans="1:18" x14ac:dyDescent="0.25">
      <c r="A927" s="163">
        <v>43367</v>
      </c>
      <c r="B927" s="116">
        <v>401.79</v>
      </c>
      <c r="C927" s="116">
        <v>380.24</v>
      </c>
      <c r="D927" s="116">
        <v>375.44</v>
      </c>
      <c r="E927" s="116">
        <v>401.79</v>
      </c>
      <c r="F927" s="116">
        <v>1901.2</v>
      </c>
      <c r="G927">
        <v>23053</v>
      </c>
      <c r="H927" s="116"/>
      <c r="I927" s="116"/>
      <c r="L927" s="163">
        <v>43367</v>
      </c>
      <c r="M927" s="116">
        <v>380.96</v>
      </c>
      <c r="N927" s="116">
        <v>390.77</v>
      </c>
      <c r="O927" s="116">
        <v>374.8</v>
      </c>
      <c r="P927" s="116">
        <v>388</v>
      </c>
      <c r="Q927" s="116">
        <v>1904.8</v>
      </c>
      <c r="R927">
        <v>349545</v>
      </c>
    </row>
    <row r="928" spans="1:18" x14ac:dyDescent="0.25">
      <c r="A928" s="163">
        <v>43368</v>
      </c>
      <c r="B928" s="116">
        <v>385.97</v>
      </c>
      <c r="C928" s="116">
        <v>379.61</v>
      </c>
      <c r="D928" s="116">
        <v>372.85</v>
      </c>
      <c r="E928" s="116">
        <v>382.01</v>
      </c>
      <c r="F928" s="116">
        <v>1898.05</v>
      </c>
      <c r="G928">
        <v>16724</v>
      </c>
      <c r="H928" s="116"/>
      <c r="I928" s="116"/>
      <c r="L928" s="163">
        <v>43368</v>
      </c>
      <c r="M928" s="116">
        <v>379.94</v>
      </c>
      <c r="N928" s="116">
        <v>385.79</v>
      </c>
      <c r="O928" s="116">
        <v>372.37</v>
      </c>
      <c r="P928" s="116">
        <v>380.21</v>
      </c>
      <c r="Q928" s="116">
        <v>1899.7</v>
      </c>
      <c r="R928">
        <v>431722</v>
      </c>
    </row>
    <row r="929" spans="1:18" x14ac:dyDescent="0.25">
      <c r="A929" s="163">
        <v>43369</v>
      </c>
      <c r="B929" s="116">
        <v>385.94</v>
      </c>
      <c r="C929" s="116">
        <v>378.09</v>
      </c>
      <c r="D929" s="116">
        <v>375.89</v>
      </c>
      <c r="E929" s="116">
        <v>384</v>
      </c>
      <c r="F929" s="116">
        <v>1890.45</v>
      </c>
      <c r="G929">
        <v>6006</v>
      </c>
      <c r="H929" s="116"/>
      <c r="I929" s="116"/>
      <c r="L929" s="163">
        <v>43369</v>
      </c>
      <c r="M929" s="116">
        <v>377.78</v>
      </c>
      <c r="N929" s="116">
        <v>386.8</v>
      </c>
      <c r="O929" s="116">
        <v>376.22</v>
      </c>
      <c r="P929" s="116">
        <v>383.1</v>
      </c>
      <c r="Q929" s="116">
        <v>1888.9</v>
      </c>
      <c r="R929">
        <v>204461</v>
      </c>
    </row>
    <row r="930" spans="1:18" x14ac:dyDescent="0.25">
      <c r="A930" s="163">
        <v>43370</v>
      </c>
      <c r="B930" s="116">
        <v>380.54</v>
      </c>
      <c r="C930" s="116">
        <v>360.8</v>
      </c>
      <c r="D930" s="116">
        <v>354.45</v>
      </c>
      <c r="E930" s="116">
        <v>380.06</v>
      </c>
      <c r="F930" s="116">
        <v>1804</v>
      </c>
      <c r="G930">
        <v>14159</v>
      </c>
      <c r="H930" s="116"/>
      <c r="I930" s="116"/>
      <c r="L930" s="163">
        <v>43370</v>
      </c>
      <c r="M930" s="116">
        <v>361.91</v>
      </c>
      <c r="N930" s="116">
        <v>381.19</v>
      </c>
      <c r="O930" s="116">
        <v>355.43</v>
      </c>
      <c r="P930" s="116">
        <v>379.08</v>
      </c>
      <c r="Q930" s="116">
        <v>1809.55</v>
      </c>
      <c r="R930">
        <v>349809</v>
      </c>
    </row>
    <row r="931" spans="1:18" x14ac:dyDescent="0.25">
      <c r="A931" s="163">
        <v>43371</v>
      </c>
      <c r="B931" s="116">
        <v>366.98</v>
      </c>
      <c r="C931" s="116">
        <v>341.24</v>
      </c>
      <c r="D931" s="116">
        <v>332.97</v>
      </c>
      <c r="E931" s="116">
        <v>365.42</v>
      </c>
      <c r="F931" s="116">
        <v>1706.2</v>
      </c>
      <c r="G931">
        <v>16561</v>
      </c>
      <c r="H931" s="116"/>
      <c r="I931" s="116"/>
      <c r="L931" s="163">
        <v>43371</v>
      </c>
      <c r="M931" s="116">
        <v>342.22</v>
      </c>
      <c r="N931" s="116">
        <v>368</v>
      </c>
      <c r="O931" s="116">
        <v>339</v>
      </c>
      <c r="P931" s="116">
        <v>366</v>
      </c>
      <c r="Q931" s="116">
        <v>1711.1</v>
      </c>
      <c r="R931">
        <v>364746</v>
      </c>
    </row>
    <row r="932" spans="1:18" x14ac:dyDescent="0.25">
      <c r="A932" s="163">
        <v>43374</v>
      </c>
      <c r="B932" s="116">
        <v>347.99</v>
      </c>
      <c r="C932" s="116">
        <v>343.76</v>
      </c>
      <c r="D932" s="116">
        <v>323.32</v>
      </c>
      <c r="E932" s="116">
        <v>347.97</v>
      </c>
      <c r="F932" s="116">
        <v>1718.8</v>
      </c>
      <c r="G932">
        <v>17711</v>
      </c>
      <c r="H932" s="116"/>
      <c r="I932" s="116"/>
      <c r="L932" s="163">
        <v>43374</v>
      </c>
      <c r="M932" s="116">
        <v>343.25</v>
      </c>
      <c r="N932" s="116">
        <v>347</v>
      </c>
      <c r="O932" s="116">
        <v>323</v>
      </c>
      <c r="P932" s="116">
        <v>343.93</v>
      </c>
      <c r="Q932" s="116">
        <v>1716.25</v>
      </c>
      <c r="R932">
        <v>441351</v>
      </c>
    </row>
    <row r="933" spans="1:18" x14ac:dyDescent="0.25">
      <c r="A933" s="163">
        <v>43376</v>
      </c>
      <c r="B933" s="116">
        <v>356.75</v>
      </c>
      <c r="C933" s="116">
        <v>353.11</v>
      </c>
      <c r="D933" s="116">
        <v>335.09</v>
      </c>
      <c r="E933" s="116">
        <v>340</v>
      </c>
      <c r="F933" s="116">
        <v>1765.55</v>
      </c>
      <c r="G933">
        <v>27804</v>
      </c>
      <c r="H933" s="116"/>
      <c r="I933" s="116"/>
      <c r="L933" s="163">
        <v>43376</v>
      </c>
      <c r="M933" s="116">
        <v>352.62</v>
      </c>
      <c r="N933" s="116">
        <v>356.95</v>
      </c>
      <c r="O933" s="116">
        <v>334</v>
      </c>
      <c r="P933" s="116">
        <v>338.05</v>
      </c>
      <c r="Q933" s="116">
        <v>1763.1</v>
      </c>
      <c r="R933">
        <v>503588</v>
      </c>
    </row>
    <row r="934" spans="1:18" x14ac:dyDescent="0.25">
      <c r="A934" s="163">
        <v>43377</v>
      </c>
      <c r="B934" s="116">
        <v>355.14</v>
      </c>
      <c r="C934" s="116">
        <v>348.92</v>
      </c>
      <c r="D934" s="116">
        <v>340</v>
      </c>
      <c r="E934" s="116">
        <v>351</v>
      </c>
      <c r="F934" s="116">
        <v>1744.6</v>
      </c>
      <c r="G934">
        <v>15657</v>
      </c>
      <c r="H934" s="116"/>
      <c r="I934" s="116"/>
      <c r="L934" s="163">
        <v>43377</v>
      </c>
      <c r="M934" s="116">
        <v>349.82</v>
      </c>
      <c r="N934" s="116">
        <v>353.79</v>
      </c>
      <c r="O934" s="116">
        <v>339.46</v>
      </c>
      <c r="P934" s="116">
        <v>347.02</v>
      </c>
      <c r="Q934" s="116">
        <v>1749.1</v>
      </c>
      <c r="R934">
        <v>458630</v>
      </c>
    </row>
    <row r="935" spans="1:18" x14ac:dyDescent="0.25">
      <c r="A935" s="163">
        <v>43378</v>
      </c>
      <c r="B935" s="116">
        <v>349.87</v>
      </c>
      <c r="C935" s="116">
        <v>338.92</v>
      </c>
      <c r="D935" s="116">
        <v>336.15</v>
      </c>
      <c r="E935" s="116">
        <v>345.28</v>
      </c>
      <c r="F935" s="116">
        <v>1694.6</v>
      </c>
      <c r="G935">
        <v>8236</v>
      </c>
      <c r="H935" s="116"/>
      <c r="I935" s="116"/>
      <c r="L935" s="163">
        <v>43378</v>
      </c>
      <c r="M935" s="116">
        <v>340.02</v>
      </c>
      <c r="N935" s="116">
        <v>349.96</v>
      </c>
      <c r="O935" s="116">
        <v>336</v>
      </c>
      <c r="P935" s="116">
        <v>348.99</v>
      </c>
      <c r="Q935" s="116">
        <v>1700.1</v>
      </c>
      <c r="R935">
        <v>255220</v>
      </c>
    </row>
    <row r="936" spans="1:18" x14ac:dyDescent="0.25">
      <c r="A936" s="163">
        <v>43381</v>
      </c>
      <c r="B936" s="116">
        <v>343.18</v>
      </c>
      <c r="C936" s="116">
        <v>332.88</v>
      </c>
      <c r="D936" s="116">
        <v>324.04000000000002</v>
      </c>
      <c r="E936" s="116">
        <v>339</v>
      </c>
      <c r="F936" s="116">
        <v>1664.4</v>
      </c>
      <c r="G936">
        <v>26449</v>
      </c>
      <c r="H936" s="116"/>
      <c r="I936" s="116"/>
      <c r="L936" s="163">
        <v>43381</v>
      </c>
      <c r="M936" s="116">
        <v>332.55</v>
      </c>
      <c r="N936" s="116">
        <v>343.99</v>
      </c>
      <c r="O936" s="116">
        <v>323.33</v>
      </c>
      <c r="P936" s="116">
        <v>339.4</v>
      </c>
      <c r="Q936" s="116">
        <v>1662.75</v>
      </c>
      <c r="R936">
        <v>487481</v>
      </c>
    </row>
    <row r="937" spans="1:18" x14ac:dyDescent="0.25">
      <c r="A937" s="163">
        <v>43382</v>
      </c>
      <c r="B937" s="116">
        <v>343.42</v>
      </c>
      <c r="C937" s="116">
        <v>337.84</v>
      </c>
      <c r="D937" s="116">
        <v>329.8</v>
      </c>
      <c r="E937" s="116">
        <v>334.39</v>
      </c>
      <c r="F937" s="116">
        <v>1689.2</v>
      </c>
      <c r="G937">
        <v>14975</v>
      </c>
      <c r="H937" s="116"/>
      <c r="I937" s="116"/>
      <c r="L937" s="163">
        <v>43382</v>
      </c>
      <c r="M937" s="116">
        <v>339.84</v>
      </c>
      <c r="N937" s="116">
        <v>344.38</v>
      </c>
      <c r="O937" s="116">
        <v>329.24</v>
      </c>
      <c r="P937" s="116">
        <v>333</v>
      </c>
      <c r="Q937" s="116">
        <v>1699.2</v>
      </c>
      <c r="R937">
        <v>371426</v>
      </c>
    </row>
    <row r="938" spans="1:18" x14ac:dyDescent="0.25">
      <c r="A938" s="163">
        <v>43383</v>
      </c>
      <c r="B938" s="116">
        <v>365</v>
      </c>
      <c r="C938" s="116">
        <v>361.03</v>
      </c>
      <c r="D938" s="116">
        <v>340.29</v>
      </c>
      <c r="E938" s="116">
        <v>341.18</v>
      </c>
      <c r="F938" s="116">
        <v>1805.15</v>
      </c>
      <c r="G938">
        <v>17082</v>
      </c>
      <c r="H938" s="116"/>
      <c r="I938" s="116"/>
      <c r="L938" s="163">
        <v>43383</v>
      </c>
      <c r="M938" s="116">
        <v>361.66</v>
      </c>
      <c r="N938" s="116">
        <v>364.01</v>
      </c>
      <c r="O938" s="116">
        <v>339.21</v>
      </c>
      <c r="P938" s="116">
        <v>341.1</v>
      </c>
      <c r="Q938" s="116">
        <v>1808.3</v>
      </c>
      <c r="R938">
        <v>403137</v>
      </c>
    </row>
    <row r="939" spans="1:18" x14ac:dyDescent="0.25">
      <c r="A939" s="163">
        <v>43384</v>
      </c>
      <c r="B939" s="116">
        <v>357.03</v>
      </c>
      <c r="C939" s="116">
        <v>345.97</v>
      </c>
      <c r="D939" s="116">
        <v>340.2</v>
      </c>
      <c r="E939" s="116">
        <v>340.2</v>
      </c>
      <c r="F939" s="116">
        <v>1729.85</v>
      </c>
      <c r="G939">
        <v>15427</v>
      </c>
      <c r="H939" s="116"/>
      <c r="I939" s="116"/>
      <c r="L939" s="163">
        <v>43384</v>
      </c>
      <c r="M939" s="116">
        <v>345.41</v>
      </c>
      <c r="N939" s="116">
        <v>357.55</v>
      </c>
      <c r="O939" s="116">
        <v>341</v>
      </c>
      <c r="P939" s="116">
        <v>353.6</v>
      </c>
      <c r="Q939" s="116">
        <v>1727.05</v>
      </c>
      <c r="R939">
        <v>375480</v>
      </c>
    </row>
    <row r="940" spans="1:18" x14ac:dyDescent="0.25">
      <c r="A940" s="163">
        <v>43385</v>
      </c>
      <c r="B940" s="116">
        <v>362.4</v>
      </c>
      <c r="C940" s="116">
        <v>354.59</v>
      </c>
      <c r="D940" s="116">
        <v>348.23</v>
      </c>
      <c r="E940" s="116">
        <v>353.2</v>
      </c>
      <c r="F940" s="116">
        <v>1772.95</v>
      </c>
      <c r="G940">
        <v>17794</v>
      </c>
      <c r="H940" s="116"/>
      <c r="I940" s="116"/>
      <c r="L940" s="163">
        <v>43385</v>
      </c>
      <c r="M940" s="116">
        <v>354.62</v>
      </c>
      <c r="N940" s="116">
        <v>362.6</v>
      </c>
      <c r="O940" s="116">
        <v>345</v>
      </c>
      <c r="P940" s="116">
        <v>345.8</v>
      </c>
      <c r="Q940" s="116">
        <v>1773.1</v>
      </c>
      <c r="R940">
        <v>569394</v>
      </c>
    </row>
    <row r="941" spans="1:18" x14ac:dyDescent="0.25">
      <c r="A941" s="163">
        <v>43388</v>
      </c>
      <c r="B941" s="116">
        <v>357.58</v>
      </c>
      <c r="C941" s="116">
        <v>353.27</v>
      </c>
      <c r="D941" s="116">
        <v>348.13</v>
      </c>
      <c r="E941" s="116">
        <v>357.58</v>
      </c>
      <c r="F941" s="116">
        <v>1766.35</v>
      </c>
      <c r="G941">
        <v>8030</v>
      </c>
      <c r="H941" s="116"/>
      <c r="I941" s="116"/>
      <c r="L941" s="163">
        <v>43388</v>
      </c>
      <c r="M941" s="116">
        <v>352.46</v>
      </c>
      <c r="N941" s="116">
        <v>356.17</v>
      </c>
      <c r="O941" s="116">
        <v>347.6</v>
      </c>
      <c r="P941" s="116">
        <v>354.8</v>
      </c>
      <c r="Q941" s="116">
        <v>1762.3</v>
      </c>
      <c r="R941">
        <v>282335</v>
      </c>
    </row>
    <row r="942" spans="1:18" x14ac:dyDescent="0.25">
      <c r="A942" s="163">
        <v>43389</v>
      </c>
      <c r="B942" s="116">
        <v>359.52</v>
      </c>
      <c r="C942" s="116">
        <v>355.01</v>
      </c>
      <c r="D942" s="116">
        <v>352.34</v>
      </c>
      <c r="E942" s="116">
        <v>355.81</v>
      </c>
      <c r="F942" s="116">
        <v>1775.05</v>
      </c>
      <c r="G942">
        <v>8795</v>
      </c>
      <c r="H942" s="116"/>
      <c r="I942" s="116"/>
      <c r="L942" s="163">
        <v>43389</v>
      </c>
      <c r="M942" s="116">
        <v>355.2</v>
      </c>
      <c r="N942" s="116">
        <v>359.8</v>
      </c>
      <c r="O942" s="116">
        <v>352.19</v>
      </c>
      <c r="P942" s="116">
        <v>354</v>
      </c>
      <c r="Q942" s="116">
        <v>1776</v>
      </c>
      <c r="R942">
        <v>276077</v>
      </c>
    </row>
    <row r="943" spans="1:18" x14ac:dyDescent="0.25">
      <c r="A943" s="163">
        <v>43390</v>
      </c>
      <c r="B943" s="116">
        <v>373.1</v>
      </c>
      <c r="C943" s="116">
        <v>349.91</v>
      </c>
      <c r="D943" s="116">
        <v>340.16</v>
      </c>
      <c r="E943" s="116">
        <v>364.8</v>
      </c>
      <c r="F943" s="116">
        <v>1749.55</v>
      </c>
      <c r="G943">
        <v>36698</v>
      </c>
      <c r="H943" s="116"/>
      <c r="I943" s="116"/>
      <c r="L943" s="163">
        <v>43390</v>
      </c>
      <c r="M943" s="116">
        <v>350.83</v>
      </c>
      <c r="N943" s="116">
        <v>373.4</v>
      </c>
      <c r="O943" s="116">
        <v>348.74</v>
      </c>
      <c r="P943" s="116">
        <v>359.22</v>
      </c>
      <c r="Q943" s="116">
        <v>1754.15</v>
      </c>
      <c r="R943">
        <v>773977</v>
      </c>
    </row>
    <row r="944" spans="1:18" x14ac:dyDescent="0.25">
      <c r="A944" s="163">
        <v>43392</v>
      </c>
      <c r="B944" s="116">
        <v>355.1</v>
      </c>
      <c r="C944" s="116">
        <v>344.75</v>
      </c>
      <c r="D944" s="116">
        <v>341.72</v>
      </c>
      <c r="E944" s="116">
        <v>347.8</v>
      </c>
      <c r="F944" s="116">
        <v>1723.75</v>
      </c>
      <c r="G944">
        <v>11322</v>
      </c>
      <c r="H944" s="116"/>
      <c r="I944" s="116"/>
      <c r="L944" s="163">
        <v>43392</v>
      </c>
      <c r="M944" s="116">
        <v>344.7</v>
      </c>
      <c r="N944" s="116">
        <v>355.32</v>
      </c>
      <c r="O944" s="116">
        <v>342</v>
      </c>
      <c r="P944" s="116">
        <v>348.88</v>
      </c>
      <c r="Q944" s="116">
        <v>1723.5</v>
      </c>
      <c r="R944">
        <v>220161</v>
      </c>
    </row>
    <row r="945" spans="1:18" x14ac:dyDescent="0.25">
      <c r="A945" s="163">
        <v>43395</v>
      </c>
      <c r="B945" s="116">
        <v>351.6</v>
      </c>
      <c r="C945" s="116">
        <v>340.88</v>
      </c>
      <c r="D945" s="116">
        <v>338.4</v>
      </c>
      <c r="E945" s="116">
        <v>351.6</v>
      </c>
      <c r="F945" s="116">
        <v>1704.4</v>
      </c>
      <c r="G945">
        <v>14497</v>
      </c>
      <c r="H945" s="116"/>
      <c r="I945" s="116"/>
      <c r="L945" s="163">
        <v>43395</v>
      </c>
      <c r="M945" s="116">
        <v>340.82</v>
      </c>
      <c r="N945" s="116">
        <v>352.92</v>
      </c>
      <c r="O945" s="116">
        <v>338.02</v>
      </c>
      <c r="P945" s="116">
        <v>348.13</v>
      </c>
      <c r="Q945" s="116">
        <v>1704.1</v>
      </c>
      <c r="R945">
        <v>263094</v>
      </c>
    </row>
    <row r="946" spans="1:18" x14ac:dyDescent="0.25">
      <c r="A946" s="163">
        <v>43396</v>
      </c>
      <c r="B946" s="116">
        <v>349.95</v>
      </c>
      <c r="C946" s="116">
        <v>342.15</v>
      </c>
      <c r="D946" s="116">
        <v>338.47</v>
      </c>
      <c r="E946" s="116">
        <v>340</v>
      </c>
      <c r="F946" s="116">
        <v>1710.75</v>
      </c>
      <c r="G946">
        <v>11133</v>
      </c>
      <c r="H946" s="116"/>
      <c r="I946" s="116"/>
      <c r="L946" s="163">
        <v>43396</v>
      </c>
      <c r="M946" s="116">
        <v>341.72</v>
      </c>
      <c r="N946" s="116">
        <v>350.4</v>
      </c>
      <c r="O946" s="116">
        <v>338.05</v>
      </c>
      <c r="P946" s="116">
        <v>340</v>
      </c>
      <c r="Q946" s="116">
        <v>1708.6</v>
      </c>
      <c r="R946">
        <v>391489</v>
      </c>
    </row>
    <row r="947" spans="1:18" x14ac:dyDescent="0.25">
      <c r="A947" s="163">
        <v>43397</v>
      </c>
      <c r="B947" s="116">
        <v>353.33</v>
      </c>
      <c r="C947" s="116">
        <v>342.98</v>
      </c>
      <c r="D947" s="116">
        <v>337.04</v>
      </c>
      <c r="E947" s="116">
        <v>346.3</v>
      </c>
      <c r="F947" s="116">
        <v>1714.9</v>
      </c>
      <c r="G947">
        <v>17086</v>
      </c>
      <c r="H947" s="116"/>
      <c r="I947" s="116"/>
      <c r="L947" s="163">
        <v>43397</v>
      </c>
      <c r="M947" s="116">
        <v>343.38</v>
      </c>
      <c r="N947" s="116">
        <v>353.77</v>
      </c>
      <c r="O947" s="116">
        <v>336.88</v>
      </c>
      <c r="P947" s="116">
        <v>345.4</v>
      </c>
      <c r="Q947" s="116">
        <v>1716.9</v>
      </c>
      <c r="R947">
        <v>398954</v>
      </c>
    </row>
    <row r="948" spans="1:18" x14ac:dyDescent="0.25">
      <c r="A948" s="163">
        <v>43398</v>
      </c>
      <c r="B948" s="116">
        <v>349.52</v>
      </c>
      <c r="C948" s="116">
        <v>348.32</v>
      </c>
      <c r="D948" s="116">
        <v>338.4</v>
      </c>
      <c r="E948" s="116">
        <v>342.98</v>
      </c>
      <c r="F948" s="116">
        <v>1741.6</v>
      </c>
      <c r="G948">
        <v>16564</v>
      </c>
      <c r="H948" s="116"/>
      <c r="I948" s="116"/>
      <c r="L948" s="163">
        <v>43398</v>
      </c>
      <c r="M948" s="116">
        <v>348.12</v>
      </c>
      <c r="N948" s="116">
        <v>351</v>
      </c>
      <c r="O948" s="116">
        <v>338.3</v>
      </c>
      <c r="P948" s="116">
        <v>343</v>
      </c>
      <c r="Q948" s="116">
        <v>1740.6</v>
      </c>
      <c r="R948">
        <v>223741</v>
      </c>
    </row>
    <row r="949" spans="1:18" x14ac:dyDescent="0.25">
      <c r="A949" s="163">
        <v>43399</v>
      </c>
      <c r="B949" s="116">
        <v>359.44</v>
      </c>
      <c r="C949" s="116">
        <v>357.91</v>
      </c>
      <c r="D949" s="116">
        <v>343.2</v>
      </c>
      <c r="E949" s="116">
        <v>345.96</v>
      </c>
      <c r="F949" s="116">
        <v>1789.55</v>
      </c>
      <c r="G949">
        <v>12282</v>
      </c>
      <c r="H949" s="116"/>
      <c r="I949" s="116"/>
      <c r="L949" s="163">
        <v>43399</v>
      </c>
      <c r="M949" s="116">
        <v>358.31</v>
      </c>
      <c r="N949" s="116">
        <v>360</v>
      </c>
      <c r="O949" s="116">
        <v>343.21</v>
      </c>
      <c r="P949" s="116">
        <v>349.42</v>
      </c>
      <c r="Q949" s="116">
        <v>1791.55</v>
      </c>
      <c r="R949">
        <v>375952</v>
      </c>
    </row>
    <row r="950" spans="1:18" x14ac:dyDescent="0.25">
      <c r="A950" s="163">
        <v>43402</v>
      </c>
      <c r="B950" s="116">
        <v>373</v>
      </c>
      <c r="C950" s="116">
        <v>370.07</v>
      </c>
      <c r="D950" s="116">
        <v>357.31</v>
      </c>
      <c r="E950" s="116">
        <v>363.78</v>
      </c>
      <c r="F950" s="116">
        <v>1850.35</v>
      </c>
      <c r="G950">
        <v>20796</v>
      </c>
      <c r="H950" s="116"/>
      <c r="I950" s="116"/>
      <c r="L950" s="163">
        <v>43402</v>
      </c>
      <c r="M950" s="116">
        <v>370.98</v>
      </c>
      <c r="N950" s="116">
        <v>373.42</v>
      </c>
      <c r="O950" s="116">
        <v>356.38</v>
      </c>
      <c r="P950" s="116">
        <v>358.4</v>
      </c>
      <c r="Q950" s="116">
        <v>1854.9</v>
      </c>
      <c r="R950">
        <v>466428</v>
      </c>
    </row>
    <row r="951" spans="1:18" x14ac:dyDescent="0.25">
      <c r="A951" s="163">
        <v>43403</v>
      </c>
      <c r="B951" s="116">
        <v>377.8</v>
      </c>
      <c r="C951" s="116">
        <v>374.12</v>
      </c>
      <c r="D951" s="116">
        <v>370</v>
      </c>
      <c r="E951" s="116">
        <v>370.01</v>
      </c>
      <c r="F951" s="116">
        <v>1870.6</v>
      </c>
      <c r="G951">
        <v>14982</v>
      </c>
      <c r="H951" s="116"/>
      <c r="I951" s="116"/>
      <c r="L951" s="163">
        <v>43403</v>
      </c>
      <c r="M951" s="116">
        <v>374.72</v>
      </c>
      <c r="N951" s="116">
        <v>377.46</v>
      </c>
      <c r="O951" s="116">
        <v>370</v>
      </c>
      <c r="P951" s="116">
        <v>370.06</v>
      </c>
      <c r="Q951" s="116">
        <v>1873.6</v>
      </c>
      <c r="R951">
        <v>438603</v>
      </c>
    </row>
    <row r="952" spans="1:18" x14ac:dyDescent="0.25">
      <c r="A952" s="163">
        <v>43404</v>
      </c>
      <c r="B952" s="116">
        <v>386.65</v>
      </c>
      <c r="C952" s="116">
        <v>384.38</v>
      </c>
      <c r="D952" s="116">
        <v>372.8</v>
      </c>
      <c r="E952" s="116">
        <v>374.89</v>
      </c>
      <c r="F952" s="116">
        <v>1921.9</v>
      </c>
      <c r="G952">
        <v>13193</v>
      </c>
      <c r="H952" s="116"/>
      <c r="I952" s="116"/>
      <c r="L952" s="163">
        <v>43404</v>
      </c>
      <c r="M952" s="116">
        <v>386.2</v>
      </c>
      <c r="N952" s="116">
        <v>389.4</v>
      </c>
      <c r="O952" s="116">
        <v>372.31</v>
      </c>
      <c r="P952" s="116">
        <v>375</v>
      </c>
      <c r="Q952" s="116">
        <v>1931</v>
      </c>
      <c r="R952">
        <v>501467</v>
      </c>
    </row>
    <row r="953" spans="1:18" x14ac:dyDescent="0.25">
      <c r="A953" s="163">
        <v>43405</v>
      </c>
      <c r="B953" s="116">
        <v>396.87</v>
      </c>
      <c r="C953" s="116">
        <v>388.8</v>
      </c>
      <c r="D953" s="116">
        <v>385.01</v>
      </c>
      <c r="E953" s="116">
        <v>385.01</v>
      </c>
      <c r="F953" s="116">
        <v>1944</v>
      </c>
      <c r="G953">
        <v>42264</v>
      </c>
      <c r="H953" s="116"/>
      <c r="I953" s="116"/>
      <c r="L953" s="163">
        <v>43405</v>
      </c>
      <c r="M953" s="116">
        <v>391.65</v>
      </c>
      <c r="N953" s="116">
        <v>399</v>
      </c>
      <c r="O953" s="116">
        <v>385.2</v>
      </c>
      <c r="P953" s="116">
        <v>386</v>
      </c>
      <c r="Q953" s="116">
        <v>1958.25</v>
      </c>
      <c r="R953">
        <v>807811</v>
      </c>
    </row>
    <row r="954" spans="1:18" x14ac:dyDescent="0.25">
      <c r="A954" s="163">
        <v>43406</v>
      </c>
      <c r="B954" s="116">
        <v>411.96</v>
      </c>
      <c r="C954" s="116">
        <v>392.15</v>
      </c>
      <c r="D954" s="116">
        <v>388.4</v>
      </c>
      <c r="E954" s="116">
        <v>402</v>
      </c>
      <c r="F954" s="116">
        <v>1960.75</v>
      </c>
      <c r="G954">
        <v>48576</v>
      </c>
      <c r="H954" s="116"/>
      <c r="I954" s="116"/>
      <c r="L954" s="163">
        <v>43406</v>
      </c>
      <c r="M954" s="116">
        <v>391.76</v>
      </c>
      <c r="N954" s="116">
        <v>412</v>
      </c>
      <c r="O954" s="116">
        <v>389</v>
      </c>
      <c r="P954" s="116">
        <v>400.19</v>
      </c>
      <c r="Q954" s="116">
        <v>1958.8</v>
      </c>
      <c r="R954">
        <v>1174866</v>
      </c>
    </row>
    <row r="955" spans="1:18" x14ac:dyDescent="0.25">
      <c r="A955" s="163">
        <v>43409</v>
      </c>
      <c r="B955" s="116">
        <v>399.2</v>
      </c>
      <c r="C955" s="116">
        <v>396.99</v>
      </c>
      <c r="D955" s="116">
        <v>385.83</v>
      </c>
      <c r="E955" s="116">
        <v>389.08</v>
      </c>
      <c r="F955" s="116">
        <v>1984.95</v>
      </c>
      <c r="G955">
        <v>16479</v>
      </c>
      <c r="H955" s="116"/>
      <c r="I955" s="116"/>
      <c r="L955" s="163">
        <v>43409</v>
      </c>
      <c r="M955" s="116">
        <v>398.18</v>
      </c>
      <c r="N955" s="116">
        <v>400.5</v>
      </c>
      <c r="O955" s="116">
        <v>385.48</v>
      </c>
      <c r="P955" s="116">
        <v>388.6</v>
      </c>
      <c r="Q955" s="116">
        <v>1990.9</v>
      </c>
      <c r="R955">
        <v>332099</v>
      </c>
    </row>
    <row r="956" spans="1:18" x14ac:dyDescent="0.25">
      <c r="A956" s="163">
        <v>43410</v>
      </c>
      <c r="B956" s="116">
        <v>403.84</v>
      </c>
      <c r="C956" s="116">
        <v>401.3</v>
      </c>
      <c r="D956" s="116">
        <v>398.31</v>
      </c>
      <c r="E956" s="116">
        <v>401</v>
      </c>
      <c r="F956" s="116">
        <v>2006.5</v>
      </c>
      <c r="G956">
        <v>14121</v>
      </c>
      <c r="H956" s="116"/>
      <c r="I956" s="116"/>
      <c r="L956" s="163">
        <v>43410</v>
      </c>
      <c r="M956" s="116">
        <v>401.26</v>
      </c>
      <c r="N956" s="116">
        <v>403.74</v>
      </c>
      <c r="O956" s="116">
        <v>398.07</v>
      </c>
      <c r="P956" s="116">
        <v>400.8</v>
      </c>
      <c r="Q956" s="116">
        <v>2006.3</v>
      </c>
      <c r="R956">
        <v>299703</v>
      </c>
    </row>
    <row r="957" spans="1:18" x14ac:dyDescent="0.25">
      <c r="A957" s="163">
        <v>43411</v>
      </c>
      <c r="B957" s="116">
        <v>404</v>
      </c>
      <c r="C957" s="116">
        <v>399.91</v>
      </c>
      <c r="D957" s="116">
        <v>398.05</v>
      </c>
      <c r="E957" s="116">
        <v>402</v>
      </c>
      <c r="F957" s="116">
        <v>1999.55</v>
      </c>
      <c r="G957">
        <v>764</v>
      </c>
      <c r="H957" s="116"/>
      <c r="I957" s="116"/>
      <c r="L957" s="163">
        <v>43411</v>
      </c>
      <c r="M957" s="116">
        <v>400.56</v>
      </c>
      <c r="N957" s="116">
        <v>404</v>
      </c>
      <c r="O957" s="116">
        <v>398.25</v>
      </c>
      <c r="P957" s="116">
        <v>401.99</v>
      </c>
      <c r="Q957" s="116">
        <v>2002.8</v>
      </c>
      <c r="R957">
        <v>38863</v>
      </c>
    </row>
    <row r="958" spans="1:18" x14ac:dyDescent="0.25">
      <c r="A958" s="163">
        <v>43413</v>
      </c>
      <c r="B958" s="116">
        <v>418.84</v>
      </c>
      <c r="C958" s="116">
        <v>416.88</v>
      </c>
      <c r="D958" s="116">
        <v>397.25</v>
      </c>
      <c r="E958" s="116">
        <v>398.2</v>
      </c>
      <c r="F958" s="116">
        <v>2084.4</v>
      </c>
      <c r="G958">
        <v>35759</v>
      </c>
      <c r="H958" s="116"/>
      <c r="I958" s="116"/>
      <c r="L958" s="163">
        <v>43413</v>
      </c>
      <c r="M958" s="116">
        <v>416.3</v>
      </c>
      <c r="N958" s="116">
        <v>418.48</v>
      </c>
      <c r="O958" s="116">
        <v>398.23</v>
      </c>
      <c r="P958" s="116">
        <v>403.6</v>
      </c>
      <c r="Q958" s="116">
        <v>2081.5</v>
      </c>
      <c r="R958">
        <v>664830</v>
      </c>
    </row>
    <row r="959" spans="1:18" x14ac:dyDescent="0.25">
      <c r="A959" s="163">
        <v>43416</v>
      </c>
      <c r="B959" s="116">
        <v>423.39</v>
      </c>
      <c r="C959" s="116">
        <v>404.3</v>
      </c>
      <c r="D959" s="116">
        <v>395.54</v>
      </c>
      <c r="E959" s="116">
        <v>416.8</v>
      </c>
      <c r="F959" s="116">
        <v>2021.5</v>
      </c>
      <c r="G959">
        <v>11488</v>
      </c>
      <c r="H959" s="116"/>
      <c r="I959" s="116"/>
      <c r="L959" s="163">
        <v>43416</v>
      </c>
      <c r="M959" s="116">
        <v>406.5</v>
      </c>
      <c r="N959" s="116">
        <v>423.2</v>
      </c>
      <c r="O959" s="116">
        <v>403.88</v>
      </c>
      <c r="P959" s="116">
        <v>417.96</v>
      </c>
      <c r="Q959" s="116">
        <v>2032.5</v>
      </c>
      <c r="R959">
        <v>334066</v>
      </c>
    </row>
    <row r="960" spans="1:18" x14ac:dyDescent="0.25">
      <c r="A960" s="163">
        <v>43417</v>
      </c>
      <c r="B960" s="116">
        <v>415</v>
      </c>
      <c r="C960" s="116">
        <v>413.77</v>
      </c>
      <c r="D960" s="116">
        <v>404.8</v>
      </c>
      <c r="E960" s="116">
        <v>404.81</v>
      </c>
      <c r="F960" s="116">
        <v>2068.85</v>
      </c>
      <c r="G960">
        <v>9757</v>
      </c>
      <c r="H960" s="116"/>
      <c r="I960" s="116"/>
      <c r="L960" s="163">
        <v>43417</v>
      </c>
      <c r="M960" s="116">
        <v>414.31</v>
      </c>
      <c r="N960" s="116">
        <v>415.2</v>
      </c>
      <c r="O960" s="116">
        <v>403.41</v>
      </c>
      <c r="P960" s="116">
        <v>406.28</v>
      </c>
      <c r="Q960" s="116">
        <v>2071.5500000000002</v>
      </c>
      <c r="R960">
        <v>396791</v>
      </c>
    </row>
    <row r="961" spans="1:18" x14ac:dyDescent="0.25">
      <c r="A961" s="163">
        <v>43418</v>
      </c>
      <c r="B961" s="116">
        <v>416.31</v>
      </c>
      <c r="C961" s="116">
        <v>409.17</v>
      </c>
      <c r="D961" s="116">
        <v>406.93</v>
      </c>
      <c r="E961" s="116">
        <v>414.4</v>
      </c>
      <c r="F961" s="116">
        <v>2045.85</v>
      </c>
      <c r="G961">
        <v>9167</v>
      </c>
      <c r="H961" s="116"/>
      <c r="I961" s="116"/>
      <c r="L961" s="163">
        <v>43418</v>
      </c>
      <c r="M961" s="116">
        <v>408.82</v>
      </c>
      <c r="N961" s="116">
        <v>417.5</v>
      </c>
      <c r="O961" s="116">
        <v>406.99</v>
      </c>
      <c r="P961" s="116">
        <v>415.25</v>
      </c>
      <c r="Q961" s="116">
        <v>2044.1</v>
      </c>
      <c r="R961">
        <v>239959</v>
      </c>
    </row>
    <row r="962" spans="1:18" x14ac:dyDescent="0.25">
      <c r="A962" s="163">
        <v>43419</v>
      </c>
      <c r="B962" s="116">
        <v>413.02</v>
      </c>
      <c r="C962" s="116">
        <v>411.01</v>
      </c>
      <c r="D962" s="116">
        <v>405.35</v>
      </c>
      <c r="E962" s="116">
        <v>408.84</v>
      </c>
      <c r="F962" s="116">
        <v>2055.0500000000002</v>
      </c>
      <c r="G962">
        <v>11015</v>
      </c>
      <c r="H962" s="116"/>
      <c r="I962" s="116"/>
      <c r="L962" s="163">
        <v>43419</v>
      </c>
      <c r="M962" s="116">
        <v>411.05</v>
      </c>
      <c r="N962" s="116">
        <v>413.2</v>
      </c>
      <c r="O962" s="116">
        <v>405.1</v>
      </c>
      <c r="P962" s="116">
        <v>411.2</v>
      </c>
      <c r="Q962" s="116">
        <v>2055.25</v>
      </c>
      <c r="R962">
        <v>193909</v>
      </c>
    </row>
    <row r="963" spans="1:18" x14ac:dyDescent="0.25">
      <c r="A963" s="163">
        <v>43420</v>
      </c>
      <c r="B963" s="116">
        <v>415</v>
      </c>
      <c r="C963" s="116">
        <v>408.23</v>
      </c>
      <c r="D963" s="116">
        <v>405</v>
      </c>
      <c r="E963" s="116">
        <v>413.78</v>
      </c>
      <c r="F963" s="116">
        <v>2041.15</v>
      </c>
      <c r="G963">
        <v>17567</v>
      </c>
      <c r="H963" s="116"/>
      <c r="I963" s="116"/>
      <c r="L963" s="163">
        <v>43420</v>
      </c>
      <c r="M963" s="116">
        <v>408.05</v>
      </c>
      <c r="N963" s="116">
        <v>415.66</v>
      </c>
      <c r="O963" s="116">
        <v>404.41</v>
      </c>
      <c r="P963" s="116">
        <v>413.38</v>
      </c>
      <c r="Q963" s="116">
        <v>2040.25</v>
      </c>
      <c r="R963">
        <v>205524</v>
      </c>
    </row>
    <row r="964" spans="1:18" x14ac:dyDescent="0.25">
      <c r="A964" s="163">
        <v>43423</v>
      </c>
      <c r="B964" s="116">
        <v>421.8</v>
      </c>
      <c r="C964" s="116">
        <v>418.91</v>
      </c>
      <c r="D964" s="116">
        <v>402.41</v>
      </c>
      <c r="E964" s="116">
        <v>406.42</v>
      </c>
      <c r="F964" s="116">
        <v>2094.5500000000002</v>
      </c>
      <c r="G964">
        <v>20471</v>
      </c>
      <c r="H964" s="116"/>
      <c r="I964" s="116"/>
      <c r="L964" s="163">
        <v>43423</v>
      </c>
      <c r="M964" s="116">
        <v>418.82</v>
      </c>
      <c r="N964" s="116">
        <v>421.95</v>
      </c>
      <c r="O964" s="116">
        <v>402.29</v>
      </c>
      <c r="P964" s="116">
        <v>406</v>
      </c>
      <c r="Q964" s="116">
        <v>2094.1</v>
      </c>
      <c r="R964">
        <v>517188</v>
      </c>
    </row>
    <row r="965" spans="1:18" x14ac:dyDescent="0.25">
      <c r="A965" s="163">
        <v>43424</v>
      </c>
      <c r="B965" s="116">
        <v>428.06</v>
      </c>
      <c r="C965" s="116">
        <v>416.26</v>
      </c>
      <c r="D965" s="116">
        <v>413.74</v>
      </c>
      <c r="E965" s="116">
        <v>420</v>
      </c>
      <c r="F965" s="116">
        <v>2081.3000000000002</v>
      </c>
      <c r="G965">
        <v>28658</v>
      </c>
      <c r="H965" s="116"/>
      <c r="I965" s="116"/>
      <c r="L965" s="163">
        <v>43424</v>
      </c>
      <c r="M965" s="116">
        <v>416.3</v>
      </c>
      <c r="N965" s="116">
        <v>428</v>
      </c>
      <c r="O965" s="116">
        <v>413.69</v>
      </c>
      <c r="P965" s="116">
        <v>418.6</v>
      </c>
      <c r="Q965" s="116">
        <v>2081.5</v>
      </c>
      <c r="R965">
        <v>665509</v>
      </c>
    </row>
    <row r="966" spans="1:18" x14ac:dyDescent="0.25">
      <c r="A966" s="163">
        <v>43425</v>
      </c>
      <c r="B966" s="116">
        <v>426</v>
      </c>
      <c r="C966" s="116">
        <v>421.65</v>
      </c>
      <c r="D966" s="116">
        <v>412.4</v>
      </c>
      <c r="E966" s="116">
        <v>412.4</v>
      </c>
      <c r="F966" s="116">
        <v>2108.25</v>
      </c>
      <c r="G966">
        <v>21857</v>
      </c>
      <c r="H966" s="116"/>
      <c r="I966" s="116"/>
      <c r="L966" s="163">
        <v>43425</v>
      </c>
      <c r="M966" s="116">
        <v>422.99</v>
      </c>
      <c r="N966" s="116">
        <v>426.45</v>
      </c>
      <c r="O966" s="116">
        <v>414.31</v>
      </c>
      <c r="P966" s="116">
        <v>416.98</v>
      </c>
      <c r="Q966" s="116">
        <v>2114.9499999999998</v>
      </c>
      <c r="R966">
        <v>346966</v>
      </c>
    </row>
    <row r="967" spans="1:18" x14ac:dyDescent="0.25">
      <c r="A967" s="163">
        <v>43426</v>
      </c>
      <c r="B967" s="116">
        <v>431.19</v>
      </c>
      <c r="C967" s="116">
        <v>416.25</v>
      </c>
      <c r="D967" s="116">
        <v>413.15</v>
      </c>
      <c r="E967" s="116">
        <v>423</v>
      </c>
      <c r="F967" s="116">
        <v>2081.25</v>
      </c>
      <c r="G967">
        <v>16174</v>
      </c>
      <c r="H967" s="116"/>
      <c r="I967" s="116"/>
      <c r="L967" s="163">
        <v>43426</v>
      </c>
      <c r="M967" s="116">
        <v>415.7</v>
      </c>
      <c r="N967" s="116">
        <v>426.6</v>
      </c>
      <c r="O967" s="116">
        <v>413.45</v>
      </c>
      <c r="P967" s="116">
        <v>425</v>
      </c>
      <c r="Q967" s="116">
        <v>2078.5</v>
      </c>
      <c r="R967">
        <v>239333</v>
      </c>
    </row>
    <row r="968" spans="1:18" x14ac:dyDescent="0.25">
      <c r="A968" s="163">
        <v>43430</v>
      </c>
      <c r="B968" s="116">
        <v>420.77</v>
      </c>
      <c r="C968" s="116">
        <v>413.94</v>
      </c>
      <c r="D968" s="116">
        <v>410.99</v>
      </c>
      <c r="E968" s="116">
        <v>419.8</v>
      </c>
      <c r="F968" s="116">
        <v>2069.6999999999998</v>
      </c>
      <c r="G968">
        <v>5938</v>
      </c>
      <c r="H968" s="116"/>
      <c r="I968" s="116"/>
      <c r="L968" s="163">
        <v>43430</v>
      </c>
      <c r="M968" s="116">
        <v>414.4</v>
      </c>
      <c r="N968" s="116">
        <v>422</v>
      </c>
      <c r="O968" s="116">
        <v>410.62</v>
      </c>
      <c r="P968" s="116">
        <v>420.55</v>
      </c>
      <c r="Q968" s="116">
        <v>2072</v>
      </c>
      <c r="R968">
        <v>221436</v>
      </c>
    </row>
    <row r="969" spans="1:18" x14ac:dyDescent="0.25">
      <c r="A969" s="163">
        <v>43431</v>
      </c>
      <c r="B969" s="116">
        <v>423.48</v>
      </c>
      <c r="C969" s="116">
        <v>422.52</v>
      </c>
      <c r="D969" s="116">
        <v>413.03</v>
      </c>
      <c r="E969" s="116">
        <v>415.4</v>
      </c>
      <c r="F969" s="116">
        <v>2112.6</v>
      </c>
      <c r="G969">
        <v>7993</v>
      </c>
      <c r="H969" s="116"/>
      <c r="I969" s="116"/>
      <c r="L969" s="163">
        <v>43431</v>
      </c>
      <c r="M969" s="116">
        <v>422.51</v>
      </c>
      <c r="N969" s="116">
        <v>423.59</v>
      </c>
      <c r="O969" s="116">
        <v>412.21</v>
      </c>
      <c r="P969" s="116">
        <v>415.67</v>
      </c>
      <c r="Q969" s="116">
        <v>2112.5500000000002</v>
      </c>
      <c r="R969">
        <v>303287</v>
      </c>
    </row>
    <row r="970" spans="1:18" x14ac:dyDescent="0.25">
      <c r="A970" s="163">
        <v>43432</v>
      </c>
      <c r="B970" s="116">
        <v>425.46</v>
      </c>
      <c r="C970" s="116">
        <v>421.7</v>
      </c>
      <c r="D970" s="116">
        <v>416.64</v>
      </c>
      <c r="E970" s="116">
        <v>418.4</v>
      </c>
      <c r="F970" s="116">
        <v>2108.5</v>
      </c>
      <c r="G970">
        <v>6474</v>
      </c>
      <c r="H970" s="116"/>
      <c r="I970" s="116"/>
      <c r="L970" s="163">
        <v>43432</v>
      </c>
      <c r="M970" s="116">
        <v>422.14</v>
      </c>
      <c r="N970" s="116">
        <v>425.76</v>
      </c>
      <c r="O970" s="116">
        <v>416.22</v>
      </c>
      <c r="P970" s="116">
        <v>424</v>
      </c>
      <c r="Q970" s="116">
        <v>2110.6999999999998</v>
      </c>
      <c r="R970">
        <v>206067</v>
      </c>
    </row>
    <row r="971" spans="1:18" x14ac:dyDescent="0.25">
      <c r="A971" s="163">
        <v>43433</v>
      </c>
      <c r="B971" s="116">
        <v>433</v>
      </c>
      <c r="C971" s="116">
        <v>429.53</v>
      </c>
      <c r="D971" s="116">
        <v>420.15</v>
      </c>
      <c r="E971" s="116">
        <v>421.99</v>
      </c>
      <c r="F971" s="116">
        <v>2147.65</v>
      </c>
      <c r="G971">
        <v>21381</v>
      </c>
      <c r="H971" s="116"/>
      <c r="I971" s="116"/>
      <c r="L971" s="163">
        <v>43433</v>
      </c>
      <c r="M971" s="116">
        <v>430.46</v>
      </c>
      <c r="N971" s="116">
        <v>433</v>
      </c>
      <c r="O971" s="116">
        <v>420.01</v>
      </c>
      <c r="P971" s="116">
        <v>422.4</v>
      </c>
      <c r="Q971" s="116">
        <v>2152.3000000000002</v>
      </c>
      <c r="R971">
        <v>393057</v>
      </c>
    </row>
    <row r="972" spans="1:18" x14ac:dyDescent="0.25">
      <c r="A972" s="163">
        <v>43434</v>
      </c>
      <c r="B972" s="116">
        <v>435.93</v>
      </c>
      <c r="C972" s="116">
        <v>432.19</v>
      </c>
      <c r="D972" s="116">
        <v>424.9</v>
      </c>
      <c r="E972" s="116">
        <v>431</v>
      </c>
      <c r="F972" s="116">
        <v>2160.9499999999998</v>
      </c>
      <c r="G972">
        <v>13031</v>
      </c>
      <c r="H972" s="116"/>
      <c r="I972" s="116"/>
      <c r="L972" s="163">
        <v>43434</v>
      </c>
      <c r="M972" s="116">
        <v>432.89</v>
      </c>
      <c r="N972" s="116">
        <v>435.79</v>
      </c>
      <c r="O972" s="116">
        <v>428.44</v>
      </c>
      <c r="P972" s="116">
        <v>432.07</v>
      </c>
      <c r="Q972" s="116">
        <v>2164.4499999999998</v>
      </c>
      <c r="R972">
        <v>294077</v>
      </c>
    </row>
    <row r="973" spans="1:18" x14ac:dyDescent="0.25">
      <c r="A973" s="163">
        <v>43437</v>
      </c>
      <c r="B973" s="116">
        <v>433.65</v>
      </c>
      <c r="C973" s="116">
        <v>429.92</v>
      </c>
      <c r="D973" s="116">
        <v>427.02</v>
      </c>
      <c r="E973" s="116">
        <v>429</v>
      </c>
      <c r="F973" s="116">
        <v>2149.6</v>
      </c>
      <c r="G973">
        <v>5510</v>
      </c>
      <c r="H973" s="116"/>
      <c r="I973" s="116"/>
      <c r="L973" s="163">
        <v>43437</v>
      </c>
      <c r="M973" s="116">
        <v>428.86</v>
      </c>
      <c r="N973" s="116">
        <v>434.8</v>
      </c>
      <c r="O973" s="116">
        <v>426.61</v>
      </c>
      <c r="P973" s="116">
        <v>433</v>
      </c>
      <c r="Q973" s="116">
        <v>2144.3000000000002</v>
      </c>
      <c r="R973">
        <v>170703</v>
      </c>
    </row>
    <row r="974" spans="1:18" x14ac:dyDescent="0.25">
      <c r="A974" s="163">
        <v>43438</v>
      </c>
      <c r="B974" s="116">
        <v>438.99</v>
      </c>
      <c r="C974" s="116">
        <v>435.63</v>
      </c>
      <c r="D974" s="116">
        <v>427</v>
      </c>
      <c r="E974" s="116">
        <v>429.98</v>
      </c>
      <c r="F974" s="116">
        <v>2178.15</v>
      </c>
      <c r="G974">
        <v>18242</v>
      </c>
      <c r="H974" s="116"/>
      <c r="I974" s="116"/>
      <c r="L974" s="163">
        <v>43438</v>
      </c>
      <c r="M974" s="116">
        <v>433.94</v>
      </c>
      <c r="N974" s="116">
        <v>439.4</v>
      </c>
      <c r="O974" s="116">
        <v>426.24</v>
      </c>
      <c r="P974" s="116">
        <v>428.89</v>
      </c>
      <c r="Q974" s="116">
        <v>2169.6999999999998</v>
      </c>
      <c r="R974">
        <v>414351</v>
      </c>
    </row>
    <row r="975" spans="1:18" x14ac:dyDescent="0.25">
      <c r="A975" s="163">
        <v>43439</v>
      </c>
      <c r="B975" s="116">
        <v>432.8</v>
      </c>
      <c r="C975" s="116">
        <v>423.36</v>
      </c>
      <c r="D975" s="116">
        <v>422</v>
      </c>
      <c r="E975" s="116">
        <v>432.8</v>
      </c>
      <c r="F975" s="116">
        <v>2116.8000000000002</v>
      </c>
      <c r="G975">
        <v>10714</v>
      </c>
      <c r="H975" s="116"/>
      <c r="I975" s="116"/>
      <c r="L975" s="163">
        <v>43439</v>
      </c>
      <c r="M975" s="116">
        <v>422.89</v>
      </c>
      <c r="N975" s="116">
        <v>432.6</v>
      </c>
      <c r="O975" s="116">
        <v>421.36</v>
      </c>
      <c r="P975" s="116">
        <v>432.58</v>
      </c>
      <c r="Q975" s="116">
        <v>2114.4499999999998</v>
      </c>
      <c r="R975">
        <v>272774</v>
      </c>
    </row>
    <row r="976" spans="1:18" x14ac:dyDescent="0.25">
      <c r="A976" s="163">
        <v>43440</v>
      </c>
      <c r="B976" s="116">
        <v>426.29</v>
      </c>
      <c r="C976" s="116">
        <v>419.65</v>
      </c>
      <c r="D976" s="116">
        <v>416</v>
      </c>
      <c r="E976" s="116">
        <v>420.83</v>
      </c>
      <c r="F976" s="116">
        <v>2098.25</v>
      </c>
      <c r="G976">
        <v>6186</v>
      </c>
      <c r="H976" s="116"/>
      <c r="I976" s="116"/>
      <c r="L976" s="163">
        <v>43440</v>
      </c>
      <c r="M976" s="116">
        <v>420.04</v>
      </c>
      <c r="N976" s="116">
        <v>426.59</v>
      </c>
      <c r="O976" s="116">
        <v>415.15</v>
      </c>
      <c r="P976" s="116">
        <v>422.2</v>
      </c>
      <c r="Q976" s="116">
        <v>2100.1999999999998</v>
      </c>
      <c r="R976">
        <v>315117</v>
      </c>
    </row>
    <row r="977" spans="1:18" x14ac:dyDescent="0.25">
      <c r="A977" s="163">
        <v>43441</v>
      </c>
      <c r="B977" s="116">
        <v>427.42</v>
      </c>
      <c r="C977" s="116">
        <v>424.14</v>
      </c>
      <c r="D977" s="116">
        <v>417.03</v>
      </c>
      <c r="E977" s="116">
        <v>422.2</v>
      </c>
      <c r="F977" s="116">
        <v>2120.6999999999998</v>
      </c>
      <c r="G977">
        <v>8388</v>
      </c>
      <c r="H977" s="116"/>
      <c r="I977" s="116"/>
      <c r="L977" s="163">
        <v>43441</v>
      </c>
      <c r="M977" s="116">
        <v>423.18</v>
      </c>
      <c r="N977" s="116">
        <v>426.8</v>
      </c>
      <c r="O977" s="116">
        <v>416.46</v>
      </c>
      <c r="P977" s="116">
        <v>422</v>
      </c>
      <c r="Q977" s="116">
        <v>2115.9</v>
      </c>
      <c r="R977">
        <v>264086</v>
      </c>
    </row>
    <row r="978" spans="1:18" x14ac:dyDescent="0.25">
      <c r="A978" s="163">
        <v>43444</v>
      </c>
      <c r="B978" s="116">
        <v>418.42</v>
      </c>
      <c r="C978" s="116">
        <v>411.64</v>
      </c>
      <c r="D978" s="116">
        <v>407</v>
      </c>
      <c r="E978" s="116">
        <v>418</v>
      </c>
      <c r="F978" s="116">
        <v>2058.1999999999998</v>
      </c>
      <c r="G978">
        <v>13643</v>
      </c>
      <c r="H978" s="116"/>
      <c r="I978" s="116"/>
      <c r="L978" s="163">
        <v>43444</v>
      </c>
      <c r="M978" s="116">
        <v>411.33</v>
      </c>
      <c r="N978" s="116">
        <v>419.4</v>
      </c>
      <c r="O978" s="116">
        <v>406.99</v>
      </c>
      <c r="P978" s="116">
        <v>419.4</v>
      </c>
      <c r="Q978" s="116">
        <v>2056.65</v>
      </c>
      <c r="R978">
        <v>422875</v>
      </c>
    </row>
    <row r="979" spans="1:18" x14ac:dyDescent="0.25">
      <c r="A979" s="163">
        <v>43445</v>
      </c>
      <c r="B979" s="116">
        <v>435</v>
      </c>
      <c r="C979" s="116">
        <v>427.13</v>
      </c>
      <c r="D979" s="116">
        <v>403.2</v>
      </c>
      <c r="E979" s="116">
        <v>403.2</v>
      </c>
      <c r="F979" s="116">
        <v>2135.65</v>
      </c>
      <c r="G979">
        <v>14225</v>
      </c>
      <c r="H979" s="116"/>
      <c r="I979" s="116"/>
      <c r="L979" s="163">
        <v>43445</v>
      </c>
      <c r="M979" s="116">
        <v>426.3</v>
      </c>
      <c r="N979" s="116">
        <v>428.29</v>
      </c>
      <c r="O979" s="116">
        <v>407</v>
      </c>
      <c r="P979" s="116">
        <v>407</v>
      </c>
      <c r="Q979" s="116">
        <v>2131.5</v>
      </c>
      <c r="R979">
        <v>291943</v>
      </c>
    </row>
    <row r="980" spans="1:18" x14ac:dyDescent="0.25">
      <c r="A980" s="163">
        <v>43446</v>
      </c>
      <c r="B980" s="116">
        <v>433</v>
      </c>
      <c r="C980" s="116">
        <v>431.17</v>
      </c>
      <c r="D980" s="116">
        <v>423.9</v>
      </c>
      <c r="E980" s="116">
        <v>424.12</v>
      </c>
      <c r="F980" s="116">
        <v>2155.85</v>
      </c>
      <c r="G980">
        <v>8078</v>
      </c>
      <c r="H980" s="116"/>
      <c r="I980" s="116"/>
      <c r="L980" s="163">
        <v>43446</v>
      </c>
      <c r="M980" s="116">
        <v>431.48</v>
      </c>
      <c r="N980" s="116">
        <v>433.55</v>
      </c>
      <c r="O980" s="116">
        <v>422.18</v>
      </c>
      <c r="P980" s="116">
        <v>426.2</v>
      </c>
      <c r="Q980" s="116">
        <v>2157.4</v>
      </c>
      <c r="R980">
        <v>275716</v>
      </c>
    </row>
    <row r="981" spans="1:18" x14ac:dyDescent="0.25">
      <c r="A981" s="163">
        <v>43447</v>
      </c>
      <c r="B981" s="116">
        <v>438.75</v>
      </c>
      <c r="C981" s="116">
        <v>436.56</v>
      </c>
      <c r="D981" s="116">
        <v>425</v>
      </c>
      <c r="E981" s="116">
        <v>425.1</v>
      </c>
      <c r="F981" s="116">
        <v>2182.8000000000002</v>
      </c>
      <c r="G981">
        <v>8161</v>
      </c>
      <c r="H981" s="116"/>
      <c r="I981" s="116"/>
      <c r="L981" s="163">
        <v>43447</v>
      </c>
      <c r="M981" s="116">
        <v>436.99</v>
      </c>
      <c r="N981" s="116">
        <v>439</v>
      </c>
      <c r="O981" s="116">
        <v>421.27</v>
      </c>
      <c r="P981" s="116">
        <v>431.4</v>
      </c>
      <c r="Q981" s="116">
        <v>2184.9499999999998</v>
      </c>
      <c r="R981">
        <v>344132</v>
      </c>
    </row>
    <row r="982" spans="1:18" x14ac:dyDescent="0.25">
      <c r="A982" s="163">
        <v>43448</v>
      </c>
      <c r="B982" s="116">
        <v>444.4</v>
      </c>
      <c r="C982" s="116">
        <v>438.37</v>
      </c>
      <c r="D982" s="116">
        <v>434.84</v>
      </c>
      <c r="E982" s="116">
        <v>436.4</v>
      </c>
      <c r="F982" s="116">
        <v>2191.85</v>
      </c>
      <c r="G982">
        <v>21890</v>
      </c>
      <c r="H982" s="116"/>
      <c r="I982" s="116"/>
      <c r="L982" s="163">
        <v>43448</v>
      </c>
      <c r="M982" s="116">
        <v>439.69</v>
      </c>
      <c r="N982" s="116">
        <v>444.51</v>
      </c>
      <c r="O982" s="116">
        <v>434.26</v>
      </c>
      <c r="P982" s="116">
        <v>437.2</v>
      </c>
      <c r="Q982" s="116">
        <v>2198.4499999999998</v>
      </c>
      <c r="R982">
        <v>550110</v>
      </c>
    </row>
    <row r="983" spans="1:18" x14ac:dyDescent="0.25">
      <c r="A983" s="163">
        <v>43451</v>
      </c>
      <c r="B983" s="116">
        <v>444.44</v>
      </c>
      <c r="C983" s="116">
        <v>441.05</v>
      </c>
      <c r="D983" s="116">
        <v>438.38</v>
      </c>
      <c r="E983" s="116">
        <v>439.8</v>
      </c>
      <c r="F983" s="116">
        <v>2205.25</v>
      </c>
      <c r="G983">
        <v>8320</v>
      </c>
      <c r="H983" s="116"/>
      <c r="I983" s="116"/>
      <c r="L983" s="163">
        <v>43451</v>
      </c>
      <c r="M983" s="116">
        <v>441.93</v>
      </c>
      <c r="N983" s="116">
        <v>444.96</v>
      </c>
      <c r="O983" s="116">
        <v>438.01</v>
      </c>
      <c r="P983" s="116">
        <v>438.01</v>
      </c>
      <c r="Q983" s="116">
        <v>2209.65</v>
      </c>
      <c r="R983">
        <v>219465</v>
      </c>
    </row>
    <row r="984" spans="1:18" x14ac:dyDescent="0.25">
      <c r="A984" s="163">
        <v>43452</v>
      </c>
      <c r="B984" s="116">
        <v>445.07</v>
      </c>
      <c r="C984" s="116">
        <v>443.56</v>
      </c>
      <c r="D984" s="116">
        <v>438.18</v>
      </c>
      <c r="E984" s="116">
        <v>438.18</v>
      </c>
      <c r="F984" s="116">
        <v>2217.8000000000002</v>
      </c>
      <c r="G984">
        <v>9560</v>
      </c>
      <c r="H984" s="116"/>
      <c r="I984" s="116"/>
      <c r="L984" s="163">
        <v>43452</v>
      </c>
      <c r="M984" s="116">
        <v>444.07</v>
      </c>
      <c r="N984" s="116">
        <v>446</v>
      </c>
      <c r="O984" s="116">
        <v>437.12</v>
      </c>
      <c r="P984" s="116">
        <v>439.98</v>
      </c>
      <c r="Q984" s="116">
        <v>2220.35</v>
      </c>
      <c r="R984">
        <v>240106</v>
      </c>
    </row>
    <row r="985" spans="1:18" x14ac:dyDescent="0.25">
      <c r="A985" s="163">
        <v>43453</v>
      </c>
      <c r="B985" s="116">
        <v>450.8</v>
      </c>
      <c r="C985" s="116">
        <v>447.74</v>
      </c>
      <c r="D985" s="116">
        <v>444.4</v>
      </c>
      <c r="E985" s="116">
        <v>444.4</v>
      </c>
      <c r="F985" s="116">
        <v>2238.6999999999998</v>
      </c>
      <c r="G985">
        <v>6712</v>
      </c>
      <c r="H985" s="116"/>
      <c r="I985" s="116"/>
      <c r="L985" s="163">
        <v>43453</v>
      </c>
      <c r="M985" s="116">
        <v>448.46</v>
      </c>
      <c r="N985" s="116">
        <v>451</v>
      </c>
      <c r="O985" s="116">
        <v>444.07</v>
      </c>
      <c r="P985" s="116">
        <v>444.07</v>
      </c>
      <c r="Q985" s="116">
        <v>2242.3000000000002</v>
      </c>
      <c r="R985">
        <v>266073</v>
      </c>
    </row>
    <row r="986" spans="1:18" x14ac:dyDescent="0.25">
      <c r="A986" s="163">
        <v>43454</v>
      </c>
      <c r="B986" s="116">
        <v>455</v>
      </c>
      <c r="C986" s="116">
        <v>452.48</v>
      </c>
      <c r="D986" s="116">
        <v>444.89</v>
      </c>
      <c r="E986" s="116">
        <v>445.2</v>
      </c>
      <c r="F986" s="116">
        <v>2262.4</v>
      </c>
      <c r="G986">
        <v>9235</v>
      </c>
      <c r="H986" s="116"/>
      <c r="I986" s="116"/>
      <c r="L986" s="163">
        <v>43454</v>
      </c>
      <c r="M986" s="116">
        <v>451.83</v>
      </c>
      <c r="N986" s="116">
        <v>455.39</v>
      </c>
      <c r="O986" s="116">
        <v>444.46</v>
      </c>
      <c r="P986" s="116">
        <v>447</v>
      </c>
      <c r="Q986" s="116">
        <v>2259.15</v>
      </c>
      <c r="R986">
        <v>312381</v>
      </c>
    </row>
    <row r="987" spans="1:18" x14ac:dyDescent="0.25">
      <c r="A987" s="163">
        <v>43455</v>
      </c>
      <c r="B987" s="116">
        <v>453.65</v>
      </c>
      <c r="C987" s="116">
        <v>430.58</v>
      </c>
      <c r="D987" s="116">
        <v>428.4</v>
      </c>
      <c r="E987" s="116">
        <v>449.92</v>
      </c>
      <c r="F987" s="116">
        <v>2152.9</v>
      </c>
      <c r="G987">
        <v>10836</v>
      </c>
      <c r="H987" s="116"/>
      <c r="I987" s="116"/>
      <c r="L987" s="163">
        <v>43455</v>
      </c>
      <c r="M987" s="116">
        <v>429.87</v>
      </c>
      <c r="N987" s="116">
        <v>453.33</v>
      </c>
      <c r="O987" s="116">
        <v>428</v>
      </c>
      <c r="P987" s="116">
        <v>449.2</v>
      </c>
      <c r="Q987" s="116">
        <v>2149.35</v>
      </c>
      <c r="R987">
        <v>631940</v>
      </c>
    </row>
    <row r="988" spans="1:18" x14ac:dyDescent="0.25">
      <c r="A988" s="163">
        <v>43458</v>
      </c>
      <c r="B988" s="116">
        <v>431.8</v>
      </c>
      <c r="C988" s="116">
        <v>394.32</v>
      </c>
      <c r="D988" s="116">
        <v>392.27</v>
      </c>
      <c r="E988" s="116">
        <v>431</v>
      </c>
      <c r="F988" s="116">
        <v>1971.6</v>
      </c>
      <c r="G988">
        <v>100540</v>
      </c>
      <c r="H988" s="116"/>
      <c r="I988" s="116"/>
      <c r="L988" s="163">
        <v>43458</v>
      </c>
      <c r="M988" s="116">
        <v>394.47</v>
      </c>
      <c r="N988" s="116">
        <v>432.36</v>
      </c>
      <c r="O988" s="116">
        <v>392</v>
      </c>
      <c r="P988" s="116">
        <v>430.76</v>
      </c>
      <c r="Q988" s="116">
        <v>1972.35</v>
      </c>
      <c r="R988">
        <v>2437373</v>
      </c>
    </row>
    <row r="989" spans="1:18" x14ac:dyDescent="0.25">
      <c r="A989" s="163">
        <v>43460</v>
      </c>
      <c r="B989" s="116">
        <v>397.86</v>
      </c>
      <c r="C989" s="116">
        <v>394.03</v>
      </c>
      <c r="D989" s="116">
        <v>381.2</v>
      </c>
      <c r="E989" s="116">
        <v>395</v>
      </c>
      <c r="F989" s="116">
        <v>1970.15</v>
      </c>
      <c r="G989">
        <v>45485</v>
      </c>
      <c r="H989" s="116"/>
      <c r="I989" s="116"/>
      <c r="L989" s="163">
        <v>43460</v>
      </c>
      <c r="M989" s="116">
        <v>393.46</v>
      </c>
      <c r="N989" s="116">
        <v>397.8</v>
      </c>
      <c r="O989" s="116">
        <v>381.2</v>
      </c>
      <c r="P989" s="116">
        <v>393.79</v>
      </c>
      <c r="Q989" s="116">
        <v>1967.3</v>
      </c>
      <c r="R989">
        <v>1513999</v>
      </c>
    </row>
    <row r="990" spans="1:18" x14ac:dyDescent="0.25">
      <c r="A990" s="163">
        <v>43461</v>
      </c>
      <c r="B990" s="116">
        <v>402.4</v>
      </c>
      <c r="C990" s="116">
        <v>400.14</v>
      </c>
      <c r="D990" s="116">
        <v>396.38</v>
      </c>
      <c r="E990" s="116">
        <v>400.02</v>
      </c>
      <c r="F990" s="116">
        <v>2000.7</v>
      </c>
      <c r="G990">
        <v>42015</v>
      </c>
      <c r="H990" s="116"/>
      <c r="I990" s="116"/>
      <c r="L990" s="163">
        <v>43461</v>
      </c>
      <c r="M990" s="116">
        <v>400.13</v>
      </c>
      <c r="N990" s="116">
        <v>402.5</v>
      </c>
      <c r="O990" s="116">
        <v>395.11</v>
      </c>
      <c r="P990" s="116">
        <v>395.11</v>
      </c>
      <c r="Q990" s="116">
        <v>2000.65</v>
      </c>
      <c r="R990">
        <v>925797</v>
      </c>
    </row>
    <row r="991" spans="1:18" x14ac:dyDescent="0.25">
      <c r="A991" s="163">
        <v>43462</v>
      </c>
      <c r="B991" s="116">
        <v>406.8</v>
      </c>
      <c r="C991" s="116">
        <v>400.65</v>
      </c>
      <c r="D991" s="116">
        <v>399.37</v>
      </c>
      <c r="E991" s="116">
        <v>400.2</v>
      </c>
      <c r="F991" s="116">
        <v>2003.25</v>
      </c>
      <c r="G991">
        <v>16949</v>
      </c>
      <c r="H991" s="116"/>
      <c r="I991" s="116"/>
      <c r="L991" s="163">
        <v>43462</v>
      </c>
      <c r="M991" s="116">
        <v>400.34</v>
      </c>
      <c r="N991" s="116">
        <v>407</v>
      </c>
      <c r="O991" s="116">
        <v>398.69</v>
      </c>
      <c r="P991" s="116">
        <v>401.8</v>
      </c>
      <c r="Q991" s="116">
        <v>2001.7</v>
      </c>
      <c r="R991">
        <v>575142</v>
      </c>
    </row>
    <row r="992" spans="1:18" x14ac:dyDescent="0.25">
      <c r="A992" s="163">
        <v>43465</v>
      </c>
      <c r="B992" s="116">
        <v>404.6</v>
      </c>
      <c r="C992" s="116">
        <v>399.71</v>
      </c>
      <c r="D992" s="116">
        <v>396.08</v>
      </c>
      <c r="E992" s="116">
        <v>402.54</v>
      </c>
      <c r="F992" s="116">
        <v>1998.55</v>
      </c>
      <c r="G992">
        <v>10713</v>
      </c>
      <c r="H992" s="116"/>
      <c r="I992" s="116"/>
      <c r="L992" s="163">
        <v>43465</v>
      </c>
      <c r="M992" s="116">
        <v>399.93</v>
      </c>
      <c r="N992" s="116">
        <v>404.95</v>
      </c>
      <c r="O992" s="116">
        <v>397.22</v>
      </c>
      <c r="P992" s="116">
        <v>404.95</v>
      </c>
      <c r="Q992" s="116">
        <v>1999.65</v>
      </c>
      <c r="R992">
        <v>293685</v>
      </c>
    </row>
    <row r="993" spans="1:18" x14ac:dyDescent="0.25">
      <c r="A993" s="163">
        <v>43466</v>
      </c>
      <c r="B993" s="116">
        <v>401.76</v>
      </c>
      <c r="C993" s="116">
        <v>397.99</v>
      </c>
      <c r="D993" s="116">
        <v>389.64</v>
      </c>
      <c r="E993" s="116">
        <v>400.34</v>
      </c>
      <c r="F993" s="116">
        <v>1989.95</v>
      </c>
      <c r="G993">
        <v>40943</v>
      </c>
      <c r="H993" s="116"/>
      <c r="I993" s="116"/>
      <c r="L993" s="163">
        <v>43466</v>
      </c>
      <c r="M993" s="116">
        <v>397.8</v>
      </c>
      <c r="N993" s="116">
        <v>401.59</v>
      </c>
      <c r="O993" s="116">
        <v>389.6</v>
      </c>
      <c r="P993" s="116">
        <v>400</v>
      </c>
      <c r="Q993" s="116">
        <v>1989</v>
      </c>
      <c r="R993">
        <v>854122</v>
      </c>
    </row>
    <row r="994" spans="1:18" x14ac:dyDescent="0.25">
      <c r="A994" s="163">
        <v>43467</v>
      </c>
      <c r="B994" s="116">
        <v>402.42</v>
      </c>
      <c r="C994" s="116">
        <v>398.56</v>
      </c>
      <c r="D994" s="116">
        <v>393</v>
      </c>
      <c r="E994" s="116">
        <v>397.6</v>
      </c>
      <c r="F994" s="116">
        <v>1992.8</v>
      </c>
      <c r="G994">
        <v>16839</v>
      </c>
      <c r="H994" s="116"/>
      <c r="I994" s="116"/>
      <c r="L994" s="163">
        <v>43467</v>
      </c>
      <c r="M994" s="116">
        <v>398.43</v>
      </c>
      <c r="N994" s="116">
        <v>402.63</v>
      </c>
      <c r="O994" s="116">
        <v>392.01</v>
      </c>
      <c r="P994" s="116">
        <v>397.42</v>
      </c>
      <c r="Q994" s="116">
        <v>1992.15</v>
      </c>
      <c r="R994">
        <v>467887</v>
      </c>
    </row>
    <row r="995" spans="1:18" x14ac:dyDescent="0.25">
      <c r="A995" s="163">
        <v>43468</v>
      </c>
      <c r="B995" s="116">
        <v>402.2</v>
      </c>
      <c r="C995" s="116">
        <v>395.65</v>
      </c>
      <c r="D995" s="116">
        <v>393.2</v>
      </c>
      <c r="E995" s="116">
        <v>393.2</v>
      </c>
      <c r="F995" s="116">
        <v>1978.25</v>
      </c>
      <c r="G995">
        <v>10574</v>
      </c>
      <c r="H995" s="116"/>
      <c r="I995" s="116"/>
      <c r="L995" s="163">
        <v>43468</v>
      </c>
      <c r="M995" s="116">
        <v>395.23</v>
      </c>
      <c r="N995" s="116">
        <v>402.4</v>
      </c>
      <c r="O995" s="116">
        <v>393</v>
      </c>
      <c r="P995" s="116">
        <v>397</v>
      </c>
      <c r="Q995" s="116">
        <v>1976.15</v>
      </c>
      <c r="R995">
        <v>320775</v>
      </c>
    </row>
    <row r="996" spans="1:18" x14ac:dyDescent="0.25">
      <c r="A996" s="163">
        <v>43469</v>
      </c>
      <c r="B996" s="116">
        <v>401.02</v>
      </c>
      <c r="C996" s="116">
        <v>399.12</v>
      </c>
      <c r="D996" s="116">
        <v>390.03</v>
      </c>
      <c r="E996" s="116">
        <v>399</v>
      </c>
      <c r="F996" s="116">
        <v>1995.6</v>
      </c>
      <c r="G996">
        <v>11861</v>
      </c>
      <c r="H996" s="116"/>
      <c r="I996" s="116"/>
      <c r="L996" s="163">
        <v>43469</v>
      </c>
      <c r="M996" s="116">
        <v>398.63</v>
      </c>
      <c r="N996" s="116">
        <v>400.68</v>
      </c>
      <c r="O996" s="116">
        <v>389.55</v>
      </c>
      <c r="P996" s="116">
        <v>396.1</v>
      </c>
      <c r="Q996" s="116">
        <v>1993.15</v>
      </c>
      <c r="R996">
        <v>408541</v>
      </c>
    </row>
    <row r="997" spans="1:18" x14ac:dyDescent="0.25">
      <c r="A997" s="163">
        <v>43472</v>
      </c>
      <c r="B997" s="116">
        <v>400.58</v>
      </c>
      <c r="C997" s="116">
        <v>399.45</v>
      </c>
      <c r="D997" s="116">
        <v>395.4</v>
      </c>
      <c r="E997" s="116">
        <v>399.06</v>
      </c>
      <c r="F997" s="116">
        <v>1997.25</v>
      </c>
      <c r="G997">
        <v>8448</v>
      </c>
      <c r="H997" s="116"/>
      <c r="I997" s="116"/>
      <c r="L997" s="163">
        <v>43472</v>
      </c>
      <c r="M997" s="116">
        <v>399.57</v>
      </c>
      <c r="N997" s="116">
        <v>401.94</v>
      </c>
      <c r="O997" s="116">
        <v>395.31</v>
      </c>
      <c r="P997" s="116">
        <v>401.94</v>
      </c>
      <c r="Q997" s="116">
        <v>1997.85</v>
      </c>
      <c r="R997">
        <v>324402</v>
      </c>
    </row>
    <row r="998" spans="1:18" x14ac:dyDescent="0.25">
      <c r="A998" s="163">
        <v>43473</v>
      </c>
      <c r="B998" s="116">
        <v>406.71</v>
      </c>
      <c r="C998" s="116">
        <v>404.97</v>
      </c>
      <c r="D998" s="116">
        <v>398.6</v>
      </c>
      <c r="E998" s="116">
        <v>400.68</v>
      </c>
      <c r="F998" s="116">
        <v>2024.85</v>
      </c>
      <c r="G998">
        <v>21770</v>
      </c>
      <c r="H998" s="116"/>
      <c r="I998" s="116"/>
      <c r="L998" s="163">
        <v>43473</v>
      </c>
      <c r="M998" s="116">
        <v>405.06</v>
      </c>
      <c r="N998" s="116">
        <v>406.36</v>
      </c>
      <c r="O998" s="116">
        <v>397.98</v>
      </c>
      <c r="P998" s="116">
        <v>400.95</v>
      </c>
      <c r="Q998" s="116">
        <v>2025.3</v>
      </c>
      <c r="R998">
        <v>533317</v>
      </c>
    </row>
    <row r="999" spans="1:18" x14ac:dyDescent="0.25">
      <c r="A999" s="163">
        <v>43474</v>
      </c>
      <c r="B999" s="116">
        <v>411.61</v>
      </c>
      <c r="C999" s="116">
        <v>407.06</v>
      </c>
      <c r="D999" s="116">
        <v>405.42</v>
      </c>
      <c r="E999" s="116">
        <v>409.6</v>
      </c>
      <c r="F999" s="116">
        <v>2035.3</v>
      </c>
      <c r="G999">
        <v>22042</v>
      </c>
      <c r="H999" s="116"/>
      <c r="I999" s="116"/>
      <c r="L999" s="163">
        <v>43474</v>
      </c>
      <c r="M999" s="116">
        <v>407.35</v>
      </c>
      <c r="N999" s="116">
        <v>411.55</v>
      </c>
      <c r="O999" s="116">
        <v>405.05</v>
      </c>
      <c r="P999" s="116">
        <v>405.4</v>
      </c>
      <c r="Q999" s="116">
        <v>2036.75</v>
      </c>
      <c r="R999">
        <v>444563</v>
      </c>
    </row>
    <row r="1000" spans="1:18" x14ac:dyDescent="0.25">
      <c r="A1000" s="163">
        <v>43475</v>
      </c>
      <c r="B1000" s="116">
        <v>411</v>
      </c>
      <c r="C1000" s="116">
        <v>410.16</v>
      </c>
      <c r="D1000" s="116">
        <v>402.94</v>
      </c>
      <c r="E1000" s="116">
        <v>406</v>
      </c>
      <c r="F1000" s="116">
        <v>2050.8000000000002</v>
      </c>
      <c r="G1000">
        <v>14925</v>
      </c>
      <c r="H1000" s="116"/>
      <c r="I1000" s="116"/>
      <c r="L1000" s="163">
        <v>43475</v>
      </c>
      <c r="M1000" s="116">
        <v>410</v>
      </c>
      <c r="N1000" s="116">
        <v>411</v>
      </c>
      <c r="O1000" s="116">
        <v>403.2</v>
      </c>
      <c r="P1000" s="116">
        <v>408.2</v>
      </c>
      <c r="Q1000" s="116">
        <v>2050</v>
      </c>
      <c r="R1000">
        <v>380385</v>
      </c>
    </row>
    <row r="1001" spans="1:18" x14ac:dyDescent="0.25">
      <c r="A1001" s="163">
        <v>43476</v>
      </c>
      <c r="B1001" s="116">
        <v>413.98</v>
      </c>
      <c r="C1001" s="116">
        <v>409.36</v>
      </c>
      <c r="D1001" s="116">
        <v>407.66</v>
      </c>
      <c r="E1001" s="116">
        <v>411.21</v>
      </c>
      <c r="F1001" s="116">
        <v>2046.8</v>
      </c>
      <c r="G1001">
        <v>9585</v>
      </c>
      <c r="H1001" s="116"/>
      <c r="I1001" s="116"/>
      <c r="L1001" s="163">
        <v>43476</v>
      </c>
      <c r="M1001" s="116">
        <v>409.28</v>
      </c>
      <c r="N1001" s="116">
        <v>413.96</v>
      </c>
      <c r="O1001" s="116">
        <v>407.66</v>
      </c>
      <c r="P1001" s="116">
        <v>410</v>
      </c>
      <c r="Q1001" s="116">
        <v>2046.4</v>
      </c>
      <c r="R1001">
        <v>346969</v>
      </c>
    </row>
    <row r="1002" spans="1:18" x14ac:dyDescent="0.25">
      <c r="A1002" s="163">
        <v>43479</v>
      </c>
      <c r="B1002" s="116">
        <v>410</v>
      </c>
      <c r="C1002" s="116">
        <v>404.59</v>
      </c>
      <c r="D1002" s="116">
        <v>400.5</v>
      </c>
      <c r="E1002" s="116">
        <v>409.32</v>
      </c>
      <c r="F1002" s="116">
        <v>2022.95</v>
      </c>
      <c r="G1002">
        <v>3810</v>
      </c>
      <c r="H1002" s="116"/>
      <c r="I1002" s="116"/>
      <c r="L1002" s="163">
        <v>43479</v>
      </c>
      <c r="M1002" s="116">
        <v>405.29</v>
      </c>
      <c r="N1002" s="116">
        <v>410.85</v>
      </c>
      <c r="O1002" s="116">
        <v>400.3</v>
      </c>
      <c r="P1002" s="116">
        <v>410.02</v>
      </c>
      <c r="Q1002" s="116">
        <v>2026.45</v>
      </c>
      <c r="R1002">
        <v>252549</v>
      </c>
    </row>
    <row r="1003" spans="1:18" x14ac:dyDescent="0.25">
      <c r="A1003" s="163">
        <v>43480</v>
      </c>
      <c r="B1003" s="116">
        <v>415.35</v>
      </c>
      <c r="C1003" s="116">
        <v>414.09</v>
      </c>
      <c r="D1003" s="116">
        <v>406.99</v>
      </c>
      <c r="E1003" s="116">
        <v>407.72</v>
      </c>
      <c r="F1003" s="116">
        <v>2070.4499999999998</v>
      </c>
      <c r="G1003">
        <v>10771</v>
      </c>
      <c r="H1003" s="116"/>
      <c r="I1003" s="116"/>
      <c r="L1003" s="163">
        <v>43480</v>
      </c>
      <c r="M1003" s="116">
        <v>414.3</v>
      </c>
      <c r="N1003" s="116">
        <v>415.76</v>
      </c>
      <c r="O1003" s="116">
        <v>405.29</v>
      </c>
      <c r="P1003" s="116">
        <v>405.29</v>
      </c>
      <c r="Q1003" s="116">
        <v>2071.5</v>
      </c>
      <c r="R1003">
        <v>337166</v>
      </c>
    </row>
    <row r="1004" spans="1:18" x14ac:dyDescent="0.25">
      <c r="A1004" s="163">
        <v>43481</v>
      </c>
      <c r="B1004" s="116">
        <v>417.33</v>
      </c>
      <c r="C1004" s="116">
        <v>409.27</v>
      </c>
      <c r="D1004" s="116">
        <v>406.38</v>
      </c>
      <c r="E1004" s="116">
        <v>416.99</v>
      </c>
      <c r="F1004" s="116">
        <v>2046.35</v>
      </c>
      <c r="G1004">
        <v>6056</v>
      </c>
      <c r="H1004" s="116"/>
      <c r="I1004" s="116"/>
      <c r="L1004" s="163">
        <v>43481</v>
      </c>
      <c r="M1004" s="116">
        <v>408.24</v>
      </c>
      <c r="N1004" s="116">
        <v>417.94</v>
      </c>
      <c r="O1004" s="116">
        <v>406.02</v>
      </c>
      <c r="P1004" s="116">
        <v>414.74</v>
      </c>
      <c r="Q1004" s="116">
        <v>2041.2</v>
      </c>
      <c r="R1004">
        <v>285261</v>
      </c>
    </row>
    <row r="1005" spans="1:18" x14ac:dyDescent="0.25">
      <c r="A1005" s="163">
        <v>43482</v>
      </c>
      <c r="B1005" s="116">
        <v>411.26</v>
      </c>
      <c r="C1005" s="116">
        <v>409.71</v>
      </c>
      <c r="D1005" s="116">
        <v>406.56</v>
      </c>
      <c r="E1005" s="116">
        <v>411.16</v>
      </c>
      <c r="F1005" s="116">
        <v>2048.5500000000002</v>
      </c>
      <c r="G1005">
        <v>6784</v>
      </c>
      <c r="H1005" s="116"/>
      <c r="I1005" s="116"/>
      <c r="L1005" s="163">
        <v>43482</v>
      </c>
      <c r="M1005" s="116">
        <v>410.18</v>
      </c>
      <c r="N1005" s="116">
        <v>412.2</v>
      </c>
      <c r="O1005" s="116">
        <v>406.5</v>
      </c>
      <c r="P1005" s="116">
        <v>410.7</v>
      </c>
      <c r="Q1005" s="116">
        <v>2050.9</v>
      </c>
      <c r="R1005">
        <v>238825</v>
      </c>
    </row>
    <row r="1006" spans="1:18" x14ac:dyDescent="0.25">
      <c r="A1006" s="163">
        <v>43483</v>
      </c>
      <c r="B1006" s="116">
        <v>416</v>
      </c>
      <c r="C1006" s="116">
        <v>414.1</v>
      </c>
      <c r="D1006" s="116">
        <v>408.89</v>
      </c>
      <c r="E1006" s="116">
        <v>409.61</v>
      </c>
      <c r="F1006" s="116">
        <v>2070.5</v>
      </c>
      <c r="G1006">
        <v>5200</v>
      </c>
      <c r="H1006" s="116"/>
      <c r="I1006" s="116"/>
      <c r="L1006" s="163">
        <v>43483</v>
      </c>
      <c r="M1006" s="116">
        <v>414.23</v>
      </c>
      <c r="N1006" s="116">
        <v>416.56</v>
      </c>
      <c r="O1006" s="116">
        <v>408.98</v>
      </c>
      <c r="P1006" s="116">
        <v>410.4</v>
      </c>
      <c r="Q1006" s="116">
        <v>2071.15</v>
      </c>
      <c r="R1006">
        <v>232828</v>
      </c>
    </row>
    <row r="1007" spans="1:18" x14ac:dyDescent="0.25">
      <c r="A1007" s="163">
        <v>43486</v>
      </c>
      <c r="B1007" s="116">
        <v>416.04</v>
      </c>
      <c r="C1007" s="116">
        <v>407.72</v>
      </c>
      <c r="D1007" s="116">
        <v>404.01</v>
      </c>
      <c r="E1007" s="116">
        <v>416.01</v>
      </c>
      <c r="F1007" s="116">
        <v>2038.6</v>
      </c>
      <c r="G1007">
        <v>5434</v>
      </c>
      <c r="H1007" s="116"/>
      <c r="I1007" s="116"/>
      <c r="L1007" s="163">
        <v>43486</v>
      </c>
      <c r="M1007" s="116">
        <v>407.17</v>
      </c>
      <c r="N1007" s="116">
        <v>416.8</v>
      </c>
      <c r="O1007" s="116">
        <v>404.24</v>
      </c>
      <c r="P1007" s="116">
        <v>416.4</v>
      </c>
      <c r="Q1007" s="116">
        <v>2035.85</v>
      </c>
      <c r="R1007">
        <v>151431</v>
      </c>
    </row>
    <row r="1008" spans="1:18" x14ac:dyDescent="0.25">
      <c r="A1008" s="163">
        <v>43487</v>
      </c>
      <c r="B1008" s="116">
        <v>416</v>
      </c>
      <c r="C1008" s="116">
        <v>414.18</v>
      </c>
      <c r="D1008" s="116">
        <v>403.87</v>
      </c>
      <c r="E1008" s="116">
        <v>403.87</v>
      </c>
      <c r="F1008" s="116">
        <v>2070.9</v>
      </c>
      <c r="G1008">
        <v>8428</v>
      </c>
      <c r="H1008" s="116"/>
      <c r="I1008" s="116"/>
      <c r="L1008" s="163">
        <v>43487</v>
      </c>
      <c r="M1008" s="116">
        <v>414.64</v>
      </c>
      <c r="N1008" s="116">
        <v>416.2</v>
      </c>
      <c r="O1008" s="116">
        <v>402.01</v>
      </c>
      <c r="P1008" s="116">
        <v>405.5</v>
      </c>
      <c r="Q1008" s="116">
        <v>2073.1999999999998</v>
      </c>
      <c r="R1008">
        <v>252259</v>
      </c>
    </row>
    <row r="1009" spans="1:18" x14ac:dyDescent="0.25">
      <c r="A1009" s="163">
        <v>43488</v>
      </c>
      <c r="B1009" s="116">
        <v>417.71</v>
      </c>
      <c r="C1009" s="116">
        <v>412.95</v>
      </c>
      <c r="D1009" s="116">
        <v>410.04</v>
      </c>
      <c r="E1009" s="116">
        <v>411.62</v>
      </c>
      <c r="F1009" s="116">
        <v>2064.75</v>
      </c>
      <c r="G1009">
        <v>8819</v>
      </c>
      <c r="H1009" s="116"/>
      <c r="I1009" s="116"/>
      <c r="L1009" s="163">
        <v>43488</v>
      </c>
      <c r="M1009" s="116">
        <v>411.91</v>
      </c>
      <c r="N1009" s="116">
        <v>417.97</v>
      </c>
      <c r="O1009" s="116">
        <v>410.21</v>
      </c>
      <c r="P1009" s="116">
        <v>414.01</v>
      </c>
      <c r="Q1009" s="116">
        <v>2059.5500000000002</v>
      </c>
      <c r="R1009">
        <v>203277</v>
      </c>
    </row>
    <row r="1010" spans="1:18" x14ac:dyDescent="0.25">
      <c r="A1010" s="163">
        <v>43489</v>
      </c>
      <c r="B1010" s="116">
        <v>420.99</v>
      </c>
      <c r="C1010" s="116">
        <v>418.88</v>
      </c>
      <c r="D1010" s="116">
        <v>407.53</v>
      </c>
      <c r="E1010" s="116">
        <v>416.88</v>
      </c>
      <c r="F1010" s="116">
        <v>2094.4</v>
      </c>
      <c r="G1010">
        <v>5161</v>
      </c>
      <c r="H1010" s="116"/>
      <c r="I1010" s="116"/>
      <c r="L1010" s="163">
        <v>43489</v>
      </c>
      <c r="M1010" s="116">
        <v>418.98</v>
      </c>
      <c r="N1010" s="116">
        <v>421.74</v>
      </c>
      <c r="O1010" s="116">
        <v>407.26</v>
      </c>
      <c r="P1010" s="116">
        <v>412.8</v>
      </c>
      <c r="Q1010" s="116">
        <v>2094.9</v>
      </c>
      <c r="R1010">
        <v>200947</v>
      </c>
    </row>
    <row r="1011" spans="1:18" x14ac:dyDescent="0.25">
      <c r="A1011" s="163">
        <v>43490</v>
      </c>
      <c r="B1011" s="116">
        <v>427.17</v>
      </c>
      <c r="C1011" s="116">
        <v>416.2</v>
      </c>
      <c r="D1011" s="116">
        <v>412.18</v>
      </c>
      <c r="E1011" s="116">
        <v>419.43</v>
      </c>
      <c r="F1011" s="116">
        <v>2081</v>
      </c>
      <c r="G1011">
        <v>11918</v>
      </c>
      <c r="H1011" s="116"/>
      <c r="I1011" s="116"/>
      <c r="L1011" s="163">
        <v>43490</v>
      </c>
      <c r="M1011" s="116">
        <v>415.27</v>
      </c>
      <c r="N1011" s="116">
        <v>427.6</v>
      </c>
      <c r="O1011" s="116">
        <v>411.27</v>
      </c>
      <c r="P1011" s="116">
        <v>420.94</v>
      </c>
      <c r="Q1011" s="116">
        <v>2076.35</v>
      </c>
      <c r="R1011">
        <v>379924</v>
      </c>
    </row>
    <row r="1012" spans="1:18" x14ac:dyDescent="0.25">
      <c r="A1012" s="163">
        <v>43493</v>
      </c>
      <c r="B1012" s="116">
        <v>417</v>
      </c>
      <c r="C1012" s="116">
        <v>401.53</v>
      </c>
      <c r="D1012" s="116">
        <v>395.93</v>
      </c>
      <c r="E1012" s="116">
        <v>417</v>
      </c>
      <c r="F1012" s="116">
        <v>2007.65</v>
      </c>
      <c r="G1012">
        <v>10925</v>
      </c>
      <c r="H1012" s="116"/>
      <c r="I1012" s="116"/>
      <c r="L1012" s="163">
        <v>43493</v>
      </c>
      <c r="M1012" s="116">
        <v>401.61</v>
      </c>
      <c r="N1012" s="116">
        <v>414.4</v>
      </c>
      <c r="O1012" s="116">
        <v>395.21</v>
      </c>
      <c r="P1012" s="116">
        <v>414.4</v>
      </c>
      <c r="Q1012" s="116">
        <v>2008.05</v>
      </c>
      <c r="R1012">
        <v>279384</v>
      </c>
    </row>
    <row r="1013" spans="1:18" x14ac:dyDescent="0.25">
      <c r="A1013" s="163">
        <v>43494</v>
      </c>
      <c r="B1013" s="116">
        <v>406.1</v>
      </c>
      <c r="C1013" s="116">
        <v>404.4</v>
      </c>
      <c r="D1013" s="116">
        <v>398.13</v>
      </c>
      <c r="E1013" s="116">
        <v>401.89</v>
      </c>
      <c r="F1013" s="116">
        <v>2022</v>
      </c>
      <c r="G1013">
        <v>6588</v>
      </c>
      <c r="H1013" s="116"/>
      <c r="I1013" s="116"/>
      <c r="L1013" s="163">
        <v>43494</v>
      </c>
      <c r="M1013" s="116">
        <v>405.17</v>
      </c>
      <c r="N1013" s="116">
        <v>407.6</v>
      </c>
      <c r="O1013" s="116">
        <v>397.4</v>
      </c>
      <c r="P1013" s="116">
        <v>402.51</v>
      </c>
      <c r="Q1013" s="116">
        <v>2025.85</v>
      </c>
      <c r="R1013">
        <v>234312</v>
      </c>
    </row>
    <row r="1014" spans="1:18" x14ac:dyDescent="0.25">
      <c r="A1014" s="163">
        <v>43495</v>
      </c>
      <c r="B1014" s="116">
        <v>408.5</v>
      </c>
      <c r="C1014" s="116">
        <v>406.97</v>
      </c>
      <c r="D1014" s="116">
        <v>401.83</v>
      </c>
      <c r="E1014" s="116">
        <v>406.4</v>
      </c>
      <c r="F1014" s="116">
        <v>2034.85</v>
      </c>
      <c r="G1014">
        <v>7220</v>
      </c>
      <c r="H1014" s="116"/>
      <c r="I1014" s="116"/>
      <c r="L1014" s="163">
        <v>43495</v>
      </c>
      <c r="M1014" s="116">
        <v>407.04</v>
      </c>
      <c r="N1014" s="116">
        <v>408.44</v>
      </c>
      <c r="O1014" s="116">
        <v>401.47</v>
      </c>
      <c r="P1014" s="116">
        <v>404.02</v>
      </c>
      <c r="Q1014" s="116">
        <v>2035.2</v>
      </c>
      <c r="R1014">
        <v>143998</v>
      </c>
    </row>
    <row r="1015" spans="1:18" x14ac:dyDescent="0.25">
      <c r="A1015" s="163">
        <v>43496</v>
      </c>
      <c r="B1015" s="116">
        <v>408.58</v>
      </c>
      <c r="C1015" s="116">
        <v>401.75</v>
      </c>
      <c r="D1015" s="116">
        <v>400</v>
      </c>
      <c r="E1015" s="116">
        <v>408.25</v>
      </c>
      <c r="F1015" s="116">
        <v>2008.75</v>
      </c>
      <c r="G1015">
        <v>8170</v>
      </c>
      <c r="H1015" s="116"/>
      <c r="I1015" s="116"/>
      <c r="L1015" s="163">
        <v>43496</v>
      </c>
      <c r="M1015" s="116">
        <v>402.27</v>
      </c>
      <c r="N1015" s="116">
        <v>409</v>
      </c>
      <c r="O1015" s="116">
        <v>399.68</v>
      </c>
      <c r="P1015" s="116">
        <v>407.12</v>
      </c>
      <c r="Q1015" s="116">
        <v>2011.35</v>
      </c>
      <c r="R1015">
        <v>348718</v>
      </c>
    </row>
    <row r="1016" spans="1:18" x14ac:dyDescent="0.25">
      <c r="A1016" s="163">
        <v>43497</v>
      </c>
      <c r="B1016" s="116">
        <v>402.95</v>
      </c>
      <c r="C1016" s="116">
        <v>393.81</v>
      </c>
      <c r="D1016" s="116">
        <v>392.2</v>
      </c>
      <c r="E1016" s="116">
        <v>402</v>
      </c>
      <c r="F1016" s="116">
        <v>1969.05</v>
      </c>
      <c r="G1016">
        <v>10075</v>
      </c>
      <c r="H1016" s="116"/>
      <c r="I1016" s="116"/>
      <c r="L1016" s="163">
        <v>43497</v>
      </c>
      <c r="M1016" s="116">
        <v>393.29</v>
      </c>
      <c r="N1016" s="116">
        <v>403.4</v>
      </c>
      <c r="O1016" s="116">
        <v>392.11</v>
      </c>
      <c r="P1016" s="116">
        <v>403.4</v>
      </c>
      <c r="Q1016" s="116">
        <v>1966.45</v>
      </c>
      <c r="R1016">
        <v>335740</v>
      </c>
    </row>
    <row r="1017" spans="1:18" x14ac:dyDescent="0.25">
      <c r="A1017" s="163">
        <v>43500</v>
      </c>
      <c r="B1017" s="116">
        <v>397.74</v>
      </c>
      <c r="C1017" s="116">
        <v>393.27</v>
      </c>
      <c r="D1017" s="116">
        <v>390.2</v>
      </c>
      <c r="E1017" s="116">
        <v>392</v>
      </c>
      <c r="F1017" s="116">
        <v>1966.35</v>
      </c>
      <c r="G1017">
        <v>15785</v>
      </c>
      <c r="H1017" s="116"/>
      <c r="I1017" s="116"/>
      <c r="L1017" s="163">
        <v>43500</v>
      </c>
      <c r="M1017" s="116">
        <v>393.61</v>
      </c>
      <c r="N1017" s="116">
        <v>397.8</v>
      </c>
      <c r="O1017" s="116">
        <v>389.52</v>
      </c>
      <c r="P1017" s="116">
        <v>391.68</v>
      </c>
      <c r="Q1017" s="116">
        <v>1968.05</v>
      </c>
      <c r="R1017">
        <v>443620</v>
      </c>
    </row>
    <row r="1018" spans="1:18" x14ac:dyDescent="0.25">
      <c r="A1018" s="163">
        <v>43501</v>
      </c>
      <c r="B1018" s="116">
        <v>407.4</v>
      </c>
      <c r="C1018" s="116">
        <v>404.33</v>
      </c>
      <c r="D1018" s="116">
        <v>392.3</v>
      </c>
      <c r="E1018" s="116">
        <v>406.2</v>
      </c>
      <c r="F1018" s="116">
        <v>2021.65</v>
      </c>
      <c r="G1018">
        <v>52064</v>
      </c>
      <c r="H1018" s="116"/>
      <c r="I1018" s="116"/>
      <c r="L1018" s="163">
        <v>43501</v>
      </c>
      <c r="M1018" s="116">
        <v>404.66</v>
      </c>
      <c r="N1018" s="116">
        <v>408.56</v>
      </c>
      <c r="O1018" s="116">
        <v>391.64</v>
      </c>
      <c r="P1018" s="116">
        <v>406</v>
      </c>
      <c r="Q1018" s="116">
        <v>2023.3</v>
      </c>
      <c r="R1018">
        <v>1662762</v>
      </c>
    </row>
    <row r="1019" spans="1:18" x14ac:dyDescent="0.25">
      <c r="A1019" s="163">
        <v>43502</v>
      </c>
      <c r="B1019" s="116">
        <v>455</v>
      </c>
      <c r="C1019" s="116">
        <v>445.65</v>
      </c>
      <c r="D1019" s="116">
        <v>408.8</v>
      </c>
      <c r="E1019" s="116">
        <v>409</v>
      </c>
      <c r="F1019" s="116">
        <v>2228.25</v>
      </c>
      <c r="G1019">
        <v>97017</v>
      </c>
      <c r="H1019" s="116"/>
      <c r="I1019" s="116"/>
      <c r="L1019" s="163">
        <v>43502</v>
      </c>
      <c r="M1019" s="116">
        <v>444.65</v>
      </c>
      <c r="N1019" s="116">
        <v>448</v>
      </c>
      <c r="O1019" s="116">
        <v>407.18</v>
      </c>
      <c r="P1019" s="116">
        <v>407.18</v>
      </c>
      <c r="Q1019" s="116">
        <v>2223.25</v>
      </c>
      <c r="R1019">
        <v>1690157</v>
      </c>
    </row>
    <row r="1020" spans="1:18" x14ac:dyDescent="0.25">
      <c r="A1020" s="163">
        <v>43503</v>
      </c>
      <c r="B1020" s="116">
        <v>450.8</v>
      </c>
      <c r="C1020" s="116">
        <v>445.03</v>
      </c>
      <c r="D1020" s="116">
        <v>440.53</v>
      </c>
      <c r="E1020" s="116">
        <v>445.65</v>
      </c>
      <c r="F1020" s="116">
        <v>2225.15</v>
      </c>
      <c r="G1020">
        <v>29827</v>
      </c>
      <c r="H1020" s="116"/>
      <c r="I1020" s="116"/>
      <c r="L1020" s="163">
        <v>43503</v>
      </c>
      <c r="M1020" s="116">
        <v>445.2</v>
      </c>
      <c r="N1020" s="116">
        <v>451.05</v>
      </c>
      <c r="O1020" s="116">
        <v>440.42</v>
      </c>
      <c r="P1020" s="116">
        <v>447</v>
      </c>
      <c r="Q1020" s="116">
        <v>2226</v>
      </c>
      <c r="R1020">
        <v>559036</v>
      </c>
    </row>
    <row r="1021" spans="1:18" x14ac:dyDescent="0.25">
      <c r="A1021" s="163">
        <v>43504</v>
      </c>
      <c r="B1021" s="116">
        <v>448</v>
      </c>
      <c r="C1021" s="116">
        <v>444.12</v>
      </c>
      <c r="D1021" s="116">
        <v>439.76</v>
      </c>
      <c r="E1021" s="116">
        <v>440</v>
      </c>
      <c r="F1021" s="116">
        <v>2220.6</v>
      </c>
      <c r="G1021">
        <v>8011</v>
      </c>
      <c r="H1021" s="116"/>
      <c r="I1021" s="116"/>
      <c r="L1021" s="163">
        <v>43504</v>
      </c>
      <c r="M1021" s="116">
        <v>443.65</v>
      </c>
      <c r="N1021" s="116">
        <v>449</v>
      </c>
      <c r="O1021" s="116">
        <v>441</v>
      </c>
      <c r="P1021" s="116">
        <v>442</v>
      </c>
      <c r="Q1021" s="116">
        <v>2218.25</v>
      </c>
      <c r="R1021">
        <v>276851</v>
      </c>
    </row>
    <row r="1022" spans="1:18" x14ac:dyDescent="0.25">
      <c r="A1022" s="163">
        <v>43507</v>
      </c>
      <c r="B1022" s="116">
        <v>445.2</v>
      </c>
      <c r="C1022" s="116">
        <v>441.32</v>
      </c>
      <c r="D1022" s="116">
        <v>431.52</v>
      </c>
      <c r="E1022" s="116">
        <v>443</v>
      </c>
      <c r="F1022" s="116">
        <v>2206.6</v>
      </c>
      <c r="G1022">
        <v>8840</v>
      </c>
      <c r="H1022" s="116"/>
      <c r="I1022" s="116"/>
      <c r="L1022" s="163">
        <v>43507</v>
      </c>
      <c r="M1022" s="116">
        <v>441.81</v>
      </c>
      <c r="N1022" s="116">
        <v>445.8</v>
      </c>
      <c r="O1022" s="116">
        <v>431.34</v>
      </c>
      <c r="P1022" s="116">
        <v>443.65</v>
      </c>
      <c r="Q1022" s="116">
        <v>2209.0500000000002</v>
      </c>
      <c r="R1022">
        <v>308214</v>
      </c>
    </row>
    <row r="1023" spans="1:18" x14ac:dyDescent="0.25">
      <c r="A1023" s="163">
        <v>43508</v>
      </c>
      <c r="B1023" s="116">
        <v>447.49</v>
      </c>
      <c r="C1023" s="116">
        <v>439.2</v>
      </c>
      <c r="D1023" s="116">
        <v>432.27</v>
      </c>
      <c r="E1023" s="116">
        <v>441.32</v>
      </c>
      <c r="F1023" s="116">
        <v>2196</v>
      </c>
      <c r="G1023">
        <v>33559</v>
      </c>
      <c r="H1023" s="116"/>
      <c r="I1023" s="116"/>
      <c r="L1023" s="163">
        <v>43508</v>
      </c>
      <c r="M1023" s="116">
        <v>439.3</v>
      </c>
      <c r="N1023" s="116">
        <v>447.17</v>
      </c>
      <c r="O1023" s="116">
        <v>437.33</v>
      </c>
      <c r="P1023" s="116">
        <v>444.78</v>
      </c>
      <c r="Q1023" s="116">
        <v>2196.5</v>
      </c>
      <c r="R1023">
        <v>207479</v>
      </c>
    </row>
    <row r="1024" spans="1:18" x14ac:dyDescent="0.25">
      <c r="A1024" s="163">
        <v>43509</v>
      </c>
      <c r="B1024" s="116">
        <v>442.4</v>
      </c>
      <c r="C1024" s="116">
        <v>438.82</v>
      </c>
      <c r="D1024" s="116">
        <v>437.67</v>
      </c>
      <c r="E1024" s="116">
        <v>440</v>
      </c>
      <c r="F1024" s="116">
        <v>2194.1</v>
      </c>
      <c r="G1024">
        <v>4256</v>
      </c>
      <c r="H1024" s="116"/>
      <c r="I1024" s="116"/>
      <c r="L1024" s="163">
        <v>43509</v>
      </c>
      <c r="M1024" s="116">
        <v>439.46</v>
      </c>
      <c r="N1024" s="116">
        <v>442.8</v>
      </c>
      <c r="O1024" s="116">
        <v>438</v>
      </c>
      <c r="P1024" s="116">
        <v>439.38</v>
      </c>
      <c r="Q1024" s="116">
        <v>2197.3000000000002</v>
      </c>
      <c r="R1024">
        <v>147681</v>
      </c>
    </row>
    <row r="1025" spans="1:18" x14ac:dyDescent="0.25">
      <c r="A1025" s="163">
        <v>43510</v>
      </c>
      <c r="B1025" s="116">
        <v>456</v>
      </c>
      <c r="C1025" s="116">
        <v>449.79</v>
      </c>
      <c r="D1025" s="116">
        <v>435.32</v>
      </c>
      <c r="E1025" s="116">
        <v>435.32</v>
      </c>
      <c r="F1025" s="116">
        <v>2248.9499999999998</v>
      </c>
      <c r="G1025">
        <v>19437</v>
      </c>
      <c r="H1025" s="116"/>
      <c r="I1025" s="116"/>
      <c r="L1025" s="163">
        <v>43510</v>
      </c>
      <c r="M1025" s="116">
        <v>449.24</v>
      </c>
      <c r="N1025" s="116">
        <v>456.4</v>
      </c>
      <c r="O1025" s="116">
        <v>433.2</v>
      </c>
      <c r="P1025" s="116">
        <v>439</v>
      </c>
      <c r="Q1025" s="116">
        <v>2246.1999999999998</v>
      </c>
      <c r="R1025">
        <v>533530</v>
      </c>
    </row>
    <row r="1026" spans="1:18" x14ac:dyDescent="0.25">
      <c r="A1026" s="163">
        <v>43511</v>
      </c>
      <c r="B1026" s="116">
        <v>451.19</v>
      </c>
      <c r="C1026" s="116">
        <v>439.81</v>
      </c>
      <c r="D1026" s="116">
        <v>433.39</v>
      </c>
      <c r="E1026" s="116">
        <v>449.24</v>
      </c>
      <c r="F1026" s="116">
        <v>2199.0500000000002</v>
      </c>
      <c r="G1026">
        <v>9451</v>
      </c>
      <c r="H1026" s="116"/>
      <c r="I1026" s="116"/>
      <c r="L1026" s="163">
        <v>43511</v>
      </c>
      <c r="M1026" s="116">
        <v>440.28</v>
      </c>
      <c r="N1026" s="116">
        <v>449.24</v>
      </c>
      <c r="O1026" s="116">
        <v>433.1</v>
      </c>
      <c r="P1026" s="116">
        <v>448.22</v>
      </c>
      <c r="Q1026" s="116">
        <v>2201.4</v>
      </c>
      <c r="R1026">
        <v>373814</v>
      </c>
    </row>
    <row r="1027" spans="1:18" x14ac:dyDescent="0.25">
      <c r="A1027" s="163">
        <v>43514</v>
      </c>
      <c r="B1027" s="116">
        <v>439.49</v>
      </c>
      <c r="C1027" s="116">
        <v>437.15</v>
      </c>
      <c r="D1027" s="116">
        <v>432.52</v>
      </c>
      <c r="E1027" s="116">
        <v>437.63</v>
      </c>
      <c r="F1027" s="116">
        <v>2185.75</v>
      </c>
      <c r="G1027">
        <v>7702</v>
      </c>
      <c r="H1027" s="116"/>
      <c r="I1027" s="116"/>
      <c r="L1027" s="163">
        <v>43514</v>
      </c>
      <c r="M1027" s="116">
        <v>436.63</v>
      </c>
      <c r="N1027" s="116">
        <v>440</v>
      </c>
      <c r="O1027" s="116">
        <v>432.6</v>
      </c>
      <c r="P1027" s="116">
        <v>439.2</v>
      </c>
      <c r="Q1027" s="116">
        <v>2183.15</v>
      </c>
      <c r="R1027">
        <v>214022</v>
      </c>
    </row>
    <row r="1028" spans="1:18" x14ac:dyDescent="0.25">
      <c r="A1028" s="163">
        <v>43515</v>
      </c>
      <c r="B1028" s="116">
        <v>444.74</v>
      </c>
      <c r="C1028" s="116">
        <v>435.75</v>
      </c>
      <c r="D1028" s="116">
        <v>434.01</v>
      </c>
      <c r="E1028" s="116">
        <v>437</v>
      </c>
      <c r="F1028" s="116">
        <v>2178.75</v>
      </c>
      <c r="G1028">
        <v>9780</v>
      </c>
      <c r="H1028" s="116"/>
      <c r="I1028" s="116"/>
      <c r="L1028" s="163">
        <v>43515</v>
      </c>
      <c r="M1028" s="116">
        <v>436.17</v>
      </c>
      <c r="N1028" s="116">
        <v>444.71</v>
      </c>
      <c r="O1028" s="116">
        <v>434.4</v>
      </c>
      <c r="P1028" s="116">
        <v>436.6</v>
      </c>
      <c r="Q1028" s="116">
        <v>2180.85</v>
      </c>
      <c r="R1028">
        <v>257288</v>
      </c>
    </row>
    <row r="1029" spans="1:18" x14ac:dyDescent="0.25">
      <c r="A1029" s="163">
        <v>43516</v>
      </c>
      <c r="B1029" s="116">
        <v>441.94</v>
      </c>
      <c r="C1029" s="116">
        <v>440.65</v>
      </c>
      <c r="D1029" s="116">
        <v>434.47</v>
      </c>
      <c r="E1029" s="116">
        <v>434.47</v>
      </c>
      <c r="F1029" s="116">
        <v>2203.25</v>
      </c>
      <c r="G1029">
        <v>4988</v>
      </c>
      <c r="H1029" s="116"/>
      <c r="I1029" s="116"/>
      <c r="L1029" s="163">
        <v>43516</v>
      </c>
      <c r="M1029" s="116">
        <v>441.72</v>
      </c>
      <c r="N1029" s="116">
        <v>443.02</v>
      </c>
      <c r="O1029" s="116">
        <v>436.06</v>
      </c>
      <c r="P1029" s="116">
        <v>436.06</v>
      </c>
      <c r="Q1029" s="116">
        <v>2208.6</v>
      </c>
      <c r="R1029">
        <v>204543</v>
      </c>
    </row>
    <row r="1030" spans="1:18" x14ac:dyDescent="0.25">
      <c r="A1030" s="163">
        <v>43517</v>
      </c>
      <c r="B1030" s="116">
        <v>447</v>
      </c>
      <c r="C1030" s="116">
        <v>440.23</v>
      </c>
      <c r="D1030" s="116">
        <v>438.4</v>
      </c>
      <c r="E1030" s="116">
        <v>440.8</v>
      </c>
      <c r="F1030" s="116">
        <v>2201.15</v>
      </c>
      <c r="G1030">
        <v>11180</v>
      </c>
      <c r="H1030" s="116"/>
      <c r="I1030" s="116"/>
      <c r="L1030" s="163">
        <v>43517</v>
      </c>
      <c r="M1030" s="116">
        <v>441.07</v>
      </c>
      <c r="N1030" s="116">
        <v>447.2</v>
      </c>
      <c r="O1030" s="116">
        <v>438.44</v>
      </c>
      <c r="P1030" s="116">
        <v>441.4</v>
      </c>
      <c r="Q1030" s="116">
        <v>2205.35</v>
      </c>
      <c r="R1030">
        <v>249930</v>
      </c>
    </row>
    <row r="1031" spans="1:18" x14ac:dyDescent="0.25">
      <c r="A1031" s="163">
        <v>43518</v>
      </c>
      <c r="B1031" s="116">
        <v>442</v>
      </c>
      <c r="C1031" s="116">
        <v>439.28</v>
      </c>
      <c r="D1031" s="116">
        <v>432.3</v>
      </c>
      <c r="E1031" s="116">
        <v>432.3</v>
      </c>
      <c r="F1031" s="116">
        <v>2196.4</v>
      </c>
      <c r="G1031">
        <v>13824</v>
      </c>
      <c r="H1031" s="116"/>
      <c r="I1031" s="116"/>
      <c r="L1031" s="163">
        <v>43518</v>
      </c>
      <c r="M1031" s="116">
        <v>440.03</v>
      </c>
      <c r="N1031" s="116">
        <v>441.72</v>
      </c>
      <c r="O1031" s="116">
        <v>435.34</v>
      </c>
      <c r="P1031" s="116">
        <v>439</v>
      </c>
      <c r="Q1031" s="116">
        <v>2200.15</v>
      </c>
      <c r="R1031">
        <v>264848</v>
      </c>
    </row>
    <row r="1032" spans="1:18" x14ac:dyDescent="0.25">
      <c r="A1032" s="163">
        <v>43521</v>
      </c>
      <c r="B1032" s="116">
        <v>450.6</v>
      </c>
      <c r="C1032" s="116">
        <v>447.96</v>
      </c>
      <c r="D1032" s="116">
        <v>436</v>
      </c>
      <c r="E1032" s="116">
        <v>436</v>
      </c>
      <c r="F1032" s="116">
        <v>2239.8000000000002</v>
      </c>
      <c r="G1032">
        <v>22314</v>
      </c>
      <c r="H1032" s="116"/>
      <c r="I1032" s="116"/>
      <c r="L1032" s="163">
        <v>43521</v>
      </c>
      <c r="M1032" s="116">
        <v>447.52</v>
      </c>
      <c r="N1032" s="116">
        <v>450.8</v>
      </c>
      <c r="O1032" s="116">
        <v>437.77</v>
      </c>
      <c r="P1032" s="116">
        <v>438.4</v>
      </c>
      <c r="Q1032" s="116">
        <v>2237.6</v>
      </c>
      <c r="R1032">
        <v>542138</v>
      </c>
    </row>
    <row r="1033" spans="1:18" x14ac:dyDescent="0.25">
      <c r="A1033" s="163">
        <v>43522</v>
      </c>
      <c r="B1033" s="116">
        <v>446</v>
      </c>
      <c r="C1033" s="116">
        <v>443.37</v>
      </c>
      <c r="D1033" s="116">
        <v>440.54</v>
      </c>
      <c r="E1033" s="116">
        <v>445</v>
      </c>
      <c r="F1033" s="116">
        <v>2216.85</v>
      </c>
      <c r="G1033">
        <v>12438</v>
      </c>
      <c r="H1033" s="116"/>
      <c r="I1033" s="116"/>
      <c r="L1033" s="163">
        <v>43522</v>
      </c>
      <c r="M1033" s="116">
        <v>443.71</v>
      </c>
      <c r="N1033" s="116">
        <v>446.3</v>
      </c>
      <c r="O1033" s="116">
        <v>441.05</v>
      </c>
      <c r="P1033" s="116">
        <v>445</v>
      </c>
      <c r="Q1033" s="116">
        <v>2218.5500000000002</v>
      </c>
      <c r="R1033">
        <v>314319</v>
      </c>
    </row>
    <row r="1034" spans="1:18" x14ac:dyDescent="0.25">
      <c r="A1034" s="163">
        <v>43523</v>
      </c>
      <c r="B1034" s="116">
        <v>452.49</v>
      </c>
      <c r="C1034" s="116">
        <v>451.06</v>
      </c>
      <c r="D1034" s="116">
        <v>443.47</v>
      </c>
      <c r="E1034" s="116">
        <v>443.47</v>
      </c>
      <c r="F1034" s="116">
        <v>2255.3000000000002</v>
      </c>
      <c r="G1034">
        <v>23639</v>
      </c>
      <c r="H1034" s="116"/>
      <c r="I1034" s="116"/>
      <c r="L1034" s="163">
        <v>43523</v>
      </c>
      <c r="M1034" s="116">
        <v>450.57</v>
      </c>
      <c r="N1034" s="116">
        <v>452.48</v>
      </c>
      <c r="O1034" s="116">
        <v>444.6</v>
      </c>
      <c r="P1034" s="116">
        <v>445.9</v>
      </c>
      <c r="Q1034" s="116">
        <v>2252.85</v>
      </c>
      <c r="R1034">
        <v>489130</v>
      </c>
    </row>
    <row r="1035" spans="1:18" x14ac:dyDescent="0.25">
      <c r="A1035" s="163">
        <v>43524</v>
      </c>
      <c r="B1035" s="116">
        <v>463.15</v>
      </c>
      <c r="C1035" s="116">
        <v>460.97</v>
      </c>
      <c r="D1035" s="116">
        <v>447.87</v>
      </c>
      <c r="E1035" s="116">
        <v>454.99</v>
      </c>
      <c r="F1035" s="116">
        <v>2304.85</v>
      </c>
      <c r="G1035">
        <v>25359</v>
      </c>
      <c r="H1035" s="116"/>
      <c r="I1035" s="116"/>
      <c r="L1035" s="163">
        <v>43524</v>
      </c>
      <c r="M1035" s="116">
        <v>459.03</v>
      </c>
      <c r="N1035" s="116">
        <v>461.6</v>
      </c>
      <c r="O1035" s="116">
        <v>447.1</v>
      </c>
      <c r="P1035" s="116">
        <v>447.1</v>
      </c>
      <c r="Q1035" s="116">
        <v>2295.15</v>
      </c>
      <c r="R1035">
        <v>584319</v>
      </c>
    </row>
    <row r="1036" spans="1:18" x14ac:dyDescent="0.25">
      <c r="A1036" s="163">
        <v>43525</v>
      </c>
      <c r="B1036" s="116">
        <v>467.38</v>
      </c>
      <c r="C1036" s="116">
        <v>459.03</v>
      </c>
      <c r="D1036" s="116">
        <v>456.44</v>
      </c>
      <c r="E1036" s="116">
        <v>460.96</v>
      </c>
      <c r="F1036" s="116">
        <v>2295.15</v>
      </c>
      <c r="G1036">
        <v>28252</v>
      </c>
      <c r="H1036" s="116"/>
      <c r="I1036" s="116"/>
      <c r="L1036" s="163">
        <v>43525</v>
      </c>
      <c r="M1036" s="116">
        <v>457.16</v>
      </c>
      <c r="N1036" s="116">
        <v>467.78</v>
      </c>
      <c r="O1036" s="116">
        <v>454.1</v>
      </c>
      <c r="P1036" s="116">
        <v>460</v>
      </c>
      <c r="Q1036" s="116">
        <v>2285.8000000000002</v>
      </c>
      <c r="R1036">
        <v>434985</v>
      </c>
    </row>
    <row r="1037" spans="1:18" x14ac:dyDescent="0.25">
      <c r="A1037" s="163">
        <v>43529</v>
      </c>
      <c r="B1037" s="116">
        <v>466.44</v>
      </c>
      <c r="C1037" s="116">
        <v>463.96</v>
      </c>
      <c r="D1037" s="116">
        <v>458.8</v>
      </c>
      <c r="E1037" s="116">
        <v>458.8</v>
      </c>
      <c r="F1037" s="116">
        <v>2319.8000000000002</v>
      </c>
      <c r="G1037">
        <v>41971</v>
      </c>
      <c r="H1037" s="116"/>
      <c r="I1037" s="116"/>
      <c r="L1037" s="163">
        <v>43529</v>
      </c>
      <c r="M1037" s="116">
        <v>463.74</v>
      </c>
      <c r="N1037" s="116">
        <v>464.82</v>
      </c>
      <c r="O1037" s="116">
        <v>456.2</v>
      </c>
      <c r="P1037" s="116">
        <v>456.2</v>
      </c>
      <c r="Q1037" s="116">
        <v>2318.6999999999998</v>
      </c>
      <c r="R1037">
        <v>308035</v>
      </c>
    </row>
    <row r="1038" spans="1:18" x14ac:dyDescent="0.25">
      <c r="A1038" s="163">
        <v>43530</v>
      </c>
      <c r="B1038" s="116">
        <v>474.39</v>
      </c>
      <c r="C1038" s="116">
        <v>472.39</v>
      </c>
      <c r="D1038" s="116">
        <v>462.62</v>
      </c>
      <c r="E1038" s="116">
        <v>462.62</v>
      </c>
      <c r="F1038" s="116">
        <v>2361.9499999999998</v>
      </c>
      <c r="G1038">
        <v>37900</v>
      </c>
      <c r="H1038" s="116"/>
      <c r="I1038" s="116"/>
      <c r="L1038" s="163">
        <v>43530</v>
      </c>
      <c r="M1038" s="116">
        <v>472.16</v>
      </c>
      <c r="N1038" s="116">
        <v>475.06</v>
      </c>
      <c r="O1038" s="116">
        <v>462.06</v>
      </c>
      <c r="P1038" s="116">
        <v>463.8</v>
      </c>
      <c r="Q1038" s="116">
        <v>2360.8000000000002</v>
      </c>
      <c r="R1038">
        <v>394188</v>
      </c>
    </row>
    <row r="1039" spans="1:18" x14ac:dyDescent="0.25">
      <c r="A1039" s="163">
        <v>43531</v>
      </c>
      <c r="B1039" s="116">
        <v>475.6</v>
      </c>
      <c r="C1039" s="116">
        <v>470.58</v>
      </c>
      <c r="D1039" s="116">
        <v>469</v>
      </c>
      <c r="E1039" s="116">
        <v>472.6</v>
      </c>
      <c r="F1039" s="116">
        <v>2352.9</v>
      </c>
      <c r="G1039">
        <v>10580</v>
      </c>
      <c r="H1039" s="116"/>
      <c r="I1039" s="116"/>
      <c r="L1039" s="163">
        <v>43531</v>
      </c>
      <c r="M1039" s="116">
        <v>470.13</v>
      </c>
      <c r="N1039" s="116">
        <v>475.6</v>
      </c>
      <c r="O1039" s="116">
        <v>468.42</v>
      </c>
      <c r="P1039" s="116">
        <v>472</v>
      </c>
      <c r="Q1039" s="116">
        <v>2350.65</v>
      </c>
      <c r="R1039">
        <v>191534</v>
      </c>
    </row>
    <row r="1040" spans="1:18" x14ac:dyDescent="0.25">
      <c r="A1040" s="163">
        <v>43532</v>
      </c>
      <c r="B1040" s="116">
        <v>472.48</v>
      </c>
      <c r="C1040" s="116">
        <v>470.37</v>
      </c>
      <c r="D1040" s="116">
        <v>466.23</v>
      </c>
      <c r="E1040" s="116">
        <v>468.01</v>
      </c>
      <c r="F1040" s="116">
        <v>2351.85</v>
      </c>
      <c r="G1040">
        <v>10917</v>
      </c>
      <c r="H1040" s="116"/>
      <c r="I1040" s="116"/>
      <c r="L1040" s="163">
        <v>43532</v>
      </c>
      <c r="M1040" s="116">
        <v>470.73</v>
      </c>
      <c r="N1040" s="116">
        <v>472.84</v>
      </c>
      <c r="O1040" s="116">
        <v>466.36</v>
      </c>
      <c r="P1040" s="116">
        <v>468.8</v>
      </c>
      <c r="Q1040" s="116">
        <v>2353.65</v>
      </c>
      <c r="R1040">
        <v>178890</v>
      </c>
    </row>
    <row r="1041" spans="1:18" x14ac:dyDescent="0.25">
      <c r="A1041" s="163">
        <v>43535</v>
      </c>
      <c r="B1041" s="116">
        <v>476.4</v>
      </c>
      <c r="C1041" s="116">
        <v>473.79</v>
      </c>
      <c r="D1041" s="116">
        <v>468.1</v>
      </c>
      <c r="E1041" s="116">
        <v>470.6</v>
      </c>
      <c r="F1041" s="116">
        <v>2368.9499999999998</v>
      </c>
      <c r="G1041">
        <v>12725</v>
      </c>
      <c r="H1041" s="116"/>
      <c r="I1041" s="116"/>
      <c r="L1041" s="163">
        <v>43535</v>
      </c>
      <c r="M1041" s="116">
        <v>475.09</v>
      </c>
      <c r="N1041" s="116">
        <v>476.94</v>
      </c>
      <c r="O1041" s="116">
        <v>468.28</v>
      </c>
      <c r="P1041" s="116">
        <v>469</v>
      </c>
      <c r="Q1041" s="116">
        <v>2375.4499999999998</v>
      </c>
      <c r="R1041">
        <v>182008</v>
      </c>
    </row>
    <row r="1042" spans="1:18" x14ac:dyDescent="0.25">
      <c r="A1042" s="163">
        <v>43536</v>
      </c>
      <c r="B1042" s="116">
        <v>480.51</v>
      </c>
      <c r="C1042" s="116">
        <v>474.87</v>
      </c>
      <c r="D1042" s="116">
        <v>471.04</v>
      </c>
      <c r="E1042" s="116">
        <v>475.8</v>
      </c>
      <c r="F1042" s="116">
        <v>2374.35</v>
      </c>
      <c r="G1042">
        <v>22168</v>
      </c>
      <c r="H1042" s="116"/>
      <c r="I1042" s="116"/>
      <c r="L1042" s="163">
        <v>43536</v>
      </c>
      <c r="M1042" s="116">
        <v>474.82</v>
      </c>
      <c r="N1042" s="116">
        <v>481.11</v>
      </c>
      <c r="O1042" s="116">
        <v>471.61</v>
      </c>
      <c r="P1042" s="116">
        <v>475.41</v>
      </c>
      <c r="Q1042" s="116">
        <v>2374.1</v>
      </c>
      <c r="R1042">
        <v>180349</v>
      </c>
    </row>
    <row r="1043" spans="1:18" x14ac:dyDescent="0.25">
      <c r="A1043" s="163">
        <v>43537</v>
      </c>
      <c r="B1043" s="116">
        <v>484.99</v>
      </c>
      <c r="C1043" s="116">
        <v>478.75</v>
      </c>
      <c r="D1043" s="116">
        <v>470.98</v>
      </c>
      <c r="E1043" s="116">
        <v>474.56</v>
      </c>
      <c r="F1043" s="116">
        <v>2393.75</v>
      </c>
      <c r="G1043">
        <v>24621</v>
      </c>
      <c r="H1043" s="116"/>
      <c r="I1043" s="116"/>
      <c r="L1043" s="163">
        <v>43537</v>
      </c>
      <c r="M1043" s="116">
        <v>480.67</v>
      </c>
      <c r="N1043" s="116">
        <v>485</v>
      </c>
      <c r="O1043" s="116">
        <v>469.2</v>
      </c>
      <c r="P1043" s="116">
        <v>469.2</v>
      </c>
      <c r="Q1043" s="116">
        <v>2403.35</v>
      </c>
      <c r="R1043">
        <v>183617</v>
      </c>
    </row>
    <row r="1044" spans="1:18" x14ac:dyDescent="0.25">
      <c r="A1044" s="163">
        <v>43538</v>
      </c>
      <c r="B1044" s="116">
        <v>485</v>
      </c>
      <c r="C1044" s="116">
        <v>471.35</v>
      </c>
      <c r="D1044" s="116">
        <v>469.8</v>
      </c>
      <c r="E1044" s="116">
        <v>479.8</v>
      </c>
      <c r="F1044" s="116">
        <v>2356.75</v>
      </c>
      <c r="G1044">
        <v>17867</v>
      </c>
      <c r="H1044" s="116"/>
      <c r="I1044" s="116"/>
      <c r="L1044" s="163">
        <v>43538</v>
      </c>
      <c r="M1044" s="116">
        <v>472.25</v>
      </c>
      <c r="N1044" s="116">
        <v>486</v>
      </c>
      <c r="O1044" s="116">
        <v>470.5</v>
      </c>
      <c r="P1044" s="116">
        <v>483.55</v>
      </c>
      <c r="Q1044" s="116">
        <v>2361.25</v>
      </c>
      <c r="R1044">
        <v>323014</v>
      </c>
    </row>
    <row r="1045" spans="1:18" x14ac:dyDescent="0.25">
      <c r="A1045" s="163">
        <v>43539</v>
      </c>
      <c r="B1045" s="116">
        <v>485.8</v>
      </c>
      <c r="C1045" s="116">
        <v>482.43</v>
      </c>
      <c r="D1045" s="116">
        <v>471.89</v>
      </c>
      <c r="E1045" s="116">
        <v>473.59</v>
      </c>
      <c r="F1045" s="116">
        <v>2412.15</v>
      </c>
      <c r="G1045">
        <v>387312</v>
      </c>
      <c r="H1045" s="116"/>
      <c r="I1045" s="116"/>
      <c r="L1045" s="163">
        <v>43539</v>
      </c>
      <c r="M1045" s="116">
        <v>483.62</v>
      </c>
      <c r="N1045" s="116">
        <v>487</v>
      </c>
      <c r="O1045" s="116">
        <v>471.72</v>
      </c>
      <c r="P1045" s="116">
        <v>473.99</v>
      </c>
      <c r="Q1045" s="116">
        <v>2418.1</v>
      </c>
      <c r="R1045">
        <v>890492</v>
      </c>
    </row>
    <row r="1046" spans="1:18" x14ac:dyDescent="0.25">
      <c r="A1046" s="163">
        <v>43542</v>
      </c>
      <c r="B1046" s="116">
        <v>489.8</v>
      </c>
      <c r="C1046" s="116">
        <v>482</v>
      </c>
      <c r="D1046" s="116">
        <v>480.2</v>
      </c>
      <c r="E1046" s="116">
        <v>485</v>
      </c>
      <c r="F1046" s="116">
        <v>2410</v>
      </c>
      <c r="G1046">
        <v>18181</v>
      </c>
      <c r="H1046" s="116"/>
      <c r="I1046" s="116"/>
      <c r="L1046" s="163">
        <v>43542</v>
      </c>
      <c r="M1046" s="116">
        <v>481.55</v>
      </c>
      <c r="N1046" s="116">
        <v>489.9</v>
      </c>
      <c r="O1046" s="116">
        <v>479.6</v>
      </c>
      <c r="P1046" s="116">
        <v>486.64</v>
      </c>
      <c r="Q1046" s="116">
        <v>2407.75</v>
      </c>
      <c r="R1046">
        <v>255177</v>
      </c>
    </row>
    <row r="1047" spans="1:18" x14ac:dyDescent="0.25">
      <c r="A1047" s="163">
        <v>43543</v>
      </c>
      <c r="B1047" s="116">
        <v>482.82</v>
      </c>
      <c r="C1047" s="116">
        <v>479.39</v>
      </c>
      <c r="D1047" s="116">
        <v>477.62</v>
      </c>
      <c r="E1047" s="116">
        <v>482</v>
      </c>
      <c r="F1047" s="116">
        <v>2396.9499999999998</v>
      </c>
      <c r="G1047">
        <v>6460</v>
      </c>
      <c r="H1047" s="116"/>
      <c r="I1047" s="116"/>
      <c r="L1047" s="163">
        <v>43543</v>
      </c>
      <c r="M1047" s="116">
        <v>479.28</v>
      </c>
      <c r="N1047" s="116">
        <v>483.6</v>
      </c>
      <c r="O1047" s="116">
        <v>477.28</v>
      </c>
      <c r="P1047" s="116">
        <v>482.2</v>
      </c>
      <c r="Q1047" s="116">
        <v>2396.4</v>
      </c>
      <c r="R1047">
        <v>212644</v>
      </c>
    </row>
    <row r="1048" spans="1:18" x14ac:dyDescent="0.25">
      <c r="A1048" s="163">
        <v>43544</v>
      </c>
      <c r="B1048" s="116">
        <v>482.58</v>
      </c>
      <c r="C1048" s="116">
        <v>479.86</v>
      </c>
      <c r="D1048" s="116">
        <v>476.16</v>
      </c>
      <c r="E1048" s="116">
        <v>479.21</v>
      </c>
      <c r="F1048" s="116">
        <v>2399.3000000000002</v>
      </c>
      <c r="G1048">
        <v>11044</v>
      </c>
      <c r="H1048" s="116"/>
      <c r="I1048" s="116"/>
      <c r="L1048" s="163">
        <v>43544</v>
      </c>
      <c r="M1048" s="116">
        <v>480.38</v>
      </c>
      <c r="N1048" s="116">
        <v>483</v>
      </c>
      <c r="O1048" s="116">
        <v>474.97</v>
      </c>
      <c r="P1048" s="116">
        <v>481.18</v>
      </c>
      <c r="Q1048" s="116">
        <v>2401.9</v>
      </c>
      <c r="R1048">
        <v>250190</v>
      </c>
    </row>
    <row r="1049" spans="1:18" x14ac:dyDescent="0.25">
      <c r="A1049" s="163">
        <v>43546</v>
      </c>
      <c r="B1049" s="116">
        <v>493.86</v>
      </c>
      <c r="C1049" s="116">
        <v>491.84</v>
      </c>
      <c r="D1049" s="116">
        <v>479.8</v>
      </c>
      <c r="E1049" s="116">
        <v>479.8</v>
      </c>
      <c r="F1049" s="116">
        <v>2459.1999999999998</v>
      </c>
      <c r="G1049">
        <v>20027</v>
      </c>
      <c r="H1049" s="116"/>
      <c r="I1049" s="116"/>
      <c r="L1049" s="163">
        <v>43546</v>
      </c>
      <c r="M1049" s="116">
        <v>490.9</v>
      </c>
      <c r="N1049" s="116">
        <v>493.17</v>
      </c>
      <c r="O1049" s="116">
        <v>479</v>
      </c>
      <c r="P1049" s="116">
        <v>480.96</v>
      </c>
      <c r="Q1049" s="116">
        <v>2454.5</v>
      </c>
      <c r="R1049">
        <v>498231</v>
      </c>
    </row>
    <row r="1050" spans="1:18" x14ac:dyDescent="0.25">
      <c r="A1050" s="163">
        <v>43549</v>
      </c>
      <c r="B1050" s="116">
        <v>495.28</v>
      </c>
      <c r="C1050" s="116">
        <v>486.06</v>
      </c>
      <c r="D1050" s="116">
        <v>484.02</v>
      </c>
      <c r="E1050" s="116">
        <v>490</v>
      </c>
      <c r="F1050" s="116">
        <v>2430.3000000000002</v>
      </c>
      <c r="G1050">
        <v>21027</v>
      </c>
      <c r="H1050" s="116"/>
      <c r="I1050" s="116"/>
      <c r="L1050" s="163">
        <v>43549</v>
      </c>
      <c r="M1050" s="116">
        <v>486.42</v>
      </c>
      <c r="N1050" s="116">
        <v>495.6</v>
      </c>
      <c r="O1050" s="116">
        <v>484.03</v>
      </c>
      <c r="P1050" s="116">
        <v>490</v>
      </c>
      <c r="Q1050" s="116">
        <v>2432.1</v>
      </c>
      <c r="R1050">
        <v>516989</v>
      </c>
    </row>
    <row r="1051" spans="1:18" x14ac:dyDescent="0.25">
      <c r="A1051" s="163">
        <v>43550</v>
      </c>
      <c r="B1051" s="116">
        <v>495.23</v>
      </c>
      <c r="C1051" s="116">
        <v>492.6</v>
      </c>
      <c r="D1051" s="116">
        <v>481.2</v>
      </c>
      <c r="E1051" s="116">
        <v>488</v>
      </c>
      <c r="F1051" s="116">
        <v>2463</v>
      </c>
      <c r="G1051">
        <v>16675</v>
      </c>
      <c r="H1051" s="116"/>
      <c r="I1051" s="116"/>
      <c r="L1051" s="163">
        <v>43550</v>
      </c>
      <c r="M1051" s="116">
        <v>493.03</v>
      </c>
      <c r="N1051" s="116">
        <v>495.6</v>
      </c>
      <c r="O1051" s="116">
        <v>481.2</v>
      </c>
      <c r="P1051" s="116">
        <v>486.42</v>
      </c>
      <c r="Q1051" s="116">
        <v>2465.15</v>
      </c>
      <c r="R1051">
        <v>274066</v>
      </c>
    </row>
    <row r="1052" spans="1:18" x14ac:dyDescent="0.25">
      <c r="A1052" s="163">
        <v>43551</v>
      </c>
      <c r="B1052" s="116">
        <v>492.6</v>
      </c>
      <c r="C1052" s="116">
        <v>487.49</v>
      </c>
      <c r="D1052" s="116">
        <v>483.59</v>
      </c>
      <c r="E1052" s="116">
        <v>492.6</v>
      </c>
      <c r="F1052" s="116">
        <v>2437.4499999999998</v>
      </c>
      <c r="G1052">
        <v>10052</v>
      </c>
      <c r="H1052" s="116"/>
      <c r="I1052" s="116"/>
      <c r="L1052" s="163">
        <v>43551</v>
      </c>
      <c r="M1052" s="116">
        <v>486.99</v>
      </c>
      <c r="N1052" s="116">
        <v>493</v>
      </c>
      <c r="O1052" s="116">
        <v>483.4</v>
      </c>
      <c r="P1052" s="116">
        <v>493</v>
      </c>
      <c r="Q1052" s="116">
        <v>2434.9499999999998</v>
      </c>
      <c r="R1052">
        <v>311373</v>
      </c>
    </row>
    <row r="1053" spans="1:18" x14ac:dyDescent="0.25">
      <c r="A1053" s="163">
        <v>43552</v>
      </c>
      <c r="B1053" s="116">
        <v>493.11</v>
      </c>
      <c r="C1053" s="116">
        <v>490.83</v>
      </c>
      <c r="D1053" s="116">
        <v>486.03</v>
      </c>
      <c r="E1053" s="116">
        <v>486.03</v>
      </c>
      <c r="F1053" s="116">
        <v>2454.15</v>
      </c>
      <c r="G1053">
        <v>10196</v>
      </c>
      <c r="H1053" s="116"/>
      <c r="I1053" s="116"/>
      <c r="L1053" s="163">
        <v>43552</v>
      </c>
      <c r="M1053" s="116">
        <v>490.22</v>
      </c>
      <c r="N1053" s="116">
        <v>492.74</v>
      </c>
      <c r="O1053" s="116">
        <v>476.88</v>
      </c>
      <c r="P1053" s="116">
        <v>489.7</v>
      </c>
      <c r="Q1053" s="116">
        <v>2451.1</v>
      </c>
      <c r="R1053">
        <v>151065</v>
      </c>
    </row>
    <row r="1054" spans="1:18" x14ac:dyDescent="0.25">
      <c r="A1054" s="163">
        <v>43553</v>
      </c>
      <c r="B1054" s="116">
        <v>493.32</v>
      </c>
      <c r="C1054" s="116">
        <v>480.82</v>
      </c>
      <c r="D1054" s="116">
        <v>470.62</v>
      </c>
      <c r="E1054" s="116">
        <v>490.8</v>
      </c>
      <c r="F1054" s="116">
        <v>2404.1</v>
      </c>
      <c r="G1054">
        <v>30740</v>
      </c>
      <c r="H1054" s="116"/>
      <c r="I1054" s="116"/>
      <c r="L1054" s="163">
        <v>43553</v>
      </c>
      <c r="M1054" s="116">
        <v>480.6</v>
      </c>
      <c r="N1054" s="116">
        <v>494</v>
      </c>
      <c r="O1054" s="116">
        <v>470.22</v>
      </c>
      <c r="P1054" s="116">
        <v>491.6</v>
      </c>
      <c r="Q1054" s="116">
        <v>2403</v>
      </c>
      <c r="R1054">
        <v>446954</v>
      </c>
    </row>
    <row r="1055" spans="1:18" x14ac:dyDescent="0.25">
      <c r="A1055" s="163">
        <v>43556</v>
      </c>
      <c r="B1055" s="116">
        <v>486.3</v>
      </c>
      <c r="C1055" s="116">
        <v>471.79</v>
      </c>
      <c r="D1055" s="116">
        <v>440.2</v>
      </c>
      <c r="E1055" s="116">
        <v>463.04</v>
      </c>
      <c r="F1055" s="116">
        <v>2358.9499999999998</v>
      </c>
      <c r="G1055">
        <v>101144</v>
      </c>
      <c r="H1055" s="116"/>
      <c r="I1055" s="116"/>
      <c r="L1055" s="163">
        <v>43556</v>
      </c>
      <c r="M1055" s="116">
        <v>472.12</v>
      </c>
      <c r="N1055" s="116">
        <v>486.8</v>
      </c>
      <c r="O1055" s="116">
        <v>434.52</v>
      </c>
      <c r="P1055" s="116">
        <v>460</v>
      </c>
      <c r="Q1055" s="116">
        <v>2360.6</v>
      </c>
      <c r="R1055">
        <v>2412126</v>
      </c>
    </row>
    <row r="1056" spans="1:18" x14ac:dyDescent="0.25">
      <c r="A1056" s="163">
        <v>43557</v>
      </c>
      <c r="B1056" s="116">
        <v>480.43</v>
      </c>
      <c r="C1056" s="116">
        <v>477.91</v>
      </c>
      <c r="D1056" s="116">
        <v>468.4</v>
      </c>
      <c r="E1056" s="116">
        <v>470</v>
      </c>
      <c r="F1056" s="116">
        <v>2389.5500000000002</v>
      </c>
      <c r="G1056">
        <v>24645</v>
      </c>
      <c r="H1056" s="116"/>
      <c r="I1056" s="116"/>
      <c r="L1056" s="163">
        <v>43557</v>
      </c>
      <c r="M1056" s="116">
        <v>477.83</v>
      </c>
      <c r="N1056" s="116">
        <v>479.34</v>
      </c>
      <c r="O1056" s="116">
        <v>467.76</v>
      </c>
      <c r="P1056" s="116">
        <v>470.04</v>
      </c>
      <c r="Q1056" s="116">
        <v>2389.15</v>
      </c>
      <c r="R1056">
        <v>504710</v>
      </c>
    </row>
    <row r="1057" spans="1:18" x14ac:dyDescent="0.25">
      <c r="A1057" s="163">
        <v>43558</v>
      </c>
      <c r="B1057" s="116">
        <v>483.58</v>
      </c>
      <c r="C1057" s="116">
        <v>476.15</v>
      </c>
      <c r="D1057" s="116">
        <v>473.81</v>
      </c>
      <c r="E1057" s="116">
        <v>477</v>
      </c>
      <c r="F1057" s="116">
        <v>2380.75</v>
      </c>
      <c r="G1057">
        <v>12300</v>
      </c>
      <c r="H1057" s="116"/>
      <c r="I1057" s="116"/>
      <c r="L1057" s="163">
        <v>43558</v>
      </c>
      <c r="M1057" s="116">
        <v>476.88</v>
      </c>
      <c r="N1057" s="116">
        <v>483.79</v>
      </c>
      <c r="O1057" s="116">
        <v>474.4</v>
      </c>
      <c r="P1057" s="116">
        <v>477.98</v>
      </c>
      <c r="Q1057" s="116">
        <v>2384.4</v>
      </c>
      <c r="R1057">
        <v>282995</v>
      </c>
    </row>
    <row r="1058" spans="1:18" x14ac:dyDescent="0.25">
      <c r="A1058" s="163">
        <v>43559</v>
      </c>
      <c r="B1058" s="116">
        <v>500</v>
      </c>
      <c r="C1058" s="116">
        <v>497.42</v>
      </c>
      <c r="D1058" s="116">
        <v>482.37</v>
      </c>
      <c r="E1058" s="116">
        <v>485</v>
      </c>
      <c r="F1058" s="116">
        <v>2487.1</v>
      </c>
      <c r="G1058">
        <v>52928</v>
      </c>
      <c r="H1058" s="116"/>
      <c r="I1058" s="116"/>
      <c r="L1058" s="163">
        <v>43559</v>
      </c>
      <c r="M1058" s="116">
        <v>496.98</v>
      </c>
      <c r="N1058" s="116">
        <v>499.24</v>
      </c>
      <c r="O1058" s="116">
        <v>481.62</v>
      </c>
      <c r="P1058" s="116">
        <v>486</v>
      </c>
      <c r="Q1058" s="116">
        <v>2484.9</v>
      </c>
      <c r="R1058">
        <v>1058898</v>
      </c>
    </row>
    <row r="1059" spans="1:18" x14ac:dyDescent="0.25">
      <c r="A1059" s="163">
        <v>43560</v>
      </c>
      <c r="B1059" s="116">
        <v>500.7</v>
      </c>
      <c r="C1059" s="116">
        <v>498.13</v>
      </c>
      <c r="D1059" s="116">
        <v>490.49</v>
      </c>
      <c r="E1059" s="116">
        <v>499.2</v>
      </c>
      <c r="F1059" s="116">
        <v>2490.65</v>
      </c>
      <c r="G1059">
        <v>18801</v>
      </c>
      <c r="H1059" s="116"/>
      <c r="I1059" s="116"/>
      <c r="L1059" s="163">
        <v>43560</v>
      </c>
      <c r="M1059" s="116">
        <v>498.22</v>
      </c>
      <c r="N1059" s="116">
        <v>500</v>
      </c>
      <c r="O1059" s="116">
        <v>490.4</v>
      </c>
      <c r="P1059" s="116">
        <v>500</v>
      </c>
      <c r="Q1059" s="116">
        <v>2491.1</v>
      </c>
      <c r="R1059">
        <v>460009</v>
      </c>
    </row>
    <row r="1060" spans="1:18" x14ac:dyDescent="0.25">
      <c r="A1060" s="163">
        <v>43563</v>
      </c>
      <c r="B1060" s="116">
        <v>502.56</v>
      </c>
      <c r="C1060" s="116">
        <v>495.11</v>
      </c>
      <c r="D1060" s="116">
        <v>493.19</v>
      </c>
      <c r="E1060" s="116">
        <v>496.02</v>
      </c>
      <c r="F1060" s="116">
        <v>2475.5500000000002</v>
      </c>
      <c r="G1060">
        <v>12552</v>
      </c>
      <c r="H1060" s="116"/>
      <c r="I1060" s="116"/>
      <c r="L1060" s="163">
        <v>43563</v>
      </c>
      <c r="M1060" s="116">
        <v>495.65</v>
      </c>
      <c r="N1060" s="116">
        <v>502.55</v>
      </c>
      <c r="O1060" s="116">
        <v>493.11</v>
      </c>
      <c r="P1060" s="116">
        <v>497.1</v>
      </c>
      <c r="Q1060" s="116">
        <v>2478.25</v>
      </c>
      <c r="R1060">
        <v>387177</v>
      </c>
    </row>
    <row r="1061" spans="1:18" x14ac:dyDescent="0.25">
      <c r="A1061" s="163">
        <v>43564</v>
      </c>
      <c r="B1061" s="116">
        <v>494.44</v>
      </c>
      <c r="C1061" s="116">
        <v>493.34</v>
      </c>
      <c r="D1061" s="116">
        <v>490.2</v>
      </c>
      <c r="E1061" s="116">
        <v>494</v>
      </c>
      <c r="F1061" s="116">
        <v>2466.6999999999998</v>
      </c>
      <c r="G1061">
        <v>6650</v>
      </c>
      <c r="H1061" s="116"/>
      <c r="I1061" s="116"/>
      <c r="L1061" s="163">
        <v>43564</v>
      </c>
      <c r="M1061" s="116">
        <v>492.97</v>
      </c>
      <c r="N1061" s="116">
        <v>495.33</v>
      </c>
      <c r="O1061" s="116">
        <v>490.02</v>
      </c>
      <c r="P1061" s="116">
        <v>495.01</v>
      </c>
      <c r="Q1061" s="116">
        <v>2464.85</v>
      </c>
      <c r="R1061">
        <v>182814</v>
      </c>
    </row>
    <row r="1062" spans="1:18" x14ac:dyDescent="0.25">
      <c r="A1062" s="163">
        <v>43565</v>
      </c>
      <c r="B1062" s="116">
        <v>497</v>
      </c>
      <c r="C1062" s="116">
        <v>490.59</v>
      </c>
      <c r="D1062" s="116">
        <v>489</v>
      </c>
      <c r="E1062" s="116">
        <v>490</v>
      </c>
      <c r="F1062" s="116">
        <v>2452.9499999999998</v>
      </c>
      <c r="G1062">
        <v>3784</v>
      </c>
      <c r="H1062" s="116"/>
      <c r="I1062" s="116"/>
      <c r="L1062" s="163">
        <v>43565</v>
      </c>
      <c r="M1062" s="116">
        <v>490.38</v>
      </c>
      <c r="N1062" s="116">
        <v>497.45</v>
      </c>
      <c r="O1062" s="116">
        <v>489.13</v>
      </c>
      <c r="P1062" s="116">
        <v>492.2</v>
      </c>
      <c r="Q1062" s="116">
        <v>2451.9</v>
      </c>
      <c r="R1062">
        <v>150952</v>
      </c>
    </row>
    <row r="1063" spans="1:18" x14ac:dyDescent="0.25">
      <c r="A1063" s="163">
        <v>43566</v>
      </c>
      <c r="B1063" s="116">
        <v>495.37</v>
      </c>
      <c r="C1063" s="116">
        <v>493.83</v>
      </c>
      <c r="D1063" s="116">
        <v>489</v>
      </c>
      <c r="E1063" s="116">
        <v>489</v>
      </c>
      <c r="F1063" s="116">
        <v>2469.15</v>
      </c>
      <c r="G1063">
        <v>7978</v>
      </c>
      <c r="H1063" s="116"/>
      <c r="I1063" s="116"/>
      <c r="L1063" s="163">
        <v>43566</v>
      </c>
      <c r="M1063" s="116">
        <v>493.22</v>
      </c>
      <c r="N1063" s="116">
        <v>495.82</v>
      </c>
      <c r="O1063" s="116">
        <v>490.01</v>
      </c>
      <c r="P1063" s="116">
        <v>490.94</v>
      </c>
      <c r="Q1063" s="116">
        <v>2466.1</v>
      </c>
      <c r="R1063">
        <v>140529</v>
      </c>
    </row>
    <row r="1064" spans="1:18" x14ac:dyDescent="0.25">
      <c r="A1064" s="163">
        <v>43567</v>
      </c>
      <c r="B1064" s="116">
        <v>495</v>
      </c>
      <c r="C1064" s="116">
        <v>488.52</v>
      </c>
      <c r="D1064" s="116">
        <v>486.08</v>
      </c>
      <c r="E1064" s="116">
        <v>492.8</v>
      </c>
      <c r="F1064" s="116">
        <v>2442.6</v>
      </c>
      <c r="G1064">
        <v>5124</v>
      </c>
      <c r="H1064" s="116"/>
      <c r="I1064" s="116"/>
      <c r="L1064" s="163">
        <v>43567</v>
      </c>
      <c r="M1064" s="116">
        <v>488.72</v>
      </c>
      <c r="N1064" s="116">
        <v>495.64</v>
      </c>
      <c r="O1064" s="116">
        <v>486.2</v>
      </c>
      <c r="P1064" s="116">
        <v>493.15</v>
      </c>
      <c r="Q1064" s="116">
        <v>2443.6</v>
      </c>
      <c r="R1064">
        <v>172757</v>
      </c>
    </row>
    <row r="1065" spans="1:18" x14ac:dyDescent="0.25">
      <c r="A1065" s="163">
        <v>43570</v>
      </c>
      <c r="B1065" s="116">
        <v>493.59</v>
      </c>
      <c r="C1065" s="116">
        <v>491.77</v>
      </c>
      <c r="D1065" s="116">
        <v>488</v>
      </c>
      <c r="E1065" s="116">
        <v>488</v>
      </c>
      <c r="F1065" s="116">
        <v>2458.85</v>
      </c>
      <c r="G1065">
        <v>2530</v>
      </c>
      <c r="H1065" s="116"/>
      <c r="I1065" s="116"/>
      <c r="L1065" s="163">
        <v>43570</v>
      </c>
      <c r="M1065" s="116">
        <v>492.14</v>
      </c>
      <c r="N1065" s="116">
        <v>493.98</v>
      </c>
      <c r="O1065" s="116">
        <v>488.4</v>
      </c>
      <c r="P1065" s="116">
        <v>488.4</v>
      </c>
      <c r="Q1065" s="116">
        <v>2460.6999999999998</v>
      </c>
      <c r="R1065">
        <v>98003</v>
      </c>
    </row>
    <row r="1066" spans="1:18" x14ac:dyDescent="0.25">
      <c r="A1066" s="163">
        <v>43571</v>
      </c>
      <c r="B1066" s="116">
        <v>499.31</v>
      </c>
      <c r="C1066" s="116">
        <v>498.54</v>
      </c>
      <c r="D1066" s="116">
        <v>491.66</v>
      </c>
      <c r="E1066" s="116">
        <v>492.8</v>
      </c>
      <c r="F1066" s="116">
        <v>2492.6999999999998</v>
      </c>
      <c r="G1066">
        <v>7914</v>
      </c>
      <c r="H1066" s="116"/>
      <c r="I1066" s="116"/>
      <c r="L1066" s="163">
        <v>43571</v>
      </c>
      <c r="M1066" s="116">
        <v>497.44</v>
      </c>
      <c r="N1066" s="116">
        <v>499.3</v>
      </c>
      <c r="O1066" s="116">
        <v>490.92</v>
      </c>
      <c r="P1066" s="116">
        <v>492.22</v>
      </c>
      <c r="Q1066" s="116">
        <v>2487.1999999999998</v>
      </c>
      <c r="R1066">
        <v>155465</v>
      </c>
    </row>
    <row r="1067" spans="1:18" x14ac:dyDescent="0.25">
      <c r="A1067" s="163">
        <v>43573</v>
      </c>
      <c r="B1067" s="116">
        <v>501.59</v>
      </c>
      <c r="C1067" s="116">
        <v>489.72</v>
      </c>
      <c r="D1067" s="116">
        <v>487.63</v>
      </c>
      <c r="E1067" s="116">
        <v>497.8</v>
      </c>
      <c r="F1067" s="116">
        <v>2448.6</v>
      </c>
      <c r="G1067">
        <v>18982</v>
      </c>
      <c r="H1067" s="116"/>
      <c r="I1067" s="116"/>
      <c r="L1067" s="163">
        <v>43573</v>
      </c>
      <c r="M1067" s="116">
        <v>490.56</v>
      </c>
      <c r="N1067" s="116">
        <v>502.2</v>
      </c>
      <c r="O1067" s="116">
        <v>488.8</v>
      </c>
      <c r="P1067" s="116">
        <v>497.2</v>
      </c>
      <c r="Q1067" s="116">
        <v>2452.8000000000002</v>
      </c>
      <c r="R1067">
        <v>186434</v>
      </c>
    </row>
    <row r="1068" spans="1:18" x14ac:dyDescent="0.25">
      <c r="A1068" s="163">
        <v>43577</v>
      </c>
      <c r="B1068" s="116">
        <v>491.21</v>
      </c>
      <c r="C1068" s="116">
        <v>484.99</v>
      </c>
      <c r="D1068" s="116">
        <v>483.87</v>
      </c>
      <c r="E1068" s="116">
        <v>487.41</v>
      </c>
      <c r="F1068" s="116">
        <v>2424.9499999999998</v>
      </c>
      <c r="G1068">
        <v>3190</v>
      </c>
      <c r="H1068" s="116"/>
      <c r="I1068" s="116"/>
      <c r="L1068" s="163">
        <v>43577</v>
      </c>
      <c r="M1068" s="116">
        <v>484.91</v>
      </c>
      <c r="N1068" s="116">
        <v>491.31</v>
      </c>
      <c r="O1068" s="116">
        <v>483.49</v>
      </c>
      <c r="P1068" s="116">
        <v>487.02</v>
      </c>
      <c r="Q1068" s="116">
        <v>2424.5500000000002</v>
      </c>
      <c r="R1068">
        <v>93410</v>
      </c>
    </row>
    <row r="1069" spans="1:18" x14ac:dyDescent="0.25">
      <c r="A1069" s="163">
        <v>43578</v>
      </c>
      <c r="B1069" s="116">
        <v>493.55</v>
      </c>
      <c r="C1069" s="116">
        <v>492.02</v>
      </c>
      <c r="D1069" s="116">
        <v>485</v>
      </c>
      <c r="E1069" s="116">
        <v>486.55</v>
      </c>
      <c r="F1069" s="116">
        <v>2460.1</v>
      </c>
      <c r="G1069">
        <v>8914</v>
      </c>
      <c r="H1069" s="116"/>
      <c r="I1069" s="116"/>
      <c r="L1069" s="163">
        <v>43578</v>
      </c>
      <c r="M1069" s="116">
        <v>491.69</v>
      </c>
      <c r="N1069" s="116">
        <v>493.73</v>
      </c>
      <c r="O1069" s="116">
        <v>484.3</v>
      </c>
      <c r="P1069" s="116">
        <v>487.6</v>
      </c>
      <c r="Q1069" s="116">
        <v>2458.4499999999998</v>
      </c>
      <c r="R1069">
        <v>213399</v>
      </c>
    </row>
    <row r="1070" spans="1:18" x14ac:dyDescent="0.25">
      <c r="A1070" s="163">
        <v>43579</v>
      </c>
      <c r="B1070" s="116">
        <v>504.92</v>
      </c>
      <c r="C1070" s="116">
        <v>503.49</v>
      </c>
      <c r="D1070" s="116">
        <v>491.6</v>
      </c>
      <c r="E1070" s="116">
        <v>493.93</v>
      </c>
      <c r="F1070" s="116">
        <v>2517.4499999999998</v>
      </c>
      <c r="G1070">
        <v>12703</v>
      </c>
      <c r="H1070" s="116"/>
      <c r="I1070" s="116"/>
      <c r="L1070" s="163">
        <v>43579</v>
      </c>
      <c r="M1070" s="116">
        <v>502.69</v>
      </c>
      <c r="N1070" s="116">
        <v>504.2</v>
      </c>
      <c r="O1070" s="116">
        <v>490.83</v>
      </c>
      <c r="P1070" s="116">
        <v>491.8</v>
      </c>
      <c r="Q1070" s="116">
        <v>2513.4499999999998</v>
      </c>
      <c r="R1070">
        <v>232327</v>
      </c>
    </row>
    <row r="1071" spans="1:18" x14ac:dyDescent="0.25">
      <c r="A1071" s="163">
        <v>43580</v>
      </c>
      <c r="B1071" s="116">
        <v>507.88</v>
      </c>
      <c r="C1071" s="116">
        <v>503.14</v>
      </c>
      <c r="D1071" s="116">
        <v>499.89</v>
      </c>
      <c r="E1071" s="116">
        <v>502.8</v>
      </c>
      <c r="F1071" s="116">
        <v>2515.6999999999998</v>
      </c>
      <c r="G1071">
        <v>20074</v>
      </c>
      <c r="H1071" s="116"/>
      <c r="I1071" s="116"/>
      <c r="L1071" s="163">
        <v>43580</v>
      </c>
      <c r="M1071" s="116">
        <v>505.01</v>
      </c>
      <c r="N1071" s="116">
        <v>507.96</v>
      </c>
      <c r="O1071" s="116">
        <v>499.92</v>
      </c>
      <c r="P1071" s="116">
        <v>503.8</v>
      </c>
      <c r="Q1071" s="116">
        <v>2525.0500000000002</v>
      </c>
      <c r="R1071">
        <v>257235</v>
      </c>
    </row>
    <row r="1072" spans="1:18" x14ac:dyDescent="0.25">
      <c r="A1072" s="163">
        <v>43581</v>
      </c>
      <c r="B1072" s="116">
        <v>513.77</v>
      </c>
      <c r="C1072" s="116">
        <v>511.54</v>
      </c>
      <c r="D1072" s="116">
        <v>502</v>
      </c>
      <c r="E1072" s="116">
        <v>502</v>
      </c>
      <c r="F1072" s="116">
        <v>2557.6999999999998</v>
      </c>
      <c r="G1072">
        <v>11911</v>
      </c>
      <c r="H1072" s="116"/>
      <c r="I1072" s="116"/>
      <c r="L1072" s="163">
        <v>43581</v>
      </c>
      <c r="M1072" s="116">
        <v>511.46</v>
      </c>
      <c r="N1072" s="116">
        <v>513.22</v>
      </c>
      <c r="O1072" s="116">
        <v>502.24</v>
      </c>
      <c r="P1072" s="116">
        <v>505.3</v>
      </c>
      <c r="Q1072" s="116">
        <v>2557.3000000000002</v>
      </c>
      <c r="R1072">
        <v>184195</v>
      </c>
    </row>
    <row r="1073" spans="1:18" x14ac:dyDescent="0.25">
      <c r="A1073" s="163">
        <v>43585</v>
      </c>
      <c r="B1073" s="116">
        <v>515.98</v>
      </c>
      <c r="C1073" s="116">
        <v>513.48</v>
      </c>
      <c r="D1073" s="116">
        <v>509.2</v>
      </c>
      <c r="E1073" s="116">
        <v>509.2</v>
      </c>
      <c r="F1073" s="116">
        <v>2567.4</v>
      </c>
      <c r="G1073">
        <v>8434</v>
      </c>
      <c r="H1073" s="116"/>
      <c r="I1073" s="116"/>
      <c r="L1073" s="163">
        <v>43585</v>
      </c>
      <c r="M1073" s="116">
        <v>513.53</v>
      </c>
      <c r="N1073" s="116">
        <v>516.49</v>
      </c>
      <c r="O1073" s="116">
        <v>506.91</v>
      </c>
      <c r="P1073" s="116">
        <v>506.91</v>
      </c>
      <c r="Q1073" s="116">
        <v>2567.65</v>
      </c>
      <c r="R1073">
        <v>226182</v>
      </c>
    </row>
    <row r="1074" spans="1:18" x14ac:dyDescent="0.25">
      <c r="A1074" s="163">
        <v>43587</v>
      </c>
      <c r="B1074" s="116">
        <v>522.79999999999995</v>
      </c>
      <c r="C1074" s="116">
        <v>517.45000000000005</v>
      </c>
      <c r="D1074" s="116">
        <v>507.13</v>
      </c>
      <c r="E1074" s="116">
        <v>513.57000000000005</v>
      </c>
      <c r="F1074" s="116">
        <v>2587.25</v>
      </c>
      <c r="G1074">
        <v>18931</v>
      </c>
      <c r="H1074" s="116"/>
      <c r="I1074" s="116"/>
      <c r="L1074" s="163">
        <v>43587</v>
      </c>
      <c r="M1074" s="116">
        <v>519.46</v>
      </c>
      <c r="N1074" s="116">
        <v>523.59</v>
      </c>
      <c r="O1074" s="116">
        <v>512</v>
      </c>
      <c r="P1074" s="116">
        <v>512</v>
      </c>
      <c r="Q1074" s="116">
        <v>2597.3000000000002</v>
      </c>
      <c r="R1074">
        <v>316933</v>
      </c>
    </row>
    <row r="1075" spans="1:18" x14ac:dyDescent="0.25">
      <c r="A1075" s="163">
        <v>43588</v>
      </c>
      <c r="B1075" s="116">
        <v>518.17999999999995</v>
      </c>
      <c r="C1075" s="116">
        <v>514.59</v>
      </c>
      <c r="D1075" s="116">
        <v>512</v>
      </c>
      <c r="E1075" s="116">
        <v>516</v>
      </c>
      <c r="F1075" s="116">
        <v>2572.9499999999998</v>
      </c>
      <c r="G1075">
        <v>4247</v>
      </c>
      <c r="H1075" s="116"/>
      <c r="I1075" s="116"/>
      <c r="L1075" s="163">
        <v>43588</v>
      </c>
      <c r="M1075" s="116">
        <v>516.16</v>
      </c>
      <c r="N1075" s="116">
        <v>518.75</v>
      </c>
      <c r="O1075" s="116">
        <v>512.29999999999995</v>
      </c>
      <c r="P1075" s="116">
        <v>517</v>
      </c>
      <c r="Q1075" s="116">
        <v>2580.8000000000002</v>
      </c>
      <c r="R1075">
        <v>108615</v>
      </c>
    </row>
    <row r="1076" spans="1:18" x14ac:dyDescent="0.25">
      <c r="A1076" s="163">
        <v>43591</v>
      </c>
      <c r="B1076" s="116">
        <v>514.54999999999995</v>
      </c>
      <c r="C1076" s="116">
        <v>509.27</v>
      </c>
      <c r="D1076" s="116">
        <v>506.67</v>
      </c>
      <c r="E1076" s="116">
        <v>510.57</v>
      </c>
      <c r="F1076" s="116">
        <v>2546.35</v>
      </c>
      <c r="G1076">
        <v>4350</v>
      </c>
      <c r="H1076" s="116"/>
      <c r="I1076" s="116"/>
      <c r="L1076" s="163">
        <v>43591</v>
      </c>
      <c r="M1076" s="116">
        <v>511.17</v>
      </c>
      <c r="N1076" s="116">
        <v>515.32000000000005</v>
      </c>
      <c r="O1076" s="116">
        <v>507</v>
      </c>
      <c r="P1076" s="116">
        <v>507</v>
      </c>
      <c r="Q1076" s="116">
        <v>2555.85</v>
      </c>
      <c r="R1076">
        <v>120761</v>
      </c>
    </row>
    <row r="1077" spans="1:18" x14ac:dyDescent="0.25">
      <c r="A1077" s="163">
        <v>43592</v>
      </c>
      <c r="B1077" s="116">
        <v>514</v>
      </c>
      <c r="C1077" s="116">
        <v>500.52</v>
      </c>
      <c r="D1077" s="116">
        <v>499.24</v>
      </c>
      <c r="E1077" s="116">
        <v>510.82</v>
      </c>
      <c r="F1077" s="116">
        <v>2502.6</v>
      </c>
      <c r="G1077">
        <v>5733</v>
      </c>
      <c r="H1077" s="116"/>
      <c r="I1077" s="116"/>
      <c r="L1077" s="163">
        <v>43592</v>
      </c>
      <c r="M1077" s="116">
        <v>500.9</v>
      </c>
      <c r="N1077" s="116">
        <v>515.48</v>
      </c>
      <c r="O1077" s="116">
        <v>499.92</v>
      </c>
      <c r="P1077" s="116">
        <v>513.92999999999995</v>
      </c>
      <c r="Q1077" s="116">
        <v>2504.5</v>
      </c>
      <c r="R1077">
        <v>151194</v>
      </c>
    </row>
    <row r="1078" spans="1:18" x14ac:dyDescent="0.25">
      <c r="A1078" s="163">
        <v>43593</v>
      </c>
      <c r="B1078" s="116">
        <v>503</v>
      </c>
      <c r="C1078" s="116">
        <v>489.28</v>
      </c>
      <c r="D1078" s="116">
        <v>485.2</v>
      </c>
      <c r="E1078" s="116">
        <v>500</v>
      </c>
      <c r="F1078" s="116">
        <v>2446.4</v>
      </c>
      <c r="G1078">
        <v>19192</v>
      </c>
      <c r="H1078" s="116"/>
      <c r="I1078" s="116"/>
      <c r="L1078" s="163">
        <v>43593</v>
      </c>
      <c r="M1078" s="116">
        <v>488.88</v>
      </c>
      <c r="N1078" s="116">
        <v>503.6</v>
      </c>
      <c r="O1078" s="116">
        <v>485.13</v>
      </c>
      <c r="P1078" s="116">
        <v>501.6</v>
      </c>
      <c r="Q1078" s="116">
        <v>2444.4</v>
      </c>
      <c r="R1078">
        <v>268042</v>
      </c>
    </row>
    <row r="1079" spans="1:18" x14ac:dyDescent="0.25">
      <c r="A1079" s="163">
        <v>43594</v>
      </c>
      <c r="B1079" s="116">
        <v>493.57</v>
      </c>
      <c r="C1079" s="116">
        <v>485.34</v>
      </c>
      <c r="D1079" s="116">
        <v>482.45</v>
      </c>
      <c r="E1079" s="116">
        <v>488</v>
      </c>
      <c r="F1079" s="116">
        <v>2426.6999999999998</v>
      </c>
      <c r="G1079">
        <v>12047</v>
      </c>
      <c r="H1079" s="116"/>
      <c r="I1079" s="116"/>
      <c r="L1079" s="163">
        <v>43594</v>
      </c>
      <c r="M1079" s="116">
        <v>484.73</v>
      </c>
      <c r="N1079" s="116">
        <v>493.4</v>
      </c>
      <c r="O1079" s="116">
        <v>482.5</v>
      </c>
      <c r="P1079" s="116">
        <v>488.4</v>
      </c>
      <c r="Q1079" s="116">
        <v>2423.65</v>
      </c>
      <c r="R1079">
        <v>220346</v>
      </c>
    </row>
    <row r="1080" spans="1:18" x14ac:dyDescent="0.25">
      <c r="A1080" s="163">
        <v>43595</v>
      </c>
      <c r="B1080" s="116">
        <v>493</v>
      </c>
      <c r="C1080" s="116">
        <v>489.05</v>
      </c>
      <c r="D1080" s="116">
        <v>482.35</v>
      </c>
      <c r="E1080" s="116">
        <v>484</v>
      </c>
      <c r="F1080" s="116">
        <v>2445.25</v>
      </c>
      <c r="G1080">
        <v>6887</v>
      </c>
      <c r="H1080" s="116"/>
      <c r="I1080" s="116"/>
      <c r="L1080" s="163">
        <v>43595</v>
      </c>
      <c r="M1080" s="116">
        <v>489.19</v>
      </c>
      <c r="N1080" s="116">
        <v>494.1</v>
      </c>
      <c r="O1080" s="116">
        <v>482.1</v>
      </c>
      <c r="P1080" s="116">
        <v>487.16</v>
      </c>
      <c r="Q1080" s="116">
        <v>2445.9499999999998</v>
      </c>
      <c r="R1080">
        <v>227115</v>
      </c>
    </row>
    <row r="1081" spans="1:18" x14ac:dyDescent="0.25">
      <c r="A1081" s="163">
        <v>43598</v>
      </c>
      <c r="B1081" s="116">
        <v>496.5</v>
      </c>
      <c r="C1081" s="116">
        <v>493</v>
      </c>
      <c r="D1081" s="116">
        <v>486.12</v>
      </c>
      <c r="E1081" s="116">
        <v>490.27</v>
      </c>
      <c r="F1081" s="116">
        <v>2465</v>
      </c>
      <c r="G1081">
        <v>18775</v>
      </c>
      <c r="H1081" s="116"/>
      <c r="I1081" s="116"/>
      <c r="L1081" s="163">
        <v>43598</v>
      </c>
      <c r="M1081" s="116">
        <v>493.32</v>
      </c>
      <c r="N1081" s="116">
        <v>496.6</v>
      </c>
      <c r="O1081" s="116">
        <v>486.1</v>
      </c>
      <c r="P1081" s="116">
        <v>489.93</v>
      </c>
      <c r="Q1081" s="116">
        <v>2466.6</v>
      </c>
      <c r="R1081">
        <v>281403</v>
      </c>
    </row>
    <row r="1082" spans="1:18" x14ac:dyDescent="0.25">
      <c r="A1082" s="163">
        <v>43599</v>
      </c>
      <c r="B1082" s="116">
        <v>525</v>
      </c>
      <c r="C1082" s="116">
        <v>520.4</v>
      </c>
      <c r="D1082" s="116">
        <v>466.78</v>
      </c>
      <c r="E1082" s="116">
        <v>494.8</v>
      </c>
      <c r="F1082" s="116">
        <v>2602</v>
      </c>
      <c r="G1082">
        <v>108793</v>
      </c>
      <c r="H1082" s="116"/>
      <c r="I1082" s="116"/>
      <c r="L1082" s="163">
        <v>43599</v>
      </c>
      <c r="M1082" s="116">
        <v>520.02</v>
      </c>
      <c r="N1082" s="116">
        <v>525.1</v>
      </c>
      <c r="O1082" s="116">
        <v>467</v>
      </c>
      <c r="P1082" s="116">
        <v>499.8</v>
      </c>
      <c r="Q1082" s="116">
        <v>2600.1</v>
      </c>
      <c r="R1082">
        <v>2004741</v>
      </c>
    </row>
    <row r="1083" spans="1:18" x14ac:dyDescent="0.25">
      <c r="A1083" s="163">
        <v>43600</v>
      </c>
      <c r="B1083" s="116">
        <v>562.79999999999995</v>
      </c>
      <c r="C1083" s="116">
        <v>553.71</v>
      </c>
      <c r="D1083" s="116">
        <v>517.29</v>
      </c>
      <c r="E1083" s="116">
        <v>519.79999999999995</v>
      </c>
      <c r="F1083" s="116">
        <v>2768.55</v>
      </c>
      <c r="G1083">
        <v>144635</v>
      </c>
      <c r="H1083" s="116"/>
      <c r="I1083" s="116"/>
      <c r="L1083" s="163">
        <v>43600</v>
      </c>
      <c r="M1083" s="116">
        <v>551.49</v>
      </c>
      <c r="N1083" s="116">
        <v>563</v>
      </c>
      <c r="O1083" s="116">
        <v>516.25</v>
      </c>
      <c r="P1083" s="116">
        <v>518</v>
      </c>
      <c r="Q1083" s="116">
        <v>2757.45</v>
      </c>
      <c r="R1083">
        <v>2525817</v>
      </c>
    </row>
    <row r="1084" spans="1:18" x14ac:dyDescent="0.25">
      <c r="A1084" s="163">
        <v>43601</v>
      </c>
      <c r="B1084" s="116">
        <v>557.83000000000004</v>
      </c>
      <c r="C1084" s="116">
        <v>553.03</v>
      </c>
      <c r="D1084" s="116">
        <v>542.38</v>
      </c>
      <c r="E1084" s="116">
        <v>553.6</v>
      </c>
      <c r="F1084" s="116">
        <v>2765.15</v>
      </c>
      <c r="G1084">
        <v>38924</v>
      </c>
      <c r="H1084" s="116"/>
      <c r="I1084" s="116"/>
      <c r="L1084" s="163">
        <v>43601</v>
      </c>
      <c r="M1084" s="116">
        <v>553.02</v>
      </c>
      <c r="N1084" s="116">
        <v>558</v>
      </c>
      <c r="O1084" s="116">
        <v>542.25</v>
      </c>
      <c r="P1084" s="116">
        <v>554</v>
      </c>
      <c r="Q1084" s="116">
        <v>2765.1</v>
      </c>
      <c r="R1084">
        <v>720480</v>
      </c>
    </row>
    <row r="1085" spans="1:18" x14ac:dyDescent="0.25">
      <c r="A1085" s="163">
        <v>43602</v>
      </c>
      <c r="B1085" s="116">
        <v>564.75</v>
      </c>
      <c r="C1085" s="116">
        <v>560.01</v>
      </c>
      <c r="D1085" s="116">
        <v>549.44000000000005</v>
      </c>
      <c r="E1085" s="116">
        <v>555</v>
      </c>
      <c r="F1085" s="116">
        <v>2800.05</v>
      </c>
      <c r="G1085">
        <v>30173</v>
      </c>
      <c r="H1085" s="116"/>
      <c r="I1085" s="116"/>
      <c r="L1085" s="163">
        <v>43602</v>
      </c>
      <c r="M1085" s="116">
        <v>559.69000000000005</v>
      </c>
      <c r="N1085" s="116">
        <v>564.48</v>
      </c>
      <c r="O1085" s="116">
        <v>548.04999999999995</v>
      </c>
      <c r="P1085" s="116">
        <v>548.22</v>
      </c>
      <c r="Q1085" s="116">
        <v>2798.45</v>
      </c>
      <c r="R1085">
        <v>457088</v>
      </c>
    </row>
    <row r="1086" spans="1:18" x14ac:dyDescent="0.25">
      <c r="A1086" s="163">
        <v>43605</v>
      </c>
      <c r="B1086" s="116">
        <v>587.26</v>
      </c>
      <c r="C1086" s="116">
        <v>583.23</v>
      </c>
      <c r="D1086" s="116">
        <v>565.77</v>
      </c>
      <c r="E1086" s="116">
        <v>568.1</v>
      </c>
      <c r="F1086" s="116">
        <v>2916.15</v>
      </c>
      <c r="G1086">
        <v>17846</v>
      </c>
      <c r="H1086" s="116"/>
      <c r="I1086" s="116"/>
      <c r="L1086" s="163">
        <v>43605</v>
      </c>
      <c r="M1086" s="116">
        <v>583.66</v>
      </c>
      <c r="N1086" s="116">
        <v>587.6</v>
      </c>
      <c r="O1086" s="116">
        <v>565.54999999999995</v>
      </c>
      <c r="P1086" s="116">
        <v>572</v>
      </c>
      <c r="Q1086" s="116">
        <v>2918.3</v>
      </c>
      <c r="R1086">
        <v>355828</v>
      </c>
    </row>
    <row r="1087" spans="1:18" x14ac:dyDescent="0.25">
      <c r="A1087" s="163">
        <v>43606</v>
      </c>
      <c r="B1087" s="116">
        <v>595.4</v>
      </c>
      <c r="C1087" s="116">
        <v>590.71</v>
      </c>
      <c r="D1087" s="116">
        <v>580</v>
      </c>
      <c r="E1087" s="116">
        <v>589</v>
      </c>
      <c r="F1087" s="116">
        <v>2953.55</v>
      </c>
      <c r="G1087">
        <v>45395</v>
      </c>
      <c r="H1087" s="116"/>
      <c r="I1087" s="116"/>
      <c r="L1087" s="163">
        <v>43606</v>
      </c>
      <c r="M1087" s="116">
        <v>592.03</v>
      </c>
      <c r="N1087" s="116">
        <v>595.67999999999995</v>
      </c>
      <c r="O1087" s="116">
        <v>579.03</v>
      </c>
      <c r="P1087" s="116">
        <v>583.65</v>
      </c>
      <c r="Q1087" s="116">
        <v>2960.15</v>
      </c>
      <c r="R1087">
        <v>498739</v>
      </c>
    </row>
    <row r="1088" spans="1:18" x14ac:dyDescent="0.25">
      <c r="A1088" s="163">
        <v>43607</v>
      </c>
      <c r="B1088" s="116">
        <v>594.78</v>
      </c>
      <c r="C1088" s="116">
        <v>585.54</v>
      </c>
      <c r="D1088" s="116">
        <v>583.86</v>
      </c>
      <c r="E1088" s="116">
        <v>594.78</v>
      </c>
      <c r="F1088" s="116">
        <v>2927.7</v>
      </c>
      <c r="G1088">
        <v>15724</v>
      </c>
      <c r="H1088" s="116"/>
      <c r="I1088" s="116"/>
      <c r="L1088" s="163">
        <v>43607</v>
      </c>
      <c r="M1088" s="116">
        <v>586.39</v>
      </c>
      <c r="N1088" s="116">
        <v>593.16</v>
      </c>
      <c r="O1088" s="116">
        <v>584.5</v>
      </c>
      <c r="P1088" s="116">
        <v>591</v>
      </c>
      <c r="Q1088" s="116">
        <v>2931.95</v>
      </c>
      <c r="R1088">
        <v>202914</v>
      </c>
    </row>
    <row r="1089" spans="1:18" x14ac:dyDescent="0.25">
      <c r="A1089" s="163">
        <v>43608</v>
      </c>
      <c r="B1089" s="116">
        <v>596.01</v>
      </c>
      <c r="C1089" s="116">
        <v>578.66</v>
      </c>
      <c r="D1089" s="116">
        <v>571.35</v>
      </c>
      <c r="E1089" s="116">
        <v>590</v>
      </c>
      <c r="F1089" s="116">
        <v>2893.3</v>
      </c>
      <c r="G1089">
        <v>20500</v>
      </c>
      <c r="H1089" s="116"/>
      <c r="I1089" s="116"/>
      <c r="L1089" s="163">
        <v>43608</v>
      </c>
      <c r="M1089" s="116">
        <v>578.53</v>
      </c>
      <c r="N1089" s="116">
        <v>595.89</v>
      </c>
      <c r="O1089" s="116">
        <v>571.80999999999995</v>
      </c>
      <c r="P1089" s="116">
        <v>589</v>
      </c>
      <c r="Q1089" s="116">
        <v>2892.65</v>
      </c>
      <c r="R1089">
        <v>348635</v>
      </c>
    </row>
    <row r="1090" spans="1:18" x14ac:dyDescent="0.25">
      <c r="A1090" s="163">
        <v>43609</v>
      </c>
      <c r="B1090" s="116">
        <v>584.21</v>
      </c>
      <c r="C1090" s="116">
        <v>574.47</v>
      </c>
      <c r="D1090" s="116">
        <v>570.20000000000005</v>
      </c>
      <c r="E1090" s="116">
        <v>578.92999999999995</v>
      </c>
      <c r="F1090" s="116">
        <v>2872.35</v>
      </c>
      <c r="G1090">
        <v>9538</v>
      </c>
      <c r="H1090" s="116"/>
      <c r="I1090" s="116"/>
      <c r="L1090" s="163">
        <v>43609</v>
      </c>
      <c r="M1090" s="116">
        <v>573.4</v>
      </c>
      <c r="N1090" s="116">
        <v>584.04999999999995</v>
      </c>
      <c r="O1090" s="116">
        <v>569.44000000000005</v>
      </c>
      <c r="P1090" s="116">
        <v>574.42999999999995</v>
      </c>
      <c r="Q1090" s="116">
        <v>2867</v>
      </c>
      <c r="R1090">
        <v>293483</v>
      </c>
    </row>
    <row r="1091" spans="1:18" x14ac:dyDescent="0.25">
      <c r="A1091" s="163">
        <v>43612</v>
      </c>
      <c r="B1091" s="116">
        <v>596.29</v>
      </c>
      <c r="C1091" s="116">
        <v>591.37</v>
      </c>
      <c r="D1091" s="116">
        <v>573.08000000000004</v>
      </c>
      <c r="E1091" s="116">
        <v>574</v>
      </c>
      <c r="F1091" s="116">
        <v>2956.85</v>
      </c>
      <c r="G1091">
        <v>10244</v>
      </c>
      <c r="H1091" s="116"/>
      <c r="I1091" s="116"/>
      <c r="L1091" s="163">
        <v>43612</v>
      </c>
      <c r="M1091" s="116">
        <v>591.66</v>
      </c>
      <c r="N1091" s="116">
        <v>596.58000000000004</v>
      </c>
      <c r="O1091" s="116">
        <v>572.1</v>
      </c>
      <c r="P1091" s="116">
        <v>576.79999999999995</v>
      </c>
      <c r="Q1091" s="116">
        <v>2958.3</v>
      </c>
      <c r="R1091">
        <v>315612</v>
      </c>
    </row>
    <row r="1092" spans="1:18" x14ac:dyDescent="0.25">
      <c r="A1092" s="163">
        <v>43613</v>
      </c>
      <c r="B1092" s="116">
        <v>595.88</v>
      </c>
      <c r="C1092" s="116">
        <v>579.58000000000004</v>
      </c>
      <c r="D1092" s="116">
        <v>577.16</v>
      </c>
      <c r="E1092" s="116">
        <v>590</v>
      </c>
      <c r="F1092" s="116">
        <v>2897.9</v>
      </c>
      <c r="G1092">
        <v>8316</v>
      </c>
      <c r="H1092" s="116"/>
      <c r="I1092" s="116"/>
      <c r="L1092" s="163">
        <v>43613</v>
      </c>
      <c r="M1092" s="116">
        <v>577.98</v>
      </c>
      <c r="N1092" s="116">
        <v>594.98</v>
      </c>
      <c r="O1092" s="116">
        <v>576.4</v>
      </c>
      <c r="P1092" s="116">
        <v>592.79999999999995</v>
      </c>
      <c r="Q1092" s="116">
        <v>2889.9</v>
      </c>
      <c r="R1092">
        <v>270369</v>
      </c>
    </row>
    <row r="1093" spans="1:18" x14ac:dyDescent="0.25">
      <c r="A1093" s="163">
        <v>43614</v>
      </c>
      <c r="B1093" s="116">
        <v>585</v>
      </c>
      <c r="C1093" s="116">
        <v>582.29</v>
      </c>
      <c r="D1093" s="116">
        <v>573.94000000000005</v>
      </c>
      <c r="E1093" s="116">
        <v>579.99</v>
      </c>
      <c r="F1093" s="116">
        <v>2911.45</v>
      </c>
      <c r="G1093">
        <v>7032</v>
      </c>
      <c r="H1093" s="116"/>
      <c r="I1093" s="116"/>
      <c r="L1093" s="163">
        <v>43614</v>
      </c>
      <c r="M1093" s="116">
        <v>582.54</v>
      </c>
      <c r="N1093" s="116">
        <v>585.20000000000005</v>
      </c>
      <c r="O1093" s="116">
        <v>573.09</v>
      </c>
      <c r="P1093" s="116">
        <v>577</v>
      </c>
      <c r="Q1093" s="116">
        <v>2912.7</v>
      </c>
      <c r="R1093">
        <v>251278</v>
      </c>
    </row>
    <row r="1094" spans="1:18" x14ac:dyDescent="0.25">
      <c r="A1094" s="163">
        <v>43615</v>
      </c>
      <c r="B1094" s="116">
        <v>581.91999999999996</v>
      </c>
      <c r="C1094" s="116">
        <v>579.95000000000005</v>
      </c>
      <c r="D1094" s="116">
        <v>576.02</v>
      </c>
      <c r="E1094" s="116">
        <v>580</v>
      </c>
      <c r="F1094" s="116">
        <v>2899.75</v>
      </c>
      <c r="G1094">
        <v>11274</v>
      </c>
      <c r="H1094" s="116"/>
      <c r="I1094" s="116"/>
      <c r="L1094" s="163">
        <v>43615</v>
      </c>
      <c r="M1094" s="116">
        <v>579.84</v>
      </c>
      <c r="N1094" s="116">
        <v>582</v>
      </c>
      <c r="O1094" s="116">
        <v>575.36</v>
      </c>
      <c r="P1094" s="116">
        <v>581.30999999999995</v>
      </c>
      <c r="Q1094" s="116">
        <v>2899.2</v>
      </c>
      <c r="R1094">
        <v>249659</v>
      </c>
    </row>
    <row r="1095" spans="1:18" x14ac:dyDescent="0.25">
      <c r="A1095" s="163">
        <v>43616</v>
      </c>
      <c r="B1095" s="116">
        <v>584.79999999999995</v>
      </c>
      <c r="C1095" s="116">
        <v>569.12</v>
      </c>
      <c r="D1095" s="116">
        <v>568</v>
      </c>
      <c r="E1095" s="116">
        <v>581</v>
      </c>
      <c r="F1095" s="116">
        <v>2845.6</v>
      </c>
      <c r="G1095">
        <v>9819</v>
      </c>
      <c r="H1095" s="116"/>
      <c r="I1095" s="116"/>
      <c r="L1095" s="163">
        <v>43616</v>
      </c>
      <c r="M1095" s="116">
        <v>569.37</v>
      </c>
      <c r="N1095" s="116">
        <v>585.36</v>
      </c>
      <c r="O1095" s="116">
        <v>567.20000000000005</v>
      </c>
      <c r="P1095" s="116">
        <v>581.75</v>
      </c>
      <c r="Q1095" s="116">
        <v>2846.85</v>
      </c>
      <c r="R1095">
        <v>281986</v>
      </c>
    </row>
    <row r="1096" spans="1:18" x14ac:dyDescent="0.25">
      <c r="A1096" s="163">
        <v>43619</v>
      </c>
      <c r="B1096" s="116">
        <v>573.78</v>
      </c>
      <c r="C1096" s="116">
        <v>571.78</v>
      </c>
      <c r="D1096" s="116">
        <v>555.79999999999995</v>
      </c>
      <c r="E1096" s="116">
        <v>569.6</v>
      </c>
      <c r="F1096" s="116">
        <v>2858.9</v>
      </c>
      <c r="G1096">
        <v>30011</v>
      </c>
      <c r="H1096" s="116"/>
      <c r="I1096" s="116"/>
      <c r="L1096" s="163">
        <v>43619</v>
      </c>
      <c r="M1096" s="116">
        <v>571.73</v>
      </c>
      <c r="N1096" s="116">
        <v>573.53</v>
      </c>
      <c r="O1096" s="116">
        <v>554.83000000000004</v>
      </c>
      <c r="P1096" s="116">
        <v>569.11</v>
      </c>
      <c r="Q1096" s="116">
        <v>2858.65</v>
      </c>
      <c r="R1096">
        <v>359700</v>
      </c>
    </row>
    <row r="1097" spans="1:18" x14ac:dyDescent="0.25">
      <c r="A1097" s="163">
        <v>43620</v>
      </c>
      <c r="B1097" s="116">
        <v>583.4</v>
      </c>
      <c r="C1097" s="116">
        <v>579.76</v>
      </c>
      <c r="D1097" s="116">
        <v>568.64</v>
      </c>
      <c r="E1097" s="116">
        <v>578</v>
      </c>
      <c r="F1097" s="116">
        <v>2898.8</v>
      </c>
      <c r="G1097">
        <v>21481</v>
      </c>
      <c r="H1097" s="116"/>
      <c r="I1097" s="116"/>
      <c r="L1097" s="163">
        <v>43620</v>
      </c>
      <c r="M1097" s="116">
        <v>579.20000000000005</v>
      </c>
      <c r="N1097" s="116">
        <v>583.9</v>
      </c>
      <c r="O1097" s="116">
        <v>566.79999999999995</v>
      </c>
      <c r="P1097" s="116">
        <v>568.4</v>
      </c>
      <c r="Q1097" s="116">
        <v>2896</v>
      </c>
      <c r="R1097">
        <v>344046</v>
      </c>
    </row>
    <row r="1098" spans="1:18" x14ac:dyDescent="0.25">
      <c r="A1098" s="163">
        <v>43622</v>
      </c>
      <c r="B1098" s="116">
        <v>584.20000000000005</v>
      </c>
      <c r="C1098" s="116">
        <v>568.35</v>
      </c>
      <c r="D1098" s="116">
        <v>565.58000000000004</v>
      </c>
      <c r="E1098" s="116">
        <v>579.24</v>
      </c>
      <c r="F1098" s="116">
        <v>2841.75</v>
      </c>
      <c r="G1098">
        <v>7809</v>
      </c>
      <c r="H1098" s="116"/>
      <c r="I1098" s="116"/>
      <c r="L1098" s="163">
        <v>43622</v>
      </c>
      <c r="M1098" s="116">
        <v>568.30999999999995</v>
      </c>
      <c r="N1098" s="116">
        <v>584.08000000000004</v>
      </c>
      <c r="O1098" s="116">
        <v>565.17999999999995</v>
      </c>
      <c r="P1098" s="116">
        <v>580</v>
      </c>
      <c r="Q1098" s="116">
        <v>2841.55</v>
      </c>
      <c r="R1098">
        <v>239173</v>
      </c>
    </row>
    <row r="1099" spans="1:18" x14ac:dyDescent="0.25">
      <c r="A1099" s="163">
        <v>43623</v>
      </c>
      <c r="B1099" s="116">
        <v>578</v>
      </c>
      <c r="C1099" s="116">
        <v>574.37</v>
      </c>
      <c r="D1099" s="116">
        <v>564.98</v>
      </c>
      <c r="E1099" s="116">
        <v>568.4</v>
      </c>
      <c r="F1099" s="116">
        <v>2871.85</v>
      </c>
      <c r="G1099">
        <v>6727</v>
      </c>
      <c r="H1099" s="116"/>
      <c r="I1099" s="116"/>
      <c r="L1099" s="163">
        <v>43623</v>
      </c>
      <c r="M1099" s="116">
        <v>575.08000000000004</v>
      </c>
      <c r="N1099" s="116">
        <v>579.21</v>
      </c>
      <c r="O1099" s="116">
        <v>564.41999999999996</v>
      </c>
      <c r="P1099" s="116">
        <v>571.4</v>
      </c>
      <c r="Q1099" s="116">
        <v>2875.4</v>
      </c>
      <c r="R1099">
        <v>209193</v>
      </c>
    </row>
    <row r="1100" spans="1:18" x14ac:dyDescent="0.25">
      <c r="A1100" s="163">
        <v>43626</v>
      </c>
      <c r="B1100" s="116">
        <v>590</v>
      </c>
      <c r="C1100" s="116">
        <v>581.4</v>
      </c>
      <c r="D1100" s="116">
        <v>575</v>
      </c>
      <c r="E1100" s="116">
        <v>577</v>
      </c>
      <c r="F1100" s="116">
        <v>2907</v>
      </c>
      <c r="G1100">
        <v>12480</v>
      </c>
      <c r="H1100" s="116"/>
      <c r="I1100" s="116"/>
      <c r="L1100" s="163">
        <v>43626</v>
      </c>
      <c r="M1100" s="116">
        <v>581.92999999999995</v>
      </c>
      <c r="N1100" s="116">
        <v>590.72</v>
      </c>
      <c r="O1100" s="116">
        <v>575.20000000000005</v>
      </c>
      <c r="P1100" s="116">
        <v>575.20000000000005</v>
      </c>
      <c r="Q1100" s="116">
        <v>2909.65</v>
      </c>
      <c r="R1100">
        <v>352424</v>
      </c>
    </row>
    <row r="1101" spans="1:18" x14ac:dyDescent="0.25">
      <c r="A1101" s="163">
        <v>43627</v>
      </c>
      <c r="B1101" s="116">
        <v>584.99</v>
      </c>
      <c r="C1101" s="116">
        <v>578.48</v>
      </c>
      <c r="D1101" s="116">
        <v>576.4</v>
      </c>
      <c r="E1101" s="116">
        <v>581.80999999999995</v>
      </c>
      <c r="F1101" s="116">
        <v>2892.4</v>
      </c>
      <c r="G1101">
        <v>8966</v>
      </c>
      <c r="H1101" s="116"/>
      <c r="I1101" s="116"/>
      <c r="L1101" s="163">
        <v>43627</v>
      </c>
      <c r="M1101" s="116">
        <v>578.12</v>
      </c>
      <c r="N1101" s="116">
        <v>585.55999999999995</v>
      </c>
      <c r="O1101" s="116">
        <v>576.02</v>
      </c>
      <c r="P1101" s="116">
        <v>585</v>
      </c>
      <c r="Q1101" s="116">
        <v>2890.6</v>
      </c>
      <c r="R1101">
        <v>182310</v>
      </c>
    </row>
    <row r="1102" spans="1:18" x14ac:dyDescent="0.25">
      <c r="A1102" s="163">
        <v>43628</v>
      </c>
      <c r="B1102" s="116">
        <v>583.4</v>
      </c>
      <c r="C1102" s="116">
        <v>577.86</v>
      </c>
      <c r="D1102" s="116">
        <v>575.29</v>
      </c>
      <c r="E1102" s="116">
        <v>577.20000000000005</v>
      </c>
      <c r="F1102" s="116">
        <v>2889.3</v>
      </c>
      <c r="G1102">
        <v>6817</v>
      </c>
      <c r="H1102" s="116"/>
      <c r="I1102" s="116"/>
      <c r="L1102" s="163">
        <v>43628</v>
      </c>
      <c r="M1102" s="116">
        <v>577.9</v>
      </c>
      <c r="N1102" s="116">
        <v>584</v>
      </c>
      <c r="O1102" s="116">
        <v>575.46</v>
      </c>
      <c r="P1102" s="116">
        <v>578.6</v>
      </c>
      <c r="Q1102" s="116">
        <v>2889.5</v>
      </c>
      <c r="R1102">
        <v>168226</v>
      </c>
    </row>
    <row r="1103" spans="1:18" x14ac:dyDescent="0.25">
      <c r="A1103" s="163">
        <v>43629</v>
      </c>
      <c r="B1103" s="116">
        <v>585.87</v>
      </c>
      <c r="C1103" s="116">
        <v>584.66999999999996</v>
      </c>
      <c r="D1103" s="116">
        <v>572.58000000000004</v>
      </c>
      <c r="E1103" s="116">
        <v>578</v>
      </c>
      <c r="F1103" s="116">
        <v>2923.35</v>
      </c>
      <c r="G1103">
        <v>9504</v>
      </c>
      <c r="H1103" s="116"/>
      <c r="I1103" s="116"/>
      <c r="L1103" s="163">
        <v>43629</v>
      </c>
      <c r="M1103" s="116">
        <v>583.9</v>
      </c>
      <c r="N1103" s="116">
        <v>586</v>
      </c>
      <c r="O1103" s="116">
        <v>572.45000000000005</v>
      </c>
      <c r="P1103" s="116">
        <v>580.23</v>
      </c>
      <c r="Q1103" s="116">
        <v>2919.5</v>
      </c>
      <c r="R1103">
        <v>160465</v>
      </c>
    </row>
    <row r="1104" spans="1:18" x14ac:dyDescent="0.25">
      <c r="A1104" s="163">
        <v>43630</v>
      </c>
      <c r="B1104" s="116">
        <v>588.20000000000005</v>
      </c>
      <c r="C1104" s="116">
        <v>576.94000000000005</v>
      </c>
      <c r="D1104" s="116">
        <v>572</v>
      </c>
      <c r="E1104" s="116">
        <v>585.20000000000005</v>
      </c>
      <c r="F1104" s="116">
        <v>2884.7</v>
      </c>
      <c r="G1104">
        <v>10336</v>
      </c>
      <c r="H1104" s="116"/>
      <c r="I1104" s="116"/>
      <c r="L1104" s="163">
        <v>43630</v>
      </c>
      <c r="M1104" s="116">
        <v>577.14</v>
      </c>
      <c r="N1104" s="116">
        <v>588.6</v>
      </c>
      <c r="O1104" s="116">
        <v>570.69000000000005</v>
      </c>
      <c r="P1104" s="116">
        <v>586.6</v>
      </c>
      <c r="Q1104" s="116">
        <v>2885.7</v>
      </c>
      <c r="R1104">
        <v>280610</v>
      </c>
    </row>
    <row r="1105" spans="1:18" x14ac:dyDescent="0.25">
      <c r="A1105" s="163">
        <v>43633</v>
      </c>
      <c r="B1105" s="116">
        <v>589.69000000000005</v>
      </c>
      <c r="C1105" s="116">
        <v>575.79</v>
      </c>
      <c r="D1105" s="116">
        <v>565.46</v>
      </c>
      <c r="E1105" s="116">
        <v>578.94000000000005</v>
      </c>
      <c r="F1105" s="116">
        <v>2878.95</v>
      </c>
      <c r="G1105">
        <v>25736</v>
      </c>
      <c r="H1105" s="116"/>
      <c r="I1105" s="116"/>
      <c r="L1105" s="163">
        <v>43633</v>
      </c>
      <c r="M1105" s="116">
        <v>572.5</v>
      </c>
      <c r="N1105" s="116">
        <v>576.58000000000004</v>
      </c>
      <c r="O1105" s="116">
        <v>569.67999999999995</v>
      </c>
      <c r="P1105" s="116">
        <v>575</v>
      </c>
      <c r="Q1105" s="116">
        <v>2862.5</v>
      </c>
      <c r="R1105">
        <v>102580</v>
      </c>
    </row>
    <row r="1106" spans="1:18" x14ac:dyDescent="0.25">
      <c r="A1106" s="163">
        <v>43634</v>
      </c>
      <c r="B1106" s="116">
        <v>604.21</v>
      </c>
      <c r="C1106" s="116">
        <v>602.16999999999996</v>
      </c>
      <c r="D1106" s="116">
        <v>571.41</v>
      </c>
      <c r="E1106" s="116">
        <v>587.79999999999995</v>
      </c>
      <c r="F1106" s="116">
        <v>3010.85</v>
      </c>
      <c r="G1106">
        <v>45403</v>
      </c>
      <c r="H1106" s="116"/>
      <c r="I1106" s="116"/>
      <c r="L1106" s="163">
        <v>43634</v>
      </c>
      <c r="M1106" s="116">
        <v>601.91999999999996</v>
      </c>
      <c r="N1106" s="116">
        <v>604.20000000000005</v>
      </c>
      <c r="O1106" s="116">
        <v>573.62</v>
      </c>
      <c r="P1106" s="116">
        <v>574.6</v>
      </c>
      <c r="Q1106" s="116">
        <v>3009.6</v>
      </c>
      <c r="R1106">
        <v>1067518</v>
      </c>
    </row>
    <row r="1107" spans="1:18" x14ac:dyDescent="0.25">
      <c r="A1107" s="163">
        <v>43635</v>
      </c>
      <c r="B1107" s="116">
        <v>608.85</v>
      </c>
      <c r="C1107" s="116">
        <v>595.20000000000005</v>
      </c>
      <c r="D1107" s="116">
        <v>587.45000000000005</v>
      </c>
      <c r="E1107" s="116">
        <v>605.4</v>
      </c>
      <c r="F1107" s="116">
        <v>2976</v>
      </c>
      <c r="G1107">
        <v>29088</v>
      </c>
      <c r="H1107" s="116"/>
      <c r="I1107" s="116"/>
      <c r="L1107" s="163">
        <v>43635</v>
      </c>
      <c r="M1107" s="116">
        <v>594.30999999999995</v>
      </c>
      <c r="N1107" s="116">
        <v>609.20000000000005</v>
      </c>
      <c r="O1107" s="116">
        <v>587.42999999999995</v>
      </c>
      <c r="P1107" s="116">
        <v>604</v>
      </c>
      <c r="Q1107" s="116">
        <v>2971.55</v>
      </c>
      <c r="R1107">
        <v>697820</v>
      </c>
    </row>
    <row r="1108" spans="1:18" x14ac:dyDescent="0.25">
      <c r="A1108" s="163">
        <v>43636</v>
      </c>
      <c r="B1108" s="116">
        <v>609.74</v>
      </c>
      <c r="C1108" s="116">
        <v>608.26</v>
      </c>
      <c r="D1108" s="116">
        <v>595.79999999999995</v>
      </c>
      <c r="E1108" s="116">
        <v>596</v>
      </c>
      <c r="F1108" s="116">
        <v>3041.3</v>
      </c>
      <c r="G1108">
        <v>40353</v>
      </c>
      <c r="H1108" s="116"/>
      <c r="I1108" s="116"/>
      <c r="L1108" s="163">
        <v>43636</v>
      </c>
      <c r="M1108" s="116">
        <v>608.09</v>
      </c>
      <c r="N1108" s="116">
        <v>609.77</v>
      </c>
      <c r="O1108" s="116">
        <v>595.66</v>
      </c>
      <c r="P1108" s="116">
        <v>597.79999999999995</v>
      </c>
      <c r="Q1108" s="116">
        <v>3040.45</v>
      </c>
      <c r="R1108">
        <v>534018</v>
      </c>
    </row>
    <row r="1109" spans="1:18" x14ac:dyDescent="0.25">
      <c r="A1109" s="163">
        <v>43637</v>
      </c>
      <c r="B1109" s="116">
        <v>612.11</v>
      </c>
      <c r="C1109" s="116">
        <v>604.15</v>
      </c>
      <c r="D1109" s="116">
        <v>601.82000000000005</v>
      </c>
      <c r="E1109" s="116">
        <v>604</v>
      </c>
      <c r="F1109" s="116">
        <v>3020.75</v>
      </c>
      <c r="G1109">
        <v>12567</v>
      </c>
      <c r="H1109" s="116"/>
      <c r="I1109" s="116"/>
      <c r="L1109" s="163">
        <v>43637</v>
      </c>
      <c r="M1109" s="116">
        <v>604.24</v>
      </c>
      <c r="N1109" s="116">
        <v>612.6</v>
      </c>
      <c r="O1109" s="116">
        <v>601.42999999999995</v>
      </c>
      <c r="P1109" s="116">
        <v>607.79999999999995</v>
      </c>
      <c r="Q1109" s="116">
        <v>3021.2</v>
      </c>
      <c r="R1109">
        <v>378281</v>
      </c>
    </row>
    <row r="1110" spans="1:18" x14ac:dyDescent="0.25">
      <c r="A1110" s="163">
        <v>43640</v>
      </c>
      <c r="B1110" s="116">
        <v>607.66999999999996</v>
      </c>
      <c r="C1110" s="116">
        <v>597.9</v>
      </c>
      <c r="D1110" s="116">
        <v>597.04999999999995</v>
      </c>
      <c r="E1110" s="116">
        <v>605</v>
      </c>
      <c r="F1110" s="116">
        <v>2989.5</v>
      </c>
      <c r="G1110">
        <v>5609</v>
      </c>
      <c r="H1110" s="116"/>
      <c r="I1110" s="116"/>
      <c r="L1110" s="163">
        <v>43640</v>
      </c>
      <c r="M1110" s="116">
        <v>598</v>
      </c>
      <c r="N1110" s="116">
        <v>608.4</v>
      </c>
      <c r="O1110" s="116">
        <v>597</v>
      </c>
      <c r="P1110" s="116">
        <v>606.79999999999995</v>
      </c>
      <c r="Q1110" s="116">
        <v>2990</v>
      </c>
      <c r="R1110">
        <v>181384</v>
      </c>
    </row>
    <row r="1111" spans="1:18" x14ac:dyDescent="0.25">
      <c r="A1111" s="163">
        <v>43641</v>
      </c>
      <c r="B1111" s="116">
        <v>599</v>
      </c>
      <c r="C1111" s="116">
        <v>592.59</v>
      </c>
      <c r="D1111" s="116">
        <v>584.79999999999995</v>
      </c>
      <c r="E1111" s="116">
        <v>595.01</v>
      </c>
      <c r="F1111" s="116">
        <v>2962.95</v>
      </c>
      <c r="G1111">
        <v>10009</v>
      </c>
      <c r="H1111" s="116"/>
      <c r="I1111" s="116"/>
      <c r="L1111" s="163">
        <v>43641</v>
      </c>
      <c r="M1111" s="116">
        <v>592.83000000000004</v>
      </c>
      <c r="N1111" s="116">
        <v>598.96</v>
      </c>
      <c r="O1111" s="116">
        <v>584</v>
      </c>
      <c r="P1111" s="116">
        <v>597.6</v>
      </c>
      <c r="Q1111" s="116">
        <v>2964.15</v>
      </c>
      <c r="R1111">
        <v>405770</v>
      </c>
    </row>
    <row r="1112" spans="1:18" x14ac:dyDescent="0.25">
      <c r="A1112" s="163">
        <v>43642</v>
      </c>
      <c r="B1112" s="116">
        <v>601.20000000000005</v>
      </c>
      <c r="C1112" s="116">
        <v>595.84</v>
      </c>
      <c r="D1112" s="116">
        <v>590.55999999999995</v>
      </c>
      <c r="E1112" s="116">
        <v>592</v>
      </c>
      <c r="F1112" s="116">
        <v>2979.2</v>
      </c>
      <c r="G1112">
        <v>5888</v>
      </c>
      <c r="H1112" s="116"/>
      <c r="I1112" s="116"/>
      <c r="L1112" s="163">
        <v>43642</v>
      </c>
      <c r="M1112" s="116">
        <v>595.66999999999996</v>
      </c>
      <c r="N1112" s="116">
        <v>601.20000000000005</v>
      </c>
      <c r="O1112" s="116">
        <v>590.4</v>
      </c>
      <c r="P1112" s="116">
        <v>595.1</v>
      </c>
      <c r="Q1112" s="116">
        <v>2978.35</v>
      </c>
      <c r="R1112">
        <v>256211</v>
      </c>
    </row>
    <row r="1113" spans="1:18" x14ac:dyDescent="0.25">
      <c r="A1113" s="163">
        <v>43643</v>
      </c>
      <c r="B1113" s="116">
        <v>615.1</v>
      </c>
      <c r="C1113" s="116">
        <v>605.78</v>
      </c>
      <c r="D1113" s="116">
        <v>593.79</v>
      </c>
      <c r="E1113" s="116">
        <v>594.20000000000005</v>
      </c>
      <c r="F1113" s="116">
        <v>3028.9</v>
      </c>
      <c r="G1113">
        <v>19352</v>
      </c>
      <c r="H1113" s="116"/>
      <c r="I1113" s="116"/>
      <c r="L1113" s="163">
        <v>43643</v>
      </c>
      <c r="M1113" s="116">
        <v>604.71</v>
      </c>
      <c r="N1113" s="116">
        <v>615.4</v>
      </c>
      <c r="O1113" s="116">
        <v>592.67999999999995</v>
      </c>
      <c r="P1113" s="116">
        <v>594.41999999999996</v>
      </c>
      <c r="Q1113" s="116">
        <v>3023.55</v>
      </c>
      <c r="R1113">
        <v>520148</v>
      </c>
    </row>
    <row r="1114" spans="1:18" x14ac:dyDescent="0.25">
      <c r="A1114" s="163">
        <v>43644</v>
      </c>
      <c r="B1114" s="116">
        <v>611.29</v>
      </c>
      <c r="C1114" s="116">
        <v>608.70000000000005</v>
      </c>
      <c r="D1114" s="116">
        <v>604</v>
      </c>
      <c r="E1114" s="116">
        <v>606</v>
      </c>
      <c r="F1114" s="116">
        <v>3043.5</v>
      </c>
      <c r="G1114">
        <v>7117</v>
      </c>
      <c r="H1114" s="116"/>
      <c r="I1114" s="116"/>
      <c r="L1114" s="163">
        <v>43644</v>
      </c>
      <c r="M1114" s="116">
        <v>608.53</v>
      </c>
      <c r="N1114" s="116">
        <v>611.79999999999995</v>
      </c>
      <c r="O1114" s="116">
        <v>603.45000000000005</v>
      </c>
      <c r="P1114" s="116">
        <v>608</v>
      </c>
      <c r="Q1114" s="116">
        <v>3042.65</v>
      </c>
      <c r="R1114">
        <v>370740</v>
      </c>
    </row>
    <row r="1115" spans="1:18" x14ac:dyDescent="0.25">
      <c r="A1115" s="163">
        <v>43647</v>
      </c>
      <c r="B1115" s="116">
        <v>612.67999999999995</v>
      </c>
      <c r="C1115" s="116">
        <v>604.19000000000005</v>
      </c>
      <c r="D1115" s="116">
        <v>599.12</v>
      </c>
      <c r="E1115" s="116">
        <v>610.4</v>
      </c>
      <c r="F1115" s="116">
        <v>3020.95</v>
      </c>
      <c r="G1115">
        <v>8263</v>
      </c>
      <c r="H1115" s="116"/>
      <c r="I1115" s="116"/>
      <c r="L1115" s="163">
        <v>43647</v>
      </c>
      <c r="M1115" s="116">
        <v>604.11</v>
      </c>
      <c r="N1115" s="116">
        <v>613.79999999999995</v>
      </c>
      <c r="O1115" s="116">
        <v>599.03</v>
      </c>
      <c r="P1115" s="116">
        <v>613.79999999999995</v>
      </c>
      <c r="Q1115" s="116">
        <v>3020.55</v>
      </c>
      <c r="R1115">
        <v>325396</v>
      </c>
    </row>
    <row r="1116" spans="1:18" x14ac:dyDescent="0.25">
      <c r="A1116" s="163">
        <v>43648</v>
      </c>
      <c r="B1116" s="116">
        <v>615.64</v>
      </c>
      <c r="C1116" s="116">
        <v>613.26</v>
      </c>
      <c r="D1116" s="116">
        <v>601.37</v>
      </c>
      <c r="E1116" s="116">
        <v>602</v>
      </c>
      <c r="F1116" s="116">
        <v>3066.3</v>
      </c>
      <c r="G1116">
        <v>16285</v>
      </c>
      <c r="H1116" s="116"/>
      <c r="I1116" s="116"/>
      <c r="L1116" s="163">
        <v>43648</v>
      </c>
      <c r="M1116" s="116">
        <v>613.39</v>
      </c>
      <c r="N1116" s="116">
        <v>615.57000000000005</v>
      </c>
      <c r="O1116" s="116">
        <v>601.24</v>
      </c>
      <c r="P1116" s="116">
        <v>605.96</v>
      </c>
      <c r="Q1116" s="116">
        <v>3066.95</v>
      </c>
      <c r="R1116">
        <v>257901</v>
      </c>
    </row>
    <row r="1117" spans="1:18" x14ac:dyDescent="0.25">
      <c r="A1117" s="163">
        <v>43649</v>
      </c>
      <c r="B1117" s="116">
        <v>617.20000000000005</v>
      </c>
      <c r="C1117" s="116">
        <v>606.29999999999995</v>
      </c>
      <c r="D1117" s="116">
        <v>602</v>
      </c>
      <c r="E1117" s="116">
        <v>602</v>
      </c>
      <c r="F1117" s="116">
        <v>3031.5</v>
      </c>
      <c r="G1117">
        <v>12697</v>
      </c>
      <c r="H1117" s="116"/>
      <c r="I1117" s="116"/>
      <c r="L1117" s="163">
        <v>43649</v>
      </c>
      <c r="M1117" s="116">
        <v>605.32000000000005</v>
      </c>
      <c r="N1117" s="116">
        <v>617.22</v>
      </c>
      <c r="O1117" s="116">
        <v>603.02</v>
      </c>
      <c r="P1117" s="116">
        <v>613.59</v>
      </c>
      <c r="Q1117" s="116">
        <v>3026.6</v>
      </c>
      <c r="R1117">
        <v>373945</v>
      </c>
    </row>
    <row r="1118" spans="1:18" x14ac:dyDescent="0.25">
      <c r="A1118" s="163">
        <v>43650</v>
      </c>
      <c r="B1118" s="116">
        <v>613.46</v>
      </c>
      <c r="C1118" s="116">
        <v>609.16</v>
      </c>
      <c r="D1118" s="116">
        <v>606.4</v>
      </c>
      <c r="E1118" s="116">
        <v>606.4</v>
      </c>
      <c r="F1118" s="116">
        <v>3045.8</v>
      </c>
      <c r="G1118">
        <v>6814</v>
      </c>
      <c r="H1118" s="116"/>
      <c r="I1118" s="116"/>
      <c r="L1118" s="163">
        <v>43650</v>
      </c>
      <c r="M1118" s="116">
        <v>609.54</v>
      </c>
      <c r="N1118" s="116">
        <v>613.69000000000005</v>
      </c>
      <c r="O1118" s="116">
        <v>606.03</v>
      </c>
      <c r="P1118" s="116">
        <v>608.95000000000005</v>
      </c>
      <c r="Q1118" s="116">
        <v>3047.7</v>
      </c>
      <c r="R1118">
        <v>146597</v>
      </c>
    </row>
    <row r="1119" spans="1:18" x14ac:dyDescent="0.25">
      <c r="A1119" s="163">
        <v>43651</v>
      </c>
      <c r="B1119" s="116">
        <v>612.32000000000005</v>
      </c>
      <c r="C1119" s="116">
        <v>595.26</v>
      </c>
      <c r="D1119" s="116">
        <v>594</v>
      </c>
      <c r="E1119" s="116">
        <v>609.76</v>
      </c>
      <c r="F1119" s="116">
        <v>2976.3</v>
      </c>
      <c r="G1119">
        <v>10873</v>
      </c>
      <c r="H1119" s="116"/>
      <c r="I1119" s="116"/>
      <c r="L1119" s="163">
        <v>43651</v>
      </c>
      <c r="M1119" s="116">
        <v>596.41</v>
      </c>
      <c r="N1119" s="116">
        <v>612.70000000000005</v>
      </c>
      <c r="O1119" s="116">
        <v>594.21</v>
      </c>
      <c r="P1119" s="116">
        <v>609.79999999999995</v>
      </c>
      <c r="Q1119" s="116">
        <v>2982.05</v>
      </c>
      <c r="R1119">
        <v>253519</v>
      </c>
    </row>
    <row r="1120" spans="1:18" x14ac:dyDescent="0.25">
      <c r="A1120" s="163">
        <v>43654</v>
      </c>
      <c r="B1120" s="116">
        <v>594.4</v>
      </c>
      <c r="C1120" s="116">
        <v>576.38</v>
      </c>
      <c r="D1120" s="116">
        <v>574.17999999999995</v>
      </c>
      <c r="E1120" s="116">
        <v>594</v>
      </c>
      <c r="F1120" s="116">
        <v>2881.9</v>
      </c>
      <c r="G1120">
        <v>10366</v>
      </c>
      <c r="H1120" s="116"/>
      <c r="I1120" s="116"/>
      <c r="L1120" s="163">
        <v>43654</v>
      </c>
      <c r="M1120" s="116">
        <v>576.12</v>
      </c>
      <c r="N1120" s="116">
        <v>596.54999999999995</v>
      </c>
      <c r="O1120" s="116">
        <v>574.15</v>
      </c>
      <c r="P1120" s="116">
        <v>596.41</v>
      </c>
      <c r="Q1120" s="116">
        <v>2880.6</v>
      </c>
      <c r="R1120">
        <v>308658</v>
      </c>
    </row>
    <row r="1121" spans="1:18" x14ac:dyDescent="0.25">
      <c r="A1121" s="163">
        <v>43655</v>
      </c>
      <c r="B1121" s="116">
        <v>578.4</v>
      </c>
      <c r="C1121" s="116">
        <v>559.20000000000005</v>
      </c>
      <c r="D1121" s="116">
        <v>551.6</v>
      </c>
      <c r="E1121" s="116">
        <v>576.38</v>
      </c>
      <c r="F1121" s="116">
        <v>2796</v>
      </c>
      <c r="G1121">
        <v>18770</v>
      </c>
      <c r="H1121" s="116"/>
      <c r="I1121" s="116"/>
      <c r="L1121" s="163">
        <v>43655</v>
      </c>
      <c r="M1121" s="116">
        <v>559.20000000000005</v>
      </c>
      <c r="N1121" s="116">
        <v>579.09</v>
      </c>
      <c r="O1121" s="116">
        <v>551.21</v>
      </c>
      <c r="P1121" s="116">
        <v>573.88</v>
      </c>
      <c r="Q1121" s="116">
        <v>2796</v>
      </c>
      <c r="R1121">
        <v>616186</v>
      </c>
    </row>
    <row r="1122" spans="1:18" x14ac:dyDescent="0.25">
      <c r="A1122" s="163">
        <v>43656</v>
      </c>
      <c r="B1122" s="116">
        <v>562</v>
      </c>
      <c r="C1122" s="116">
        <v>551.98</v>
      </c>
      <c r="D1122" s="116">
        <v>548.24</v>
      </c>
      <c r="E1122" s="116">
        <v>562</v>
      </c>
      <c r="F1122" s="116">
        <v>2759.9</v>
      </c>
      <c r="G1122">
        <v>8397</v>
      </c>
      <c r="H1122" s="116"/>
      <c r="I1122" s="116"/>
      <c r="L1122" s="163">
        <v>43656</v>
      </c>
      <c r="M1122" s="116">
        <v>552.39</v>
      </c>
      <c r="N1122" s="116">
        <v>559.79999999999995</v>
      </c>
      <c r="O1122" s="116">
        <v>548</v>
      </c>
      <c r="P1122" s="116">
        <v>559.76</v>
      </c>
      <c r="Q1122" s="116">
        <v>2761.95</v>
      </c>
      <c r="R1122">
        <v>329101</v>
      </c>
    </row>
    <row r="1123" spans="1:18" x14ac:dyDescent="0.25">
      <c r="A1123" s="163">
        <v>43657</v>
      </c>
      <c r="B1123" s="116">
        <v>561.6</v>
      </c>
      <c r="C1123" s="116">
        <v>552.36</v>
      </c>
      <c r="D1123" s="116">
        <v>550</v>
      </c>
      <c r="E1123" s="116">
        <v>550</v>
      </c>
      <c r="F1123" s="116">
        <v>2761.8</v>
      </c>
      <c r="G1123">
        <v>21253</v>
      </c>
      <c r="H1123" s="116"/>
      <c r="I1123" s="116"/>
      <c r="L1123" s="163">
        <v>43657</v>
      </c>
      <c r="M1123" s="116">
        <v>552.04999999999995</v>
      </c>
      <c r="N1123" s="116">
        <v>561.71</v>
      </c>
      <c r="O1123" s="116">
        <v>550</v>
      </c>
      <c r="P1123" s="116">
        <v>552</v>
      </c>
      <c r="Q1123" s="116">
        <v>2760.25</v>
      </c>
      <c r="R1123">
        <v>273458</v>
      </c>
    </row>
    <row r="1124" spans="1:18" x14ac:dyDescent="0.25">
      <c r="A1124" s="163">
        <v>43658</v>
      </c>
      <c r="B1124" s="116">
        <v>556</v>
      </c>
      <c r="C1124" s="116">
        <v>549.66</v>
      </c>
      <c r="D1124" s="116">
        <v>541.73</v>
      </c>
      <c r="E1124" s="116">
        <v>552</v>
      </c>
      <c r="F1124" s="116">
        <v>2748.3</v>
      </c>
      <c r="G1124">
        <v>15165</v>
      </c>
      <c r="H1124" s="116"/>
      <c r="I1124" s="116"/>
      <c r="L1124" s="163">
        <v>43658</v>
      </c>
      <c r="M1124" s="116">
        <v>549.62</v>
      </c>
      <c r="N1124" s="116">
        <v>556.34</v>
      </c>
      <c r="O1124" s="116">
        <v>541.6</v>
      </c>
      <c r="P1124" s="116">
        <v>553.6</v>
      </c>
      <c r="Q1124" s="116">
        <v>2748.1</v>
      </c>
      <c r="R1124">
        <v>425922</v>
      </c>
    </row>
    <row r="1125" spans="1:18" x14ac:dyDescent="0.25">
      <c r="A1125" s="163">
        <v>43661</v>
      </c>
      <c r="B1125" s="116">
        <v>553.53</v>
      </c>
      <c r="C1125" s="116">
        <v>537.20000000000005</v>
      </c>
      <c r="D1125" s="116">
        <v>532.35</v>
      </c>
      <c r="E1125" s="116">
        <v>550.4</v>
      </c>
      <c r="F1125" s="116">
        <v>2686</v>
      </c>
      <c r="G1125">
        <v>9407</v>
      </c>
      <c r="H1125" s="116"/>
      <c r="I1125" s="116"/>
      <c r="L1125" s="163">
        <v>43661</v>
      </c>
      <c r="M1125" s="116">
        <v>537.22</v>
      </c>
      <c r="N1125" s="116">
        <v>559.6</v>
      </c>
      <c r="O1125" s="116">
        <v>532.4</v>
      </c>
      <c r="P1125" s="116">
        <v>551</v>
      </c>
      <c r="Q1125" s="116">
        <v>2686.1</v>
      </c>
      <c r="R1125">
        <v>321099</v>
      </c>
    </row>
    <row r="1126" spans="1:18" x14ac:dyDescent="0.25">
      <c r="A1126" s="163">
        <v>43662</v>
      </c>
      <c r="B1126" s="116">
        <v>557.65</v>
      </c>
      <c r="C1126" s="116">
        <v>555.51</v>
      </c>
      <c r="D1126" s="116">
        <v>537.49</v>
      </c>
      <c r="E1126" s="116">
        <v>537.49</v>
      </c>
      <c r="F1126" s="116">
        <v>2777.55</v>
      </c>
      <c r="G1126">
        <v>24639</v>
      </c>
      <c r="H1126" s="116"/>
      <c r="I1126" s="116"/>
      <c r="L1126" s="163">
        <v>43662</v>
      </c>
      <c r="M1126" s="116">
        <v>555.58000000000004</v>
      </c>
      <c r="N1126" s="116">
        <v>557.79999999999995</v>
      </c>
      <c r="O1126" s="116">
        <v>539.75</v>
      </c>
      <c r="P1126" s="116">
        <v>539.79999999999995</v>
      </c>
      <c r="Q1126" s="116">
        <v>2777.9</v>
      </c>
      <c r="R1126">
        <v>469570</v>
      </c>
    </row>
    <row r="1127" spans="1:18" x14ac:dyDescent="0.25">
      <c r="A1127" s="163">
        <v>43663</v>
      </c>
      <c r="B1127" s="116">
        <v>556.88</v>
      </c>
      <c r="C1127" s="116">
        <v>542.30999999999995</v>
      </c>
      <c r="D1127" s="116">
        <v>536</v>
      </c>
      <c r="E1127" s="116">
        <v>555.51</v>
      </c>
      <c r="F1127" s="116">
        <v>2711.55</v>
      </c>
      <c r="G1127">
        <v>13609</v>
      </c>
      <c r="H1127" s="116"/>
      <c r="I1127" s="116"/>
      <c r="L1127" s="163">
        <v>43663</v>
      </c>
      <c r="M1127" s="116">
        <v>542.02</v>
      </c>
      <c r="N1127" s="116">
        <v>556.94000000000005</v>
      </c>
      <c r="O1127" s="116">
        <v>535.80999999999995</v>
      </c>
      <c r="P1127" s="116">
        <v>554</v>
      </c>
      <c r="Q1127" s="116">
        <v>2710.1</v>
      </c>
      <c r="R1127">
        <v>417621</v>
      </c>
    </row>
    <row r="1128" spans="1:18" x14ac:dyDescent="0.25">
      <c r="A1128" s="163">
        <v>43664</v>
      </c>
      <c r="B1128" s="116">
        <v>551.04999999999995</v>
      </c>
      <c r="C1128" s="116">
        <v>529.25</v>
      </c>
      <c r="D1128" s="116">
        <v>527.38</v>
      </c>
      <c r="E1128" s="116">
        <v>542.6</v>
      </c>
      <c r="F1128" s="116">
        <v>2646.25</v>
      </c>
      <c r="G1128">
        <v>18155</v>
      </c>
      <c r="H1128" s="116"/>
      <c r="I1128" s="116"/>
      <c r="L1128" s="163">
        <v>43664</v>
      </c>
      <c r="M1128" s="116">
        <v>528.78</v>
      </c>
      <c r="N1128" s="116">
        <v>550.99</v>
      </c>
      <c r="O1128" s="116">
        <v>527.12</v>
      </c>
      <c r="P1128" s="116">
        <v>541.4</v>
      </c>
      <c r="Q1128" s="116">
        <v>2643.9</v>
      </c>
      <c r="R1128">
        <v>375800</v>
      </c>
    </row>
    <row r="1129" spans="1:18" x14ac:dyDescent="0.25">
      <c r="A1129" s="163">
        <v>43665</v>
      </c>
      <c r="B1129" s="116">
        <v>540.1</v>
      </c>
      <c r="C1129" s="116">
        <v>535.09</v>
      </c>
      <c r="D1129" s="116">
        <v>528.04999999999995</v>
      </c>
      <c r="E1129" s="116">
        <v>534.14</v>
      </c>
      <c r="F1129" s="116">
        <v>2675.45</v>
      </c>
      <c r="G1129">
        <v>19659</v>
      </c>
      <c r="H1129" s="116"/>
      <c r="I1129" s="116"/>
      <c r="L1129" s="163">
        <v>43665</v>
      </c>
      <c r="M1129" s="116">
        <v>534.67999999999995</v>
      </c>
      <c r="N1129" s="116">
        <v>540.20000000000005</v>
      </c>
      <c r="O1129" s="116">
        <v>528.04999999999995</v>
      </c>
      <c r="P1129" s="116">
        <v>534</v>
      </c>
      <c r="Q1129" s="116">
        <v>2673.4</v>
      </c>
      <c r="R1129">
        <v>389319</v>
      </c>
    </row>
    <row r="1130" spans="1:18" x14ac:dyDescent="0.25">
      <c r="A1130" s="163">
        <v>43668</v>
      </c>
      <c r="B1130" s="116">
        <v>540.11</v>
      </c>
      <c r="C1130" s="116">
        <v>539.13</v>
      </c>
      <c r="D1130" s="116">
        <v>523</v>
      </c>
      <c r="E1130" s="116">
        <v>531.20000000000005</v>
      </c>
      <c r="F1130" s="116">
        <v>2695.65</v>
      </c>
      <c r="G1130">
        <v>13708</v>
      </c>
      <c r="H1130" s="116"/>
      <c r="I1130" s="116"/>
      <c r="L1130" s="163">
        <v>43668</v>
      </c>
      <c r="M1130" s="116">
        <v>539.54</v>
      </c>
      <c r="N1130" s="116">
        <v>540.88</v>
      </c>
      <c r="O1130" s="116">
        <v>522.46</v>
      </c>
      <c r="P1130" s="116">
        <v>532.79999999999995</v>
      </c>
      <c r="Q1130" s="116">
        <v>2697.7</v>
      </c>
      <c r="R1130">
        <v>329159</v>
      </c>
    </row>
    <row r="1131" spans="1:18" x14ac:dyDescent="0.25">
      <c r="A1131" s="163">
        <v>43669</v>
      </c>
      <c r="B1131" s="116">
        <v>545.20000000000005</v>
      </c>
      <c r="C1131" s="116">
        <v>537.41</v>
      </c>
      <c r="D1131" s="116">
        <v>534.61</v>
      </c>
      <c r="E1131" s="116">
        <v>539.23</v>
      </c>
      <c r="F1131" s="116">
        <v>2687.05</v>
      </c>
      <c r="G1131">
        <v>12066</v>
      </c>
      <c r="H1131" s="116"/>
      <c r="I1131" s="116"/>
      <c r="L1131" s="163">
        <v>43669</v>
      </c>
      <c r="M1131" s="116">
        <v>537.84</v>
      </c>
      <c r="N1131" s="116">
        <v>546</v>
      </c>
      <c r="O1131" s="116">
        <v>534.4</v>
      </c>
      <c r="P1131" s="116">
        <v>542</v>
      </c>
      <c r="Q1131" s="116">
        <v>2689.2</v>
      </c>
      <c r="R1131">
        <v>219791</v>
      </c>
    </row>
    <row r="1132" spans="1:18" x14ac:dyDescent="0.25">
      <c r="A1132" s="163">
        <v>43670</v>
      </c>
      <c r="B1132" s="116">
        <v>539.6</v>
      </c>
      <c r="C1132" s="116">
        <v>535.04</v>
      </c>
      <c r="D1132" s="116">
        <v>529</v>
      </c>
      <c r="E1132" s="116">
        <v>536</v>
      </c>
      <c r="F1132" s="116">
        <v>2675.2</v>
      </c>
      <c r="G1132">
        <v>7746</v>
      </c>
      <c r="H1132" s="116"/>
      <c r="I1132" s="116"/>
      <c r="L1132" s="163">
        <v>43670</v>
      </c>
      <c r="M1132" s="116">
        <v>535.48</v>
      </c>
      <c r="N1132" s="116">
        <v>540</v>
      </c>
      <c r="O1132" s="116">
        <v>528.62</v>
      </c>
      <c r="P1132" s="116">
        <v>538.99</v>
      </c>
      <c r="Q1132" s="116">
        <v>2677.4</v>
      </c>
      <c r="R1132">
        <v>159508</v>
      </c>
    </row>
    <row r="1133" spans="1:18" x14ac:dyDescent="0.25">
      <c r="A1133" s="163">
        <v>43671</v>
      </c>
      <c r="B1133" s="116">
        <v>539.83000000000004</v>
      </c>
      <c r="C1133" s="116">
        <v>530.63</v>
      </c>
      <c r="D1133" s="116">
        <v>528.29</v>
      </c>
      <c r="E1133" s="116">
        <v>535.4</v>
      </c>
      <c r="F1133" s="116">
        <v>2653.15</v>
      </c>
      <c r="G1133">
        <v>7642</v>
      </c>
      <c r="H1133" s="116"/>
      <c r="I1133" s="116"/>
      <c r="L1133" s="163">
        <v>43671</v>
      </c>
      <c r="M1133" s="116">
        <v>531.08000000000004</v>
      </c>
      <c r="N1133" s="116">
        <v>540</v>
      </c>
      <c r="O1133" s="116">
        <v>528.22</v>
      </c>
      <c r="P1133" s="116">
        <v>533.6</v>
      </c>
      <c r="Q1133" s="116">
        <v>2655.4</v>
      </c>
      <c r="R1133">
        <v>132346</v>
      </c>
    </row>
    <row r="1134" spans="1:18" x14ac:dyDescent="0.25">
      <c r="A1134" s="163">
        <v>43672</v>
      </c>
      <c r="B1134" s="116">
        <v>552.79999999999995</v>
      </c>
      <c r="C1134" s="116">
        <v>547.61</v>
      </c>
      <c r="D1134" s="116">
        <v>530</v>
      </c>
      <c r="E1134" s="116">
        <v>530</v>
      </c>
      <c r="F1134" s="116">
        <v>2738.05</v>
      </c>
      <c r="G1134">
        <v>20289</v>
      </c>
      <c r="H1134" s="116"/>
      <c r="I1134" s="116"/>
      <c r="L1134" s="163">
        <v>43672</v>
      </c>
      <c r="M1134" s="116">
        <v>547.51</v>
      </c>
      <c r="N1134" s="116">
        <v>552.85</v>
      </c>
      <c r="O1134" s="116">
        <v>530</v>
      </c>
      <c r="P1134" s="116">
        <v>533.20000000000005</v>
      </c>
      <c r="Q1134" s="116">
        <v>2737.55</v>
      </c>
      <c r="R1134">
        <v>314316</v>
      </c>
    </row>
    <row r="1135" spans="1:18" x14ac:dyDescent="0.25">
      <c r="A1135" s="163">
        <v>43675</v>
      </c>
      <c r="B1135" s="116">
        <v>557.39</v>
      </c>
      <c r="C1135" s="116">
        <v>552.77</v>
      </c>
      <c r="D1135" s="116">
        <v>536.54</v>
      </c>
      <c r="E1135" s="116">
        <v>548</v>
      </c>
      <c r="F1135" s="116">
        <v>2763.85</v>
      </c>
      <c r="G1135">
        <v>20805</v>
      </c>
      <c r="H1135" s="116"/>
      <c r="I1135" s="116"/>
      <c r="L1135" s="163">
        <v>43675</v>
      </c>
      <c r="M1135" s="116">
        <v>553.5</v>
      </c>
      <c r="N1135" s="116">
        <v>557.6</v>
      </c>
      <c r="O1135" s="116">
        <v>536.4</v>
      </c>
      <c r="P1135" s="116">
        <v>548.79999999999995</v>
      </c>
      <c r="Q1135" s="116">
        <v>2767.5</v>
      </c>
      <c r="R1135">
        <v>290009</v>
      </c>
    </row>
    <row r="1136" spans="1:18" x14ac:dyDescent="0.25">
      <c r="A1136" s="163">
        <v>43676</v>
      </c>
      <c r="B1136" s="116">
        <v>557.02</v>
      </c>
      <c r="C1136" s="116">
        <v>535.99</v>
      </c>
      <c r="D1136" s="116">
        <v>532.29</v>
      </c>
      <c r="E1136" s="116">
        <v>553.20000000000005</v>
      </c>
      <c r="F1136" s="116">
        <v>2679.95</v>
      </c>
      <c r="G1136">
        <v>11791</v>
      </c>
      <c r="H1136" s="116"/>
      <c r="I1136" s="116"/>
      <c r="L1136" s="163">
        <v>43676</v>
      </c>
      <c r="M1136" s="116">
        <v>536.04</v>
      </c>
      <c r="N1136" s="116">
        <v>556.39</v>
      </c>
      <c r="O1136" s="116">
        <v>531.6</v>
      </c>
      <c r="P1136" s="116">
        <v>555.20000000000005</v>
      </c>
      <c r="Q1136" s="116">
        <v>2680.2</v>
      </c>
      <c r="R1136">
        <v>232068</v>
      </c>
    </row>
    <row r="1137" spans="1:18" x14ac:dyDescent="0.25">
      <c r="A1137" s="163">
        <v>43677</v>
      </c>
      <c r="B1137" s="116">
        <v>543.04</v>
      </c>
      <c r="C1137" s="116">
        <v>540.42999999999995</v>
      </c>
      <c r="D1137" s="116">
        <v>523.86</v>
      </c>
      <c r="E1137" s="116">
        <v>535.05999999999995</v>
      </c>
      <c r="F1137" s="116">
        <v>2702.15</v>
      </c>
      <c r="G1137">
        <v>20060</v>
      </c>
      <c r="H1137" s="116"/>
      <c r="I1137" s="116"/>
      <c r="L1137" s="163">
        <v>43677</v>
      </c>
      <c r="M1137" s="116">
        <v>540.36</v>
      </c>
      <c r="N1137" s="116">
        <v>543.41999999999996</v>
      </c>
      <c r="O1137" s="116">
        <v>523.15</v>
      </c>
      <c r="P1137" s="116">
        <v>538.87</v>
      </c>
      <c r="Q1137" s="116">
        <v>2701.8</v>
      </c>
      <c r="R1137">
        <v>189187</v>
      </c>
    </row>
    <row r="1138" spans="1:18" x14ac:dyDescent="0.25">
      <c r="A1138" s="163">
        <v>43678</v>
      </c>
      <c r="B1138" s="116">
        <v>540.4</v>
      </c>
      <c r="C1138" s="116">
        <v>527.32000000000005</v>
      </c>
      <c r="D1138" s="116">
        <v>513.16999999999996</v>
      </c>
      <c r="E1138" s="116">
        <v>536.80999999999995</v>
      </c>
      <c r="F1138" s="116">
        <v>2636.6</v>
      </c>
      <c r="G1138">
        <v>19098</v>
      </c>
      <c r="H1138" s="116"/>
      <c r="I1138" s="116"/>
      <c r="L1138" s="163">
        <v>43678</v>
      </c>
      <c r="M1138" s="116">
        <v>527.74</v>
      </c>
      <c r="N1138" s="116">
        <v>541</v>
      </c>
      <c r="O1138" s="116">
        <v>513.30999999999995</v>
      </c>
      <c r="P1138" s="116">
        <v>537.22</v>
      </c>
      <c r="Q1138" s="116">
        <v>2638.7</v>
      </c>
      <c r="R1138">
        <v>290887</v>
      </c>
    </row>
    <row r="1139" spans="1:18" x14ac:dyDescent="0.25">
      <c r="A1139" s="163">
        <v>43679</v>
      </c>
      <c r="B1139" s="116">
        <v>536.03</v>
      </c>
      <c r="C1139" s="116">
        <v>526.59</v>
      </c>
      <c r="D1139" s="116">
        <v>516</v>
      </c>
      <c r="E1139" s="116">
        <v>520</v>
      </c>
      <c r="F1139" s="116">
        <v>2632.95</v>
      </c>
      <c r="G1139">
        <v>15611</v>
      </c>
      <c r="H1139" s="116"/>
      <c r="I1139" s="116"/>
      <c r="L1139" s="163">
        <v>43679</v>
      </c>
      <c r="M1139" s="116">
        <v>526.54</v>
      </c>
      <c r="N1139" s="116">
        <v>536.36</v>
      </c>
      <c r="O1139" s="116">
        <v>515.63</v>
      </c>
      <c r="P1139" s="116">
        <v>523.75</v>
      </c>
      <c r="Q1139" s="116">
        <v>2632.7</v>
      </c>
      <c r="R1139">
        <v>282373</v>
      </c>
    </row>
    <row r="1140" spans="1:18" x14ac:dyDescent="0.25">
      <c r="A1140" s="163">
        <v>43682</v>
      </c>
      <c r="B1140" s="116">
        <v>524.79999999999995</v>
      </c>
      <c r="C1140" s="116">
        <v>515.69000000000005</v>
      </c>
      <c r="D1140" s="116">
        <v>510.37</v>
      </c>
      <c r="E1140" s="116">
        <v>520</v>
      </c>
      <c r="F1140" s="116">
        <v>2578.4499999999998</v>
      </c>
      <c r="G1140">
        <v>18816</v>
      </c>
      <c r="H1140" s="116"/>
      <c r="I1140" s="116"/>
      <c r="L1140" s="163">
        <v>43682</v>
      </c>
      <c r="M1140" s="116">
        <v>515.75</v>
      </c>
      <c r="N1140" s="116">
        <v>525</v>
      </c>
      <c r="O1140" s="116">
        <v>510.3</v>
      </c>
      <c r="P1140" s="116">
        <v>519.14</v>
      </c>
      <c r="Q1140" s="116">
        <v>2578.75</v>
      </c>
      <c r="R1140">
        <v>282696</v>
      </c>
    </row>
    <row r="1141" spans="1:18" x14ac:dyDescent="0.25">
      <c r="A1141" s="163">
        <v>43683</v>
      </c>
      <c r="B1141" s="116">
        <v>613.84</v>
      </c>
      <c r="C1141" s="116">
        <v>597.61</v>
      </c>
      <c r="D1141" s="116">
        <v>527.77</v>
      </c>
      <c r="E1141" s="116">
        <v>527.77</v>
      </c>
      <c r="F1141" s="116">
        <v>2988.05</v>
      </c>
      <c r="G1141">
        <v>163574</v>
      </c>
      <c r="H1141" s="116"/>
      <c r="I1141" s="116"/>
      <c r="L1141" s="163">
        <v>43683</v>
      </c>
      <c r="M1141" s="116">
        <v>596.16</v>
      </c>
      <c r="N1141" s="116">
        <v>609.96</v>
      </c>
      <c r="O1141" s="116">
        <v>530</v>
      </c>
      <c r="P1141" s="116">
        <v>530</v>
      </c>
      <c r="Q1141" s="116">
        <v>2980.8</v>
      </c>
      <c r="R1141">
        <v>3032122</v>
      </c>
    </row>
    <row r="1142" spans="1:18" x14ac:dyDescent="0.25">
      <c r="A1142" s="163">
        <v>43684</v>
      </c>
      <c r="B1142" s="116">
        <v>604.1</v>
      </c>
      <c r="C1142" s="116">
        <v>576.07000000000005</v>
      </c>
      <c r="D1142" s="116">
        <v>571.42999999999995</v>
      </c>
      <c r="E1142" s="116">
        <v>595.6</v>
      </c>
      <c r="F1142" s="116">
        <v>2880.35</v>
      </c>
      <c r="G1142">
        <v>57229</v>
      </c>
      <c r="H1142" s="116"/>
      <c r="I1142" s="116"/>
      <c r="L1142" s="163">
        <v>43684</v>
      </c>
      <c r="M1142" s="116">
        <v>575.76</v>
      </c>
      <c r="N1142" s="116">
        <v>604</v>
      </c>
      <c r="O1142" s="116">
        <v>571.05999999999995</v>
      </c>
      <c r="P1142" s="116">
        <v>596.79999999999995</v>
      </c>
      <c r="Q1142" s="116">
        <v>2878.8</v>
      </c>
      <c r="R1142">
        <v>1326078</v>
      </c>
    </row>
    <row r="1143" spans="1:18" x14ac:dyDescent="0.25">
      <c r="A1143" s="163">
        <v>43685</v>
      </c>
      <c r="B1143" s="116">
        <v>585.79999999999995</v>
      </c>
      <c r="C1143" s="116">
        <v>580.33000000000004</v>
      </c>
      <c r="D1143" s="116">
        <v>567.77</v>
      </c>
      <c r="E1143" s="116">
        <v>573.6</v>
      </c>
      <c r="F1143" s="116">
        <v>2901.65</v>
      </c>
      <c r="G1143">
        <v>45091</v>
      </c>
      <c r="H1143" s="116"/>
      <c r="I1143" s="116"/>
      <c r="L1143" s="163">
        <v>43685</v>
      </c>
      <c r="M1143" s="116">
        <v>580.32000000000005</v>
      </c>
      <c r="N1143" s="116">
        <v>586</v>
      </c>
      <c r="O1143" s="116">
        <v>568</v>
      </c>
      <c r="P1143" s="116">
        <v>581.20000000000005</v>
      </c>
      <c r="Q1143" s="116">
        <v>2901.6</v>
      </c>
      <c r="R1143">
        <v>633976</v>
      </c>
    </row>
    <row r="1144" spans="1:18" x14ac:dyDescent="0.25">
      <c r="A1144" s="163">
        <v>43686</v>
      </c>
      <c r="B1144" s="116">
        <v>590</v>
      </c>
      <c r="C1144" s="116">
        <v>579.33000000000004</v>
      </c>
      <c r="D1144" s="116">
        <v>573.20000000000005</v>
      </c>
      <c r="E1144" s="116">
        <v>580</v>
      </c>
      <c r="F1144" s="116">
        <v>2896.65</v>
      </c>
      <c r="G1144">
        <v>27247</v>
      </c>
      <c r="H1144" s="116"/>
      <c r="I1144" s="116"/>
      <c r="L1144" s="163">
        <v>43686</v>
      </c>
      <c r="M1144" s="116">
        <v>579.6</v>
      </c>
      <c r="N1144" s="116">
        <v>590.07000000000005</v>
      </c>
      <c r="O1144" s="116">
        <v>572.97</v>
      </c>
      <c r="P1144" s="116">
        <v>576.26</v>
      </c>
      <c r="Q1144" s="116">
        <v>2898</v>
      </c>
      <c r="R1144">
        <v>476582</v>
      </c>
    </row>
    <row r="1145" spans="1:18" x14ac:dyDescent="0.25">
      <c r="A1145" s="163">
        <v>43690</v>
      </c>
      <c r="B1145" s="116">
        <v>580.67999999999995</v>
      </c>
      <c r="C1145" s="116">
        <v>566.17999999999995</v>
      </c>
      <c r="D1145" s="116">
        <v>561.02</v>
      </c>
      <c r="E1145" s="116">
        <v>580.67999999999995</v>
      </c>
      <c r="F1145" s="116">
        <v>2830.9</v>
      </c>
      <c r="G1145">
        <v>13040</v>
      </c>
      <c r="H1145" s="116"/>
      <c r="I1145" s="116"/>
      <c r="L1145" s="163">
        <v>43690</v>
      </c>
      <c r="M1145" s="116">
        <v>566.25</v>
      </c>
      <c r="N1145" s="116">
        <v>581.4</v>
      </c>
      <c r="O1145" s="116">
        <v>560.57000000000005</v>
      </c>
      <c r="P1145" s="116">
        <v>581.4</v>
      </c>
      <c r="Q1145" s="116">
        <v>2831.25</v>
      </c>
      <c r="R1145">
        <v>254696</v>
      </c>
    </row>
    <row r="1146" spans="1:18" x14ac:dyDescent="0.25">
      <c r="A1146" s="163">
        <v>43691</v>
      </c>
      <c r="B1146" s="116">
        <v>583.6</v>
      </c>
      <c r="C1146" s="116">
        <v>576.41999999999996</v>
      </c>
      <c r="D1146" s="116">
        <v>568.41</v>
      </c>
      <c r="E1146" s="116">
        <v>572</v>
      </c>
      <c r="F1146" s="116">
        <v>2882.1</v>
      </c>
      <c r="G1146">
        <v>14956</v>
      </c>
      <c r="H1146" s="116"/>
      <c r="I1146" s="116"/>
      <c r="L1146" s="163">
        <v>43691</v>
      </c>
      <c r="M1146" s="116">
        <v>576.16999999999996</v>
      </c>
      <c r="N1146" s="116">
        <v>584</v>
      </c>
      <c r="O1146" s="116">
        <v>568</v>
      </c>
      <c r="P1146" s="116">
        <v>571.79999999999995</v>
      </c>
      <c r="Q1146" s="116">
        <v>2880.85</v>
      </c>
      <c r="R1146">
        <v>337486</v>
      </c>
    </row>
    <row r="1147" spans="1:18" x14ac:dyDescent="0.25">
      <c r="A1147" s="163">
        <v>43693</v>
      </c>
      <c r="B1147" s="116">
        <v>582</v>
      </c>
      <c r="C1147" s="116">
        <v>577.24</v>
      </c>
      <c r="D1147" s="116">
        <v>567.11</v>
      </c>
      <c r="E1147" s="116">
        <v>567.6</v>
      </c>
      <c r="F1147" s="116">
        <v>2886.2</v>
      </c>
      <c r="G1147">
        <v>24766</v>
      </c>
      <c r="H1147" s="116"/>
      <c r="I1147" s="116"/>
      <c r="L1147" s="163">
        <v>43693</v>
      </c>
      <c r="M1147" s="116">
        <v>577.26</v>
      </c>
      <c r="N1147" s="116">
        <v>582.24</v>
      </c>
      <c r="O1147" s="116">
        <v>566.79999999999995</v>
      </c>
      <c r="P1147" s="116">
        <v>576</v>
      </c>
      <c r="Q1147" s="116">
        <v>2886.3</v>
      </c>
      <c r="R1147">
        <v>268044</v>
      </c>
    </row>
    <row r="1148" spans="1:18" x14ac:dyDescent="0.25">
      <c r="A1148" s="163">
        <v>43696</v>
      </c>
      <c r="B1148" s="116">
        <v>593.23</v>
      </c>
      <c r="C1148" s="116">
        <v>587.85</v>
      </c>
      <c r="D1148" s="116">
        <v>579.6</v>
      </c>
      <c r="E1148" s="116">
        <v>579.6</v>
      </c>
      <c r="F1148" s="116">
        <v>2939.25</v>
      </c>
      <c r="G1148">
        <v>25372</v>
      </c>
      <c r="H1148" s="116"/>
      <c r="I1148" s="116"/>
      <c r="L1148" s="163">
        <v>43696</v>
      </c>
      <c r="M1148" s="116">
        <v>587.76</v>
      </c>
      <c r="N1148" s="116">
        <v>593.20000000000005</v>
      </c>
      <c r="O1148" s="116">
        <v>580.25</v>
      </c>
      <c r="P1148" s="116">
        <v>583.96</v>
      </c>
      <c r="Q1148" s="116">
        <v>2938.8</v>
      </c>
      <c r="R1148">
        <v>477795</v>
      </c>
    </row>
    <row r="1149" spans="1:18" x14ac:dyDescent="0.25">
      <c r="A1149" s="163">
        <v>43697</v>
      </c>
      <c r="B1149" s="116">
        <v>588.45000000000005</v>
      </c>
      <c r="C1149" s="116">
        <v>570.80999999999995</v>
      </c>
      <c r="D1149" s="116">
        <v>569.02</v>
      </c>
      <c r="E1149" s="116">
        <v>587.79999999999995</v>
      </c>
      <c r="F1149" s="116">
        <v>2854.05</v>
      </c>
      <c r="G1149">
        <v>21086</v>
      </c>
      <c r="H1149" s="116"/>
      <c r="I1149" s="116"/>
      <c r="L1149" s="163">
        <v>43697</v>
      </c>
      <c r="M1149" s="116">
        <v>570.71</v>
      </c>
      <c r="N1149" s="116">
        <v>589.51</v>
      </c>
      <c r="O1149" s="116">
        <v>568.84</v>
      </c>
      <c r="P1149" s="116">
        <v>585.30999999999995</v>
      </c>
      <c r="Q1149" s="116">
        <v>2853.55</v>
      </c>
      <c r="R1149">
        <v>250074</v>
      </c>
    </row>
    <row r="1150" spans="1:18" x14ac:dyDescent="0.25">
      <c r="A1150" s="163">
        <v>43698</v>
      </c>
      <c r="B1150" s="116">
        <v>585.41999999999996</v>
      </c>
      <c r="C1150" s="116">
        <v>579.95000000000005</v>
      </c>
      <c r="D1150" s="116">
        <v>572</v>
      </c>
      <c r="E1150" s="116">
        <v>574.86</v>
      </c>
      <c r="F1150" s="116">
        <v>2899.75</v>
      </c>
      <c r="G1150">
        <v>17303</v>
      </c>
      <c r="H1150" s="116"/>
      <c r="I1150" s="116"/>
      <c r="L1150" s="163">
        <v>43698</v>
      </c>
      <c r="M1150" s="116">
        <v>579.74</v>
      </c>
      <c r="N1150" s="116">
        <v>585.25</v>
      </c>
      <c r="O1150" s="116">
        <v>570.6</v>
      </c>
      <c r="P1150" s="116">
        <v>570.79999999999995</v>
      </c>
      <c r="Q1150" s="116">
        <v>2898.7</v>
      </c>
      <c r="R1150">
        <v>331018</v>
      </c>
    </row>
    <row r="1151" spans="1:18" x14ac:dyDescent="0.25">
      <c r="A1151" s="163">
        <v>43699</v>
      </c>
      <c r="B1151" s="116">
        <v>577</v>
      </c>
      <c r="C1151" s="116">
        <v>557.57000000000005</v>
      </c>
      <c r="D1151" s="116">
        <v>554.58000000000004</v>
      </c>
      <c r="E1151" s="116">
        <v>577</v>
      </c>
      <c r="F1151" s="116">
        <v>2787.85</v>
      </c>
      <c r="G1151">
        <v>27431</v>
      </c>
      <c r="H1151" s="116"/>
      <c r="I1151" s="116"/>
      <c r="L1151" s="163">
        <v>43699</v>
      </c>
      <c r="M1151" s="116">
        <v>557.54999999999995</v>
      </c>
      <c r="N1151" s="116">
        <v>576.99</v>
      </c>
      <c r="O1151" s="116">
        <v>554.79999999999995</v>
      </c>
      <c r="P1151" s="116">
        <v>576.99</v>
      </c>
      <c r="Q1151" s="116">
        <v>2787.75</v>
      </c>
      <c r="R1151">
        <v>318870</v>
      </c>
    </row>
    <row r="1152" spans="1:18" x14ac:dyDescent="0.25">
      <c r="A1152" s="163">
        <v>43700</v>
      </c>
      <c r="B1152" s="116">
        <v>566.54999999999995</v>
      </c>
      <c r="C1152" s="116">
        <v>562.22</v>
      </c>
      <c r="D1152" s="116">
        <v>551.19000000000005</v>
      </c>
      <c r="E1152" s="116">
        <v>560.02</v>
      </c>
      <c r="F1152" s="116">
        <v>2811.1</v>
      </c>
      <c r="G1152">
        <v>13551</v>
      </c>
      <c r="H1152" s="116"/>
      <c r="I1152" s="116"/>
      <c r="L1152" s="163">
        <v>43700</v>
      </c>
      <c r="M1152" s="116">
        <v>561.97</v>
      </c>
      <c r="N1152" s="116">
        <v>566.4</v>
      </c>
      <c r="O1152" s="116">
        <v>550.6</v>
      </c>
      <c r="P1152" s="116">
        <v>558.02</v>
      </c>
      <c r="Q1152" s="116">
        <v>2809.85</v>
      </c>
      <c r="R1152">
        <v>361708</v>
      </c>
    </row>
    <row r="1153" spans="1:18" x14ac:dyDescent="0.25">
      <c r="A1153" s="163">
        <v>43703</v>
      </c>
      <c r="B1153" s="116">
        <v>618</v>
      </c>
      <c r="C1153" s="116">
        <v>568.95000000000005</v>
      </c>
      <c r="D1153" s="116">
        <v>556.79999999999995</v>
      </c>
      <c r="E1153" s="116">
        <v>618</v>
      </c>
      <c r="F1153" s="116">
        <v>2844.75</v>
      </c>
      <c r="G1153">
        <v>8318</v>
      </c>
      <c r="H1153" s="116"/>
      <c r="I1153" s="116"/>
      <c r="L1153" s="163">
        <v>43703</v>
      </c>
      <c r="M1153" s="116">
        <v>568.95000000000005</v>
      </c>
      <c r="N1153" s="116">
        <v>574.74</v>
      </c>
      <c r="O1153" s="116">
        <v>556.4</v>
      </c>
      <c r="P1153" s="116">
        <v>574.6</v>
      </c>
      <c r="Q1153" s="116">
        <v>2844.75</v>
      </c>
      <c r="R1153">
        <v>211215</v>
      </c>
    </row>
    <row r="1154" spans="1:18" x14ac:dyDescent="0.25">
      <c r="A1154" s="163">
        <v>43704</v>
      </c>
      <c r="B1154" s="116">
        <v>569.01</v>
      </c>
      <c r="C1154" s="116">
        <v>561.1</v>
      </c>
      <c r="D1154" s="116">
        <v>558.09</v>
      </c>
      <c r="E1154" s="116">
        <v>569.01</v>
      </c>
      <c r="F1154" s="116">
        <v>2805.5</v>
      </c>
      <c r="G1154">
        <v>10829</v>
      </c>
      <c r="H1154" s="116"/>
      <c r="I1154" s="116"/>
      <c r="L1154" s="163">
        <v>43704</v>
      </c>
      <c r="M1154" s="116">
        <v>561.29</v>
      </c>
      <c r="N1154" s="116">
        <v>575</v>
      </c>
      <c r="O1154" s="116">
        <v>558.04</v>
      </c>
      <c r="P1154" s="116">
        <v>570.51</v>
      </c>
      <c r="Q1154" s="116">
        <v>2806.45</v>
      </c>
      <c r="R1154">
        <v>283878</v>
      </c>
    </row>
    <row r="1155" spans="1:18" x14ac:dyDescent="0.25">
      <c r="A1155" s="163">
        <v>43705</v>
      </c>
      <c r="B1155" s="116">
        <v>565.66</v>
      </c>
      <c r="C1155" s="116">
        <v>555.01</v>
      </c>
      <c r="D1155" s="116">
        <v>552.47</v>
      </c>
      <c r="E1155" s="116">
        <v>560</v>
      </c>
      <c r="F1155" s="116">
        <v>2775.05</v>
      </c>
      <c r="G1155">
        <v>7849</v>
      </c>
      <c r="H1155" s="116"/>
      <c r="I1155" s="116"/>
      <c r="L1155" s="163">
        <v>43705</v>
      </c>
      <c r="M1155" s="116">
        <v>555.15</v>
      </c>
      <c r="N1155" s="116">
        <v>566.17999999999995</v>
      </c>
      <c r="O1155" s="116">
        <v>552.38</v>
      </c>
      <c r="P1155" s="116">
        <v>562</v>
      </c>
      <c r="Q1155" s="116">
        <v>2775.75</v>
      </c>
      <c r="R1155">
        <v>222609</v>
      </c>
    </row>
    <row r="1156" spans="1:18" x14ac:dyDescent="0.25">
      <c r="A1156" s="163">
        <v>43706</v>
      </c>
      <c r="B1156" s="116">
        <v>557.1</v>
      </c>
      <c r="C1156" s="116">
        <v>547.96</v>
      </c>
      <c r="D1156" s="116">
        <v>545.94000000000005</v>
      </c>
      <c r="E1156" s="116">
        <v>552</v>
      </c>
      <c r="F1156" s="116">
        <v>2739.8</v>
      </c>
      <c r="G1156">
        <v>13310</v>
      </c>
      <c r="H1156" s="116"/>
      <c r="I1156" s="116"/>
      <c r="L1156" s="163">
        <v>43706</v>
      </c>
      <c r="M1156" s="116">
        <v>548.12</v>
      </c>
      <c r="N1156" s="116">
        <v>557.59</v>
      </c>
      <c r="O1156" s="116">
        <v>545.20000000000005</v>
      </c>
      <c r="P1156" s="116">
        <v>545.20000000000005</v>
      </c>
      <c r="Q1156" s="116">
        <v>2740.6</v>
      </c>
      <c r="R1156">
        <v>177091</v>
      </c>
    </row>
    <row r="1157" spans="1:18" x14ac:dyDescent="0.25">
      <c r="A1157" s="163">
        <v>43707</v>
      </c>
      <c r="B1157" s="116">
        <v>557.20000000000005</v>
      </c>
      <c r="C1157" s="116">
        <v>555.03</v>
      </c>
      <c r="D1157" s="116">
        <v>548.34</v>
      </c>
      <c r="E1157" s="116">
        <v>549.80999999999995</v>
      </c>
      <c r="F1157" s="116">
        <v>2775.15</v>
      </c>
      <c r="G1157">
        <v>8377</v>
      </c>
      <c r="H1157" s="116"/>
      <c r="I1157" s="116"/>
      <c r="L1157" s="163">
        <v>43707</v>
      </c>
      <c r="M1157" s="116">
        <v>554.91999999999996</v>
      </c>
      <c r="N1157" s="116">
        <v>557.27</v>
      </c>
      <c r="O1157" s="116">
        <v>548.19000000000005</v>
      </c>
      <c r="P1157" s="116">
        <v>550.1</v>
      </c>
      <c r="Q1157" s="116">
        <v>2774.6</v>
      </c>
      <c r="R1157">
        <v>161541</v>
      </c>
    </row>
    <row r="1158" spans="1:18" x14ac:dyDescent="0.25">
      <c r="A1158" s="163">
        <v>43711</v>
      </c>
      <c r="B1158" s="116">
        <v>555.26</v>
      </c>
      <c r="C1158" s="116">
        <v>544.97</v>
      </c>
      <c r="D1158" s="116">
        <v>542.89</v>
      </c>
      <c r="E1158" s="116">
        <v>554.01</v>
      </c>
      <c r="F1158" s="116">
        <v>2724.85</v>
      </c>
      <c r="G1158">
        <v>5039</v>
      </c>
      <c r="H1158" s="116"/>
      <c r="I1158" s="116"/>
      <c r="L1158" s="163">
        <v>43711</v>
      </c>
      <c r="M1158" s="116">
        <v>544.75</v>
      </c>
      <c r="N1158" s="116">
        <v>555.91</v>
      </c>
      <c r="O1158" s="116">
        <v>542.53</v>
      </c>
      <c r="P1158" s="116">
        <v>554</v>
      </c>
      <c r="Q1158" s="116">
        <v>2723.75</v>
      </c>
      <c r="R1158">
        <v>124132</v>
      </c>
    </row>
    <row r="1159" spans="1:18" x14ac:dyDescent="0.25">
      <c r="A1159" s="163">
        <v>43712</v>
      </c>
      <c r="B1159" s="116">
        <v>548.59</v>
      </c>
      <c r="C1159" s="116">
        <v>546.82000000000005</v>
      </c>
      <c r="D1159" s="116">
        <v>537.39</v>
      </c>
      <c r="E1159" s="116">
        <v>544.79999999999995</v>
      </c>
      <c r="F1159" s="116">
        <v>2734.1</v>
      </c>
      <c r="G1159">
        <v>5994</v>
      </c>
      <c r="H1159" s="116"/>
      <c r="I1159" s="116"/>
      <c r="L1159" s="163">
        <v>43712</v>
      </c>
      <c r="M1159" s="116">
        <v>547.11</v>
      </c>
      <c r="N1159" s="116">
        <v>549.79</v>
      </c>
      <c r="O1159" s="116">
        <v>537</v>
      </c>
      <c r="P1159" s="116">
        <v>544.4</v>
      </c>
      <c r="Q1159" s="116">
        <v>2735.55</v>
      </c>
      <c r="R1159">
        <v>149122</v>
      </c>
    </row>
    <row r="1160" spans="1:18" x14ac:dyDescent="0.25">
      <c r="A1160" s="163">
        <v>43713</v>
      </c>
      <c r="B1160" s="116">
        <v>555</v>
      </c>
      <c r="C1160" s="116">
        <v>546.89</v>
      </c>
      <c r="D1160" s="116">
        <v>545.59</v>
      </c>
      <c r="E1160" s="116">
        <v>548.79999999999995</v>
      </c>
      <c r="F1160" s="116">
        <v>2734.45</v>
      </c>
      <c r="G1160">
        <v>5299</v>
      </c>
      <c r="H1160" s="116"/>
      <c r="I1160" s="116"/>
      <c r="L1160" s="163">
        <v>43713</v>
      </c>
      <c r="M1160" s="116">
        <v>546.57000000000005</v>
      </c>
      <c r="N1160" s="116">
        <v>555.17999999999995</v>
      </c>
      <c r="O1160" s="116">
        <v>545.51</v>
      </c>
      <c r="P1160" s="116">
        <v>548.1</v>
      </c>
      <c r="Q1160" s="116">
        <v>2732.85</v>
      </c>
      <c r="R1160">
        <v>162273</v>
      </c>
    </row>
    <row r="1161" spans="1:18" x14ac:dyDescent="0.25">
      <c r="A1161" s="163">
        <v>43714</v>
      </c>
      <c r="B1161" s="116">
        <v>557.41</v>
      </c>
      <c r="C1161" s="116">
        <v>552.87</v>
      </c>
      <c r="D1161" s="116">
        <v>546</v>
      </c>
      <c r="E1161" s="116">
        <v>546</v>
      </c>
      <c r="F1161" s="116">
        <v>2764.35</v>
      </c>
      <c r="G1161">
        <v>9730</v>
      </c>
      <c r="H1161" s="116"/>
      <c r="I1161" s="116"/>
      <c r="L1161" s="163">
        <v>43714</v>
      </c>
      <c r="M1161" s="116">
        <v>552.94000000000005</v>
      </c>
      <c r="N1161" s="116">
        <v>558</v>
      </c>
      <c r="O1161" s="116">
        <v>546.1</v>
      </c>
      <c r="P1161" s="116">
        <v>549.79</v>
      </c>
      <c r="Q1161" s="116">
        <v>2764.7</v>
      </c>
      <c r="R1161">
        <v>222243</v>
      </c>
    </row>
    <row r="1162" spans="1:18" x14ac:dyDescent="0.25">
      <c r="A1162" s="163">
        <v>43717</v>
      </c>
      <c r="B1162" s="116">
        <v>560.66</v>
      </c>
      <c r="C1162" s="116">
        <v>558.35</v>
      </c>
      <c r="D1162" s="116">
        <v>550.20000000000005</v>
      </c>
      <c r="E1162" s="116">
        <v>552</v>
      </c>
      <c r="F1162" s="116">
        <v>2791.75</v>
      </c>
      <c r="G1162">
        <v>28044</v>
      </c>
      <c r="H1162" s="116"/>
      <c r="I1162" s="116"/>
      <c r="L1162" s="163">
        <v>43717</v>
      </c>
      <c r="M1162" s="116">
        <v>558.70000000000005</v>
      </c>
      <c r="N1162" s="116">
        <v>560.79999999999995</v>
      </c>
      <c r="O1162" s="116">
        <v>549.80999999999995</v>
      </c>
      <c r="P1162" s="116">
        <v>553.6</v>
      </c>
      <c r="Q1162" s="116">
        <v>2793.5</v>
      </c>
      <c r="R1162">
        <v>166017</v>
      </c>
    </row>
    <row r="1163" spans="1:18" x14ac:dyDescent="0.25">
      <c r="A1163" s="163">
        <v>43719</v>
      </c>
      <c r="B1163" s="116">
        <v>568.35</v>
      </c>
      <c r="C1163" s="116">
        <v>563</v>
      </c>
      <c r="D1163" s="116">
        <v>558.01</v>
      </c>
      <c r="E1163" s="116">
        <v>558.01</v>
      </c>
      <c r="F1163" s="116">
        <v>2815</v>
      </c>
      <c r="G1163">
        <v>7466</v>
      </c>
      <c r="H1163" s="116"/>
      <c r="I1163" s="116"/>
      <c r="L1163" s="163">
        <v>43719</v>
      </c>
      <c r="M1163" s="116">
        <v>563.01</v>
      </c>
      <c r="N1163" s="116">
        <v>568.4</v>
      </c>
      <c r="O1163" s="116">
        <v>558</v>
      </c>
      <c r="P1163" s="116">
        <v>559.6</v>
      </c>
      <c r="Q1163" s="116">
        <v>2815.05</v>
      </c>
      <c r="R1163">
        <v>173519</v>
      </c>
    </row>
    <row r="1164" spans="1:18" x14ac:dyDescent="0.25">
      <c r="A1164" s="163">
        <v>43720</v>
      </c>
      <c r="B1164" s="116">
        <v>566.85</v>
      </c>
      <c r="C1164" s="116">
        <v>542.01</v>
      </c>
      <c r="D1164" s="116">
        <v>540.05999999999995</v>
      </c>
      <c r="E1164" s="116">
        <v>563.20000000000005</v>
      </c>
      <c r="F1164" s="116">
        <v>2710.05</v>
      </c>
      <c r="G1164">
        <v>14398</v>
      </c>
      <c r="H1164" s="116"/>
      <c r="I1164" s="116"/>
      <c r="L1164" s="163">
        <v>43720</v>
      </c>
      <c r="M1164" s="116">
        <v>541.77</v>
      </c>
      <c r="N1164" s="116">
        <v>567.79</v>
      </c>
      <c r="O1164" s="116">
        <v>540.08000000000004</v>
      </c>
      <c r="P1164" s="116">
        <v>566.99</v>
      </c>
      <c r="Q1164" s="116">
        <v>2708.85</v>
      </c>
      <c r="R1164">
        <v>268637</v>
      </c>
    </row>
    <row r="1165" spans="1:18" x14ac:dyDescent="0.25">
      <c r="A1165" s="163">
        <v>43721</v>
      </c>
      <c r="B1165" s="116">
        <v>556</v>
      </c>
      <c r="C1165" s="116">
        <v>554.73</v>
      </c>
      <c r="D1165" s="116">
        <v>542.02</v>
      </c>
      <c r="E1165" s="116">
        <v>544.4</v>
      </c>
      <c r="F1165" s="116">
        <v>2773.65</v>
      </c>
      <c r="G1165">
        <v>12224</v>
      </c>
      <c r="H1165" s="116"/>
      <c r="I1165" s="116"/>
      <c r="L1165" s="163">
        <v>43721</v>
      </c>
      <c r="M1165" s="116">
        <v>554.86</v>
      </c>
      <c r="N1165" s="116">
        <v>556.07000000000005</v>
      </c>
      <c r="O1165" s="116">
        <v>542.1</v>
      </c>
      <c r="P1165" s="116">
        <v>545.79999999999995</v>
      </c>
      <c r="Q1165" s="116">
        <v>2774.3</v>
      </c>
      <c r="R1165">
        <v>334112</v>
      </c>
    </row>
    <row r="1166" spans="1:18" x14ac:dyDescent="0.25">
      <c r="A1166" s="163">
        <v>43724</v>
      </c>
      <c r="B1166" s="116">
        <v>560.85</v>
      </c>
      <c r="C1166" s="116">
        <v>559.39</v>
      </c>
      <c r="D1166" s="116">
        <v>546.27</v>
      </c>
      <c r="E1166" s="116">
        <v>554</v>
      </c>
      <c r="F1166" s="116">
        <v>2796.95</v>
      </c>
      <c r="G1166">
        <v>14836</v>
      </c>
      <c r="H1166" s="116"/>
      <c r="I1166" s="116"/>
      <c r="L1166" s="163">
        <v>43724</v>
      </c>
      <c r="M1166" s="116">
        <v>559.5</v>
      </c>
      <c r="N1166" s="116">
        <v>561</v>
      </c>
      <c r="O1166" s="116">
        <v>546.26</v>
      </c>
      <c r="P1166" s="116">
        <v>554.22</v>
      </c>
      <c r="Q1166" s="116">
        <v>2797.5</v>
      </c>
      <c r="R1166">
        <v>255411</v>
      </c>
    </row>
    <row r="1167" spans="1:18" x14ac:dyDescent="0.25">
      <c r="A1167" s="163">
        <v>43725</v>
      </c>
      <c r="B1167" s="116">
        <v>564</v>
      </c>
      <c r="C1167" s="116">
        <v>546.95000000000005</v>
      </c>
      <c r="D1167" s="116">
        <v>545.12</v>
      </c>
      <c r="E1167" s="116">
        <v>559.22</v>
      </c>
      <c r="F1167" s="116">
        <v>2734.75</v>
      </c>
      <c r="G1167">
        <v>12349</v>
      </c>
      <c r="H1167" s="116"/>
      <c r="I1167" s="116"/>
      <c r="L1167" s="163">
        <v>43725</v>
      </c>
      <c r="M1167" s="116">
        <v>546.91</v>
      </c>
      <c r="N1167" s="116">
        <v>564.44000000000005</v>
      </c>
      <c r="O1167" s="116">
        <v>545</v>
      </c>
      <c r="P1167" s="116">
        <v>560.70000000000005</v>
      </c>
      <c r="Q1167" s="116">
        <v>2734.55</v>
      </c>
      <c r="R1167">
        <v>253992</v>
      </c>
    </row>
    <row r="1168" spans="1:18" x14ac:dyDescent="0.25">
      <c r="A1168" s="163">
        <v>43726</v>
      </c>
      <c r="B1168" s="116">
        <v>556.66999999999996</v>
      </c>
      <c r="C1168" s="116">
        <v>547.41999999999996</v>
      </c>
      <c r="D1168" s="116">
        <v>541.53</v>
      </c>
      <c r="E1168" s="116">
        <v>547.03</v>
      </c>
      <c r="F1168" s="116">
        <v>2737.1</v>
      </c>
      <c r="G1168">
        <v>20129</v>
      </c>
      <c r="H1168" s="116"/>
      <c r="I1168" s="116"/>
      <c r="L1168" s="163">
        <v>43726</v>
      </c>
      <c r="M1168" s="116">
        <v>548.08000000000004</v>
      </c>
      <c r="N1168" s="116">
        <v>556.92999999999995</v>
      </c>
      <c r="O1168" s="116">
        <v>542.08000000000004</v>
      </c>
      <c r="P1168" s="116">
        <v>550.59</v>
      </c>
      <c r="Q1168" s="116">
        <v>2740.4</v>
      </c>
      <c r="R1168">
        <v>261780</v>
      </c>
    </row>
    <row r="1169" spans="1:18" x14ac:dyDescent="0.25">
      <c r="A1169" s="163">
        <v>43727</v>
      </c>
      <c r="B1169" s="116">
        <v>548.08000000000004</v>
      </c>
      <c r="C1169" s="116">
        <v>540.14</v>
      </c>
      <c r="D1169" s="116">
        <v>535.12</v>
      </c>
      <c r="E1169" s="116">
        <v>547</v>
      </c>
      <c r="F1169" s="116">
        <v>2700.7</v>
      </c>
      <c r="G1169">
        <v>14939</v>
      </c>
      <c r="H1169" s="116"/>
      <c r="I1169" s="116"/>
      <c r="L1169" s="163">
        <v>43727</v>
      </c>
      <c r="M1169" s="116">
        <v>540.49</v>
      </c>
      <c r="N1169" s="116">
        <v>548.70000000000005</v>
      </c>
      <c r="O1169" s="116">
        <v>535.14</v>
      </c>
      <c r="P1169" s="116">
        <v>548.4</v>
      </c>
      <c r="Q1169" s="116">
        <v>2702.45</v>
      </c>
      <c r="R1169">
        <v>360785</v>
      </c>
    </row>
    <row r="1170" spans="1:18" x14ac:dyDescent="0.25">
      <c r="A1170" s="163">
        <v>43728</v>
      </c>
      <c r="B1170" s="116">
        <v>586.79999999999995</v>
      </c>
      <c r="C1170" s="116">
        <v>571.54</v>
      </c>
      <c r="D1170" s="116">
        <v>540</v>
      </c>
      <c r="E1170" s="116">
        <v>540</v>
      </c>
      <c r="F1170" s="116">
        <v>2857.7</v>
      </c>
      <c r="G1170">
        <v>43318</v>
      </c>
      <c r="H1170" s="116"/>
      <c r="I1170" s="116"/>
      <c r="L1170" s="163">
        <v>43728</v>
      </c>
      <c r="M1170" s="116">
        <v>572.73</v>
      </c>
      <c r="N1170" s="116">
        <v>587</v>
      </c>
      <c r="O1170" s="116">
        <v>538.51</v>
      </c>
      <c r="P1170" s="116">
        <v>540</v>
      </c>
      <c r="Q1170" s="116">
        <v>2863.65</v>
      </c>
      <c r="R1170">
        <v>504796</v>
      </c>
    </row>
    <row r="1171" spans="1:18" x14ac:dyDescent="0.25">
      <c r="A1171" s="163">
        <v>43731</v>
      </c>
      <c r="B1171" s="116">
        <v>600</v>
      </c>
      <c r="C1171" s="116">
        <v>589.34</v>
      </c>
      <c r="D1171" s="116">
        <v>573.44000000000005</v>
      </c>
      <c r="E1171" s="116">
        <v>578</v>
      </c>
      <c r="F1171" s="116">
        <v>2946.7</v>
      </c>
      <c r="G1171">
        <v>40342</v>
      </c>
      <c r="H1171" s="116"/>
      <c r="I1171" s="116"/>
      <c r="L1171" s="163">
        <v>43731</v>
      </c>
      <c r="M1171" s="116">
        <v>589.83000000000004</v>
      </c>
      <c r="N1171" s="116">
        <v>600.6</v>
      </c>
      <c r="O1171" s="116">
        <v>572.73</v>
      </c>
      <c r="P1171" s="116">
        <v>586.67999999999995</v>
      </c>
      <c r="Q1171" s="116">
        <v>2949.15</v>
      </c>
      <c r="R1171">
        <v>578983</v>
      </c>
    </row>
    <row r="1172" spans="1:18" x14ac:dyDescent="0.25">
      <c r="A1172" s="163">
        <v>43732</v>
      </c>
      <c r="B1172" s="116">
        <v>594.97</v>
      </c>
      <c r="C1172" s="116">
        <v>576.48</v>
      </c>
      <c r="D1172" s="116">
        <v>574.36</v>
      </c>
      <c r="E1172" s="116">
        <v>590.4</v>
      </c>
      <c r="F1172" s="116">
        <v>2882.4</v>
      </c>
      <c r="G1172">
        <v>14039</v>
      </c>
      <c r="H1172" s="116"/>
      <c r="I1172" s="116"/>
      <c r="L1172" s="163">
        <v>43732</v>
      </c>
      <c r="M1172" s="116">
        <v>576.32000000000005</v>
      </c>
      <c r="N1172" s="116">
        <v>595.5</v>
      </c>
      <c r="O1172" s="116">
        <v>574.20000000000005</v>
      </c>
      <c r="P1172" s="116">
        <v>591</v>
      </c>
      <c r="Q1172" s="116">
        <v>2881.6</v>
      </c>
      <c r="R1172">
        <v>313814</v>
      </c>
    </row>
    <row r="1173" spans="1:18" x14ac:dyDescent="0.25">
      <c r="A1173" s="163">
        <v>43733</v>
      </c>
      <c r="B1173" s="116">
        <v>577.91</v>
      </c>
      <c r="C1173" s="116">
        <v>557.04</v>
      </c>
      <c r="D1173" s="116">
        <v>552.1</v>
      </c>
      <c r="E1173" s="116">
        <v>575</v>
      </c>
      <c r="F1173" s="116">
        <v>2785.2</v>
      </c>
      <c r="G1173">
        <v>11642</v>
      </c>
      <c r="H1173" s="116"/>
      <c r="I1173" s="116"/>
      <c r="L1173" s="163">
        <v>43733</v>
      </c>
      <c r="M1173" s="116">
        <v>557.54999999999995</v>
      </c>
      <c r="N1173" s="116">
        <v>578.16</v>
      </c>
      <c r="O1173" s="116">
        <v>552</v>
      </c>
      <c r="P1173" s="116">
        <v>575.29999999999995</v>
      </c>
      <c r="Q1173" s="116">
        <v>2787.75</v>
      </c>
      <c r="R1173">
        <v>237974</v>
      </c>
    </row>
    <row r="1174" spans="1:18" x14ac:dyDescent="0.25">
      <c r="A1174" s="163">
        <v>43734</v>
      </c>
      <c r="B1174" s="116">
        <v>558.4</v>
      </c>
      <c r="C1174" s="116">
        <v>553.73</v>
      </c>
      <c r="D1174" s="116">
        <v>548.14</v>
      </c>
      <c r="E1174" s="116">
        <v>555.9</v>
      </c>
      <c r="F1174" s="116">
        <v>2768.65</v>
      </c>
      <c r="G1174">
        <v>16766</v>
      </c>
      <c r="H1174" s="116"/>
      <c r="I1174" s="116"/>
      <c r="L1174" s="163">
        <v>43734</v>
      </c>
      <c r="M1174" s="116">
        <v>553.78</v>
      </c>
      <c r="N1174" s="116">
        <v>559</v>
      </c>
      <c r="O1174" s="116">
        <v>548.21</v>
      </c>
      <c r="P1174" s="116">
        <v>556</v>
      </c>
      <c r="Q1174" s="116">
        <v>2768.9</v>
      </c>
      <c r="R1174">
        <v>377474</v>
      </c>
    </row>
    <row r="1175" spans="1:18" x14ac:dyDescent="0.25">
      <c r="A1175" s="163">
        <v>43735</v>
      </c>
      <c r="B1175" s="116">
        <v>559.71</v>
      </c>
      <c r="C1175" s="116">
        <v>550.28</v>
      </c>
      <c r="D1175" s="116">
        <v>547.82000000000005</v>
      </c>
      <c r="E1175" s="116">
        <v>553.29999999999995</v>
      </c>
      <c r="F1175" s="116">
        <v>2751.4</v>
      </c>
      <c r="G1175">
        <v>12948</v>
      </c>
      <c r="H1175" s="116"/>
      <c r="I1175" s="116"/>
      <c r="L1175" s="163">
        <v>43735</v>
      </c>
      <c r="M1175" s="116">
        <v>550.48</v>
      </c>
      <c r="N1175" s="116">
        <v>559.79999999999995</v>
      </c>
      <c r="O1175" s="116">
        <v>547.29999999999995</v>
      </c>
      <c r="P1175" s="116">
        <v>553.62</v>
      </c>
      <c r="Q1175" s="116">
        <v>2752.4</v>
      </c>
      <c r="R1175">
        <v>299507</v>
      </c>
    </row>
    <row r="1176" spans="1:18" x14ac:dyDescent="0.25">
      <c r="A1176" s="163">
        <v>43738</v>
      </c>
      <c r="B1176" s="116">
        <v>554.86</v>
      </c>
      <c r="C1176" s="116">
        <v>550.35</v>
      </c>
      <c r="D1176" s="116">
        <v>547.35</v>
      </c>
      <c r="E1176" s="116">
        <v>552.30999999999995</v>
      </c>
      <c r="F1176" s="116">
        <v>2751.75</v>
      </c>
      <c r="G1176">
        <v>5861</v>
      </c>
      <c r="H1176" s="116"/>
      <c r="I1176" s="116"/>
      <c r="L1176" s="163">
        <v>43738</v>
      </c>
      <c r="M1176" s="116">
        <v>550.39</v>
      </c>
      <c r="N1176" s="116">
        <v>554.98</v>
      </c>
      <c r="O1176" s="116">
        <v>547.4</v>
      </c>
      <c r="P1176" s="116">
        <v>550.79999999999995</v>
      </c>
      <c r="Q1176" s="116">
        <v>2751.95</v>
      </c>
      <c r="R1176">
        <v>152388</v>
      </c>
    </row>
    <row r="1177" spans="1:18" x14ac:dyDescent="0.25">
      <c r="A1177" s="163">
        <v>43739</v>
      </c>
      <c r="B1177" s="116">
        <v>551.92999999999995</v>
      </c>
      <c r="C1177" s="116">
        <v>535.91</v>
      </c>
      <c r="D1177" s="116">
        <v>531</v>
      </c>
      <c r="E1177" s="116">
        <v>550.4</v>
      </c>
      <c r="F1177" s="116">
        <v>2679.55</v>
      </c>
      <c r="G1177">
        <v>11650</v>
      </c>
      <c r="H1177" s="116"/>
      <c r="I1177" s="116"/>
      <c r="L1177" s="163">
        <v>43739</v>
      </c>
      <c r="M1177" s="116">
        <v>536.6</v>
      </c>
      <c r="N1177" s="116">
        <v>552</v>
      </c>
      <c r="O1177" s="116">
        <v>530.41</v>
      </c>
      <c r="P1177" s="116">
        <v>549</v>
      </c>
      <c r="Q1177" s="116">
        <v>2683</v>
      </c>
      <c r="R1177">
        <v>358647</v>
      </c>
    </row>
    <row r="1178" spans="1:18" x14ac:dyDescent="0.25">
      <c r="A1178" s="163">
        <v>43741</v>
      </c>
      <c r="B1178" s="116">
        <v>548.73</v>
      </c>
      <c r="C1178" s="116">
        <v>546.28</v>
      </c>
      <c r="D1178" s="116">
        <v>528.83000000000004</v>
      </c>
      <c r="E1178" s="116">
        <v>540</v>
      </c>
      <c r="F1178" s="116">
        <v>2731.4</v>
      </c>
      <c r="G1178">
        <v>6599</v>
      </c>
      <c r="H1178" s="116"/>
      <c r="I1178" s="116"/>
      <c r="L1178" s="163">
        <v>43741</v>
      </c>
      <c r="M1178" s="116">
        <v>546.20000000000005</v>
      </c>
      <c r="N1178" s="116">
        <v>549.83000000000004</v>
      </c>
      <c r="O1178" s="116">
        <v>528.42999999999995</v>
      </c>
      <c r="P1178" s="116">
        <v>535.79</v>
      </c>
      <c r="Q1178" s="116">
        <v>2731</v>
      </c>
      <c r="R1178">
        <v>206802</v>
      </c>
    </row>
    <row r="1179" spans="1:18" x14ac:dyDescent="0.25">
      <c r="A1179" s="163">
        <v>43742</v>
      </c>
      <c r="B1179" s="116">
        <v>553.38</v>
      </c>
      <c r="C1179" s="116">
        <v>533.63</v>
      </c>
      <c r="D1179" s="116">
        <v>531.66</v>
      </c>
      <c r="E1179" s="116">
        <v>547.79999999999995</v>
      </c>
      <c r="F1179" s="116">
        <v>2668.15</v>
      </c>
      <c r="G1179">
        <v>16476</v>
      </c>
      <c r="H1179" s="116"/>
      <c r="I1179" s="116"/>
      <c r="L1179" s="163">
        <v>43742</v>
      </c>
      <c r="M1179" s="116">
        <v>533.59</v>
      </c>
      <c r="N1179" s="116">
        <v>553.79999999999995</v>
      </c>
      <c r="O1179" s="116">
        <v>531.97</v>
      </c>
      <c r="P1179" s="116">
        <v>546</v>
      </c>
      <c r="Q1179" s="116">
        <v>2667.95</v>
      </c>
      <c r="R1179">
        <v>206571</v>
      </c>
    </row>
    <row r="1180" spans="1:18" x14ac:dyDescent="0.25">
      <c r="A1180" s="163">
        <v>43745</v>
      </c>
      <c r="B1180" s="116">
        <v>537.6</v>
      </c>
      <c r="C1180" s="116">
        <v>529.82000000000005</v>
      </c>
      <c r="D1180" s="116">
        <v>527.52</v>
      </c>
      <c r="E1180" s="116">
        <v>534.79999999999995</v>
      </c>
      <c r="F1180" s="116">
        <v>2649.1</v>
      </c>
      <c r="G1180">
        <v>5565</v>
      </c>
      <c r="H1180" s="116"/>
      <c r="I1180" s="116"/>
      <c r="L1180" s="163">
        <v>43745</v>
      </c>
      <c r="M1180" s="116">
        <v>530.14</v>
      </c>
      <c r="N1180" s="116">
        <v>538.19000000000005</v>
      </c>
      <c r="O1180" s="116">
        <v>527.51</v>
      </c>
      <c r="P1180" s="116">
        <v>534.01</v>
      </c>
      <c r="Q1180" s="116">
        <v>2650.7</v>
      </c>
      <c r="R1180">
        <v>106393</v>
      </c>
    </row>
    <row r="1181" spans="1:18" x14ac:dyDescent="0.25">
      <c r="A1181" s="163">
        <v>43747</v>
      </c>
      <c r="B1181" s="116">
        <v>551.99</v>
      </c>
      <c r="C1181" s="116">
        <v>549.13</v>
      </c>
      <c r="D1181" s="116">
        <v>529.76</v>
      </c>
      <c r="E1181" s="116">
        <v>531.01</v>
      </c>
      <c r="F1181" s="116">
        <v>2745.65</v>
      </c>
      <c r="G1181">
        <v>10703</v>
      </c>
      <c r="H1181" s="116"/>
      <c r="I1181" s="116"/>
      <c r="L1181" s="163">
        <v>43747</v>
      </c>
      <c r="M1181" s="116">
        <v>549.74</v>
      </c>
      <c r="N1181" s="116">
        <v>552</v>
      </c>
      <c r="O1181" s="116">
        <v>530.02</v>
      </c>
      <c r="P1181" s="116">
        <v>530.1</v>
      </c>
      <c r="Q1181" s="116">
        <v>2748.7</v>
      </c>
      <c r="R1181">
        <v>212995</v>
      </c>
    </row>
    <row r="1182" spans="1:18" x14ac:dyDescent="0.25">
      <c r="A1182" s="163">
        <v>43748</v>
      </c>
      <c r="B1182" s="116">
        <v>557.24</v>
      </c>
      <c r="C1182" s="116">
        <v>548.19000000000005</v>
      </c>
      <c r="D1182" s="116">
        <v>544.77</v>
      </c>
      <c r="E1182" s="116">
        <v>548</v>
      </c>
      <c r="F1182" s="116">
        <v>2740.95</v>
      </c>
      <c r="G1182">
        <v>8262</v>
      </c>
      <c r="H1182" s="116"/>
      <c r="I1182" s="116"/>
      <c r="L1182" s="163">
        <v>43748</v>
      </c>
      <c r="M1182" s="116">
        <v>548.67999999999995</v>
      </c>
      <c r="N1182" s="116">
        <v>557.79999999999995</v>
      </c>
      <c r="O1182" s="116">
        <v>544.45000000000005</v>
      </c>
      <c r="P1182" s="116">
        <v>549.1</v>
      </c>
      <c r="Q1182" s="116">
        <v>2743.4</v>
      </c>
      <c r="R1182">
        <v>171990</v>
      </c>
    </row>
    <row r="1183" spans="1:18" x14ac:dyDescent="0.25">
      <c r="A1183" s="163">
        <v>43749</v>
      </c>
      <c r="B1183" s="116">
        <v>548.96</v>
      </c>
      <c r="C1183" s="116">
        <v>538.62</v>
      </c>
      <c r="D1183" s="116">
        <v>537.39</v>
      </c>
      <c r="E1183" s="116">
        <v>548</v>
      </c>
      <c r="F1183" s="116">
        <v>2693.1</v>
      </c>
      <c r="G1183">
        <v>12631</v>
      </c>
      <c r="H1183" s="116"/>
      <c r="I1183" s="116"/>
      <c r="L1183" s="163">
        <v>43749</v>
      </c>
      <c r="M1183" s="116">
        <v>538.79</v>
      </c>
      <c r="N1183" s="116">
        <v>549.20000000000005</v>
      </c>
      <c r="O1183" s="116">
        <v>537.20000000000005</v>
      </c>
      <c r="P1183" s="116">
        <v>547.9</v>
      </c>
      <c r="Q1183" s="116">
        <v>2693.95</v>
      </c>
      <c r="R1183">
        <v>161988</v>
      </c>
    </row>
    <row r="1184" spans="1:18" x14ac:dyDescent="0.25">
      <c r="A1184" s="163">
        <v>43752</v>
      </c>
      <c r="B1184" s="116">
        <v>542.05999999999995</v>
      </c>
      <c r="C1184" s="116">
        <v>522.28</v>
      </c>
      <c r="D1184" s="116">
        <v>519.37</v>
      </c>
      <c r="E1184" s="116">
        <v>540.82000000000005</v>
      </c>
      <c r="F1184" s="116">
        <v>2611.4</v>
      </c>
      <c r="G1184">
        <v>9112</v>
      </c>
      <c r="H1184" s="116"/>
      <c r="I1184" s="116"/>
      <c r="L1184" s="163">
        <v>43752</v>
      </c>
      <c r="M1184" s="116">
        <v>522.53</v>
      </c>
      <c r="N1184" s="116">
        <v>542.69000000000005</v>
      </c>
      <c r="O1184" s="116">
        <v>519.04</v>
      </c>
      <c r="P1184" s="116">
        <v>539.79999999999995</v>
      </c>
      <c r="Q1184" s="116">
        <v>2612.65</v>
      </c>
      <c r="R1184">
        <v>424743</v>
      </c>
    </row>
    <row r="1185" spans="1:18" x14ac:dyDescent="0.25">
      <c r="A1185" s="163">
        <v>43753</v>
      </c>
      <c r="B1185" s="116">
        <v>533.84</v>
      </c>
      <c r="C1185" s="116">
        <v>524.66</v>
      </c>
      <c r="D1185" s="116">
        <v>518</v>
      </c>
      <c r="E1185" s="116">
        <v>523</v>
      </c>
      <c r="F1185" s="116">
        <v>2623.3</v>
      </c>
      <c r="G1185">
        <v>16403</v>
      </c>
      <c r="H1185" s="116"/>
      <c r="I1185" s="116"/>
      <c r="L1185" s="163">
        <v>43753</v>
      </c>
      <c r="M1185" s="116">
        <v>524.92999999999995</v>
      </c>
      <c r="N1185" s="116">
        <v>533.97</v>
      </c>
      <c r="O1185" s="116">
        <v>517.6</v>
      </c>
      <c r="P1185" s="116">
        <v>525</v>
      </c>
      <c r="Q1185" s="116">
        <v>2624.65</v>
      </c>
      <c r="R1185">
        <v>557839</v>
      </c>
    </row>
    <row r="1186" spans="1:18" x14ac:dyDescent="0.25">
      <c r="A1186" s="163">
        <v>43754</v>
      </c>
      <c r="B1186" s="116">
        <v>529.67999999999995</v>
      </c>
      <c r="C1186" s="116">
        <v>526.51</v>
      </c>
      <c r="D1186" s="116">
        <v>518</v>
      </c>
      <c r="E1186" s="116">
        <v>525.20000000000005</v>
      </c>
      <c r="F1186" s="116">
        <v>2632.55</v>
      </c>
      <c r="G1186">
        <v>10088</v>
      </c>
      <c r="H1186" s="116"/>
      <c r="I1186" s="116"/>
      <c r="L1186" s="163">
        <v>43754</v>
      </c>
      <c r="M1186" s="116">
        <v>526.79</v>
      </c>
      <c r="N1186" s="116">
        <v>529.65</v>
      </c>
      <c r="O1186" s="116">
        <v>518</v>
      </c>
      <c r="P1186" s="116">
        <v>527</v>
      </c>
      <c r="Q1186" s="116">
        <v>2633.95</v>
      </c>
      <c r="R1186">
        <v>340303</v>
      </c>
    </row>
    <row r="1187" spans="1:18" x14ac:dyDescent="0.25">
      <c r="A1187" s="163">
        <v>43755</v>
      </c>
      <c r="B1187" s="116">
        <v>537.6</v>
      </c>
      <c r="C1187" s="116">
        <v>535.65</v>
      </c>
      <c r="D1187" s="116">
        <v>524</v>
      </c>
      <c r="E1187" s="116">
        <v>524.95000000000005</v>
      </c>
      <c r="F1187" s="116">
        <v>2678.25</v>
      </c>
      <c r="G1187">
        <v>8928</v>
      </c>
      <c r="H1187" s="116"/>
      <c r="I1187" s="116"/>
      <c r="L1187" s="163">
        <v>43755</v>
      </c>
      <c r="M1187" s="116">
        <v>535.58000000000004</v>
      </c>
      <c r="N1187" s="116">
        <v>537.67999999999995</v>
      </c>
      <c r="O1187" s="116">
        <v>523.6</v>
      </c>
      <c r="P1187" s="116">
        <v>527</v>
      </c>
      <c r="Q1187" s="116">
        <v>2677.9</v>
      </c>
      <c r="R1187">
        <v>273860</v>
      </c>
    </row>
    <row r="1188" spans="1:18" x14ac:dyDescent="0.25">
      <c r="A1188" s="163">
        <v>43756</v>
      </c>
      <c r="B1188" s="116">
        <v>544.21</v>
      </c>
      <c r="C1188" s="116">
        <v>538.25</v>
      </c>
      <c r="D1188" s="116">
        <v>534.85</v>
      </c>
      <c r="E1188" s="116">
        <v>534.85</v>
      </c>
      <c r="F1188" s="116">
        <v>2691.25</v>
      </c>
      <c r="G1188">
        <v>6500</v>
      </c>
      <c r="H1188" s="116"/>
      <c r="I1188" s="116"/>
      <c r="L1188" s="163">
        <v>43756</v>
      </c>
      <c r="M1188" s="116">
        <v>538.74</v>
      </c>
      <c r="N1188" s="116">
        <v>544.39</v>
      </c>
      <c r="O1188" s="116">
        <v>532.9</v>
      </c>
      <c r="P1188" s="116">
        <v>535.58000000000004</v>
      </c>
      <c r="Q1188" s="116">
        <v>2693.7</v>
      </c>
      <c r="R1188">
        <v>181485</v>
      </c>
    </row>
    <row r="1189" spans="1:18" x14ac:dyDescent="0.25">
      <c r="A1189" s="163">
        <v>43760</v>
      </c>
      <c r="B1189" s="116">
        <v>549.78</v>
      </c>
      <c r="C1189" s="116">
        <v>542.64</v>
      </c>
      <c r="D1189" s="116">
        <v>540</v>
      </c>
      <c r="E1189" s="116">
        <v>540</v>
      </c>
      <c r="F1189" s="116">
        <v>2713.2</v>
      </c>
      <c r="G1189">
        <v>3942</v>
      </c>
      <c r="H1189" s="116"/>
      <c r="I1189" s="116"/>
      <c r="L1189" s="163">
        <v>43760</v>
      </c>
      <c r="M1189" s="116">
        <v>542.76</v>
      </c>
      <c r="N1189" s="116">
        <v>549.79999999999995</v>
      </c>
      <c r="O1189" s="116">
        <v>538.98</v>
      </c>
      <c r="P1189" s="116">
        <v>538.98</v>
      </c>
      <c r="Q1189" s="116">
        <v>2713.8</v>
      </c>
      <c r="R1189">
        <v>134036</v>
      </c>
    </row>
    <row r="1190" spans="1:18" x14ac:dyDescent="0.25">
      <c r="A1190" s="163">
        <v>43761</v>
      </c>
      <c r="B1190" s="116">
        <v>578.01</v>
      </c>
      <c r="C1190" s="116">
        <v>565.16</v>
      </c>
      <c r="D1190" s="116">
        <v>540.77</v>
      </c>
      <c r="E1190" s="116">
        <v>545.44000000000005</v>
      </c>
      <c r="F1190" s="116">
        <v>2825.8</v>
      </c>
      <c r="G1190">
        <v>25941</v>
      </c>
      <c r="H1190" s="116"/>
      <c r="I1190" s="116"/>
      <c r="L1190" s="163">
        <v>43761</v>
      </c>
      <c r="M1190" s="116">
        <v>565.07000000000005</v>
      </c>
      <c r="N1190" s="116">
        <v>578.6</v>
      </c>
      <c r="O1190" s="116">
        <v>540.6</v>
      </c>
      <c r="P1190" s="116">
        <v>543.30999999999995</v>
      </c>
      <c r="Q1190" s="116">
        <v>2825.35</v>
      </c>
      <c r="R1190">
        <v>584155</v>
      </c>
    </row>
    <row r="1191" spans="1:18" x14ac:dyDescent="0.25">
      <c r="A1191" s="163">
        <v>43762</v>
      </c>
      <c r="B1191" s="116">
        <v>579</v>
      </c>
      <c r="C1191" s="116">
        <v>569.34</v>
      </c>
      <c r="D1191" s="116">
        <v>567.16999999999996</v>
      </c>
      <c r="E1191" s="116">
        <v>579</v>
      </c>
      <c r="F1191" s="116">
        <v>2846.7</v>
      </c>
      <c r="G1191">
        <v>4741</v>
      </c>
      <c r="H1191" s="116"/>
      <c r="I1191" s="116"/>
      <c r="L1191" s="163">
        <v>43762</v>
      </c>
      <c r="M1191" s="116">
        <v>569.21</v>
      </c>
      <c r="N1191" s="116">
        <v>575.79999999999995</v>
      </c>
      <c r="O1191" s="116">
        <v>567</v>
      </c>
      <c r="P1191" s="116">
        <v>568</v>
      </c>
      <c r="Q1191" s="116">
        <v>2846.05</v>
      </c>
      <c r="R1191">
        <v>267804</v>
      </c>
    </row>
    <row r="1192" spans="1:18" x14ac:dyDescent="0.25">
      <c r="A1192" s="163">
        <v>43763</v>
      </c>
      <c r="B1192" s="116">
        <v>585.84</v>
      </c>
      <c r="C1192" s="116">
        <v>570.57000000000005</v>
      </c>
      <c r="D1192" s="116">
        <v>567.13</v>
      </c>
      <c r="E1192" s="116">
        <v>567.13</v>
      </c>
      <c r="F1192" s="116">
        <v>2852.85</v>
      </c>
      <c r="G1192">
        <v>18351</v>
      </c>
      <c r="H1192" s="116"/>
      <c r="I1192" s="116"/>
      <c r="L1192" s="163">
        <v>43763</v>
      </c>
      <c r="M1192" s="116">
        <v>570.22</v>
      </c>
      <c r="N1192" s="116">
        <v>586</v>
      </c>
      <c r="O1192" s="116">
        <v>567</v>
      </c>
      <c r="P1192" s="116">
        <v>570.20000000000005</v>
      </c>
      <c r="Q1192" s="116">
        <v>2851.1</v>
      </c>
      <c r="R1192">
        <v>501355</v>
      </c>
    </row>
    <row r="1193" spans="1:18" x14ac:dyDescent="0.25">
      <c r="A1193" s="163">
        <v>43765</v>
      </c>
      <c r="B1193" s="116">
        <v>575</v>
      </c>
      <c r="C1193" s="116">
        <v>571.52</v>
      </c>
      <c r="D1193" s="116">
        <v>570</v>
      </c>
      <c r="E1193" s="116">
        <v>575</v>
      </c>
      <c r="F1193" s="116">
        <v>2857.6</v>
      </c>
      <c r="G1193">
        <v>921</v>
      </c>
      <c r="H1193" s="116"/>
      <c r="I1193" s="116"/>
      <c r="L1193" s="163">
        <v>43765</v>
      </c>
      <c r="M1193" s="116">
        <v>570.66</v>
      </c>
      <c r="N1193" s="116">
        <v>574.79999999999995</v>
      </c>
      <c r="O1193" s="116">
        <v>568.4</v>
      </c>
      <c r="P1193" s="116">
        <v>574.4</v>
      </c>
      <c r="Q1193" s="116">
        <v>2853.3</v>
      </c>
      <c r="R1193">
        <v>17405</v>
      </c>
    </row>
    <row r="1194" spans="1:18" x14ac:dyDescent="0.25">
      <c r="A1194" s="163">
        <v>43767</v>
      </c>
      <c r="B1194" s="116">
        <v>589.51</v>
      </c>
      <c r="C1194" s="116">
        <v>563.65</v>
      </c>
      <c r="D1194" s="116">
        <v>556.24</v>
      </c>
      <c r="E1194" s="116">
        <v>573.44000000000005</v>
      </c>
      <c r="F1194" s="116">
        <v>2818.25</v>
      </c>
      <c r="G1194">
        <v>22281</v>
      </c>
      <c r="H1194" s="116"/>
      <c r="I1194" s="116"/>
      <c r="L1194" s="163">
        <v>43767</v>
      </c>
      <c r="M1194" s="116">
        <v>563.91999999999996</v>
      </c>
      <c r="N1194" s="116">
        <v>589.6</v>
      </c>
      <c r="O1194" s="116">
        <v>556.61</v>
      </c>
      <c r="P1194" s="116">
        <v>572.58000000000004</v>
      </c>
      <c r="Q1194" s="116">
        <v>2819.6</v>
      </c>
      <c r="R1194">
        <v>348293</v>
      </c>
    </row>
    <row r="1195" spans="1:18" x14ac:dyDescent="0.25">
      <c r="A1195" s="163">
        <v>43768</v>
      </c>
      <c r="B1195" s="116">
        <v>563.5</v>
      </c>
      <c r="C1195" s="116">
        <v>559.27</v>
      </c>
      <c r="D1195" s="116">
        <v>543.4</v>
      </c>
      <c r="E1195" s="116">
        <v>563.5</v>
      </c>
      <c r="F1195" s="116">
        <v>2796.35</v>
      </c>
      <c r="G1195">
        <v>18970</v>
      </c>
      <c r="H1195" s="116"/>
      <c r="I1195" s="116"/>
      <c r="L1195" s="163">
        <v>43768</v>
      </c>
      <c r="M1195" s="116">
        <v>559.23</v>
      </c>
      <c r="N1195" s="116">
        <v>562.99</v>
      </c>
      <c r="O1195" s="116">
        <v>543</v>
      </c>
      <c r="P1195" s="116">
        <v>561.70000000000005</v>
      </c>
      <c r="Q1195" s="116">
        <v>2796.15</v>
      </c>
      <c r="R1195">
        <v>855803</v>
      </c>
    </row>
    <row r="1196" spans="1:18" x14ac:dyDescent="0.25">
      <c r="A1196" s="163">
        <v>43769</v>
      </c>
      <c r="B1196" s="116">
        <v>583.79999999999995</v>
      </c>
      <c r="C1196" s="116">
        <v>579.46</v>
      </c>
      <c r="D1196" s="116">
        <v>552</v>
      </c>
      <c r="E1196" s="116">
        <v>560.67999999999995</v>
      </c>
      <c r="F1196" s="116">
        <v>2897.3</v>
      </c>
      <c r="G1196">
        <v>22741</v>
      </c>
      <c r="H1196" s="116"/>
      <c r="I1196" s="116"/>
      <c r="L1196" s="163">
        <v>43769</v>
      </c>
      <c r="M1196" s="116">
        <v>579.25</v>
      </c>
      <c r="N1196" s="116">
        <v>584</v>
      </c>
      <c r="O1196" s="116">
        <v>551.59</v>
      </c>
      <c r="P1196" s="116">
        <v>559.98</v>
      </c>
      <c r="Q1196" s="116">
        <v>2896.25</v>
      </c>
      <c r="R1196">
        <v>647862</v>
      </c>
    </row>
    <row r="1197" spans="1:18" x14ac:dyDescent="0.25">
      <c r="A1197" s="163">
        <v>43770</v>
      </c>
      <c r="B1197" s="116">
        <v>585</v>
      </c>
      <c r="C1197" s="116">
        <v>580.42999999999995</v>
      </c>
      <c r="D1197" s="116">
        <v>570.88</v>
      </c>
      <c r="E1197" s="116">
        <v>578.4</v>
      </c>
      <c r="F1197" s="116">
        <v>2902.15</v>
      </c>
      <c r="G1197">
        <v>11113</v>
      </c>
      <c r="H1197" s="116"/>
      <c r="I1197" s="116"/>
      <c r="L1197" s="163">
        <v>43770</v>
      </c>
      <c r="M1197" s="116">
        <v>580.52</v>
      </c>
      <c r="N1197" s="116">
        <v>585.05999999999995</v>
      </c>
      <c r="O1197" s="116">
        <v>572</v>
      </c>
      <c r="P1197" s="116">
        <v>579.11</v>
      </c>
      <c r="Q1197" s="116">
        <v>2902.6</v>
      </c>
      <c r="R1197">
        <v>307775</v>
      </c>
    </row>
    <row r="1198" spans="1:18" x14ac:dyDescent="0.25">
      <c r="A1198" s="163">
        <v>43773</v>
      </c>
      <c r="B1198" s="116">
        <v>594.79999999999995</v>
      </c>
      <c r="C1198" s="116">
        <v>586.28</v>
      </c>
      <c r="D1198" s="116">
        <v>574.16</v>
      </c>
      <c r="E1198" s="116">
        <v>580.61</v>
      </c>
      <c r="F1198" s="116">
        <v>2931.4</v>
      </c>
      <c r="G1198">
        <v>26726</v>
      </c>
      <c r="H1198" s="116"/>
      <c r="I1198" s="116"/>
      <c r="L1198" s="163">
        <v>43773</v>
      </c>
      <c r="M1198" s="116">
        <v>585.98</v>
      </c>
      <c r="N1198" s="116">
        <v>595</v>
      </c>
      <c r="O1198" s="116">
        <v>574.16</v>
      </c>
      <c r="P1198" s="116">
        <v>580.4</v>
      </c>
      <c r="Q1198" s="116">
        <v>2929.9</v>
      </c>
      <c r="R1198">
        <v>613224</v>
      </c>
    </row>
    <row r="1199" spans="1:18" x14ac:dyDescent="0.25">
      <c r="A1199" s="163">
        <v>43774</v>
      </c>
      <c r="B1199" s="116">
        <v>612.85</v>
      </c>
      <c r="C1199" s="116">
        <v>591.46</v>
      </c>
      <c r="D1199" s="116">
        <v>578.53</v>
      </c>
      <c r="E1199" s="116">
        <v>580</v>
      </c>
      <c r="F1199" s="116">
        <v>2957.3</v>
      </c>
      <c r="G1199">
        <v>60656</v>
      </c>
      <c r="H1199" s="116"/>
      <c r="I1199" s="116"/>
      <c r="L1199" s="163">
        <v>43774</v>
      </c>
      <c r="M1199" s="116">
        <v>591.49</v>
      </c>
      <c r="N1199" s="116">
        <v>612.94000000000005</v>
      </c>
      <c r="O1199" s="116">
        <v>578</v>
      </c>
      <c r="P1199" s="116">
        <v>580</v>
      </c>
      <c r="Q1199" s="116">
        <v>2957.45</v>
      </c>
      <c r="R1199">
        <v>1150812</v>
      </c>
    </row>
    <row r="1200" spans="1:18" x14ac:dyDescent="0.25">
      <c r="A1200" s="163">
        <v>43775</v>
      </c>
      <c r="B1200" s="116">
        <v>625.75</v>
      </c>
      <c r="C1200" s="116">
        <v>613.14</v>
      </c>
      <c r="D1200" s="116">
        <v>588</v>
      </c>
      <c r="E1200" s="116">
        <v>590.01</v>
      </c>
      <c r="F1200" s="116">
        <v>3065.7</v>
      </c>
      <c r="G1200">
        <v>58466</v>
      </c>
      <c r="H1200" s="116"/>
      <c r="I1200" s="116"/>
      <c r="L1200" s="163">
        <v>43775</v>
      </c>
      <c r="M1200" s="116">
        <v>613.41999999999996</v>
      </c>
      <c r="N1200" s="116">
        <v>625.66999999999996</v>
      </c>
      <c r="O1200" s="116">
        <v>586.32000000000005</v>
      </c>
      <c r="P1200" s="116">
        <v>591</v>
      </c>
      <c r="Q1200" s="116">
        <v>3067.1</v>
      </c>
      <c r="R1200">
        <v>1433435</v>
      </c>
    </row>
    <row r="1201" spans="1:18" x14ac:dyDescent="0.25">
      <c r="A1201" s="163">
        <v>43776</v>
      </c>
      <c r="B1201" s="116">
        <v>633.35</v>
      </c>
      <c r="C1201" s="116">
        <v>630.20000000000005</v>
      </c>
      <c r="D1201" s="116">
        <v>608</v>
      </c>
      <c r="E1201" s="116">
        <v>616</v>
      </c>
      <c r="F1201" s="116">
        <v>3151</v>
      </c>
      <c r="G1201">
        <v>32857</v>
      </c>
      <c r="H1201" s="116"/>
      <c r="I1201" s="116"/>
      <c r="L1201" s="163">
        <v>43776</v>
      </c>
      <c r="M1201" s="116">
        <v>629.75</v>
      </c>
      <c r="N1201" s="116">
        <v>633</v>
      </c>
      <c r="O1201" s="116">
        <v>607.79999999999995</v>
      </c>
      <c r="P1201" s="116">
        <v>615.79999999999995</v>
      </c>
      <c r="Q1201" s="116">
        <v>3148.75</v>
      </c>
      <c r="R1201">
        <v>720917</v>
      </c>
    </row>
    <row r="1202" spans="1:18" x14ac:dyDescent="0.25">
      <c r="A1202" s="163">
        <v>43777</v>
      </c>
      <c r="B1202" s="116">
        <v>645</v>
      </c>
      <c r="C1202" s="116">
        <v>627.04999999999995</v>
      </c>
      <c r="D1202" s="116">
        <v>624.62</v>
      </c>
      <c r="E1202" s="116">
        <v>630.6</v>
      </c>
      <c r="F1202" s="116">
        <v>3135.25</v>
      </c>
      <c r="G1202">
        <v>35385</v>
      </c>
      <c r="H1202" s="116"/>
      <c r="I1202" s="116"/>
      <c r="L1202" s="163">
        <v>43777</v>
      </c>
      <c r="M1202" s="116">
        <v>627.89</v>
      </c>
      <c r="N1202" s="116">
        <v>645</v>
      </c>
      <c r="O1202" s="116">
        <v>623.91999999999996</v>
      </c>
      <c r="P1202" s="116">
        <v>629.6</v>
      </c>
      <c r="Q1202" s="116">
        <v>3139.45</v>
      </c>
      <c r="R1202">
        <v>799344</v>
      </c>
    </row>
    <row r="1203" spans="1:18" x14ac:dyDescent="0.25">
      <c r="A1203" s="163">
        <v>43780</v>
      </c>
      <c r="B1203" s="116">
        <v>639</v>
      </c>
      <c r="C1203" s="116">
        <v>631.33000000000004</v>
      </c>
      <c r="D1203" s="116">
        <v>626.74</v>
      </c>
      <c r="E1203" s="116">
        <v>628</v>
      </c>
      <c r="F1203" s="116">
        <v>3156.65</v>
      </c>
      <c r="G1203">
        <v>9919</v>
      </c>
      <c r="H1203" s="116"/>
      <c r="I1203" s="116"/>
      <c r="L1203" s="163">
        <v>43780</v>
      </c>
      <c r="M1203" s="116">
        <v>630.95000000000005</v>
      </c>
      <c r="N1203" s="116">
        <v>639.54999999999995</v>
      </c>
      <c r="O1203" s="116">
        <v>625.88</v>
      </c>
      <c r="P1203" s="116">
        <v>627.05999999999995</v>
      </c>
      <c r="Q1203" s="116">
        <v>3154.75</v>
      </c>
      <c r="R1203">
        <v>361518</v>
      </c>
    </row>
    <row r="1204" spans="1:18" x14ac:dyDescent="0.25">
      <c r="A1204" s="163">
        <v>43782</v>
      </c>
      <c r="B1204" s="116">
        <v>637.6</v>
      </c>
      <c r="C1204" s="116">
        <v>628.42999999999995</v>
      </c>
      <c r="D1204" s="116">
        <v>626.20000000000005</v>
      </c>
      <c r="E1204" s="116">
        <v>630.87</v>
      </c>
      <c r="F1204" s="116">
        <v>3142.15</v>
      </c>
      <c r="G1204">
        <v>8718</v>
      </c>
      <c r="H1204" s="116"/>
      <c r="I1204" s="116"/>
      <c r="L1204" s="163">
        <v>43782</v>
      </c>
      <c r="M1204" s="116">
        <v>628.94000000000005</v>
      </c>
      <c r="N1204" s="116">
        <v>638</v>
      </c>
      <c r="O1204" s="116">
        <v>626</v>
      </c>
      <c r="P1204" s="116">
        <v>634</v>
      </c>
      <c r="Q1204" s="116">
        <v>3144.7</v>
      </c>
      <c r="R1204">
        <v>354111</v>
      </c>
    </row>
    <row r="1205" spans="1:18" x14ac:dyDescent="0.25">
      <c r="A1205" s="163">
        <v>43783</v>
      </c>
      <c r="B1205" s="116">
        <v>638.02</v>
      </c>
      <c r="C1205" s="116">
        <v>631.80999999999995</v>
      </c>
      <c r="D1205" s="116">
        <v>627.64</v>
      </c>
      <c r="E1205" s="116">
        <v>628.79999999999995</v>
      </c>
      <c r="F1205" s="116">
        <v>3159.05</v>
      </c>
      <c r="G1205">
        <v>19227</v>
      </c>
      <c r="H1205" s="116"/>
      <c r="I1205" s="116"/>
      <c r="L1205" s="163">
        <v>43783</v>
      </c>
      <c r="M1205" s="116">
        <v>631.94000000000005</v>
      </c>
      <c r="N1205" s="116">
        <v>638</v>
      </c>
      <c r="O1205" s="116">
        <v>626</v>
      </c>
      <c r="P1205" s="116">
        <v>630</v>
      </c>
      <c r="Q1205" s="116">
        <v>3159.7</v>
      </c>
      <c r="R1205">
        <v>316254</v>
      </c>
    </row>
    <row r="1206" spans="1:18" x14ac:dyDescent="0.25">
      <c r="A1206" s="163">
        <v>43784</v>
      </c>
      <c r="B1206" s="116">
        <v>648.77</v>
      </c>
      <c r="C1206" s="116">
        <v>642.89</v>
      </c>
      <c r="D1206" s="116">
        <v>632.25</v>
      </c>
      <c r="E1206" s="116">
        <v>633.6</v>
      </c>
      <c r="F1206" s="116">
        <v>3214.45</v>
      </c>
      <c r="G1206">
        <v>16488</v>
      </c>
      <c r="H1206" s="116"/>
      <c r="I1206" s="116"/>
      <c r="L1206" s="163">
        <v>43784</v>
      </c>
      <c r="M1206" s="116">
        <v>643.14</v>
      </c>
      <c r="N1206" s="116">
        <v>648.97</v>
      </c>
      <c r="O1206" s="116">
        <v>631.64</v>
      </c>
      <c r="P1206" s="116">
        <v>635.6</v>
      </c>
      <c r="Q1206" s="116">
        <v>3215.7</v>
      </c>
      <c r="R1206">
        <v>517635</v>
      </c>
    </row>
    <row r="1207" spans="1:18" x14ac:dyDescent="0.25">
      <c r="A1207" s="163">
        <v>43787</v>
      </c>
      <c r="B1207" s="116">
        <v>648.16</v>
      </c>
      <c r="C1207" s="116">
        <v>641.15</v>
      </c>
      <c r="D1207" s="116">
        <v>636.79999999999995</v>
      </c>
      <c r="E1207" s="116">
        <v>644.20000000000005</v>
      </c>
      <c r="F1207" s="116">
        <v>3205.75</v>
      </c>
      <c r="G1207">
        <v>10768</v>
      </c>
      <c r="H1207" s="116"/>
      <c r="I1207" s="116"/>
      <c r="L1207" s="163">
        <v>43787</v>
      </c>
      <c r="M1207" s="116">
        <v>641.27</v>
      </c>
      <c r="N1207" s="116">
        <v>649.14</v>
      </c>
      <c r="O1207" s="116">
        <v>636.54999999999995</v>
      </c>
      <c r="P1207" s="116">
        <v>647.59</v>
      </c>
      <c r="Q1207" s="116">
        <v>3206.35</v>
      </c>
      <c r="R1207">
        <v>307592</v>
      </c>
    </row>
    <row r="1208" spans="1:18" x14ac:dyDescent="0.25">
      <c r="A1208" s="163">
        <v>43788</v>
      </c>
      <c r="B1208" s="116">
        <v>645.82000000000005</v>
      </c>
      <c r="C1208" s="116">
        <v>640.49</v>
      </c>
      <c r="D1208" s="116">
        <v>636.82000000000005</v>
      </c>
      <c r="E1208" s="116">
        <v>640</v>
      </c>
      <c r="F1208" s="116">
        <v>3202.45</v>
      </c>
      <c r="G1208">
        <v>2792</v>
      </c>
      <c r="H1208" s="116"/>
      <c r="I1208" s="116"/>
      <c r="L1208" s="163">
        <v>43788</v>
      </c>
      <c r="M1208" s="116">
        <v>640.11</v>
      </c>
      <c r="N1208" s="116">
        <v>645.27</v>
      </c>
      <c r="O1208" s="116">
        <v>637.04</v>
      </c>
      <c r="P1208" s="116">
        <v>643.6</v>
      </c>
      <c r="Q1208" s="116">
        <v>3200.55</v>
      </c>
      <c r="R1208">
        <v>128761</v>
      </c>
    </row>
    <row r="1209" spans="1:18" x14ac:dyDescent="0.25">
      <c r="A1209" s="163">
        <v>43789</v>
      </c>
      <c r="B1209" s="116">
        <v>654.79</v>
      </c>
      <c r="C1209" s="116">
        <v>644.14</v>
      </c>
      <c r="D1209" s="116">
        <v>640</v>
      </c>
      <c r="E1209" s="116">
        <v>640</v>
      </c>
      <c r="F1209" s="116">
        <v>3220.7</v>
      </c>
      <c r="G1209">
        <v>11208</v>
      </c>
      <c r="H1209" s="116"/>
      <c r="I1209" s="116"/>
      <c r="L1209" s="163">
        <v>43789</v>
      </c>
      <c r="M1209" s="116">
        <v>644.07000000000005</v>
      </c>
      <c r="N1209" s="116">
        <v>654.58000000000004</v>
      </c>
      <c r="O1209" s="116">
        <v>640</v>
      </c>
      <c r="P1209" s="116">
        <v>640</v>
      </c>
      <c r="Q1209" s="116">
        <v>3220.35</v>
      </c>
      <c r="R1209">
        <v>379707</v>
      </c>
    </row>
    <row r="1210" spans="1:18" x14ac:dyDescent="0.25">
      <c r="A1210" s="163">
        <v>43790</v>
      </c>
      <c r="B1210" s="116">
        <v>644.79999999999995</v>
      </c>
      <c r="C1210" s="116">
        <v>628.85</v>
      </c>
      <c r="D1210" s="116">
        <v>627</v>
      </c>
      <c r="E1210" s="116">
        <v>643.20000000000005</v>
      </c>
      <c r="F1210" s="116">
        <v>3144.25</v>
      </c>
      <c r="G1210">
        <v>3922</v>
      </c>
      <c r="H1210" s="116"/>
      <c r="I1210" s="116"/>
      <c r="L1210" s="163">
        <v>43790</v>
      </c>
      <c r="M1210" s="116">
        <v>628.75</v>
      </c>
      <c r="N1210" s="116">
        <v>646.07000000000005</v>
      </c>
      <c r="O1210" s="116">
        <v>626.78</v>
      </c>
      <c r="P1210" s="116">
        <v>645.6</v>
      </c>
      <c r="Q1210" s="116">
        <v>3143.75</v>
      </c>
      <c r="R1210">
        <v>221528</v>
      </c>
    </row>
    <row r="1211" spans="1:18" x14ac:dyDescent="0.25">
      <c r="A1211" s="163">
        <v>43791</v>
      </c>
      <c r="B1211" s="116">
        <v>635</v>
      </c>
      <c r="C1211" s="116">
        <v>624.29999999999995</v>
      </c>
      <c r="D1211" s="116">
        <v>617.98</v>
      </c>
      <c r="E1211" s="116">
        <v>630</v>
      </c>
      <c r="F1211" s="116">
        <v>3121.5</v>
      </c>
      <c r="G1211">
        <v>13343</v>
      </c>
      <c r="H1211" s="116"/>
      <c r="I1211" s="116"/>
      <c r="L1211" s="163">
        <v>43791</v>
      </c>
      <c r="M1211" s="116">
        <v>624.80999999999995</v>
      </c>
      <c r="N1211" s="116">
        <v>634.99</v>
      </c>
      <c r="O1211" s="116">
        <v>618.04</v>
      </c>
      <c r="P1211" s="116">
        <v>629.6</v>
      </c>
      <c r="Q1211" s="116">
        <v>3124.05</v>
      </c>
      <c r="R1211">
        <v>329812</v>
      </c>
    </row>
    <row r="1212" spans="1:18" x14ac:dyDescent="0.25">
      <c r="A1212" s="163">
        <v>43794</v>
      </c>
      <c r="B1212" s="116">
        <v>632.65</v>
      </c>
      <c r="C1212" s="116">
        <v>630.77</v>
      </c>
      <c r="D1212" s="116">
        <v>625</v>
      </c>
      <c r="E1212" s="116">
        <v>625</v>
      </c>
      <c r="F1212" s="116">
        <v>3153.85</v>
      </c>
      <c r="G1212">
        <v>5466</v>
      </c>
      <c r="H1212" s="116"/>
      <c r="I1212" s="116"/>
      <c r="L1212" s="163">
        <v>43794</v>
      </c>
      <c r="M1212" s="116">
        <v>630.45000000000005</v>
      </c>
      <c r="N1212" s="116">
        <v>632.35</v>
      </c>
      <c r="O1212" s="116">
        <v>626.41999999999996</v>
      </c>
      <c r="P1212" s="116">
        <v>628.71</v>
      </c>
      <c r="Q1212" s="116">
        <v>3152.25</v>
      </c>
      <c r="R1212">
        <v>175925</v>
      </c>
    </row>
    <row r="1213" spans="1:18" x14ac:dyDescent="0.25">
      <c r="A1213" s="163">
        <v>43795</v>
      </c>
      <c r="B1213" s="116">
        <v>634.62</v>
      </c>
      <c r="C1213" s="116">
        <v>624.4</v>
      </c>
      <c r="D1213" s="116">
        <v>620.95000000000005</v>
      </c>
      <c r="E1213" s="116">
        <v>624.20000000000005</v>
      </c>
      <c r="F1213" s="116">
        <v>3122</v>
      </c>
      <c r="G1213">
        <v>2972</v>
      </c>
      <c r="H1213" s="116"/>
      <c r="I1213" s="116"/>
      <c r="L1213" s="163">
        <v>43795</v>
      </c>
      <c r="M1213" s="116">
        <v>624.29</v>
      </c>
      <c r="N1213" s="116">
        <v>635.46</v>
      </c>
      <c r="O1213" s="116">
        <v>621</v>
      </c>
      <c r="P1213" s="116">
        <v>633</v>
      </c>
      <c r="Q1213" s="116">
        <v>3121.45</v>
      </c>
      <c r="R1213">
        <v>181703</v>
      </c>
    </row>
    <row r="1214" spans="1:18" x14ac:dyDescent="0.25">
      <c r="A1214" s="163">
        <v>43796</v>
      </c>
      <c r="B1214" s="116">
        <v>634.48</v>
      </c>
      <c r="C1214" s="116">
        <v>632.79999999999995</v>
      </c>
      <c r="D1214" s="116">
        <v>623.74</v>
      </c>
      <c r="E1214" s="116">
        <v>626.79999999999995</v>
      </c>
      <c r="F1214" s="116">
        <v>3164</v>
      </c>
      <c r="G1214">
        <v>3767</v>
      </c>
      <c r="H1214" s="116"/>
      <c r="I1214" s="116"/>
      <c r="L1214" s="163">
        <v>43796</v>
      </c>
      <c r="M1214" s="116">
        <v>632.98</v>
      </c>
      <c r="N1214" s="116">
        <v>634.6</v>
      </c>
      <c r="O1214" s="116">
        <v>623.57000000000005</v>
      </c>
      <c r="P1214" s="116">
        <v>626</v>
      </c>
      <c r="Q1214" s="116">
        <v>3164.9</v>
      </c>
      <c r="R1214">
        <v>183074</v>
      </c>
    </row>
    <row r="1215" spans="1:18" x14ac:dyDescent="0.25">
      <c r="A1215" s="163">
        <v>43797</v>
      </c>
      <c r="B1215" s="116">
        <v>648</v>
      </c>
      <c r="C1215" s="116">
        <v>645.62</v>
      </c>
      <c r="D1215" s="116">
        <v>626.33000000000004</v>
      </c>
      <c r="E1215" s="116">
        <v>632.80999999999995</v>
      </c>
      <c r="F1215" s="116">
        <v>3228.1</v>
      </c>
      <c r="G1215">
        <v>16399</v>
      </c>
      <c r="H1215" s="116"/>
      <c r="I1215" s="116"/>
      <c r="L1215" s="163">
        <v>43797</v>
      </c>
      <c r="M1215" s="116">
        <v>644.99</v>
      </c>
      <c r="N1215" s="116">
        <v>647.99</v>
      </c>
      <c r="O1215" s="116">
        <v>626.5</v>
      </c>
      <c r="P1215" s="116">
        <v>636.72</v>
      </c>
      <c r="Q1215" s="116">
        <v>3224.95</v>
      </c>
      <c r="R1215">
        <v>375030</v>
      </c>
    </row>
    <row r="1216" spans="1:18" x14ac:dyDescent="0.25">
      <c r="A1216" s="163">
        <v>43798</v>
      </c>
      <c r="B1216" s="116">
        <v>645.29999999999995</v>
      </c>
      <c r="C1216" s="116">
        <v>640.29</v>
      </c>
      <c r="D1216" s="116">
        <v>636.20000000000005</v>
      </c>
      <c r="E1216" s="116">
        <v>641.54999999999995</v>
      </c>
      <c r="F1216" s="116">
        <v>3201.45</v>
      </c>
      <c r="G1216">
        <v>6422</v>
      </c>
      <c r="H1216" s="116"/>
      <c r="I1216" s="116"/>
      <c r="L1216" s="163">
        <v>43798</v>
      </c>
      <c r="M1216" s="116">
        <v>640.33000000000004</v>
      </c>
      <c r="N1216" s="116">
        <v>644.59</v>
      </c>
      <c r="O1216" s="116">
        <v>636</v>
      </c>
      <c r="P1216" s="116">
        <v>642.64</v>
      </c>
      <c r="Q1216" s="116">
        <v>3201.65</v>
      </c>
      <c r="R1216">
        <v>144089</v>
      </c>
    </row>
    <row r="1217" spans="1:18" x14ac:dyDescent="0.25">
      <c r="A1217" s="163">
        <v>43801</v>
      </c>
      <c r="B1217" s="116">
        <v>649</v>
      </c>
      <c r="C1217" s="116">
        <v>646.86</v>
      </c>
      <c r="D1217" s="116">
        <v>635.32000000000005</v>
      </c>
      <c r="E1217" s="116">
        <v>641.05999999999995</v>
      </c>
      <c r="F1217" s="116">
        <v>3234.3</v>
      </c>
      <c r="G1217">
        <v>14884</v>
      </c>
      <c r="H1217" s="116"/>
      <c r="I1217" s="116"/>
      <c r="L1217" s="163">
        <v>43801</v>
      </c>
      <c r="M1217" s="116">
        <v>647.49</v>
      </c>
      <c r="N1217" s="116">
        <v>650</v>
      </c>
      <c r="O1217" s="116">
        <v>635</v>
      </c>
      <c r="P1217" s="116">
        <v>640.20000000000005</v>
      </c>
      <c r="Q1217" s="116">
        <v>3237.45</v>
      </c>
      <c r="R1217">
        <v>232151</v>
      </c>
    </row>
    <row r="1218" spans="1:18" x14ac:dyDescent="0.25">
      <c r="A1218" s="163">
        <v>43802</v>
      </c>
      <c r="B1218" s="116">
        <v>649.11</v>
      </c>
      <c r="C1218" s="116">
        <v>641.01</v>
      </c>
      <c r="D1218" s="116">
        <v>638.45000000000005</v>
      </c>
      <c r="E1218" s="116">
        <v>644.75</v>
      </c>
      <c r="F1218" s="116">
        <v>3205.05</v>
      </c>
      <c r="G1218">
        <v>10062</v>
      </c>
      <c r="H1218" s="116"/>
      <c r="I1218" s="116"/>
      <c r="L1218" s="163">
        <v>43802</v>
      </c>
      <c r="M1218" s="116">
        <v>641.19000000000005</v>
      </c>
      <c r="N1218" s="116">
        <v>649.53</v>
      </c>
      <c r="O1218" s="116">
        <v>638</v>
      </c>
      <c r="P1218" s="116">
        <v>645.99</v>
      </c>
      <c r="Q1218" s="116">
        <v>3205.95</v>
      </c>
      <c r="R1218">
        <v>160863</v>
      </c>
    </row>
    <row r="1219" spans="1:18" x14ac:dyDescent="0.25">
      <c r="A1219" s="163">
        <v>43803</v>
      </c>
      <c r="B1219" s="116">
        <v>643.21</v>
      </c>
      <c r="C1219" s="116">
        <v>638.55999999999995</v>
      </c>
      <c r="D1219" s="116">
        <v>635.44000000000005</v>
      </c>
      <c r="E1219" s="116">
        <v>638.38</v>
      </c>
      <c r="F1219" s="116">
        <v>3192.8</v>
      </c>
      <c r="G1219">
        <v>17719</v>
      </c>
      <c r="H1219" s="116"/>
      <c r="I1219" s="116"/>
      <c r="L1219" s="163">
        <v>43803</v>
      </c>
      <c r="M1219" s="116">
        <v>638.55999999999995</v>
      </c>
      <c r="N1219" s="116">
        <v>643.39</v>
      </c>
      <c r="O1219" s="116">
        <v>634.78</v>
      </c>
      <c r="P1219" s="116">
        <v>639.4</v>
      </c>
      <c r="Q1219" s="116">
        <v>3192.8</v>
      </c>
      <c r="R1219">
        <v>144637</v>
      </c>
    </row>
    <row r="1220" spans="1:18" x14ac:dyDescent="0.25">
      <c r="A1220" s="163">
        <v>43804</v>
      </c>
      <c r="B1220" s="116">
        <v>651.53</v>
      </c>
      <c r="C1220" s="116">
        <v>647.54</v>
      </c>
      <c r="D1220" s="116">
        <v>637.30999999999995</v>
      </c>
      <c r="E1220" s="116">
        <v>639</v>
      </c>
      <c r="F1220" s="116">
        <v>3237.7</v>
      </c>
      <c r="G1220">
        <v>12708</v>
      </c>
      <c r="H1220" s="116"/>
      <c r="I1220" s="116"/>
      <c r="L1220" s="163">
        <v>43804</v>
      </c>
      <c r="M1220" s="116">
        <v>648.24</v>
      </c>
      <c r="N1220" s="116">
        <v>651.36</v>
      </c>
      <c r="O1220" s="116">
        <v>636.04</v>
      </c>
      <c r="P1220" s="116">
        <v>639.38</v>
      </c>
      <c r="Q1220" s="116">
        <v>3241.2</v>
      </c>
      <c r="R1220">
        <v>253799</v>
      </c>
    </row>
    <row r="1221" spans="1:18" x14ac:dyDescent="0.25">
      <c r="A1221" s="163">
        <v>43805</v>
      </c>
      <c r="B1221" s="116">
        <v>650.57000000000005</v>
      </c>
      <c r="C1221" s="116">
        <v>645.07000000000005</v>
      </c>
      <c r="D1221" s="116">
        <v>642</v>
      </c>
      <c r="E1221" s="116">
        <v>646.03</v>
      </c>
      <c r="F1221" s="116">
        <v>3225.35</v>
      </c>
      <c r="G1221">
        <v>7726</v>
      </c>
      <c r="H1221" s="116"/>
      <c r="I1221" s="116"/>
      <c r="L1221" s="163">
        <v>43805</v>
      </c>
      <c r="M1221" s="116">
        <v>646.02</v>
      </c>
      <c r="N1221" s="116">
        <v>650.75</v>
      </c>
      <c r="O1221" s="116">
        <v>643.54</v>
      </c>
      <c r="P1221" s="116">
        <v>646.70000000000005</v>
      </c>
      <c r="Q1221" s="116">
        <v>3230.1</v>
      </c>
      <c r="R1221">
        <v>197189</v>
      </c>
    </row>
    <row r="1222" spans="1:18" x14ac:dyDescent="0.25">
      <c r="A1222" s="163">
        <v>43808</v>
      </c>
      <c r="B1222" s="116">
        <v>657.05</v>
      </c>
      <c r="C1222" s="116">
        <v>648.71</v>
      </c>
      <c r="D1222" s="116">
        <v>638.08000000000004</v>
      </c>
      <c r="E1222" s="116">
        <v>638.08000000000004</v>
      </c>
      <c r="F1222" s="116">
        <v>3243.55</v>
      </c>
      <c r="G1222">
        <v>9709</v>
      </c>
      <c r="H1222" s="116"/>
      <c r="I1222" s="116"/>
      <c r="L1222" s="163">
        <v>43808</v>
      </c>
      <c r="M1222" s="116">
        <v>648.89</v>
      </c>
      <c r="N1222" s="116">
        <v>657.15</v>
      </c>
      <c r="O1222" s="116">
        <v>641.32000000000005</v>
      </c>
      <c r="P1222" s="116">
        <v>642</v>
      </c>
      <c r="Q1222" s="116">
        <v>3244.45</v>
      </c>
      <c r="R1222">
        <v>339250</v>
      </c>
    </row>
    <row r="1223" spans="1:18" x14ac:dyDescent="0.25">
      <c r="A1223" s="163">
        <v>43809</v>
      </c>
      <c r="B1223" s="116">
        <v>654.72</v>
      </c>
      <c r="C1223" s="116">
        <v>647.36</v>
      </c>
      <c r="D1223" s="116">
        <v>643.20000000000005</v>
      </c>
      <c r="E1223" s="116">
        <v>643.20000000000005</v>
      </c>
      <c r="F1223" s="116">
        <v>3236.8</v>
      </c>
      <c r="G1223">
        <v>8967</v>
      </c>
      <c r="H1223" s="116"/>
      <c r="I1223" s="116"/>
      <c r="L1223" s="163">
        <v>43809</v>
      </c>
      <c r="M1223" s="116">
        <v>647.67999999999995</v>
      </c>
      <c r="N1223" s="116">
        <v>655.08000000000004</v>
      </c>
      <c r="O1223" s="116">
        <v>644.4</v>
      </c>
      <c r="P1223" s="116">
        <v>648.6</v>
      </c>
      <c r="Q1223" s="116">
        <v>3238.4</v>
      </c>
      <c r="R1223">
        <v>232926</v>
      </c>
    </row>
    <row r="1224" spans="1:18" x14ac:dyDescent="0.25">
      <c r="A1224" s="163">
        <v>43810</v>
      </c>
      <c r="B1224" s="116">
        <v>654.36</v>
      </c>
      <c r="C1224" s="116">
        <v>653.63</v>
      </c>
      <c r="D1224" s="116">
        <v>646</v>
      </c>
      <c r="E1224" s="116">
        <v>646</v>
      </c>
      <c r="F1224" s="116">
        <v>3268.15</v>
      </c>
      <c r="G1224">
        <v>2912</v>
      </c>
      <c r="H1224" s="116"/>
      <c r="I1224" s="116"/>
      <c r="L1224" s="163">
        <v>43810</v>
      </c>
      <c r="M1224" s="116">
        <v>653.71</v>
      </c>
      <c r="N1224" s="116">
        <v>654.79999999999995</v>
      </c>
      <c r="O1224" s="116">
        <v>646</v>
      </c>
      <c r="P1224" s="116">
        <v>648</v>
      </c>
      <c r="Q1224" s="116">
        <v>3268.55</v>
      </c>
      <c r="R1224">
        <v>163175</v>
      </c>
    </row>
    <row r="1225" spans="1:18" x14ac:dyDescent="0.25">
      <c r="A1225" s="163">
        <v>43811</v>
      </c>
      <c r="B1225" s="116">
        <v>664.62</v>
      </c>
      <c r="C1225" s="116">
        <v>660.89</v>
      </c>
      <c r="D1225" s="116">
        <v>652</v>
      </c>
      <c r="E1225" s="116">
        <v>652.39</v>
      </c>
      <c r="F1225" s="116">
        <v>3304.45</v>
      </c>
      <c r="G1225">
        <v>16818</v>
      </c>
      <c r="H1225" s="116"/>
      <c r="I1225" s="116"/>
      <c r="L1225" s="163">
        <v>43811</v>
      </c>
      <c r="M1225" s="116">
        <v>661.83</v>
      </c>
      <c r="N1225" s="116">
        <v>664.69</v>
      </c>
      <c r="O1225" s="116">
        <v>651.4</v>
      </c>
      <c r="P1225" s="116">
        <v>653</v>
      </c>
      <c r="Q1225" s="116">
        <v>3309.15</v>
      </c>
      <c r="R1225">
        <v>300081</v>
      </c>
    </row>
    <row r="1226" spans="1:18" x14ac:dyDescent="0.25">
      <c r="A1226" s="163">
        <v>43812</v>
      </c>
      <c r="B1226" s="116">
        <v>667.6</v>
      </c>
      <c r="C1226" s="116">
        <v>660.43</v>
      </c>
      <c r="D1226" s="116">
        <v>658.26</v>
      </c>
      <c r="E1226" s="116">
        <v>662.6</v>
      </c>
      <c r="F1226" s="116">
        <v>3302.15</v>
      </c>
      <c r="G1226">
        <v>6802</v>
      </c>
      <c r="H1226" s="116"/>
      <c r="I1226" s="116"/>
      <c r="L1226" s="163">
        <v>43812</v>
      </c>
      <c r="M1226" s="116">
        <v>660.6</v>
      </c>
      <c r="N1226" s="116">
        <v>668.59</v>
      </c>
      <c r="O1226" s="116">
        <v>658.2</v>
      </c>
      <c r="P1226" s="116">
        <v>661.16</v>
      </c>
      <c r="Q1226" s="116">
        <v>3303</v>
      </c>
      <c r="R1226">
        <v>289853</v>
      </c>
    </row>
    <row r="1227" spans="1:18" x14ac:dyDescent="0.25">
      <c r="A1227" s="163">
        <v>43815</v>
      </c>
      <c r="B1227" s="116">
        <v>665</v>
      </c>
      <c r="C1227" s="116">
        <v>653.26</v>
      </c>
      <c r="D1227" s="116">
        <v>652.27</v>
      </c>
      <c r="E1227" s="116">
        <v>660</v>
      </c>
      <c r="F1227" s="116">
        <v>3266.3</v>
      </c>
      <c r="G1227">
        <v>8169</v>
      </c>
      <c r="H1227" s="116"/>
      <c r="I1227" s="116"/>
      <c r="L1227" s="163">
        <v>43815</v>
      </c>
      <c r="M1227" s="116">
        <v>653.67999999999995</v>
      </c>
      <c r="N1227" s="116">
        <v>665.24</v>
      </c>
      <c r="O1227" s="116">
        <v>651.84</v>
      </c>
      <c r="P1227" s="116">
        <v>660.6</v>
      </c>
      <c r="Q1227" s="116">
        <v>3268.4</v>
      </c>
      <c r="R1227">
        <v>113547</v>
      </c>
    </row>
    <row r="1228" spans="1:18" x14ac:dyDescent="0.25">
      <c r="A1228" s="163">
        <v>43816</v>
      </c>
      <c r="B1228" s="116">
        <v>657.35</v>
      </c>
      <c r="C1228" s="116">
        <v>648.14</v>
      </c>
      <c r="D1228" s="116">
        <v>645.33000000000004</v>
      </c>
      <c r="E1228" s="116">
        <v>657.35</v>
      </c>
      <c r="F1228" s="116">
        <v>3240.7</v>
      </c>
      <c r="G1228">
        <v>19031</v>
      </c>
      <c r="H1228" s="116"/>
      <c r="I1228" s="116"/>
      <c r="L1228" s="163">
        <v>43816</v>
      </c>
      <c r="M1228" s="116">
        <v>648.05999999999995</v>
      </c>
      <c r="N1228" s="116">
        <v>657</v>
      </c>
      <c r="O1228" s="116">
        <v>645.04</v>
      </c>
      <c r="P1228" s="116">
        <v>653.9</v>
      </c>
      <c r="Q1228" s="116">
        <v>3240.3</v>
      </c>
      <c r="R1228">
        <v>114897</v>
      </c>
    </row>
    <row r="1229" spans="1:18" x14ac:dyDescent="0.25">
      <c r="A1229" s="163">
        <v>43817</v>
      </c>
      <c r="B1229" s="116">
        <v>649.70000000000005</v>
      </c>
      <c r="C1229" s="116">
        <v>645.84</v>
      </c>
      <c r="D1229" s="116">
        <v>641.79999999999995</v>
      </c>
      <c r="E1229" s="116">
        <v>649.70000000000005</v>
      </c>
      <c r="F1229" s="116">
        <v>3229.2</v>
      </c>
      <c r="G1229">
        <v>1779</v>
      </c>
      <c r="H1229" s="116"/>
      <c r="I1229" s="116"/>
      <c r="L1229" s="163">
        <v>43817</v>
      </c>
      <c r="M1229" s="116">
        <v>645.74</v>
      </c>
      <c r="N1229" s="116">
        <v>649.89</v>
      </c>
      <c r="O1229" s="116">
        <v>640.79999999999995</v>
      </c>
      <c r="P1229" s="116">
        <v>647.76</v>
      </c>
      <c r="Q1229" s="116">
        <v>3228.7</v>
      </c>
      <c r="R1229">
        <v>114104</v>
      </c>
    </row>
    <row r="1230" spans="1:18" x14ac:dyDescent="0.25">
      <c r="A1230" s="163">
        <v>43818</v>
      </c>
      <c r="B1230" s="116">
        <v>668.96</v>
      </c>
      <c r="C1230" s="116">
        <v>665.85</v>
      </c>
      <c r="D1230" s="116">
        <v>646.4</v>
      </c>
      <c r="E1230" s="116">
        <v>646.4</v>
      </c>
      <c r="F1230" s="116">
        <v>3329.25</v>
      </c>
      <c r="G1230">
        <v>26579</v>
      </c>
      <c r="H1230" s="116"/>
      <c r="I1230" s="116"/>
      <c r="L1230" s="163">
        <v>43818</v>
      </c>
      <c r="M1230" s="116">
        <v>665.9</v>
      </c>
      <c r="N1230" s="116">
        <v>669.15</v>
      </c>
      <c r="O1230" s="116">
        <v>646.76</v>
      </c>
      <c r="P1230" s="116">
        <v>647.38</v>
      </c>
      <c r="Q1230" s="116">
        <v>3329.5</v>
      </c>
      <c r="R1230">
        <v>605095</v>
      </c>
    </row>
    <row r="1231" spans="1:18" x14ac:dyDescent="0.25">
      <c r="A1231" s="163">
        <v>43819</v>
      </c>
      <c r="B1231" s="116">
        <v>672</v>
      </c>
      <c r="C1231" s="116">
        <v>665.07</v>
      </c>
      <c r="D1231" s="116">
        <v>661.81</v>
      </c>
      <c r="E1231" s="116">
        <v>672</v>
      </c>
      <c r="F1231" s="116">
        <v>3325.35</v>
      </c>
      <c r="G1231">
        <v>8032</v>
      </c>
      <c r="H1231" s="116"/>
      <c r="I1231" s="116"/>
      <c r="L1231" s="163">
        <v>43819</v>
      </c>
      <c r="M1231" s="116">
        <v>665.3</v>
      </c>
      <c r="N1231" s="116">
        <v>668.98</v>
      </c>
      <c r="O1231" s="116">
        <v>661.86</v>
      </c>
      <c r="P1231" s="116">
        <v>666.1</v>
      </c>
      <c r="Q1231" s="116">
        <v>3326.5</v>
      </c>
      <c r="R1231">
        <v>234143</v>
      </c>
    </row>
    <row r="1232" spans="1:18" x14ac:dyDescent="0.25">
      <c r="A1232" s="163">
        <v>43822</v>
      </c>
      <c r="B1232" s="116">
        <v>678.83</v>
      </c>
      <c r="C1232" s="116">
        <v>671.07</v>
      </c>
      <c r="D1232" s="116">
        <v>652</v>
      </c>
      <c r="E1232" s="116">
        <v>652</v>
      </c>
      <c r="F1232" s="116">
        <v>3355.35</v>
      </c>
      <c r="G1232">
        <v>13935</v>
      </c>
      <c r="H1232" s="116"/>
      <c r="I1232" s="116"/>
      <c r="L1232" s="163">
        <v>43822</v>
      </c>
      <c r="M1232" s="116">
        <v>671.44</v>
      </c>
      <c r="N1232" s="116">
        <v>679.19</v>
      </c>
      <c r="O1232" s="116">
        <v>660.2</v>
      </c>
      <c r="P1232" s="116">
        <v>664.58</v>
      </c>
      <c r="Q1232" s="116">
        <v>3357.2</v>
      </c>
      <c r="R1232">
        <v>473685</v>
      </c>
    </row>
    <row r="1233" spans="1:18" x14ac:dyDescent="0.25">
      <c r="A1233" s="163">
        <v>43823</v>
      </c>
      <c r="B1233" s="116">
        <v>674</v>
      </c>
      <c r="C1233" s="116">
        <v>665.56</v>
      </c>
      <c r="D1233" s="116">
        <v>664.45</v>
      </c>
      <c r="E1233" s="116">
        <v>669.76</v>
      </c>
      <c r="F1233" s="116">
        <v>3327.8</v>
      </c>
      <c r="G1233">
        <v>8680</v>
      </c>
      <c r="H1233" s="116"/>
      <c r="I1233" s="116"/>
      <c r="L1233" s="163">
        <v>43823</v>
      </c>
      <c r="M1233" s="116">
        <v>665.89</v>
      </c>
      <c r="N1233" s="116">
        <v>674.4</v>
      </c>
      <c r="O1233" s="116">
        <v>664.4</v>
      </c>
      <c r="P1233" s="116">
        <v>669.39</v>
      </c>
      <c r="Q1233" s="116">
        <v>3329.45</v>
      </c>
      <c r="R1233">
        <v>187274</v>
      </c>
    </row>
    <row r="1234" spans="1:18" x14ac:dyDescent="0.25">
      <c r="A1234" s="163">
        <v>43825</v>
      </c>
      <c r="B1234" s="116">
        <v>685.33</v>
      </c>
      <c r="C1234" s="116">
        <v>683.81</v>
      </c>
      <c r="D1234" s="116">
        <v>666.23</v>
      </c>
      <c r="E1234" s="116">
        <v>666.51</v>
      </c>
      <c r="F1234" s="116">
        <v>3419.05</v>
      </c>
      <c r="G1234">
        <v>21722</v>
      </c>
      <c r="H1234" s="116"/>
      <c r="I1234" s="116"/>
      <c r="L1234" s="163">
        <v>43825</v>
      </c>
      <c r="M1234" s="116">
        <v>682.72</v>
      </c>
      <c r="N1234" s="116">
        <v>685.32</v>
      </c>
      <c r="O1234" s="116">
        <v>664.22</v>
      </c>
      <c r="P1234" s="116">
        <v>664.22</v>
      </c>
      <c r="Q1234" s="116">
        <v>3413.6</v>
      </c>
      <c r="R1234">
        <v>556181</v>
      </c>
    </row>
    <row r="1235" spans="1:18" x14ac:dyDescent="0.25">
      <c r="A1235" s="163">
        <v>43826</v>
      </c>
      <c r="B1235" s="116">
        <v>689.6</v>
      </c>
      <c r="C1235" s="116">
        <v>684.73</v>
      </c>
      <c r="D1235" s="116">
        <v>678.22</v>
      </c>
      <c r="E1235" s="116">
        <v>682.8</v>
      </c>
      <c r="F1235" s="116">
        <v>3423.65</v>
      </c>
      <c r="G1235">
        <v>12134</v>
      </c>
      <c r="H1235" s="116"/>
      <c r="I1235" s="116"/>
      <c r="L1235" s="163">
        <v>43826</v>
      </c>
      <c r="M1235" s="116">
        <v>684.16</v>
      </c>
      <c r="N1235" s="116">
        <v>689.8</v>
      </c>
      <c r="O1235" s="116">
        <v>678.26</v>
      </c>
      <c r="P1235" s="116">
        <v>682.76</v>
      </c>
      <c r="Q1235" s="116">
        <v>3420.8</v>
      </c>
      <c r="R1235">
        <v>386492</v>
      </c>
    </row>
    <row r="1236" spans="1:18" x14ac:dyDescent="0.25">
      <c r="A1236" s="163">
        <v>43829</v>
      </c>
      <c r="B1236" s="116">
        <v>690.96</v>
      </c>
      <c r="C1236" s="116">
        <v>682.7</v>
      </c>
      <c r="D1236" s="116">
        <v>681</v>
      </c>
      <c r="E1236" s="116">
        <v>684.16</v>
      </c>
      <c r="F1236" s="116">
        <v>3413.5</v>
      </c>
      <c r="G1236">
        <v>8162</v>
      </c>
      <c r="H1236" s="116"/>
      <c r="I1236" s="116"/>
      <c r="L1236" s="163">
        <v>43829</v>
      </c>
      <c r="M1236" s="116">
        <v>683.06</v>
      </c>
      <c r="N1236" s="116">
        <v>691.29</v>
      </c>
      <c r="O1236" s="116">
        <v>681.02</v>
      </c>
      <c r="P1236" s="116">
        <v>682.44</v>
      </c>
      <c r="Q1236" s="116">
        <v>3415.3</v>
      </c>
      <c r="R1236">
        <v>274454</v>
      </c>
    </row>
    <row r="1237" spans="1:18" x14ac:dyDescent="0.25">
      <c r="A1237" s="163">
        <v>43830</v>
      </c>
      <c r="B1237" s="116">
        <v>689.26</v>
      </c>
      <c r="C1237" s="116">
        <v>687.17</v>
      </c>
      <c r="D1237" s="116">
        <v>680.8</v>
      </c>
      <c r="E1237" s="116">
        <v>680.8</v>
      </c>
      <c r="F1237" s="116">
        <v>3435.85</v>
      </c>
      <c r="G1237">
        <v>5831</v>
      </c>
      <c r="H1237" s="116"/>
      <c r="I1237" s="116"/>
      <c r="L1237" s="163">
        <v>43830</v>
      </c>
      <c r="M1237" s="116">
        <v>687.22</v>
      </c>
      <c r="N1237" s="116">
        <v>690</v>
      </c>
      <c r="O1237" s="116">
        <v>680.21</v>
      </c>
      <c r="P1237" s="116">
        <v>682.9</v>
      </c>
      <c r="Q1237" s="116">
        <v>3436.1</v>
      </c>
      <c r="R1237">
        <v>189423</v>
      </c>
    </row>
    <row r="1238" spans="1:18" x14ac:dyDescent="0.25">
      <c r="A1238" s="163">
        <v>43831</v>
      </c>
      <c r="B1238" s="116">
        <v>690</v>
      </c>
      <c r="C1238" s="116">
        <v>687.63</v>
      </c>
      <c r="D1238" s="116">
        <v>686.46</v>
      </c>
      <c r="E1238" s="116">
        <v>687.22</v>
      </c>
      <c r="F1238" s="116">
        <v>3438.15</v>
      </c>
      <c r="G1238">
        <v>4047</v>
      </c>
      <c r="H1238" s="116"/>
      <c r="I1238" s="116"/>
      <c r="L1238" s="163">
        <v>43831</v>
      </c>
      <c r="M1238" s="116">
        <v>687.91</v>
      </c>
      <c r="N1238" s="116">
        <v>690.6</v>
      </c>
      <c r="O1238" s="116">
        <v>685.06</v>
      </c>
      <c r="P1238" s="116">
        <v>686.3</v>
      </c>
      <c r="Q1238" s="116">
        <v>3439.55</v>
      </c>
      <c r="R1238">
        <v>106572</v>
      </c>
    </row>
    <row r="1239" spans="1:18" x14ac:dyDescent="0.25">
      <c r="A1239" s="163">
        <v>43832</v>
      </c>
      <c r="B1239" s="116">
        <v>694.08</v>
      </c>
      <c r="C1239" s="116">
        <v>692.99</v>
      </c>
      <c r="D1239" s="116">
        <v>687.69</v>
      </c>
      <c r="E1239" s="116">
        <v>693</v>
      </c>
      <c r="F1239" s="116">
        <v>3464.95</v>
      </c>
      <c r="G1239">
        <v>5380</v>
      </c>
      <c r="H1239" s="116"/>
      <c r="I1239" s="116"/>
      <c r="L1239" s="163">
        <v>43832</v>
      </c>
      <c r="M1239" s="116">
        <v>692.66</v>
      </c>
      <c r="N1239" s="116">
        <v>693.9</v>
      </c>
      <c r="O1239" s="116">
        <v>687</v>
      </c>
      <c r="P1239" s="116">
        <v>688.2</v>
      </c>
      <c r="Q1239" s="116">
        <v>3463.3</v>
      </c>
      <c r="R1239">
        <v>152503</v>
      </c>
    </row>
    <row r="1240" spans="1:18" x14ac:dyDescent="0.25">
      <c r="A1240" s="163">
        <v>43833</v>
      </c>
      <c r="B1240" s="116">
        <v>695.8</v>
      </c>
      <c r="C1240" s="116">
        <v>690.72</v>
      </c>
      <c r="D1240" s="116">
        <v>687.41</v>
      </c>
      <c r="E1240" s="116">
        <v>692.8</v>
      </c>
      <c r="F1240" s="116">
        <v>3453.6</v>
      </c>
      <c r="G1240">
        <v>2939</v>
      </c>
      <c r="H1240" s="116"/>
      <c r="I1240" s="116"/>
      <c r="L1240" s="163">
        <v>43833</v>
      </c>
      <c r="M1240" s="116">
        <v>690.53</v>
      </c>
      <c r="N1240" s="116">
        <v>695.17</v>
      </c>
      <c r="O1240" s="116">
        <v>687.06</v>
      </c>
      <c r="P1240" s="116">
        <v>691.64</v>
      </c>
      <c r="Q1240" s="116">
        <v>3452.65</v>
      </c>
      <c r="R1240">
        <v>121856</v>
      </c>
    </row>
    <row r="1241" spans="1:18" x14ac:dyDescent="0.25">
      <c r="A1241" s="163">
        <v>43836</v>
      </c>
      <c r="B1241" s="116">
        <v>690.72</v>
      </c>
      <c r="C1241" s="116">
        <v>681.66</v>
      </c>
      <c r="D1241" s="116">
        <v>676.72</v>
      </c>
      <c r="E1241" s="116">
        <v>690.72</v>
      </c>
      <c r="F1241" s="116">
        <v>3408.3</v>
      </c>
      <c r="G1241">
        <v>7364</v>
      </c>
      <c r="H1241" s="116"/>
      <c r="I1241" s="116"/>
      <c r="L1241" s="163">
        <v>43836</v>
      </c>
      <c r="M1241" s="116">
        <v>681.74</v>
      </c>
      <c r="N1241" s="116">
        <v>690</v>
      </c>
      <c r="O1241" s="116">
        <v>676.81</v>
      </c>
      <c r="P1241" s="116">
        <v>690</v>
      </c>
      <c r="Q1241" s="116">
        <v>3408.7</v>
      </c>
      <c r="R1241">
        <v>149865</v>
      </c>
    </row>
    <row r="1242" spans="1:18" x14ac:dyDescent="0.25">
      <c r="A1242" s="163">
        <v>43837</v>
      </c>
      <c r="B1242" s="116">
        <v>689.59</v>
      </c>
      <c r="C1242" s="116">
        <v>683.54</v>
      </c>
      <c r="D1242" s="116">
        <v>677.41</v>
      </c>
      <c r="E1242" s="116">
        <v>686</v>
      </c>
      <c r="F1242" s="116">
        <v>3417.7</v>
      </c>
      <c r="G1242">
        <v>3510</v>
      </c>
      <c r="H1242" s="116"/>
      <c r="I1242" s="116"/>
      <c r="L1242" s="163">
        <v>43837</v>
      </c>
      <c r="M1242" s="116">
        <v>683.54</v>
      </c>
      <c r="N1242" s="116">
        <v>689.8</v>
      </c>
      <c r="O1242" s="116">
        <v>677.62</v>
      </c>
      <c r="P1242" s="116">
        <v>683.1</v>
      </c>
      <c r="Q1242" s="116">
        <v>3417.7</v>
      </c>
      <c r="R1242">
        <v>153859</v>
      </c>
    </row>
    <row r="1243" spans="1:18" x14ac:dyDescent="0.25">
      <c r="A1243" s="163">
        <v>43838</v>
      </c>
      <c r="B1243" s="116">
        <v>694.6</v>
      </c>
      <c r="C1243" s="116">
        <v>693.5</v>
      </c>
      <c r="D1243" s="116">
        <v>675.92</v>
      </c>
      <c r="E1243" s="116">
        <v>676.14</v>
      </c>
      <c r="F1243" s="116">
        <v>3467.5</v>
      </c>
      <c r="G1243">
        <v>5333</v>
      </c>
      <c r="H1243" s="116"/>
      <c r="I1243" s="116"/>
      <c r="L1243" s="163">
        <v>43838</v>
      </c>
      <c r="M1243" s="116">
        <v>693.11</v>
      </c>
      <c r="N1243" s="116">
        <v>698.51</v>
      </c>
      <c r="O1243" s="116">
        <v>676.2</v>
      </c>
      <c r="P1243" s="116">
        <v>677.6</v>
      </c>
      <c r="Q1243" s="116">
        <v>3465.55</v>
      </c>
      <c r="R1243">
        <v>199106</v>
      </c>
    </row>
    <row r="1244" spans="1:18" x14ac:dyDescent="0.25">
      <c r="A1244" s="163">
        <v>43839</v>
      </c>
      <c r="B1244" s="116">
        <v>703.16</v>
      </c>
      <c r="C1244" s="116">
        <v>698.99</v>
      </c>
      <c r="D1244" s="116">
        <v>691.85</v>
      </c>
      <c r="E1244" s="116">
        <v>694.6</v>
      </c>
      <c r="F1244" s="116">
        <v>3494.95</v>
      </c>
      <c r="G1244">
        <v>10674</v>
      </c>
      <c r="H1244" s="116"/>
      <c r="I1244" s="116"/>
      <c r="L1244" s="163">
        <v>43839</v>
      </c>
      <c r="M1244" s="116">
        <v>699.23</v>
      </c>
      <c r="N1244" s="116">
        <v>703.2</v>
      </c>
      <c r="O1244" s="116">
        <v>691.64</v>
      </c>
      <c r="P1244" s="116">
        <v>694.98</v>
      </c>
      <c r="Q1244" s="116">
        <v>3496.15</v>
      </c>
      <c r="R1244">
        <v>265052</v>
      </c>
    </row>
    <row r="1245" spans="1:18" x14ac:dyDescent="0.25">
      <c r="A1245" s="163">
        <v>43840</v>
      </c>
      <c r="B1245" s="116">
        <v>702.63</v>
      </c>
      <c r="C1245" s="116">
        <v>699.94</v>
      </c>
      <c r="D1245" s="116">
        <v>696.06</v>
      </c>
      <c r="E1245" s="116">
        <v>700.2</v>
      </c>
      <c r="F1245" s="116">
        <v>3499.7</v>
      </c>
      <c r="G1245">
        <v>23618</v>
      </c>
      <c r="H1245" s="116"/>
      <c r="I1245" s="116"/>
      <c r="L1245" s="163">
        <v>43840</v>
      </c>
      <c r="M1245" s="116">
        <v>699.04</v>
      </c>
      <c r="N1245" s="116">
        <v>703.6</v>
      </c>
      <c r="O1245" s="116">
        <v>696</v>
      </c>
      <c r="P1245" s="116">
        <v>703.6</v>
      </c>
      <c r="Q1245" s="116">
        <v>3495.2</v>
      </c>
      <c r="R1245">
        <v>190271</v>
      </c>
    </row>
    <row r="1246" spans="1:18" x14ac:dyDescent="0.25">
      <c r="A1246" s="163">
        <v>43843</v>
      </c>
      <c r="B1246" s="116">
        <v>708.64</v>
      </c>
      <c r="C1246" s="116">
        <v>707.58</v>
      </c>
      <c r="D1246" s="116">
        <v>699.8</v>
      </c>
      <c r="E1246" s="116">
        <v>699.8</v>
      </c>
      <c r="F1246" s="116">
        <v>3537.9</v>
      </c>
      <c r="G1246">
        <v>5996</v>
      </c>
      <c r="H1246" s="116"/>
      <c r="I1246" s="116"/>
      <c r="L1246" s="163">
        <v>43843</v>
      </c>
      <c r="M1246" s="116">
        <v>708.02</v>
      </c>
      <c r="N1246" s="116">
        <v>708.72</v>
      </c>
      <c r="O1246" s="116">
        <v>700.25</v>
      </c>
      <c r="P1246" s="116">
        <v>700.4</v>
      </c>
      <c r="Q1246" s="116">
        <v>3540.1</v>
      </c>
      <c r="R1246">
        <v>219847</v>
      </c>
    </row>
    <row r="1247" spans="1:18" x14ac:dyDescent="0.25">
      <c r="A1247" s="163">
        <v>43844</v>
      </c>
      <c r="B1247" s="116">
        <v>712.35</v>
      </c>
      <c r="C1247" s="116">
        <v>708.19</v>
      </c>
      <c r="D1247" s="116">
        <v>704.45</v>
      </c>
      <c r="E1247" s="116">
        <v>708.99</v>
      </c>
      <c r="F1247" s="116">
        <v>3540.95</v>
      </c>
      <c r="G1247">
        <v>3081</v>
      </c>
      <c r="H1247" s="116"/>
      <c r="I1247" s="116"/>
      <c r="L1247" s="163">
        <v>43844</v>
      </c>
      <c r="M1247" s="116">
        <v>708.3</v>
      </c>
      <c r="N1247" s="116">
        <v>712.49</v>
      </c>
      <c r="O1247" s="116">
        <v>704.24</v>
      </c>
      <c r="P1247" s="116">
        <v>704.24</v>
      </c>
      <c r="Q1247" s="116">
        <v>3541.5</v>
      </c>
      <c r="R1247">
        <v>141070</v>
      </c>
    </row>
    <row r="1248" spans="1:18" x14ac:dyDescent="0.25">
      <c r="A1248" s="163">
        <v>43845</v>
      </c>
      <c r="B1248" s="116">
        <v>715.8</v>
      </c>
      <c r="C1248" s="116">
        <v>714.2</v>
      </c>
      <c r="D1248" s="116">
        <v>704.4</v>
      </c>
      <c r="E1248" s="116">
        <v>708</v>
      </c>
      <c r="F1248" s="116">
        <v>3571</v>
      </c>
      <c r="G1248">
        <v>2927</v>
      </c>
      <c r="H1248" s="116"/>
      <c r="I1248" s="116"/>
      <c r="L1248" s="163">
        <v>43845</v>
      </c>
      <c r="M1248" s="116">
        <v>714.33</v>
      </c>
      <c r="N1248" s="116">
        <v>716.1</v>
      </c>
      <c r="O1248" s="116">
        <v>704</v>
      </c>
      <c r="P1248" s="116">
        <v>704</v>
      </c>
      <c r="Q1248" s="116">
        <v>3571.65</v>
      </c>
      <c r="R1248">
        <v>133263</v>
      </c>
    </row>
    <row r="1249" spans="1:18" x14ac:dyDescent="0.25">
      <c r="A1249" s="163">
        <v>43846</v>
      </c>
      <c r="B1249" s="116">
        <v>719</v>
      </c>
      <c r="C1249" s="116">
        <v>714.45</v>
      </c>
      <c r="D1249" s="116">
        <v>712.6</v>
      </c>
      <c r="E1249" s="116">
        <v>719</v>
      </c>
      <c r="F1249" s="116">
        <v>3572.25</v>
      </c>
      <c r="G1249">
        <v>3473</v>
      </c>
      <c r="H1249" s="116"/>
      <c r="I1249" s="116"/>
      <c r="L1249" s="163">
        <v>43846</v>
      </c>
      <c r="M1249" s="116">
        <v>714.98</v>
      </c>
      <c r="N1249" s="116">
        <v>719.36</v>
      </c>
      <c r="O1249" s="116">
        <v>712.01</v>
      </c>
      <c r="P1249" s="116">
        <v>712.4</v>
      </c>
      <c r="Q1249" s="116">
        <v>3574.9</v>
      </c>
      <c r="R1249">
        <v>104381</v>
      </c>
    </row>
    <row r="1250" spans="1:18" x14ac:dyDescent="0.25">
      <c r="A1250" s="163">
        <v>43847</v>
      </c>
      <c r="B1250" s="116">
        <v>730.77</v>
      </c>
      <c r="C1250" s="116">
        <v>724.83</v>
      </c>
      <c r="D1250" s="116">
        <v>715</v>
      </c>
      <c r="E1250" s="116">
        <v>715.86</v>
      </c>
      <c r="F1250" s="116">
        <v>3624.15</v>
      </c>
      <c r="G1250">
        <v>10472</v>
      </c>
      <c r="H1250" s="116"/>
      <c r="I1250" s="116"/>
      <c r="L1250" s="163">
        <v>43847</v>
      </c>
      <c r="M1250" s="116">
        <v>724.54</v>
      </c>
      <c r="N1250" s="116">
        <v>731</v>
      </c>
      <c r="O1250" s="116">
        <v>714.2</v>
      </c>
      <c r="P1250" s="116">
        <v>715.78</v>
      </c>
      <c r="Q1250" s="116">
        <v>3622.7</v>
      </c>
      <c r="R1250">
        <v>194926</v>
      </c>
    </row>
    <row r="1251" spans="1:18" x14ac:dyDescent="0.25">
      <c r="A1251" s="163">
        <v>43850</v>
      </c>
      <c r="B1251" s="116">
        <v>728</v>
      </c>
      <c r="C1251" s="116">
        <v>722.47</v>
      </c>
      <c r="D1251" s="116">
        <v>720</v>
      </c>
      <c r="E1251" s="116">
        <v>728</v>
      </c>
      <c r="F1251" s="116">
        <v>3612.35</v>
      </c>
      <c r="G1251">
        <v>6585</v>
      </c>
      <c r="H1251" s="116"/>
      <c r="I1251" s="116"/>
      <c r="L1251" s="163">
        <v>43850</v>
      </c>
      <c r="M1251" s="116">
        <v>723.23</v>
      </c>
      <c r="N1251" s="116">
        <v>728.97</v>
      </c>
      <c r="O1251" s="116">
        <v>720.4</v>
      </c>
      <c r="P1251" s="116">
        <v>727</v>
      </c>
      <c r="Q1251" s="116">
        <v>3616.15</v>
      </c>
      <c r="R1251">
        <v>84046</v>
      </c>
    </row>
    <row r="1252" spans="1:18" x14ac:dyDescent="0.25">
      <c r="A1252" s="163">
        <v>43851</v>
      </c>
      <c r="B1252" s="116">
        <v>729.29</v>
      </c>
      <c r="C1252" s="116">
        <v>722.17</v>
      </c>
      <c r="D1252" s="116">
        <v>720.8</v>
      </c>
      <c r="E1252" s="116">
        <v>722</v>
      </c>
      <c r="F1252" s="116">
        <v>3610.85</v>
      </c>
      <c r="G1252">
        <v>1738</v>
      </c>
      <c r="H1252" s="116"/>
      <c r="I1252" s="116"/>
      <c r="L1252" s="163">
        <v>43851</v>
      </c>
      <c r="M1252" s="116">
        <v>721.92</v>
      </c>
      <c r="N1252" s="116">
        <v>729.4</v>
      </c>
      <c r="O1252" s="116">
        <v>720.42</v>
      </c>
      <c r="P1252" s="116">
        <v>723</v>
      </c>
      <c r="Q1252" s="116">
        <v>3609.6</v>
      </c>
      <c r="R1252">
        <v>94049</v>
      </c>
    </row>
    <row r="1253" spans="1:18" x14ac:dyDescent="0.25">
      <c r="A1253" s="163">
        <v>43852</v>
      </c>
      <c r="B1253" s="116">
        <v>727.56</v>
      </c>
      <c r="C1253" s="116">
        <v>721.63</v>
      </c>
      <c r="D1253" s="116">
        <v>720.51</v>
      </c>
      <c r="E1253" s="116">
        <v>722</v>
      </c>
      <c r="F1253" s="116">
        <v>3608.15</v>
      </c>
      <c r="G1253">
        <v>1706</v>
      </c>
      <c r="H1253" s="116"/>
      <c r="I1253" s="116"/>
      <c r="L1253" s="163">
        <v>43852</v>
      </c>
      <c r="M1253" s="116">
        <v>722.08</v>
      </c>
      <c r="N1253" s="116">
        <v>727.72</v>
      </c>
      <c r="O1253" s="116">
        <v>720.18</v>
      </c>
      <c r="P1253" s="116">
        <v>725.8</v>
      </c>
      <c r="Q1253" s="116">
        <v>3610.4</v>
      </c>
      <c r="R1253">
        <v>91319</v>
      </c>
    </row>
    <row r="1254" spans="1:18" x14ac:dyDescent="0.25">
      <c r="A1254" s="163">
        <v>43853</v>
      </c>
      <c r="B1254" s="116">
        <v>732.26</v>
      </c>
      <c r="C1254" s="116">
        <v>727.34</v>
      </c>
      <c r="D1254" s="116">
        <v>722.15</v>
      </c>
      <c r="E1254" s="116">
        <v>723.12</v>
      </c>
      <c r="F1254" s="116">
        <v>3636.7</v>
      </c>
      <c r="G1254">
        <v>4512</v>
      </c>
      <c r="H1254" s="116"/>
      <c r="I1254" s="116"/>
      <c r="L1254" s="163">
        <v>43853</v>
      </c>
      <c r="M1254" s="116">
        <v>727.36</v>
      </c>
      <c r="N1254" s="116">
        <v>732.6</v>
      </c>
      <c r="O1254" s="116">
        <v>721.48</v>
      </c>
      <c r="P1254" s="116">
        <v>722.2</v>
      </c>
      <c r="Q1254" s="116">
        <v>3636.8</v>
      </c>
      <c r="R1254">
        <v>164428</v>
      </c>
    </row>
    <row r="1255" spans="1:18" x14ac:dyDescent="0.25">
      <c r="A1255" s="163">
        <v>43854</v>
      </c>
      <c r="B1255" s="116">
        <v>744.31</v>
      </c>
      <c r="C1255" s="116">
        <v>732.67</v>
      </c>
      <c r="D1255" s="116">
        <v>726.34</v>
      </c>
      <c r="E1255" s="116">
        <v>726.34</v>
      </c>
      <c r="F1255" s="116">
        <v>3663.35</v>
      </c>
      <c r="G1255">
        <v>6620</v>
      </c>
      <c r="H1255" s="116"/>
      <c r="I1255" s="116"/>
      <c r="L1255" s="163">
        <v>43854</v>
      </c>
      <c r="M1255" s="116">
        <v>732.07</v>
      </c>
      <c r="N1255" s="116">
        <v>745.35</v>
      </c>
      <c r="O1255" s="116">
        <v>725.04</v>
      </c>
      <c r="P1255" s="116">
        <v>725.04</v>
      </c>
      <c r="Q1255" s="116">
        <v>3660.35</v>
      </c>
      <c r="R1255">
        <v>292983</v>
      </c>
    </row>
    <row r="1256" spans="1:18" x14ac:dyDescent="0.25">
      <c r="A1256" s="163">
        <v>43857</v>
      </c>
      <c r="B1256" s="116">
        <v>742.8</v>
      </c>
      <c r="C1256" s="116">
        <v>734.91</v>
      </c>
      <c r="D1256" s="116">
        <v>729.31</v>
      </c>
      <c r="E1256" s="116">
        <v>730</v>
      </c>
      <c r="F1256" s="116">
        <v>3674.55</v>
      </c>
      <c r="G1256">
        <v>3618</v>
      </c>
      <c r="H1256" s="116"/>
      <c r="I1256" s="116"/>
      <c r="L1256" s="163">
        <v>43857</v>
      </c>
      <c r="M1256" s="116">
        <v>734.72</v>
      </c>
      <c r="N1256" s="116">
        <v>742.51</v>
      </c>
      <c r="O1256" s="116">
        <v>729.17</v>
      </c>
      <c r="P1256" s="116">
        <v>730</v>
      </c>
      <c r="Q1256" s="116">
        <v>3673.6</v>
      </c>
      <c r="R1256">
        <v>152848</v>
      </c>
    </row>
    <row r="1257" spans="1:18" x14ac:dyDescent="0.25">
      <c r="A1257" s="163">
        <v>43858</v>
      </c>
      <c r="B1257" s="116">
        <v>757.11</v>
      </c>
      <c r="C1257" s="116">
        <v>752.96</v>
      </c>
      <c r="D1257" s="116">
        <v>737</v>
      </c>
      <c r="E1257" s="116">
        <v>737</v>
      </c>
      <c r="F1257" s="116">
        <v>3764.8</v>
      </c>
      <c r="G1257">
        <v>9412</v>
      </c>
      <c r="H1257" s="116"/>
      <c r="I1257" s="116"/>
      <c r="L1257" s="163">
        <v>43858</v>
      </c>
      <c r="M1257" s="116">
        <v>752.97</v>
      </c>
      <c r="N1257" s="116">
        <v>757</v>
      </c>
      <c r="O1257" s="116">
        <v>736.66</v>
      </c>
      <c r="P1257" s="116">
        <v>737.94</v>
      </c>
      <c r="Q1257" s="116">
        <v>3764.85</v>
      </c>
      <c r="R1257">
        <v>307537</v>
      </c>
    </row>
    <row r="1258" spans="1:18" x14ac:dyDescent="0.25">
      <c r="A1258" s="163">
        <v>43859</v>
      </c>
      <c r="B1258" s="116">
        <v>760.93</v>
      </c>
      <c r="C1258" s="116">
        <v>753.95</v>
      </c>
      <c r="D1258" s="116">
        <v>750.2</v>
      </c>
      <c r="E1258" s="116">
        <v>756.8</v>
      </c>
      <c r="F1258" s="116">
        <v>3769.75</v>
      </c>
      <c r="G1258">
        <v>10130</v>
      </c>
      <c r="H1258" s="116"/>
      <c r="I1258" s="116"/>
      <c r="L1258" s="163">
        <v>43859</v>
      </c>
      <c r="M1258" s="116">
        <v>753.26</v>
      </c>
      <c r="N1258" s="116">
        <v>760.77</v>
      </c>
      <c r="O1258" s="116">
        <v>750.2</v>
      </c>
      <c r="P1258" s="116">
        <v>756.19</v>
      </c>
      <c r="Q1258" s="116">
        <v>3766.3</v>
      </c>
      <c r="R1258">
        <v>283928</v>
      </c>
    </row>
    <row r="1259" spans="1:18" x14ac:dyDescent="0.25">
      <c r="A1259" s="163">
        <v>43860</v>
      </c>
      <c r="B1259" s="116">
        <v>765</v>
      </c>
      <c r="C1259" s="116">
        <v>760.58</v>
      </c>
      <c r="D1259" s="116">
        <v>748.55</v>
      </c>
      <c r="E1259" s="116">
        <v>750.6</v>
      </c>
      <c r="F1259" s="116">
        <v>3802.9</v>
      </c>
      <c r="G1259">
        <v>2991</v>
      </c>
      <c r="H1259" s="116"/>
      <c r="I1259" s="116"/>
      <c r="L1259" s="163">
        <v>43860</v>
      </c>
      <c r="M1259" s="116">
        <v>760.45</v>
      </c>
      <c r="N1259" s="116">
        <v>764.8</v>
      </c>
      <c r="O1259" s="116">
        <v>748.35</v>
      </c>
      <c r="P1259" s="116">
        <v>753.9</v>
      </c>
      <c r="Q1259" s="116">
        <v>3802.25</v>
      </c>
      <c r="R1259">
        <v>153634</v>
      </c>
    </row>
    <row r="1260" spans="1:18" x14ac:dyDescent="0.25">
      <c r="A1260" s="163">
        <v>43861</v>
      </c>
      <c r="B1260" s="116">
        <v>772</v>
      </c>
      <c r="C1260" s="116">
        <v>756.45</v>
      </c>
      <c r="D1260" s="116">
        <v>754.51</v>
      </c>
      <c r="E1260" s="116">
        <v>761.2</v>
      </c>
      <c r="F1260" s="116">
        <v>3782.25</v>
      </c>
      <c r="G1260">
        <v>6566</v>
      </c>
      <c r="H1260" s="116"/>
      <c r="I1260" s="116"/>
      <c r="L1260" s="163">
        <v>43861</v>
      </c>
      <c r="M1260" s="116">
        <v>756.81</v>
      </c>
      <c r="N1260" s="116">
        <v>772.2</v>
      </c>
      <c r="O1260" s="116">
        <v>754.4</v>
      </c>
      <c r="P1260" s="116">
        <v>763.2</v>
      </c>
      <c r="Q1260" s="116">
        <v>3784.05</v>
      </c>
      <c r="R1260">
        <v>314532</v>
      </c>
    </row>
    <row r="1261" spans="1:18" x14ac:dyDescent="0.25">
      <c r="A1261" s="163">
        <v>43862</v>
      </c>
      <c r="B1261" s="116">
        <v>761.52</v>
      </c>
      <c r="C1261" s="116">
        <v>739.78</v>
      </c>
      <c r="D1261" s="116">
        <v>733.69</v>
      </c>
      <c r="E1261" s="116">
        <v>746.03</v>
      </c>
      <c r="F1261" s="116">
        <v>3698.9</v>
      </c>
      <c r="G1261">
        <v>6854</v>
      </c>
      <c r="H1261" s="116"/>
      <c r="I1261" s="116"/>
      <c r="L1261" s="163">
        <v>43862</v>
      </c>
      <c r="M1261" s="116">
        <v>737.63</v>
      </c>
      <c r="N1261" s="116">
        <v>761.5</v>
      </c>
      <c r="O1261" s="116">
        <v>734.1</v>
      </c>
      <c r="P1261" s="116">
        <v>755.2</v>
      </c>
      <c r="Q1261" s="116">
        <v>3688.15</v>
      </c>
      <c r="R1261">
        <v>145433</v>
      </c>
    </row>
    <row r="1262" spans="1:18" x14ac:dyDescent="0.25">
      <c r="A1262" s="163">
        <v>43864</v>
      </c>
      <c r="B1262" s="116">
        <v>761.76</v>
      </c>
      <c r="C1262" s="116">
        <v>757.76</v>
      </c>
      <c r="D1262" s="116">
        <v>738.61</v>
      </c>
      <c r="E1262" s="116">
        <v>741.94</v>
      </c>
      <c r="F1262" s="116">
        <v>3788.8</v>
      </c>
      <c r="G1262">
        <v>8079</v>
      </c>
      <c r="H1262" s="116"/>
      <c r="I1262" s="116"/>
      <c r="L1262" s="163">
        <v>43864</v>
      </c>
      <c r="M1262" s="116">
        <v>757.88</v>
      </c>
      <c r="N1262" s="116">
        <v>762.81</v>
      </c>
      <c r="O1262" s="116">
        <v>737.63</v>
      </c>
      <c r="P1262" s="116">
        <v>737.63</v>
      </c>
      <c r="Q1262" s="116">
        <v>3789.4</v>
      </c>
      <c r="R1262">
        <v>237855</v>
      </c>
    </row>
    <row r="1263" spans="1:18" x14ac:dyDescent="0.25">
      <c r="A1263" s="163">
        <v>43865</v>
      </c>
      <c r="B1263" s="116">
        <v>780</v>
      </c>
      <c r="C1263" s="116">
        <v>749.03</v>
      </c>
      <c r="D1263" s="116">
        <v>728.98</v>
      </c>
      <c r="E1263" s="116">
        <v>768</v>
      </c>
      <c r="F1263" s="116">
        <v>3745.15</v>
      </c>
      <c r="G1263">
        <v>34521</v>
      </c>
      <c r="H1263" s="116"/>
      <c r="I1263" s="116"/>
      <c r="L1263" s="163">
        <v>43865</v>
      </c>
      <c r="M1263" s="116">
        <v>748.18</v>
      </c>
      <c r="N1263" s="116">
        <v>780</v>
      </c>
      <c r="O1263" s="116">
        <v>728.26</v>
      </c>
      <c r="P1263" s="116">
        <v>769.99</v>
      </c>
      <c r="Q1263" s="116">
        <v>3740.9</v>
      </c>
      <c r="R1263">
        <v>1067773</v>
      </c>
    </row>
    <row r="1264" spans="1:18" x14ac:dyDescent="0.25">
      <c r="A1264" s="163">
        <v>43866</v>
      </c>
      <c r="B1264" s="116">
        <v>799.53</v>
      </c>
      <c r="C1264" s="116">
        <v>797.64</v>
      </c>
      <c r="D1264" s="116">
        <v>757.48</v>
      </c>
      <c r="E1264" s="116">
        <v>760</v>
      </c>
      <c r="F1264" s="116">
        <v>3988.2</v>
      </c>
      <c r="G1264">
        <v>26125</v>
      </c>
      <c r="H1264" s="116"/>
      <c r="I1264" s="116"/>
      <c r="L1264" s="163">
        <v>43866</v>
      </c>
      <c r="M1264" s="116">
        <v>797.41</v>
      </c>
      <c r="N1264" s="116">
        <v>799.55</v>
      </c>
      <c r="O1264" s="116">
        <v>755</v>
      </c>
      <c r="P1264" s="116">
        <v>760</v>
      </c>
      <c r="Q1264" s="116">
        <v>3987.05</v>
      </c>
      <c r="R1264">
        <v>1029851</v>
      </c>
    </row>
    <row r="1265" spans="1:18" x14ac:dyDescent="0.25">
      <c r="A1265" s="163">
        <v>43867</v>
      </c>
      <c r="B1265" s="116">
        <v>810.88</v>
      </c>
      <c r="C1265" s="116">
        <v>801.41</v>
      </c>
      <c r="D1265" s="116">
        <v>795.48</v>
      </c>
      <c r="E1265" s="116">
        <v>797.64</v>
      </c>
      <c r="F1265" s="116">
        <v>4007.05</v>
      </c>
      <c r="G1265">
        <v>14893</v>
      </c>
      <c r="H1265" s="116"/>
      <c r="I1265" s="116"/>
      <c r="L1265" s="163">
        <v>43867</v>
      </c>
      <c r="M1265" s="116">
        <v>801.72</v>
      </c>
      <c r="N1265" s="116">
        <v>811</v>
      </c>
      <c r="O1265" s="116">
        <v>795.41</v>
      </c>
      <c r="P1265" s="116">
        <v>798</v>
      </c>
      <c r="Q1265" s="116">
        <v>4008.6</v>
      </c>
      <c r="R1265">
        <v>630944</v>
      </c>
    </row>
    <row r="1266" spans="1:18" x14ac:dyDescent="0.25">
      <c r="A1266" s="163">
        <v>43868</v>
      </c>
      <c r="B1266" s="116">
        <v>824.03</v>
      </c>
      <c r="C1266" s="116">
        <v>821.68</v>
      </c>
      <c r="D1266" s="116">
        <v>797.51</v>
      </c>
      <c r="E1266" s="116">
        <v>799.58</v>
      </c>
      <c r="F1266" s="116">
        <v>4108.3999999999996</v>
      </c>
      <c r="G1266">
        <v>9702</v>
      </c>
      <c r="H1266" s="116"/>
      <c r="I1266" s="116"/>
      <c r="L1266" s="163">
        <v>43868</v>
      </c>
      <c r="M1266" s="116">
        <v>821.98</v>
      </c>
      <c r="N1266" s="116">
        <v>824.8</v>
      </c>
      <c r="O1266" s="116">
        <v>796.93</v>
      </c>
      <c r="P1266" s="116">
        <v>799.82</v>
      </c>
      <c r="Q1266" s="116">
        <v>4109.8999999999996</v>
      </c>
      <c r="R1266">
        <v>421283</v>
      </c>
    </row>
    <row r="1267" spans="1:18" x14ac:dyDescent="0.25">
      <c r="A1267" s="163">
        <v>43871</v>
      </c>
      <c r="B1267" s="116">
        <v>834.61</v>
      </c>
      <c r="C1267" s="116">
        <v>826.61</v>
      </c>
      <c r="D1267" s="116">
        <v>818.38</v>
      </c>
      <c r="E1267" s="116">
        <v>823.45</v>
      </c>
      <c r="F1267" s="116">
        <v>4133.05</v>
      </c>
      <c r="G1267">
        <v>13769</v>
      </c>
      <c r="H1267" s="116"/>
      <c r="I1267" s="116"/>
      <c r="L1267" s="163">
        <v>43871</v>
      </c>
      <c r="M1267" s="116">
        <v>826.86</v>
      </c>
      <c r="N1267" s="116">
        <v>834.7</v>
      </c>
      <c r="O1267" s="116">
        <v>818</v>
      </c>
      <c r="P1267" s="116">
        <v>824.4</v>
      </c>
      <c r="Q1267" s="116">
        <v>4134.3</v>
      </c>
      <c r="R1267">
        <v>508442</v>
      </c>
    </row>
    <row r="1268" spans="1:18" x14ac:dyDescent="0.25">
      <c r="A1268" s="163">
        <v>43872</v>
      </c>
      <c r="B1268" s="116">
        <v>838.8</v>
      </c>
      <c r="C1268" s="116">
        <v>831.72</v>
      </c>
      <c r="D1268" s="116">
        <v>821.54</v>
      </c>
      <c r="E1268" s="116">
        <v>828.2</v>
      </c>
      <c r="F1268" s="116">
        <v>4158.6000000000004</v>
      </c>
      <c r="G1268">
        <v>7780</v>
      </c>
      <c r="H1268" s="116"/>
      <c r="I1268" s="116"/>
      <c r="L1268" s="163">
        <v>43872</v>
      </c>
      <c r="M1268" s="116">
        <v>831.75</v>
      </c>
      <c r="N1268" s="116">
        <v>839.01</v>
      </c>
      <c r="O1268" s="116">
        <v>821.2</v>
      </c>
      <c r="P1268" s="116">
        <v>830.6</v>
      </c>
      <c r="Q1268" s="116">
        <v>4158.75</v>
      </c>
      <c r="R1268">
        <v>263795</v>
      </c>
    </row>
    <row r="1269" spans="1:18" x14ac:dyDescent="0.25">
      <c r="A1269" s="163">
        <v>43873</v>
      </c>
      <c r="B1269" s="116">
        <v>836.88</v>
      </c>
      <c r="C1269" s="116">
        <v>833.09</v>
      </c>
      <c r="D1269" s="116">
        <v>828.23</v>
      </c>
      <c r="E1269" s="116">
        <v>830</v>
      </c>
      <c r="F1269" s="116">
        <v>4165.45</v>
      </c>
      <c r="G1269">
        <v>8790</v>
      </c>
      <c r="H1269" s="116"/>
      <c r="I1269" s="116"/>
      <c r="L1269" s="163">
        <v>43873</v>
      </c>
      <c r="M1269" s="116">
        <v>832.71</v>
      </c>
      <c r="N1269" s="116">
        <v>836.73</v>
      </c>
      <c r="O1269" s="116">
        <v>827.82</v>
      </c>
      <c r="P1269" s="116">
        <v>832.8</v>
      </c>
      <c r="Q1269" s="116">
        <v>4163.55</v>
      </c>
      <c r="R1269">
        <v>160355</v>
      </c>
    </row>
    <row r="1270" spans="1:18" x14ac:dyDescent="0.25">
      <c r="A1270" s="163">
        <v>43874</v>
      </c>
      <c r="B1270" s="116">
        <v>834.09</v>
      </c>
      <c r="C1270" s="116">
        <v>829.88</v>
      </c>
      <c r="D1270" s="116">
        <v>824</v>
      </c>
      <c r="E1270" s="116">
        <v>834</v>
      </c>
      <c r="F1270" s="116">
        <v>4149.3999999999996</v>
      </c>
      <c r="G1270">
        <v>11317</v>
      </c>
      <c r="H1270" s="116"/>
      <c r="I1270" s="116"/>
      <c r="L1270" s="163">
        <v>43874</v>
      </c>
      <c r="M1270" s="116">
        <v>829.83</v>
      </c>
      <c r="N1270" s="116">
        <v>834</v>
      </c>
      <c r="O1270" s="116">
        <v>824.04</v>
      </c>
      <c r="P1270" s="116">
        <v>832</v>
      </c>
      <c r="Q1270" s="116">
        <v>4149.1499999999996</v>
      </c>
      <c r="R1270">
        <v>192562</v>
      </c>
    </row>
    <row r="1271" spans="1:18" x14ac:dyDescent="0.25">
      <c r="A1271" s="163">
        <v>43875</v>
      </c>
      <c r="B1271" s="116">
        <v>846</v>
      </c>
      <c r="C1271" s="116">
        <v>838.37</v>
      </c>
      <c r="D1271" s="116">
        <v>828</v>
      </c>
      <c r="E1271" s="116">
        <v>828</v>
      </c>
      <c r="F1271" s="116">
        <v>4191.8500000000004</v>
      </c>
      <c r="G1271">
        <v>14721</v>
      </c>
      <c r="H1271" s="116"/>
      <c r="I1271" s="116"/>
      <c r="L1271" s="163">
        <v>43875</v>
      </c>
      <c r="M1271" s="116">
        <v>838.59</v>
      </c>
      <c r="N1271" s="116">
        <v>846</v>
      </c>
      <c r="O1271" s="116">
        <v>829.83</v>
      </c>
      <c r="P1271" s="116">
        <v>830</v>
      </c>
      <c r="Q1271" s="116">
        <v>4192.95</v>
      </c>
      <c r="R1271">
        <v>279059</v>
      </c>
    </row>
    <row r="1272" spans="1:18" x14ac:dyDescent="0.25">
      <c r="A1272" s="163">
        <v>43878</v>
      </c>
      <c r="B1272" s="116">
        <v>843.11</v>
      </c>
      <c r="C1272" s="116">
        <v>830.45</v>
      </c>
      <c r="D1272" s="116">
        <v>828.44</v>
      </c>
      <c r="E1272" s="116">
        <v>838.4</v>
      </c>
      <c r="F1272" s="116">
        <v>4152.25</v>
      </c>
      <c r="G1272">
        <v>6028</v>
      </c>
      <c r="H1272" s="116"/>
      <c r="I1272" s="116"/>
      <c r="L1272" s="163">
        <v>43878</v>
      </c>
      <c r="M1272" s="116">
        <v>830.43</v>
      </c>
      <c r="N1272" s="116">
        <v>843.4</v>
      </c>
      <c r="O1272" s="116">
        <v>828.2</v>
      </c>
      <c r="P1272" s="116">
        <v>840.2</v>
      </c>
      <c r="Q1272" s="116">
        <v>4152.1499999999996</v>
      </c>
      <c r="R1272">
        <v>169852</v>
      </c>
    </row>
    <row r="1273" spans="1:18" x14ac:dyDescent="0.25">
      <c r="A1273" s="163">
        <v>43879</v>
      </c>
      <c r="B1273" s="116">
        <v>834.05</v>
      </c>
      <c r="C1273" s="116">
        <v>832.71</v>
      </c>
      <c r="D1273" s="116">
        <v>825</v>
      </c>
      <c r="E1273" s="116">
        <v>832.2</v>
      </c>
      <c r="F1273" s="116">
        <v>4163.55</v>
      </c>
      <c r="G1273">
        <v>9397</v>
      </c>
      <c r="H1273" s="116"/>
      <c r="I1273" s="116"/>
      <c r="L1273" s="163">
        <v>43879</v>
      </c>
      <c r="M1273" s="116">
        <v>832.76</v>
      </c>
      <c r="N1273" s="116">
        <v>834.96</v>
      </c>
      <c r="O1273" s="116">
        <v>824.49</v>
      </c>
      <c r="P1273" s="116">
        <v>831.44</v>
      </c>
      <c r="Q1273" s="116">
        <v>4163.8</v>
      </c>
      <c r="R1273">
        <v>245271</v>
      </c>
    </row>
    <row r="1274" spans="1:18" x14ac:dyDescent="0.25">
      <c r="A1274" s="163">
        <v>43880</v>
      </c>
      <c r="B1274" s="116">
        <v>835.01</v>
      </c>
      <c r="C1274" s="116">
        <v>832.37</v>
      </c>
      <c r="D1274" s="116">
        <v>828.97</v>
      </c>
      <c r="E1274" s="116">
        <v>835</v>
      </c>
      <c r="F1274" s="116">
        <v>4161.8500000000004</v>
      </c>
      <c r="G1274">
        <v>4965</v>
      </c>
      <c r="H1274" s="116"/>
      <c r="I1274" s="116"/>
      <c r="L1274" s="163">
        <v>43880</v>
      </c>
      <c r="M1274" s="116">
        <v>832.43</v>
      </c>
      <c r="N1274" s="116">
        <v>836</v>
      </c>
      <c r="O1274" s="116">
        <v>828.76</v>
      </c>
      <c r="P1274" s="116">
        <v>833</v>
      </c>
      <c r="Q1274" s="116">
        <v>4162.1499999999996</v>
      </c>
      <c r="R1274">
        <v>146542</v>
      </c>
    </row>
    <row r="1275" spans="1:18" x14ac:dyDescent="0.25">
      <c r="A1275" s="163">
        <v>43881</v>
      </c>
      <c r="B1275" s="116">
        <v>851.78</v>
      </c>
      <c r="C1275" s="116">
        <v>833.5</v>
      </c>
      <c r="D1275" s="116">
        <v>830.96</v>
      </c>
      <c r="E1275" s="116">
        <v>833.8</v>
      </c>
      <c r="F1275" s="116">
        <v>4167.5</v>
      </c>
      <c r="G1275">
        <v>13916</v>
      </c>
      <c r="H1275" s="116"/>
      <c r="I1275" s="116"/>
      <c r="L1275" s="163">
        <v>43881</v>
      </c>
      <c r="M1275" s="116">
        <v>833.36</v>
      </c>
      <c r="N1275" s="116">
        <v>852</v>
      </c>
      <c r="O1275" s="116">
        <v>831</v>
      </c>
      <c r="P1275" s="116">
        <v>834</v>
      </c>
      <c r="Q1275" s="116">
        <v>4166.8</v>
      </c>
      <c r="R1275">
        <v>317946</v>
      </c>
    </row>
    <row r="1276" spans="1:18" x14ac:dyDescent="0.25">
      <c r="A1276" s="163">
        <v>43885</v>
      </c>
      <c r="B1276" s="116">
        <v>832.01</v>
      </c>
      <c r="C1276" s="116">
        <v>812.24</v>
      </c>
      <c r="D1276" s="116">
        <v>810.5</v>
      </c>
      <c r="E1276" s="116">
        <v>831</v>
      </c>
      <c r="F1276" s="116">
        <v>4061.2</v>
      </c>
      <c r="G1276">
        <v>8163</v>
      </c>
      <c r="H1276" s="116"/>
      <c r="I1276" s="116"/>
      <c r="L1276" s="163">
        <v>43885</v>
      </c>
      <c r="M1276" s="116">
        <v>812.42</v>
      </c>
      <c r="N1276" s="116">
        <v>832</v>
      </c>
      <c r="O1276" s="116">
        <v>810.01</v>
      </c>
      <c r="P1276" s="116">
        <v>827.11</v>
      </c>
      <c r="Q1276" s="116">
        <v>4062.1</v>
      </c>
      <c r="R1276">
        <v>190614</v>
      </c>
    </row>
    <row r="1277" spans="1:18" x14ac:dyDescent="0.25">
      <c r="A1277" s="163">
        <v>43886</v>
      </c>
      <c r="B1277" s="116">
        <v>826.78</v>
      </c>
      <c r="C1277" s="116">
        <v>823.67</v>
      </c>
      <c r="D1277" s="116">
        <v>808</v>
      </c>
      <c r="E1277" s="116">
        <v>816.85</v>
      </c>
      <c r="F1277" s="116">
        <v>4118.3500000000004</v>
      </c>
      <c r="G1277">
        <v>22437</v>
      </c>
      <c r="H1277" s="116"/>
      <c r="I1277" s="116"/>
      <c r="L1277" s="163">
        <v>43886</v>
      </c>
      <c r="M1277" s="116">
        <v>823.95</v>
      </c>
      <c r="N1277" s="116">
        <v>827.63</v>
      </c>
      <c r="O1277" s="116">
        <v>806.59</v>
      </c>
      <c r="P1277" s="116">
        <v>813.9</v>
      </c>
      <c r="Q1277" s="116">
        <v>4119.75</v>
      </c>
      <c r="R1277">
        <v>247233</v>
      </c>
    </row>
    <row r="1278" spans="1:18" x14ac:dyDescent="0.25">
      <c r="A1278" s="163">
        <v>43887</v>
      </c>
      <c r="B1278" s="116">
        <v>832.68</v>
      </c>
      <c r="C1278" s="116">
        <v>825.37</v>
      </c>
      <c r="D1278" s="116">
        <v>820.2</v>
      </c>
      <c r="E1278" s="116">
        <v>820.53</v>
      </c>
      <c r="F1278" s="116">
        <v>4126.8500000000004</v>
      </c>
      <c r="G1278">
        <v>5080</v>
      </c>
      <c r="H1278" s="116"/>
      <c r="I1278" s="116"/>
      <c r="L1278" s="163">
        <v>43887</v>
      </c>
      <c r="M1278" s="116">
        <v>825.02</v>
      </c>
      <c r="N1278" s="116">
        <v>833.1</v>
      </c>
      <c r="O1278" s="116">
        <v>819.83</v>
      </c>
      <c r="P1278" s="116">
        <v>821.6</v>
      </c>
      <c r="Q1278" s="116">
        <v>4125.1000000000004</v>
      </c>
      <c r="R1278">
        <v>208945</v>
      </c>
    </row>
    <row r="1279" spans="1:18" x14ac:dyDescent="0.25">
      <c r="A1279" s="163">
        <v>43888</v>
      </c>
      <c r="B1279" s="116">
        <v>834.2</v>
      </c>
      <c r="C1279" s="116">
        <v>829.73</v>
      </c>
      <c r="D1279" s="116">
        <v>818.78</v>
      </c>
      <c r="E1279" s="116">
        <v>824</v>
      </c>
      <c r="F1279" s="116">
        <v>4148.6499999999996</v>
      </c>
      <c r="G1279">
        <v>26311</v>
      </c>
      <c r="H1279" s="116"/>
      <c r="I1279" s="116"/>
      <c r="L1279" s="163">
        <v>43888</v>
      </c>
      <c r="M1279" s="116">
        <v>828.74</v>
      </c>
      <c r="N1279" s="116">
        <v>834.29</v>
      </c>
      <c r="O1279" s="116">
        <v>818.2</v>
      </c>
      <c r="P1279" s="116">
        <v>824.96</v>
      </c>
      <c r="Q1279" s="116">
        <v>4143.7</v>
      </c>
      <c r="R1279">
        <v>166847</v>
      </c>
    </row>
    <row r="1280" spans="1:18" x14ac:dyDescent="0.25">
      <c r="A1280" s="163">
        <v>43889</v>
      </c>
      <c r="B1280" s="116">
        <v>824</v>
      </c>
      <c r="C1280" s="116">
        <v>780.9</v>
      </c>
      <c r="D1280" s="116">
        <v>769.6</v>
      </c>
      <c r="E1280" s="116">
        <v>824</v>
      </c>
      <c r="F1280" s="116">
        <v>3904.5</v>
      </c>
      <c r="G1280">
        <v>19049</v>
      </c>
      <c r="H1280" s="116"/>
      <c r="I1280" s="116"/>
      <c r="L1280" s="163">
        <v>43889</v>
      </c>
      <c r="M1280" s="116">
        <v>778.76</v>
      </c>
      <c r="N1280" s="116">
        <v>819.79</v>
      </c>
      <c r="O1280" s="116">
        <v>769.21</v>
      </c>
      <c r="P1280" s="116">
        <v>815.2</v>
      </c>
      <c r="Q1280" s="116">
        <v>3893.8</v>
      </c>
      <c r="R1280">
        <v>501905</v>
      </c>
    </row>
    <row r="1281" spans="1:18" x14ac:dyDescent="0.25">
      <c r="A1281" s="163">
        <v>43892</v>
      </c>
      <c r="B1281" s="116">
        <v>803.87</v>
      </c>
      <c r="C1281" s="116">
        <v>781.43</v>
      </c>
      <c r="D1281" s="116">
        <v>776.44</v>
      </c>
      <c r="E1281" s="116">
        <v>794.52</v>
      </c>
      <c r="F1281" s="116">
        <v>3907.15</v>
      </c>
      <c r="G1281">
        <v>13459</v>
      </c>
      <c r="H1281" s="116"/>
      <c r="I1281" s="116"/>
      <c r="L1281" s="163">
        <v>43892</v>
      </c>
      <c r="M1281" s="116">
        <v>781.48</v>
      </c>
      <c r="N1281" s="116">
        <v>803.8</v>
      </c>
      <c r="O1281" s="116">
        <v>777.09</v>
      </c>
      <c r="P1281" s="116">
        <v>800</v>
      </c>
      <c r="Q1281" s="116">
        <v>3907.4</v>
      </c>
      <c r="R1281">
        <v>279388</v>
      </c>
    </row>
    <row r="1282" spans="1:18" x14ac:dyDescent="0.25">
      <c r="A1282" s="163">
        <v>43893</v>
      </c>
      <c r="B1282" s="116">
        <v>800.99</v>
      </c>
      <c r="C1282" s="116">
        <v>799.52</v>
      </c>
      <c r="D1282" s="116">
        <v>775.11</v>
      </c>
      <c r="E1282" s="116">
        <v>780</v>
      </c>
      <c r="F1282" s="116">
        <v>3997.6</v>
      </c>
      <c r="G1282">
        <v>9423</v>
      </c>
      <c r="H1282" s="116"/>
      <c r="I1282" s="116"/>
      <c r="L1282" s="163">
        <v>43893</v>
      </c>
      <c r="M1282" s="116">
        <v>799.39</v>
      </c>
      <c r="N1282" s="116">
        <v>801.18</v>
      </c>
      <c r="O1282" s="116">
        <v>775</v>
      </c>
      <c r="P1282" s="116">
        <v>788.8</v>
      </c>
      <c r="Q1282" s="116">
        <v>3996.95</v>
      </c>
      <c r="R1282">
        <v>229186</v>
      </c>
    </row>
    <row r="1283" spans="1:18" x14ac:dyDescent="0.25">
      <c r="A1283" s="163">
        <v>43894</v>
      </c>
      <c r="B1283" s="116">
        <v>800.9</v>
      </c>
      <c r="C1283" s="116">
        <v>796.82</v>
      </c>
      <c r="D1283" s="116">
        <v>778.31</v>
      </c>
      <c r="E1283" s="116">
        <v>797.99</v>
      </c>
      <c r="F1283" s="116">
        <v>3984.1</v>
      </c>
      <c r="G1283">
        <v>24595</v>
      </c>
      <c r="H1283" s="116"/>
      <c r="I1283" s="116"/>
      <c r="L1283" s="163">
        <v>43894</v>
      </c>
      <c r="M1283" s="116">
        <v>791.35</v>
      </c>
      <c r="N1283" s="116">
        <v>803.19</v>
      </c>
      <c r="O1283" s="116">
        <v>777.98</v>
      </c>
      <c r="P1283" s="116">
        <v>794.42</v>
      </c>
      <c r="Q1283" s="116">
        <v>3956.75</v>
      </c>
      <c r="R1283">
        <v>256544</v>
      </c>
    </row>
    <row r="1284" spans="1:18" x14ac:dyDescent="0.25">
      <c r="A1284" s="163">
        <v>43895</v>
      </c>
      <c r="B1284" s="116">
        <v>799.22</v>
      </c>
      <c r="C1284" s="116">
        <v>785.4</v>
      </c>
      <c r="D1284" s="116">
        <v>782.44</v>
      </c>
      <c r="E1284" s="116">
        <v>796</v>
      </c>
      <c r="F1284" s="116">
        <v>3927</v>
      </c>
      <c r="G1284">
        <v>3981</v>
      </c>
      <c r="H1284" s="116"/>
      <c r="I1284" s="116"/>
      <c r="L1284" s="163">
        <v>43895</v>
      </c>
      <c r="M1284" s="116">
        <v>786.18</v>
      </c>
      <c r="N1284" s="116">
        <v>801.86</v>
      </c>
      <c r="O1284" s="116">
        <v>782.61</v>
      </c>
      <c r="P1284" s="116">
        <v>795.6</v>
      </c>
      <c r="Q1284" s="116">
        <v>3930.9</v>
      </c>
      <c r="R1284">
        <v>211976</v>
      </c>
    </row>
    <row r="1285" spans="1:18" x14ac:dyDescent="0.25">
      <c r="A1285" s="163">
        <v>43896</v>
      </c>
      <c r="B1285" s="116">
        <v>783</v>
      </c>
      <c r="C1285" s="116">
        <v>778.26</v>
      </c>
      <c r="D1285" s="116">
        <v>748.39</v>
      </c>
      <c r="E1285" s="116">
        <v>769.4</v>
      </c>
      <c r="F1285" s="116">
        <v>3891.3</v>
      </c>
      <c r="G1285">
        <v>13762</v>
      </c>
      <c r="H1285" s="116"/>
      <c r="I1285" s="116"/>
      <c r="L1285" s="163">
        <v>43896</v>
      </c>
      <c r="M1285" s="116">
        <v>777.47</v>
      </c>
      <c r="N1285" s="116">
        <v>783.54</v>
      </c>
      <c r="O1285" s="116">
        <v>748.03</v>
      </c>
      <c r="P1285" s="116">
        <v>770</v>
      </c>
      <c r="Q1285" s="116">
        <v>3887.35</v>
      </c>
      <c r="R1285">
        <v>488703</v>
      </c>
    </row>
    <row r="1286" spans="1:18" x14ac:dyDescent="0.25">
      <c r="A1286" s="163">
        <v>43899</v>
      </c>
      <c r="B1286" s="116">
        <v>771.6</v>
      </c>
      <c r="C1286" s="116">
        <v>745.03</v>
      </c>
      <c r="D1286" s="116">
        <v>738</v>
      </c>
      <c r="E1286" s="116">
        <v>771.6</v>
      </c>
      <c r="F1286" s="116">
        <v>3725.15</v>
      </c>
      <c r="G1286">
        <v>10047</v>
      </c>
      <c r="H1286" s="116"/>
      <c r="I1286" s="116"/>
      <c r="L1286" s="163">
        <v>43899</v>
      </c>
      <c r="M1286" s="116">
        <v>745.34</v>
      </c>
      <c r="N1286" s="116">
        <v>769.19</v>
      </c>
      <c r="O1286" s="116">
        <v>737.61</v>
      </c>
      <c r="P1286" s="116">
        <v>768</v>
      </c>
      <c r="Q1286" s="116">
        <v>3726.7</v>
      </c>
      <c r="R1286">
        <v>318940</v>
      </c>
    </row>
    <row r="1287" spans="1:18" x14ac:dyDescent="0.25">
      <c r="A1287" s="163">
        <v>43901</v>
      </c>
      <c r="B1287" s="116">
        <v>750.88</v>
      </c>
      <c r="C1287" s="116">
        <v>743.7</v>
      </c>
      <c r="D1287" s="116">
        <v>729.12</v>
      </c>
      <c r="E1287" s="116">
        <v>738</v>
      </c>
      <c r="F1287" s="116">
        <v>3718.5</v>
      </c>
      <c r="G1287">
        <v>8021</v>
      </c>
      <c r="H1287" s="116"/>
      <c r="I1287" s="116"/>
      <c r="L1287" s="163">
        <v>43901</v>
      </c>
      <c r="M1287" s="116">
        <v>743.64</v>
      </c>
      <c r="N1287" s="116">
        <v>750.94</v>
      </c>
      <c r="O1287" s="116">
        <v>728</v>
      </c>
      <c r="P1287" s="116">
        <v>733.02</v>
      </c>
      <c r="Q1287" s="116">
        <v>3718.2</v>
      </c>
      <c r="R1287">
        <v>294837</v>
      </c>
    </row>
    <row r="1288" spans="1:18" x14ac:dyDescent="0.25">
      <c r="A1288" s="163">
        <v>43902</v>
      </c>
      <c r="B1288" s="116">
        <v>735.59</v>
      </c>
      <c r="C1288" s="116">
        <v>673.38</v>
      </c>
      <c r="D1288" s="116">
        <v>669.33</v>
      </c>
      <c r="E1288" s="116">
        <v>735.59</v>
      </c>
      <c r="F1288" s="116">
        <v>3366.9</v>
      </c>
      <c r="G1288">
        <v>16846</v>
      </c>
      <c r="H1288" s="116"/>
      <c r="I1288" s="116"/>
      <c r="L1288" s="163">
        <v>43902</v>
      </c>
      <c r="M1288" s="116">
        <v>674.31</v>
      </c>
      <c r="N1288" s="116">
        <v>725.94</v>
      </c>
      <c r="O1288" s="116">
        <v>665.52</v>
      </c>
      <c r="P1288" s="116">
        <v>719.6</v>
      </c>
      <c r="Q1288" s="116">
        <v>3371.55</v>
      </c>
      <c r="R1288">
        <v>521780</v>
      </c>
    </row>
    <row r="1289" spans="1:18" x14ac:dyDescent="0.25">
      <c r="A1289" s="163">
        <v>43903</v>
      </c>
      <c r="B1289" s="116">
        <v>718.68</v>
      </c>
      <c r="C1289" s="116">
        <v>713.8</v>
      </c>
      <c r="D1289" s="116">
        <v>606.20000000000005</v>
      </c>
      <c r="E1289" s="116">
        <v>660</v>
      </c>
      <c r="F1289" s="116">
        <v>3569</v>
      </c>
      <c r="G1289">
        <v>23883</v>
      </c>
      <c r="H1289" s="116"/>
      <c r="I1289" s="116"/>
      <c r="L1289" s="163">
        <v>43903</v>
      </c>
      <c r="M1289" s="116">
        <v>711.5</v>
      </c>
      <c r="N1289" s="116">
        <v>718.23</v>
      </c>
      <c r="O1289" s="116">
        <v>580.07000000000005</v>
      </c>
      <c r="P1289" s="116">
        <v>613</v>
      </c>
      <c r="Q1289" s="116">
        <v>3557.5</v>
      </c>
      <c r="R1289">
        <v>311755</v>
      </c>
    </row>
    <row r="1290" spans="1:18" x14ac:dyDescent="0.25">
      <c r="A1290" s="163">
        <v>43906</v>
      </c>
      <c r="B1290" s="116">
        <v>692.8</v>
      </c>
      <c r="C1290" s="116">
        <v>628.29999999999995</v>
      </c>
      <c r="D1290" s="116">
        <v>625.39</v>
      </c>
      <c r="E1290" s="116">
        <v>692.8</v>
      </c>
      <c r="F1290" s="116">
        <v>3141.5</v>
      </c>
      <c r="G1290">
        <v>22373</v>
      </c>
      <c r="H1290" s="116"/>
      <c r="I1290" s="116"/>
      <c r="L1290" s="163">
        <v>43906</v>
      </c>
      <c r="M1290" s="116">
        <v>629.59</v>
      </c>
      <c r="N1290" s="116">
        <v>699.61</v>
      </c>
      <c r="O1290" s="116">
        <v>625.02</v>
      </c>
      <c r="P1290" s="116">
        <v>699.61</v>
      </c>
      <c r="Q1290" s="116">
        <v>3147.95</v>
      </c>
      <c r="R1290">
        <v>306873</v>
      </c>
    </row>
    <row r="1291" spans="1:18" x14ac:dyDescent="0.25">
      <c r="A1291" s="163">
        <v>43907</v>
      </c>
      <c r="B1291" s="116">
        <v>671.85</v>
      </c>
      <c r="C1291" s="116">
        <v>647.05999999999995</v>
      </c>
      <c r="D1291" s="116">
        <v>621.96</v>
      </c>
      <c r="E1291" s="116">
        <v>643.66</v>
      </c>
      <c r="F1291" s="116">
        <v>3235.3</v>
      </c>
      <c r="G1291">
        <v>18651</v>
      </c>
      <c r="H1291" s="116"/>
      <c r="I1291" s="116"/>
      <c r="L1291" s="163">
        <v>43907</v>
      </c>
      <c r="M1291" s="116">
        <v>648.89</v>
      </c>
      <c r="N1291" s="116">
        <v>671</v>
      </c>
      <c r="O1291" s="116">
        <v>620.65</v>
      </c>
      <c r="P1291" s="116">
        <v>631</v>
      </c>
      <c r="Q1291" s="116">
        <v>3244.45</v>
      </c>
      <c r="R1291">
        <v>260626</v>
      </c>
    </row>
    <row r="1292" spans="1:18" x14ac:dyDescent="0.25">
      <c r="A1292" s="163">
        <v>43908</v>
      </c>
      <c r="B1292" s="116">
        <v>666.93</v>
      </c>
      <c r="C1292" s="116">
        <v>590.54999999999995</v>
      </c>
      <c r="D1292" s="116">
        <v>587.49</v>
      </c>
      <c r="E1292" s="116">
        <v>659.99</v>
      </c>
      <c r="F1292" s="116">
        <v>2952.75</v>
      </c>
      <c r="G1292">
        <v>19764</v>
      </c>
      <c r="H1292" s="116"/>
      <c r="I1292" s="116"/>
      <c r="L1292" s="163">
        <v>43908</v>
      </c>
      <c r="M1292" s="116">
        <v>592.22</v>
      </c>
      <c r="N1292" s="116">
        <v>667.76</v>
      </c>
      <c r="O1292" s="116">
        <v>587.51</v>
      </c>
      <c r="P1292" s="116">
        <v>652.04999999999995</v>
      </c>
      <c r="Q1292" s="116">
        <v>2961.1</v>
      </c>
      <c r="R1292">
        <v>304557</v>
      </c>
    </row>
    <row r="1293" spans="1:18" x14ac:dyDescent="0.25">
      <c r="A1293" s="163">
        <v>43909</v>
      </c>
      <c r="B1293" s="116">
        <v>615</v>
      </c>
      <c r="C1293" s="116">
        <v>586.53</v>
      </c>
      <c r="D1293" s="116">
        <v>535.01</v>
      </c>
      <c r="E1293" s="116">
        <v>558</v>
      </c>
      <c r="F1293" s="116">
        <v>2932.65</v>
      </c>
      <c r="G1293">
        <v>79126</v>
      </c>
      <c r="H1293" s="116"/>
      <c r="I1293" s="116"/>
      <c r="L1293" s="163">
        <v>43909</v>
      </c>
      <c r="M1293" s="116">
        <v>587.32000000000005</v>
      </c>
      <c r="N1293" s="116">
        <v>615.5</v>
      </c>
      <c r="O1293" s="116">
        <v>537.30999999999995</v>
      </c>
      <c r="P1293" s="116">
        <v>550.20000000000005</v>
      </c>
      <c r="Q1293" s="116">
        <v>2936.6</v>
      </c>
      <c r="R1293">
        <v>480334</v>
      </c>
    </row>
    <row r="1294" spans="1:18" x14ac:dyDescent="0.25">
      <c r="A1294" s="163">
        <v>43910</v>
      </c>
      <c r="B1294" s="116">
        <v>664</v>
      </c>
      <c r="C1294" s="116">
        <v>644.20000000000005</v>
      </c>
      <c r="D1294" s="116">
        <v>573.21</v>
      </c>
      <c r="E1294" s="116">
        <v>585</v>
      </c>
      <c r="F1294" s="116">
        <v>3221</v>
      </c>
      <c r="G1294">
        <v>26227</v>
      </c>
      <c r="H1294" s="116"/>
      <c r="I1294" s="116"/>
      <c r="L1294" s="163">
        <v>43910</v>
      </c>
      <c r="M1294" s="116">
        <v>643.37</v>
      </c>
      <c r="N1294" s="116">
        <v>659.98</v>
      </c>
      <c r="O1294" s="116">
        <v>572.4</v>
      </c>
      <c r="P1294" s="116">
        <v>586</v>
      </c>
      <c r="Q1294" s="116">
        <v>3216.85</v>
      </c>
      <c r="R1294">
        <v>329879</v>
      </c>
    </row>
    <row r="1295" spans="1:18" x14ac:dyDescent="0.25">
      <c r="A1295" s="163">
        <v>43913</v>
      </c>
      <c r="B1295" s="116">
        <v>610</v>
      </c>
      <c r="C1295" s="116">
        <v>537.41999999999996</v>
      </c>
      <c r="D1295" s="116">
        <v>522.29</v>
      </c>
      <c r="E1295" s="116">
        <v>610</v>
      </c>
      <c r="F1295" s="116">
        <v>2687.1</v>
      </c>
      <c r="G1295">
        <v>17837</v>
      </c>
      <c r="H1295" s="116"/>
      <c r="I1295" s="116"/>
      <c r="L1295" s="163">
        <v>43913</v>
      </c>
      <c r="M1295" s="116">
        <v>537.30999999999995</v>
      </c>
      <c r="N1295" s="116">
        <v>609.79999999999995</v>
      </c>
      <c r="O1295" s="116">
        <v>521.01</v>
      </c>
      <c r="P1295" s="116">
        <v>580.20000000000005</v>
      </c>
      <c r="Q1295" s="116">
        <v>2686.55</v>
      </c>
      <c r="R1295">
        <v>225599</v>
      </c>
    </row>
    <row r="1296" spans="1:18" x14ac:dyDescent="0.25">
      <c r="A1296" s="163">
        <v>43914</v>
      </c>
      <c r="B1296" s="116">
        <v>589.38</v>
      </c>
      <c r="C1296" s="116">
        <v>544.47</v>
      </c>
      <c r="D1296" s="116">
        <v>527.57000000000005</v>
      </c>
      <c r="E1296" s="116">
        <v>552</v>
      </c>
      <c r="F1296" s="116">
        <v>2722.35</v>
      </c>
      <c r="G1296">
        <v>19407</v>
      </c>
      <c r="H1296" s="116"/>
      <c r="I1296" s="116"/>
      <c r="L1296" s="163">
        <v>43914</v>
      </c>
      <c r="M1296" s="116">
        <v>543.70000000000005</v>
      </c>
      <c r="N1296" s="116">
        <v>591</v>
      </c>
      <c r="O1296" s="116">
        <v>527.03</v>
      </c>
      <c r="P1296" s="116">
        <v>588.98</v>
      </c>
      <c r="Q1296" s="116">
        <v>2718.5</v>
      </c>
      <c r="R1296">
        <v>254769</v>
      </c>
    </row>
    <row r="1297" spans="1:18" x14ac:dyDescent="0.25">
      <c r="A1297" s="163">
        <v>43915</v>
      </c>
      <c r="B1297" s="116">
        <v>567.39</v>
      </c>
      <c r="C1297" s="116">
        <v>558.66</v>
      </c>
      <c r="D1297" s="116">
        <v>498.44</v>
      </c>
      <c r="E1297" s="116">
        <v>522.20000000000005</v>
      </c>
      <c r="F1297" s="116">
        <v>2793.3</v>
      </c>
      <c r="G1297">
        <v>19045</v>
      </c>
      <c r="H1297" s="116"/>
      <c r="I1297" s="116"/>
      <c r="L1297" s="163">
        <v>43915</v>
      </c>
      <c r="M1297" s="116">
        <v>555.59</v>
      </c>
      <c r="N1297" s="116">
        <v>567</v>
      </c>
      <c r="O1297" s="116">
        <v>493.53</v>
      </c>
      <c r="P1297" s="116">
        <v>543.70000000000005</v>
      </c>
      <c r="Q1297" s="116">
        <v>2777.95</v>
      </c>
      <c r="R1297">
        <v>236924</v>
      </c>
    </row>
    <row r="1298" spans="1:18" x14ac:dyDescent="0.25">
      <c r="A1298" s="163">
        <v>43916</v>
      </c>
      <c r="B1298" s="116">
        <v>575.75</v>
      </c>
      <c r="C1298" s="116">
        <v>553.55999999999995</v>
      </c>
      <c r="D1298" s="116">
        <v>532.55999999999995</v>
      </c>
      <c r="E1298" s="116">
        <v>569</v>
      </c>
      <c r="F1298" s="116">
        <v>2767.8</v>
      </c>
      <c r="G1298">
        <v>10468</v>
      </c>
      <c r="H1298" s="116"/>
      <c r="I1298" s="116"/>
      <c r="L1298" s="163">
        <v>43916</v>
      </c>
      <c r="M1298" s="116">
        <v>554.29999999999995</v>
      </c>
      <c r="N1298" s="116">
        <v>576</v>
      </c>
      <c r="O1298" s="116">
        <v>532</v>
      </c>
      <c r="P1298" s="116">
        <v>553.34</v>
      </c>
      <c r="Q1298" s="116">
        <v>2771.5</v>
      </c>
      <c r="R1298">
        <v>334854</v>
      </c>
    </row>
    <row r="1299" spans="1:18" x14ac:dyDescent="0.25">
      <c r="A1299" s="163">
        <v>43917</v>
      </c>
      <c r="B1299" s="116">
        <v>572.88</v>
      </c>
      <c r="C1299" s="116">
        <v>545.04999999999995</v>
      </c>
      <c r="D1299" s="116">
        <v>537.04</v>
      </c>
      <c r="E1299" s="116">
        <v>572.19000000000005</v>
      </c>
      <c r="F1299" s="116">
        <v>2725.25</v>
      </c>
      <c r="G1299">
        <v>9877</v>
      </c>
      <c r="H1299" s="116"/>
      <c r="I1299" s="116"/>
      <c r="L1299" s="163">
        <v>43917</v>
      </c>
      <c r="M1299" s="116">
        <v>545.4</v>
      </c>
      <c r="N1299" s="116">
        <v>573.84</v>
      </c>
      <c r="O1299" s="116">
        <v>536.41</v>
      </c>
      <c r="P1299" s="116">
        <v>565</v>
      </c>
      <c r="Q1299" s="116">
        <v>2727</v>
      </c>
      <c r="R1299">
        <v>301089</v>
      </c>
    </row>
    <row r="1300" spans="1:18" x14ac:dyDescent="0.25">
      <c r="A1300" s="163">
        <v>43920</v>
      </c>
      <c r="B1300" s="116">
        <v>566.79</v>
      </c>
      <c r="C1300" s="116">
        <v>559.15</v>
      </c>
      <c r="D1300" s="116">
        <v>516.94000000000005</v>
      </c>
      <c r="E1300" s="116">
        <v>525.11</v>
      </c>
      <c r="F1300" s="116">
        <v>2795.75</v>
      </c>
      <c r="G1300">
        <v>8950</v>
      </c>
      <c r="H1300" s="116"/>
      <c r="I1300" s="116"/>
      <c r="L1300" s="163">
        <v>43920</v>
      </c>
      <c r="M1300" s="116">
        <v>559.5</v>
      </c>
      <c r="N1300" s="116">
        <v>566.79999999999995</v>
      </c>
      <c r="O1300" s="116">
        <v>510</v>
      </c>
      <c r="P1300" s="116">
        <v>530</v>
      </c>
      <c r="Q1300" s="116">
        <v>2797.5</v>
      </c>
      <c r="R1300">
        <v>353218</v>
      </c>
    </row>
    <row r="1301" spans="1:18" x14ac:dyDescent="0.25">
      <c r="A1301" s="163">
        <v>43921</v>
      </c>
      <c r="B1301" s="116">
        <v>578</v>
      </c>
      <c r="C1301" s="116">
        <v>555.86</v>
      </c>
      <c r="D1301" s="116">
        <v>550.20000000000005</v>
      </c>
      <c r="E1301" s="116">
        <v>566</v>
      </c>
      <c r="F1301" s="116">
        <v>2779.3</v>
      </c>
      <c r="G1301">
        <v>5060</v>
      </c>
      <c r="H1301" s="116"/>
      <c r="I1301" s="116"/>
      <c r="L1301" s="163">
        <v>43921</v>
      </c>
      <c r="M1301" s="116">
        <v>556.66</v>
      </c>
      <c r="N1301" s="116">
        <v>579.4</v>
      </c>
      <c r="O1301" s="116">
        <v>549.02</v>
      </c>
      <c r="P1301" s="116">
        <v>578</v>
      </c>
      <c r="Q1301" s="116">
        <v>2783.3</v>
      </c>
      <c r="R1301">
        <v>218027</v>
      </c>
    </row>
    <row r="1302" spans="1:18" x14ac:dyDescent="0.25">
      <c r="A1302" s="163">
        <v>43922</v>
      </c>
      <c r="B1302" s="116">
        <v>561.77</v>
      </c>
      <c r="C1302" s="116">
        <v>531.52</v>
      </c>
      <c r="D1302" s="116">
        <v>524.28</v>
      </c>
      <c r="E1302" s="116">
        <v>560.55999999999995</v>
      </c>
      <c r="F1302" s="116">
        <v>2657.6</v>
      </c>
      <c r="G1302">
        <v>6897</v>
      </c>
      <c r="H1302" s="116"/>
      <c r="I1302" s="116"/>
      <c r="L1302" s="163">
        <v>43922</v>
      </c>
      <c r="M1302" s="116">
        <v>530.99</v>
      </c>
      <c r="N1302" s="116">
        <v>563.57000000000005</v>
      </c>
      <c r="O1302" s="116">
        <v>524</v>
      </c>
      <c r="P1302" s="116">
        <v>560.13</v>
      </c>
      <c r="Q1302" s="116">
        <v>2654.95</v>
      </c>
      <c r="R1302">
        <v>247051</v>
      </c>
    </row>
    <row r="1303" spans="1:18" x14ac:dyDescent="0.25">
      <c r="A1303" s="163">
        <v>43924</v>
      </c>
      <c r="B1303" s="116">
        <v>553.05999999999995</v>
      </c>
      <c r="C1303" s="116">
        <v>532.75</v>
      </c>
      <c r="D1303" s="116">
        <v>513.16</v>
      </c>
      <c r="E1303" s="116">
        <v>531.44000000000005</v>
      </c>
      <c r="F1303" s="116">
        <v>2663.75</v>
      </c>
      <c r="G1303">
        <v>11118</v>
      </c>
      <c r="H1303" s="116"/>
      <c r="I1303" s="116"/>
      <c r="L1303" s="163">
        <v>43924</v>
      </c>
      <c r="M1303" s="116">
        <v>533.66999999999996</v>
      </c>
      <c r="N1303" s="116">
        <v>553.52</v>
      </c>
      <c r="O1303" s="116">
        <v>512.41999999999996</v>
      </c>
      <c r="P1303" s="116">
        <v>527</v>
      </c>
      <c r="Q1303" s="116">
        <v>2668.35</v>
      </c>
      <c r="R1303">
        <v>411310</v>
      </c>
    </row>
    <row r="1304" spans="1:18" x14ac:dyDescent="0.25">
      <c r="A1304" s="163">
        <v>43928</v>
      </c>
      <c r="B1304" s="116">
        <v>584.72</v>
      </c>
      <c r="C1304" s="116">
        <v>577.24</v>
      </c>
      <c r="D1304" s="116">
        <v>542.08000000000004</v>
      </c>
      <c r="E1304" s="116">
        <v>544.51</v>
      </c>
      <c r="F1304" s="116">
        <v>2886.2</v>
      </c>
      <c r="G1304">
        <v>27914</v>
      </c>
      <c r="H1304" s="116"/>
      <c r="I1304" s="116"/>
      <c r="L1304" s="163">
        <v>43928</v>
      </c>
      <c r="M1304" s="116">
        <v>577.14</v>
      </c>
      <c r="N1304" s="116">
        <v>585.39</v>
      </c>
      <c r="O1304" s="116">
        <v>540.4</v>
      </c>
      <c r="P1304" s="116">
        <v>549.6</v>
      </c>
      <c r="Q1304" s="116">
        <v>2885.7</v>
      </c>
      <c r="R1304">
        <v>391612</v>
      </c>
    </row>
    <row r="1305" spans="1:18" x14ac:dyDescent="0.25">
      <c r="A1305" s="163">
        <v>43929</v>
      </c>
      <c r="B1305" s="116">
        <v>624.33000000000004</v>
      </c>
      <c r="C1305" s="116">
        <v>599.1</v>
      </c>
      <c r="D1305" s="116">
        <v>563.66999999999996</v>
      </c>
      <c r="E1305" s="116">
        <v>572.12</v>
      </c>
      <c r="F1305" s="116">
        <v>2995.5</v>
      </c>
      <c r="G1305">
        <v>28116</v>
      </c>
      <c r="H1305" s="116"/>
      <c r="I1305" s="116"/>
      <c r="L1305" s="163">
        <v>43929</v>
      </c>
      <c r="M1305" s="116">
        <v>599.35</v>
      </c>
      <c r="N1305" s="116">
        <v>624.59</v>
      </c>
      <c r="O1305" s="116">
        <v>562.46</v>
      </c>
      <c r="P1305" s="116">
        <v>574</v>
      </c>
      <c r="Q1305" s="116">
        <v>2996.75</v>
      </c>
      <c r="R1305">
        <v>511257</v>
      </c>
    </row>
    <row r="1306" spans="1:18" x14ac:dyDescent="0.25">
      <c r="A1306" s="163">
        <v>43930</v>
      </c>
      <c r="B1306" s="116">
        <v>655.98</v>
      </c>
      <c r="C1306" s="116">
        <v>647.66</v>
      </c>
      <c r="D1306" s="116">
        <v>605.91999999999996</v>
      </c>
      <c r="E1306" s="116">
        <v>614.58000000000004</v>
      </c>
      <c r="F1306" s="116">
        <v>3238.3</v>
      </c>
      <c r="G1306">
        <v>19972</v>
      </c>
      <c r="H1306" s="116"/>
      <c r="I1306" s="116"/>
      <c r="L1306" s="163">
        <v>43930</v>
      </c>
      <c r="M1306" s="116">
        <v>647.54999999999995</v>
      </c>
      <c r="N1306" s="116">
        <v>655.6</v>
      </c>
      <c r="O1306" s="116">
        <v>606.17999999999995</v>
      </c>
      <c r="P1306" s="116">
        <v>609.6</v>
      </c>
      <c r="Q1306" s="116">
        <v>3237.75</v>
      </c>
      <c r="R1306">
        <v>442464</v>
      </c>
    </row>
    <row r="1307" spans="1:18" x14ac:dyDescent="0.25">
      <c r="A1307" s="163">
        <v>43934</v>
      </c>
      <c r="B1307" s="116">
        <v>685.2</v>
      </c>
      <c r="C1307" s="116">
        <v>678.3</v>
      </c>
      <c r="D1307" s="116">
        <v>636.16</v>
      </c>
      <c r="E1307" s="116">
        <v>675.8</v>
      </c>
      <c r="F1307" s="116">
        <v>3391.5</v>
      </c>
      <c r="G1307">
        <v>14726</v>
      </c>
      <c r="H1307" s="116"/>
      <c r="I1307" s="116"/>
      <c r="L1307" s="163">
        <v>43934</v>
      </c>
      <c r="M1307" s="116">
        <v>676.83</v>
      </c>
      <c r="N1307" s="116">
        <v>685</v>
      </c>
      <c r="O1307" s="116">
        <v>636</v>
      </c>
      <c r="P1307" s="116">
        <v>650</v>
      </c>
      <c r="Q1307" s="116">
        <v>3384.15</v>
      </c>
      <c r="R1307">
        <v>426656</v>
      </c>
    </row>
    <row r="1308" spans="1:18" x14ac:dyDescent="0.25">
      <c r="A1308" s="163">
        <v>43936</v>
      </c>
      <c r="B1308" s="116">
        <v>694.8</v>
      </c>
      <c r="C1308" s="116">
        <v>666.97</v>
      </c>
      <c r="D1308" s="116">
        <v>652.51</v>
      </c>
      <c r="E1308" s="116">
        <v>684.4</v>
      </c>
      <c r="F1308" s="116">
        <v>3334.85</v>
      </c>
      <c r="G1308">
        <v>16320</v>
      </c>
      <c r="H1308" s="116"/>
      <c r="I1308" s="116"/>
      <c r="L1308" s="163">
        <v>43936</v>
      </c>
      <c r="M1308" s="116">
        <v>667.44</v>
      </c>
      <c r="N1308" s="116">
        <v>695.98</v>
      </c>
      <c r="O1308" s="116">
        <v>650.4</v>
      </c>
      <c r="P1308" s="116">
        <v>688.78</v>
      </c>
      <c r="Q1308" s="116">
        <v>3337.2</v>
      </c>
      <c r="R1308">
        <v>399510</v>
      </c>
    </row>
    <row r="1309" spans="1:18" x14ac:dyDescent="0.25">
      <c r="A1309" s="163">
        <v>43937</v>
      </c>
      <c r="B1309" s="116">
        <v>690.4</v>
      </c>
      <c r="C1309" s="116">
        <v>682.1</v>
      </c>
      <c r="D1309" s="116">
        <v>651.48</v>
      </c>
      <c r="E1309" s="116">
        <v>660.49</v>
      </c>
      <c r="F1309" s="116">
        <v>3410.5</v>
      </c>
      <c r="G1309">
        <v>10729</v>
      </c>
      <c r="H1309" s="116"/>
      <c r="I1309" s="116"/>
      <c r="L1309" s="163">
        <v>43937</v>
      </c>
      <c r="M1309" s="116">
        <v>682.82</v>
      </c>
      <c r="N1309" s="116">
        <v>689.8</v>
      </c>
      <c r="O1309" s="116">
        <v>651.4</v>
      </c>
      <c r="P1309" s="116">
        <v>664.8</v>
      </c>
      <c r="Q1309" s="116">
        <v>3414.1</v>
      </c>
      <c r="R1309">
        <v>382068</v>
      </c>
    </row>
    <row r="1310" spans="1:18" x14ac:dyDescent="0.25">
      <c r="A1310" s="163">
        <v>43938</v>
      </c>
      <c r="B1310" s="116">
        <v>701.63</v>
      </c>
      <c r="C1310" s="116">
        <v>681.08</v>
      </c>
      <c r="D1310" s="116">
        <v>668.82</v>
      </c>
      <c r="E1310" s="116">
        <v>696</v>
      </c>
      <c r="F1310" s="116">
        <v>3405.4</v>
      </c>
      <c r="G1310">
        <v>11650</v>
      </c>
      <c r="H1310" s="116"/>
      <c r="I1310" s="116"/>
      <c r="L1310" s="163">
        <v>43938</v>
      </c>
      <c r="M1310" s="116">
        <v>681.42</v>
      </c>
      <c r="N1310" s="116">
        <v>701.96</v>
      </c>
      <c r="O1310" s="116">
        <v>668.03</v>
      </c>
      <c r="P1310" s="116">
        <v>700</v>
      </c>
      <c r="Q1310" s="116">
        <v>3407.1</v>
      </c>
      <c r="R1310">
        <v>322558</v>
      </c>
    </row>
    <row r="1311" spans="1:18" x14ac:dyDescent="0.25">
      <c r="A1311" s="163">
        <v>43941</v>
      </c>
      <c r="B1311" s="116">
        <v>694.79</v>
      </c>
      <c r="C1311" s="116">
        <v>667.48</v>
      </c>
      <c r="D1311" s="116">
        <v>660.93</v>
      </c>
      <c r="E1311" s="116">
        <v>694.79</v>
      </c>
      <c r="F1311" s="116">
        <v>3337.4</v>
      </c>
      <c r="G1311">
        <v>7380</v>
      </c>
      <c r="H1311" s="116"/>
      <c r="I1311" s="116"/>
      <c r="L1311" s="163">
        <v>43941</v>
      </c>
      <c r="M1311" s="116">
        <v>668.11</v>
      </c>
      <c r="N1311" s="116">
        <v>686.78</v>
      </c>
      <c r="O1311" s="116">
        <v>660.67</v>
      </c>
      <c r="P1311" s="116">
        <v>682</v>
      </c>
      <c r="Q1311" s="116">
        <v>3340.55</v>
      </c>
      <c r="R1311">
        <v>190389</v>
      </c>
    </row>
    <row r="1312" spans="1:18" x14ac:dyDescent="0.25">
      <c r="A1312" s="163">
        <v>43942</v>
      </c>
      <c r="B1312" s="116">
        <v>665.07</v>
      </c>
      <c r="C1312" s="116">
        <v>660.68</v>
      </c>
      <c r="D1312" s="116">
        <v>648</v>
      </c>
      <c r="E1312" s="116">
        <v>660</v>
      </c>
      <c r="F1312" s="116">
        <v>3303.4</v>
      </c>
      <c r="G1312">
        <v>7199</v>
      </c>
      <c r="H1312" s="116"/>
      <c r="I1312" s="116"/>
      <c r="L1312" s="163">
        <v>43942</v>
      </c>
      <c r="M1312" s="116">
        <v>661.33</v>
      </c>
      <c r="N1312" s="116">
        <v>665.37</v>
      </c>
      <c r="O1312" s="116">
        <v>647.13</v>
      </c>
      <c r="P1312" s="116">
        <v>656</v>
      </c>
      <c r="Q1312" s="116">
        <v>3306.65</v>
      </c>
      <c r="R1312">
        <v>208989</v>
      </c>
    </row>
    <row r="1313" spans="1:18" x14ac:dyDescent="0.25">
      <c r="A1313" s="163">
        <v>43943</v>
      </c>
      <c r="B1313" s="116">
        <v>692.4</v>
      </c>
      <c r="C1313" s="116">
        <v>689.13</v>
      </c>
      <c r="D1313" s="116">
        <v>657.53</v>
      </c>
      <c r="E1313" s="116">
        <v>657.53</v>
      </c>
      <c r="F1313" s="116">
        <v>3445.65</v>
      </c>
      <c r="G1313">
        <v>12408</v>
      </c>
      <c r="H1313" s="116"/>
      <c r="I1313" s="116"/>
      <c r="L1313" s="163">
        <v>43943</v>
      </c>
      <c r="M1313" s="116">
        <v>688.56</v>
      </c>
      <c r="N1313" s="116">
        <v>692.97</v>
      </c>
      <c r="O1313" s="116">
        <v>657.07</v>
      </c>
      <c r="P1313" s="116">
        <v>660</v>
      </c>
      <c r="Q1313" s="116">
        <v>3442.8</v>
      </c>
      <c r="R1313">
        <v>249066</v>
      </c>
    </row>
    <row r="1314" spans="1:18" x14ac:dyDescent="0.25">
      <c r="A1314" s="163">
        <v>43944</v>
      </c>
      <c r="B1314" s="116">
        <v>739.26</v>
      </c>
      <c r="C1314" s="116">
        <v>728.34</v>
      </c>
      <c r="D1314" s="116">
        <v>694.96</v>
      </c>
      <c r="E1314" s="116">
        <v>698</v>
      </c>
      <c r="F1314" s="116">
        <v>3641.7</v>
      </c>
      <c r="G1314">
        <v>19771</v>
      </c>
      <c r="H1314" s="116"/>
      <c r="I1314" s="116"/>
      <c r="L1314" s="163">
        <v>43944</v>
      </c>
      <c r="M1314" s="116">
        <v>728.59</v>
      </c>
      <c r="N1314" s="116">
        <v>739.23</v>
      </c>
      <c r="O1314" s="116">
        <v>692</v>
      </c>
      <c r="P1314" s="116">
        <v>694.16</v>
      </c>
      <c r="Q1314" s="116">
        <v>3642.95</v>
      </c>
      <c r="R1314">
        <v>515641</v>
      </c>
    </row>
    <row r="1315" spans="1:18" x14ac:dyDescent="0.25">
      <c r="A1315" s="163">
        <v>43945</v>
      </c>
      <c r="B1315" s="116">
        <v>732.43</v>
      </c>
      <c r="C1315" s="116">
        <v>697.37</v>
      </c>
      <c r="D1315" s="116">
        <v>694.09</v>
      </c>
      <c r="E1315" s="116">
        <v>724.99</v>
      </c>
      <c r="F1315" s="116">
        <v>3486.85</v>
      </c>
      <c r="G1315">
        <v>9792</v>
      </c>
      <c r="H1315" s="116"/>
      <c r="I1315" s="116"/>
      <c r="L1315" s="163">
        <v>43945</v>
      </c>
      <c r="M1315" s="116">
        <v>697.61</v>
      </c>
      <c r="N1315" s="116">
        <v>732.16</v>
      </c>
      <c r="O1315" s="116">
        <v>694</v>
      </c>
      <c r="P1315" s="116">
        <v>720.4</v>
      </c>
      <c r="Q1315" s="116">
        <v>3488.05</v>
      </c>
      <c r="R1315">
        <v>273907</v>
      </c>
    </row>
    <row r="1316" spans="1:18" x14ac:dyDescent="0.25">
      <c r="A1316" s="163">
        <v>43948</v>
      </c>
      <c r="B1316" s="116">
        <v>728.63</v>
      </c>
      <c r="C1316" s="116">
        <v>717.41</v>
      </c>
      <c r="D1316" s="116">
        <v>703.02</v>
      </c>
      <c r="E1316" s="116">
        <v>703.02</v>
      </c>
      <c r="F1316" s="116">
        <v>3587.05</v>
      </c>
      <c r="G1316">
        <v>8400</v>
      </c>
      <c r="H1316" s="116"/>
      <c r="I1316" s="116"/>
      <c r="L1316" s="163">
        <v>43948</v>
      </c>
      <c r="M1316" s="116">
        <v>717.92</v>
      </c>
      <c r="N1316" s="116">
        <v>728.56</v>
      </c>
      <c r="O1316" s="116">
        <v>704.4</v>
      </c>
      <c r="P1316" s="116">
        <v>711.4</v>
      </c>
      <c r="Q1316" s="116">
        <v>3589.6</v>
      </c>
      <c r="R1316">
        <v>296197</v>
      </c>
    </row>
    <row r="1317" spans="1:18" x14ac:dyDescent="0.25">
      <c r="A1317" s="163">
        <v>43949</v>
      </c>
      <c r="B1317" s="116">
        <v>751.96</v>
      </c>
      <c r="C1317" s="116">
        <v>736.77</v>
      </c>
      <c r="D1317" s="116">
        <v>720</v>
      </c>
      <c r="E1317" s="116">
        <v>720</v>
      </c>
      <c r="F1317" s="116">
        <v>3683.85</v>
      </c>
      <c r="G1317">
        <v>17817</v>
      </c>
      <c r="H1317" s="116"/>
      <c r="I1317" s="116"/>
      <c r="L1317" s="163">
        <v>43949</v>
      </c>
      <c r="M1317" s="116">
        <v>736.98</v>
      </c>
      <c r="N1317" s="116">
        <v>752</v>
      </c>
      <c r="O1317" s="116">
        <v>719.8</v>
      </c>
      <c r="P1317" s="116">
        <v>729</v>
      </c>
      <c r="Q1317" s="116">
        <v>3684.9</v>
      </c>
      <c r="R1317">
        <v>638368</v>
      </c>
    </row>
    <row r="1318" spans="1:18" x14ac:dyDescent="0.25">
      <c r="A1318" s="163">
        <v>43950</v>
      </c>
      <c r="B1318" s="116">
        <v>747.63</v>
      </c>
      <c r="C1318" s="116">
        <v>732.99</v>
      </c>
      <c r="D1318" s="116">
        <v>723.12</v>
      </c>
      <c r="E1318" s="116">
        <v>736</v>
      </c>
      <c r="F1318" s="116">
        <v>3664.95</v>
      </c>
      <c r="G1318">
        <v>15573</v>
      </c>
      <c r="H1318" s="116"/>
      <c r="I1318" s="116"/>
      <c r="L1318" s="163">
        <v>43950</v>
      </c>
      <c r="M1318" s="116">
        <v>733.12</v>
      </c>
      <c r="N1318" s="116">
        <v>747.8</v>
      </c>
      <c r="O1318" s="116">
        <v>723.02</v>
      </c>
      <c r="P1318" s="116">
        <v>736.4</v>
      </c>
      <c r="Q1318" s="116">
        <v>3665.6</v>
      </c>
      <c r="R1318">
        <v>256897</v>
      </c>
    </row>
    <row r="1319" spans="1:18" x14ac:dyDescent="0.25">
      <c r="A1319" s="163">
        <v>43951</v>
      </c>
      <c r="B1319" s="116">
        <v>754</v>
      </c>
      <c r="C1319" s="116">
        <v>742.72</v>
      </c>
      <c r="D1319" s="116">
        <v>738.3</v>
      </c>
      <c r="E1319" s="116">
        <v>739.29</v>
      </c>
      <c r="F1319" s="116">
        <v>3713.6</v>
      </c>
      <c r="G1319">
        <v>7667</v>
      </c>
      <c r="H1319" s="116"/>
      <c r="I1319" s="116"/>
      <c r="L1319" s="163">
        <v>43951</v>
      </c>
      <c r="M1319" s="116">
        <v>743.75</v>
      </c>
      <c r="N1319" s="116">
        <v>754.4</v>
      </c>
      <c r="O1319" s="116">
        <v>737.35</v>
      </c>
      <c r="P1319" s="116">
        <v>737.35</v>
      </c>
      <c r="Q1319" s="116">
        <v>3718.75</v>
      </c>
      <c r="R1319">
        <v>207392</v>
      </c>
    </row>
    <row r="1320" spans="1:18" x14ac:dyDescent="0.25">
      <c r="A1320" s="163">
        <v>43955</v>
      </c>
      <c r="B1320" s="116">
        <v>739.79</v>
      </c>
      <c r="C1320" s="116">
        <v>727.97</v>
      </c>
      <c r="D1320" s="116">
        <v>716.79</v>
      </c>
      <c r="E1320" s="116">
        <v>739.79</v>
      </c>
      <c r="F1320" s="116">
        <v>3639.85</v>
      </c>
      <c r="G1320">
        <v>10412</v>
      </c>
      <c r="H1320" s="116"/>
      <c r="I1320" s="116"/>
      <c r="L1320" s="163">
        <v>43955</v>
      </c>
      <c r="M1320" s="116">
        <v>728.11</v>
      </c>
      <c r="N1320" s="116">
        <v>738.34</v>
      </c>
      <c r="O1320" s="116">
        <v>716.16</v>
      </c>
      <c r="P1320" s="116">
        <v>730</v>
      </c>
      <c r="Q1320" s="116">
        <v>3640.55</v>
      </c>
      <c r="R1320">
        <v>229759</v>
      </c>
    </row>
    <row r="1321" spans="1:18" x14ac:dyDescent="0.25">
      <c r="A1321" s="163">
        <v>43956</v>
      </c>
      <c r="B1321" s="116">
        <v>745.06</v>
      </c>
      <c r="C1321" s="116">
        <v>729.81</v>
      </c>
      <c r="D1321" s="116">
        <v>725.8</v>
      </c>
      <c r="E1321" s="116">
        <v>732</v>
      </c>
      <c r="F1321" s="116">
        <v>3649.05</v>
      </c>
      <c r="G1321">
        <v>12595</v>
      </c>
      <c r="H1321" s="116"/>
      <c r="I1321" s="116"/>
      <c r="L1321" s="163">
        <v>43956</v>
      </c>
      <c r="M1321" s="116">
        <v>729.98</v>
      </c>
      <c r="N1321" s="116">
        <v>745.8</v>
      </c>
      <c r="O1321" s="116">
        <v>725.12</v>
      </c>
      <c r="P1321" s="116">
        <v>731.6</v>
      </c>
      <c r="Q1321" s="116">
        <v>3649.9</v>
      </c>
      <c r="R1321">
        <v>269826</v>
      </c>
    </row>
    <row r="1322" spans="1:18" x14ac:dyDescent="0.25">
      <c r="A1322" s="163">
        <v>43957</v>
      </c>
      <c r="B1322" s="116">
        <v>745.66</v>
      </c>
      <c r="C1322" s="116">
        <v>729.98</v>
      </c>
      <c r="D1322" s="116">
        <v>727.09</v>
      </c>
      <c r="E1322" s="116">
        <v>739.62</v>
      </c>
      <c r="F1322" s="116">
        <v>3649.9</v>
      </c>
      <c r="G1322">
        <v>7401</v>
      </c>
      <c r="H1322" s="116"/>
      <c r="I1322" s="116"/>
      <c r="L1322" s="163">
        <v>43957</v>
      </c>
      <c r="M1322" s="116">
        <v>731.01</v>
      </c>
      <c r="N1322" s="116">
        <v>745.55</v>
      </c>
      <c r="O1322" s="116">
        <v>726.93</v>
      </c>
      <c r="P1322" s="116">
        <v>740.2</v>
      </c>
      <c r="Q1322" s="116">
        <v>3655.05</v>
      </c>
      <c r="R1322">
        <v>218872</v>
      </c>
    </row>
    <row r="1323" spans="1:18" x14ac:dyDescent="0.25">
      <c r="A1323" s="163">
        <v>43958</v>
      </c>
      <c r="B1323" s="116">
        <v>737.31</v>
      </c>
      <c r="C1323" s="116">
        <v>719.04</v>
      </c>
      <c r="D1323" s="116">
        <v>709.44</v>
      </c>
      <c r="E1323" s="116">
        <v>729.43</v>
      </c>
      <c r="F1323" s="116">
        <v>3595.2</v>
      </c>
      <c r="G1323">
        <v>13655</v>
      </c>
      <c r="H1323" s="116"/>
      <c r="I1323" s="116"/>
      <c r="L1323" s="163">
        <v>43958</v>
      </c>
      <c r="M1323" s="116">
        <v>718.69</v>
      </c>
      <c r="N1323" s="116">
        <v>737.8</v>
      </c>
      <c r="O1323" s="116">
        <v>708.62</v>
      </c>
      <c r="P1323" s="116">
        <v>730.01</v>
      </c>
      <c r="Q1323" s="116">
        <v>3593.45</v>
      </c>
      <c r="R1323">
        <v>416157</v>
      </c>
    </row>
    <row r="1324" spans="1:18" x14ac:dyDescent="0.25">
      <c r="A1324" s="163">
        <v>43959</v>
      </c>
      <c r="B1324" s="116">
        <v>730.96</v>
      </c>
      <c r="C1324" s="116">
        <v>719.3</v>
      </c>
      <c r="D1324" s="116">
        <v>716.19</v>
      </c>
      <c r="E1324" s="116">
        <v>728.77</v>
      </c>
      <c r="F1324" s="116">
        <v>3596.5</v>
      </c>
      <c r="G1324">
        <v>4624</v>
      </c>
      <c r="H1324" s="116"/>
      <c r="I1324" s="116"/>
      <c r="L1324" s="163">
        <v>43959</v>
      </c>
      <c r="M1324" s="116">
        <v>719.02</v>
      </c>
      <c r="N1324" s="116">
        <v>732</v>
      </c>
      <c r="O1324" s="116">
        <v>716.41</v>
      </c>
      <c r="P1324" s="116">
        <v>732</v>
      </c>
      <c r="Q1324" s="116">
        <v>3595.1</v>
      </c>
      <c r="R1324">
        <v>112960</v>
      </c>
    </row>
    <row r="1325" spans="1:18" x14ac:dyDescent="0.25">
      <c r="A1325" s="163">
        <v>43962</v>
      </c>
      <c r="B1325" s="116">
        <v>730.6</v>
      </c>
      <c r="C1325" s="116">
        <v>715.21</v>
      </c>
      <c r="D1325" s="116">
        <v>711.18</v>
      </c>
      <c r="E1325" s="116">
        <v>724.8</v>
      </c>
      <c r="F1325" s="116">
        <v>3576.05</v>
      </c>
      <c r="G1325">
        <v>5086</v>
      </c>
      <c r="H1325" s="116"/>
      <c r="I1325" s="116"/>
      <c r="L1325" s="163">
        <v>43962</v>
      </c>
      <c r="M1325" s="116">
        <v>715.37</v>
      </c>
      <c r="N1325" s="116">
        <v>731</v>
      </c>
      <c r="O1325" s="116">
        <v>711.1</v>
      </c>
      <c r="P1325" s="116">
        <v>726.52</v>
      </c>
      <c r="Q1325" s="116">
        <v>3576.85</v>
      </c>
      <c r="R1325">
        <v>180501</v>
      </c>
    </row>
    <row r="1326" spans="1:18" x14ac:dyDescent="0.25">
      <c r="A1326" s="163">
        <v>43963</v>
      </c>
      <c r="B1326" s="116">
        <v>717.4</v>
      </c>
      <c r="C1326" s="116">
        <v>707.06</v>
      </c>
      <c r="D1326" s="116">
        <v>694.69</v>
      </c>
      <c r="E1326" s="116">
        <v>710.06</v>
      </c>
      <c r="F1326" s="116">
        <v>3535.3</v>
      </c>
      <c r="G1326">
        <v>6738</v>
      </c>
      <c r="H1326" s="116"/>
      <c r="I1326" s="116"/>
      <c r="L1326" s="163">
        <v>43963</v>
      </c>
      <c r="M1326" s="116">
        <v>707.47</v>
      </c>
      <c r="N1326" s="116">
        <v>717.66</v>
      </c>
      <c r="O1326" s="116">
        <v>694.2</v>
      </c>
      <c r="P1326" s="116">
        <v>713.38</v>
      </c>
      <c r="Q1326" s="116">
        <v>3537.35</v>
      </c>
      <c r="R1326">
        <v>267040</v>
      </c>
    </row>
    <row r="1327" spans="1:18" x14ac:dyDescent="0.25">
      <c r="A1327" s="163">
        <v>43964</v>
      </c>
      <c r="B1327" s="116">
        <v>744.24</v>
      </c>
      <c r="C1327" s="116">
        <v>721.02</v>
      </c>
      <c r="D1327" s="116">
        <v>716</v>
      </c>
      <c r="E1327" s="116">
        <v>716</v>
      </c>
      <c r="F1327" s="116">
        <v>3605.1</v>
      </c>
      <c r="G1327">
        <v>7377</v>
      </c>
      <c r="H1327" s="116"/>
      <c r="I1327" s="116"/>
      <c r="L1327" s="163">
        <v>43964</v>
      </c>
      <c r="M1327" s="116">
        <v>721.16</v>
      </c>
      <c r="N1327" s="116">
        <v>743.98</v>
      </c>
      <c r="O1327" s="116">
        <v>718.67</v>
      </c>
      <c r="P1327" s="116">
        <v>728</v>
      </c>
      <c r="Q1327" s="116">
        <v>3605.8</v>
      </c>
      <c r="R1327">
        <v>285649</v>
      </c>
    </row>
    <row r="1328" spans="1:18" x14ac:dyDescent="0.25">
      <c r="A1328" s="163">
        <v>43965</v>
      </c>
      <c r="B1328" s="116">
        <v>733.8</v>
      </c>
      <c r="C1328" s="116">
        <v>730.22</v>
      </c>
      <c r="D1328" s="116">
        <v>711.48</v>
      </c>
      <c r="E1328" s="116">
        <v>718</v>
      </c>
      <c r="F1328" s="116">
        <v>3651.1</v>
      </c>
      <c r="G1328">
        <v>5809</v>
      </c>
      <c r="H1328" s="116"/>
      <c r="I1328" s="116"/>
      <c r="L1328" s="163">
        <v>43965</v>
      </c>
      <c r="M1328" s="116">
        <v>730.32</v>
      </c>
      <c r="N1328" s="116">
        <v>734</v>
      </c>
      <c r="O1328" s="116">
        <v>711.04</v>
      </c>
      <c r="P1328" s="116">
        <v>717.4</v>
      </c>
      <c r="Q1328" s="116">
        <v>3651.6</v>
      </c>
      <c r="R1328">
        <v>189999</v>
      </c>
    </row>
    <row r="1329" spans="1:18" x14ac:dyDescent="0.25">
      <c r="A1329" s="163">
        <v>43966</v>
      </c>
      <c r="B1329" s="116">
        <v>737.38</v>
      </c>
      <c r="C1329" s="116">
        <v>718.86</v>
      </c>
      <c r="D1329" s="116">
        <v>711.88</v>
      </c>
      <c r="E1329" s="116">
        <v>734.72</v>
      </c>
      <c r="F1329" s="116">
        <v>3594.3</v>
      </c>
      <c r="G1329">
        <v>5468</v>
      </c>
      <c r="H1329" s="116"/>
      <c r="I1329" s="116"/>
      <c r="L1329" s="163">
        <v>43966</v>
      </c>
      <c r="M1329" s="116">
        <v>719.21</v>
      </c>
      <c r="N1329" s="116">
        <v>737.7</v>
      </c>
      <c r="O1329" s="116">
        <v>711.65</v>
      </c>
      <c r="P1329" s="116">
        <v>733.2</v>
      </c>
      <c r="Q1329" s="116">
        <v>3596.05</v>
      </c>
      <c r="R1329">
        <v>197824</v>
      </c>
    </row>
    <row r="1330" spans="1:18" x14ac:dyDescent="0.25">
      <c r="A1330" s="163">
        <v>43969</v>
      </c>
      <c r="B1330" s="116">
        <v>718</v>
      </c>
      <c r="C1330" s="116">
        <v>685.86</v>
      </c>
      <c r="D1330" s="116">
        <v>680</v>
      </c>
      <c r="E1330" s="116">
        <v>718</v>
      </c>
      <c r="F1330" s="116">
        <v>3429.3</v>
      </c>
      <c r="G1330">
        <v>7615</v>
      </c>
      <c r="H1330" s="116"/>
      <c r="I1330" s="116"/>
      <c r="L1330" s="163">
        <v>43969</v>
      </c>
      <c r="M1330" s="116">
        <v>684.64</v>
      </c>
      <c r="N1330" s="116">
        <v>718</v>
      </c>
      <c r="O1330" s="116">
        <v>679.4</v>
      </c>
      <c r="P1330" s="116">
        <v>718</v>
      </c>
      <c r="Q1330" s="116">
        <v>3423.2</v>
      </c>
      <c r="R1330">
        <v>158874</v>
      </c>
    </row>
    <row r="1331" spans="1:18" x14ac:dyDescent="0.25">
      <c r="A1331" s="163">
        <v>43970</v>
      </c>
      <c r="B1331" s="116">
        <v>700</v>
      </c>
      <c r="C1331" s="116">
        <v>664.98</v>
      </c>
      <c r="D1331" s="116">
        <v>662</v>
      </c>
      <c r="E1331" s="116">
        <v>691.6</v>
      </c>
      <c r="F1331" s="116">
        <v>3324.9</v>
      </c>
      <c r="G1331">
        <v>6520</v>
      </c>
      <c r="H1331" s="116"/>
      <c r="I1331" s="116"/>
      <c r="L1331" s="163">
        <v>43970</v>
      </c>
      <c r="M1331" s="116">
        <v>665.07</v>
      </c>
      <c r="N1331" s="116">
        <v>700</v>
      </c>
      <c r="O1331" s="116">
        <v>661.2</v>
      </c>
      <c r="P1331" s="116">
        <v>690.02</v>
      </c>
      <c r="Q1331" s="116">
        <v>3325.35</v>
      </c>
      <c r="R1331">
        <v>267636</v>
      </c>
    </row>
    <row r="1332" spans="1:18" x14ac:dyDescent="0.25">
      <c r="A1332" s="163">
        <v>43971</v>
      </c>
      <c r="B1332" s="116">
        <v>681.66</v>
      </c>
      <c r="C1332" s="116">
        <v>675.71</v>
      </c>
      <c r="D1332" s="116">
        <v>666</v>
      </c>
      <c r="E1332" s="116">
        <v>667.4</v>
      </c>
      <c r="F1332" s="116">
        <v>3378.55</v>
      </c>
      <c r="G1332">
        <v>5621</v>
      </c>
      <c r="H1332" s="116"/>
      <c r="I1332" s="116"/>
      <c r="L1332" s="163">
        <v>43971</v>
      </c>
      <c r="M1332" s="116">
        <v>675.99</v>
      </c>
      <c r="N1332" s="116">
        <v>681.84</v>
      </c>
      <c r="O1332" s="116">
        <v>665.11</v>
      </c>
      <c r="P1332" s="116">
        <v>667</v>
      </c>
      <c r="Q1332" s="116">
        <v>3379.95</v>
      </c>
      <c r="R1332">
        <v>192605</v>
      </c>
    </row>
    <row r="1333" spans="1:18" x14ac:dyDescent="0.25">
      <c r="A1333" s="163">
        <v>43972</v>
      </c>
      <c r="B1333" s="116">
        <v>691.14</v>
      </c>
      <c r="C1333" s="116">
        <v>673.83</v>
      </c>
      <c r="D1333" s="116">
        <v>670.02</v>
      </c>
      <c r="E1333" s="116">
        <v>682.8</v>
      </c>
      <c r="F1333" s="116">
        <v>3369.15</v>
      </c>
      <c r="G1333">
        <v>4981</v>
      </c>
      <c r="H1333" s="116"/>
      <c r="I1333" s="116"/>
      <c r="L1333" s="163">
        <v>43972</v>
      </c>
      <c r="M1333" s="116">
        <v>674.09</v>
      </c>
      <c r="N1333" s="116">
        <v>691.19</v>
      </c>
      <c r="O1333" s="116">
        <v>669.1</v>
      </c>
      <c r="P1333" s="116">
        <v>677</v>
      </c>
      <c r="Q1333" s="116">
        <v>3370.45</v>
      </c>
      <c r="R1333">
        <v>163349</v>
      </c>
    </row>
    <row r="1334" spans="1:18" x14ac:dyDescent="0.25">
      <c r="A1334" s="163">
        <v>43973</v>
      </c>
      <c r="B1334" s="116">
        <v>685</v>
      </c>
      <c r="C1334" s="116">
        <v>675.42</v>
      </c>
      <c r="D1334" s="116">
        <v>666</v>
      </c>
      <c r="E1334" s="116">
        <v>674.94</v>
      </c>
      <c r="F1334" s="116">
        <v>3377.1</v>
      </c>
      <c r="G1334">
        <v>5159</v>
      </c>
      <c r="H1334" s="116"/>
      <c r="I1334" s="116"/>
      <c r="L1334" s="163">
        <v>43973</v>
      </c>
      <c r="M1334" s="116">
        <v>675.99</v>
      </c>
      <c r="N1334" s="116">
        <v>686</v>
      </c>
      <c r="O1334" s="116">
        <v>664.8</v>
      </c>
      <c r="P1334" s="116">
        <v>672</v>
      </c>
      <c r="Q1334" s="116">
        <v>3379.95</v>
      </c>
      <c r="R1334">
        <v>159425</v>
      </c>
    </row>
    <row r="1335" spans="1:18" x14ac:dyDescent="0.25">
      <c r="A1335" s="163">
        <v>43977</v>
      </c>
      <c r="B1335" s="116">
        <v>696</v>
      </c>
      <c r="C1335" s="116">
        <v>689.64</v>
      </c>
      <c r="D1335" s="116">
        <v>668.01</v>
      </c>
      <c r="E1335" s="116">
        <v>668.01</v>
      </c>
      <c r="F1335" s="116">
        <v>3448.2</v>
      </c>
      <c r="G1335">
        <v>5678</v>
      </c>
      <c r="H1335" s="116"/>
      <c r="I1335" s="116"/>
      <c r="L1335" s="163">
        <v>43977</v>
      </c>
      <c r="M1335" s="116">
        <v>690.49</v>
      </c>
      <c r="N1335" s="116">
        <v>696.24</v>
      </c>
      <c r="O1335" s="116">
        <v>673.6</v>
      </c>
      <c r="P1335" s="116">
        <v>680</v>
      </c>
      <c r="Q1335" s="116">
        <v>3452.45</v>
      </c>
      <c r="R1335">
        <v>150024</v>
      </c>
    </row>
    <row r="1336" spans="1:18" x14ac:dyDescent="0.25">
      <c r="A1336" s="163">
        <v>43978</v>
      </c>
      <c r="B1336" s="116">
        <v>690.46</v>
      </c>
      <c r="C1336" s="116">
        <v>684.67</v>
      </c>
      <c r="D1336" s="116">
        <v>680.6</v>
      </c>
      <c r="E1336" s="116">
        <v>689.36</v>
      </c>
      <c r="F1336" s="116">
        <v>3423.35</v>
      </c>
      <c r="G1336">
        <v>3229</v>
      </c>
      <c r="H1336" s="116"/>
      <c r="I1336" s="116"/>
      <c r="L1336" s="163">
        <v>43978</v>
      </c>
      <c r="M1336" s="116">
        <v>685.24</v>
      </c>
      <c r="N1336" s="116">
        <v>692</v>
      </c>
      <c r="O1336" s="116">
        <v>680.21</v>
      </c>
      <c r="P1336" s="116">
        <v>692</v>
      </c>
      <c r="Q1336" s="116">
        <v>3426.2</v>
      </c>
      <c r="R1336">
        <v>100305</v>
      </c>
    </row>
    <row r="1337" spans="1:18" x14ac:dyDescent="0.25">
      <c r="A1337" s="163">
        <v>43979</v>
      </c>
      <c r="B1337" s="116">
        <v>691.48</v>
      </c>
      <c r="C1337" s="116">
        <v>681.91</v>
      </c>
      <c r="D1337" s="116">
        <v>674.29</v>
      </c>
      <c r="E1337" s="116">
        <v>686</v>
      </c>
      <c r="F1337" s="116">
        <v>3409.55</v>
      </c>
      <c r="G1337">
        <v>7759</v>
      </c>
      <c r="H1337" s="116"/>
      <c r="I1337" s="116"/>
      <c r="L1337" s="163">
        <v>43979</v>
      </c>
      <c r="M1337" s="116">
        <v>681.88</v>
      </c>
      <c r="N1337" s="116">
        <v>692</v>
      </c>
      <c r="O1337" s="116">
        <v>674</v>
      </c>
      <c r="P1337" s="116">
        <v>685.04</v>
      </c>
      <c r="Q1337" s="116">
        <v>3409.4</v>
      </c>
      <c r="R1337">
        <v>134076</v>
      </c>
    </row>
    <row r="1338" spans="1:18" x14ac:dyDescent="0.25">
      <c r="A1338" s="163">
        <v>43980</v>
      </c>
      <c r="B1338" s="116">
        <v>708.45</v>
      </c>
      <c r="C1338" s="116">
        <v>696.74</v>
      </c>
      <c r="D1338" s="116">
        <v>678.15</v>
      </c>
      <c r="E1338" s="116">
        <v>680</v>
      </c>
      <c r="F1338" s="116">
        <v>3483.7</v>
      </c>
      <c r="G1338">
        <v>11280</v>
      </c>
      <c r="H1338" s="116"/>
      <c r="I1338" s="116"/>
      <c r="L1338" s="163">
        <v>43980</v>
      </c>
      <c r="M1338" s="116">
        <v>697.43</v>
      </c>
      <c r="N1338" s="116">
        <v>708.8</v>
      </c>
      <c r="O1338" s="116">
        <v>675</v>
      </c>
      <c r="P1338" s="116">
        <v>679</v>
      </c>
      <c r="Q1338" s="116">
        <v>3487.15</v>
      </c>
      <c r="R1338">
        <v>277105</v>
      </c>
    </row>
    <row r="1339" spans="1:18" x14ac:dyDescent="0.25">
      <c r="A1339" s="163">
        <v>43983</v>
      </c>
      <c r="B1339" s="116">
        <v>746.63</v>
      </c>
      <c r="C1339" s="116">
        <v>741.69</v>
      </c>
      <c r="D1339" s="116">
        <v>703.42</v>
      </c>
      <c r="E1339" s="116">
        <v>709.6</v>
      </c>
      <c r="F1339" s="116">
        <v>3708.45</v>
      </c>
      <c r="G1339">
        <v>15148</v>
      </c>
      <c r="H1339" s="116"/>
      <c r="I1339" s="116"/>
      <c r="L1339" s="163">
        <v>43983</v>
      </c>
      <c r="M1339" s="116">
        <v>741.43</v>
      </c>
      <c r="N1339" s="116">
        <v>746.86</v>
      </c>
      <c r="O1339" s="116">
        <v>702.36</v>
      </c>
      <c r="P1339" s="116">
        <v>704</v>
      </c>
      <c r="Q1339" s="116">
        <v>3707.15</v>
      </c>
      <c r="R1339">
        <v>313811</v>
      </c>
    </row>
    <row r="1340" spans="1:18" x14ac:dyDescent="0.25">
      <c r="A1340" s="163">
        <v>43984</v>
      </c>
      <c r="B1340" s="116">
        <v>750.98</v>
      </c>
      <c r="C1340" s="116">
        <v>735.94</v>
      </c>
      <c r="D1340" s="116">
        <v>734.05</v>
      </c>
      <c r="E1340" s="116">
        <v>734.36</v>
      </c>
      <c r="F1340" s="116">
        <v>3679.7</v>
      </c>
      <c r="G1340">
        <v>8597</v>
      </c>
      <c r="H1340" s="116"/>
      <c r="I1340" s="116"/>
      <c r="L1340" s="163">
        <v>43984</v>
      </c>
      <c r="M1340" s="116">
        <v>735.96</v>
      </c>
      <c r="N1340" s="116">
        <v>751.76</v>
      </c>
      <c r="O1340" s="116">
        <v>730</v>
      </c>
      <c r="P1340" s="116">
        <v>741.54</v>
      </c>
      <c r="Q1340" s="116">
        <v>3679.8</v>
      </c>
      <c r="R1340">
        <v>147348</v>
      </c>
    </row>
    <row r="1341" spans="1:18" x14ac:dyDescent="0.25">
      <c r="A1341" s="163">
        <v>43985</v>
      </c>
      <c r="B1341" s="116">
        <v>747.4</v>
      </c>
      <c r="C1341" s="116">
        <v>730.52</v>
      </c>
      <c r="D1341" s="116">
        <v>722.2</v>
      </c>
      <c r="E1341" s="116">
        <v>747.4</v>
      </c>
      <c r="F1341" s="116">
        <v>3652.6</v>
      </c>
      <c r="G1341">
        <v>109003</v>
      </c>
      <c r="H1341" s="116"/>
      <c r="I1341" s="116"/>
      <c r="L1341" s="163">
        <v>43985</v>
      </c>
      <c r="M1341" s="116">
        <v>730.25</v>
      </c>
      <c r="N1341" s="116">
        <v>747.76</v>
      </c>
      <c r="O1341" s="116">
        <v>721.13</v>
      </c>
      <c r="P1341" s="116">
        <v>740</v>
      </c>
      <c r="Q1341" s="116">
        <v>3651.25</v>
      </c>
      <c r="R1341">
        <v>201066</v>
      </c>
    </row>
    <row r="1342" spans="1:18" x14ac:dyDescent="0.25">
      <c r="A1342" s="163">
        <v>43986</v>
      </c>
      <c r="B1342" s="116">
        <v>769.94</v>
      </c>
      <c r="C1342" s="116">
        <v>758.21</v>
      </c>
      <c r="D1342" s="116">
        <v>725.21</v>
      </c>
      <c r="E1342" s="116">
        <v>730.52</v>
      </c>
      <c r="F1342" s="116">
        <v>3791.05</v>
      </c>
      <c r="G1342">
        <v>20011</v>
      </c>
      <c r="H1342" s="116"/>
      <c r="I1342" s="116"/>
      <c r="L1342" s="163">
        <v>43986</v>
      </c>
      <c r="M1342" s="116">
        <v>759.61</v>
      </c>
      <c r="N1342" s="116">
        <v>768.9</v>
      </c>
      <c r="O1342" s="116">
        <v>724.46</v>
      </c>
      <c r="P1342" s="116">
        <v>730.25</v>
      </c>
      <c r="Q1342" s="116">
        <v>3798.05</v>
      </c>
      <c r="R1342">
        <v>589995</v>
      </c>
    </row>
    <row r="1343" spans="1:18" x14ac:dyDescent="0.25">
      <c r="A1343" s="163">
        <v>43987</v>
      </c>
      <c r="B1343" s="116">
        <v>757</v>
      </c>
      <c r="C1343" s="116">
        <v>729.6</v>
      </c>
      <c r="D1343" s="116">
        <v>727.2</v>
      </c>
      <c r="E1343" s="116">
        <v>757</v>
      </c>
      <c r="F1343" s="116">
        <v>3648</v>
      </c>
      <c r="G1343">
        <v>28430</v>
      </c>
      <c r="H1343" s="116"/>
      <c r="I1343" s="116"/>
      <c r="L1343" s="163">
        <v>43987</v>
      </c>
      <c r="M1343" s="116">
        <v>730.06</v>
      </c>
      <c r="N1343" s="116">
        <v>758</v>
      </c>
      <c r="O1343" s="116">
        <v>727.4</v>
      </c>
      <c r="P1343" s="116">
        <v>758</v>
      </c>
      <c r="Q1343" s="116">
        <v>3650.3</v>
      </c>
      <c r="R1343">
        <v>712370</v>
      </c>
    </row>
    <row r="1344" spans="1:18" x14ac:dyDescent="0.25">
      <c r="A1344" s="163">
        <v>43990</v>
      </c>
      <c r="B1344" s="116">
        <v>750.77</v>
      </c>
      <c r="C1344" s="116">
        <v>739.12</v>
      </c>
      <c r="D1344" s="116">
        <v>723.01</v>
      </c>
      <c r="E1344" s="116">
        <v>733.03</v>
      </c>
      <c r="F1344" s="116">
        <v>3695.6</v>
      </c>
      <c r="G1344">
        <v>19159</v>
      </c>
      <c r="H1344" s="116"/>
      <c r="I1344" s="116"/>
      <c r="L1344" s="163">
        <v>43990</v>
      </c>
      <c r="M1344" s="116">
        <v>739.43</v>
      </c>
      <c r="N1344" s="116">
        <v>751</v>
      </c>
      <c r="O1344" s="116">
        <v>722.2</v>
      </c>
      <c r="P1344" s="116">
        <v>736</v>
      </c>
      <c r="Q1344" s="116">
        <v>3697.15</v>
      </c>
      <c r="R1344">
        <v>471468</v>
      </c>
    </row>
    <row r="1345" spans="1:18" x14ac:dyDescent="0.25">
      <c r="A1345" s="163">
        <v>43991</v>
      </c>
      <c r="B1345" s="116">
        <v>744</v>
      </c>
      <c r="C1345" s="116">
        <v>730.57</v>
      </c>
      <c r="D1345" s="116">
        <v>727.42</v>
      </c>
      <c r="E1345" s="116">
        <v>739.8</v>
      </c>
      <c r="F1345" s="116">
        <v>3652.85</v>
      </c>
      <c r="G1345">
        <v>8640</v>
      </c>
      <c r="H1345" s="116"/>
      <c r="I1345" s="116"/>
      <c r="L1345" s="163">
        <v>43991</v>
      </c>
      <c r="M1345" s="116">
        <v>730.95</v>
      </c>
      <c r="N1345" s="116">
        <v>744.75</v>
      </c>
      <c r="O1345" s="116">
        <v>726.03</v>
      </c>
      <c r="P1345" s="116">
        <v>738.4</v>
      </c>
      <c r="Q1345" s="116">
        <v>3654.75</v>
      </c>
      <c r="R1345">
        <v>296068</v>
      </c>
    </row>
    <row r="1346" spans="1:18" x14ac:dyDescent="0.25">
      <c r="A1346" s="163">
        <v>43992</v>
      </c>
      <c r="B1346" s="116">
        <v>743</v>
      </c>
      <c r="C1346" s="116">
        <v>728.71</v>
      </c>
      <c r="D1346" s="116">
        <v>726.06</v>
      </c>
      <c r="E1346" s="116">
        <v>736.03</v>
      </c>
      <c r="F1346" s="116">
        <v>3643.55</v>
      </c>
      <c r="G1346">
        <v>8252</v>
      </c>
      <c r="H1346" s="116"/>
      <c r="I1346" s="116"/>
      <c r="L1346" s="163">
        <v>43992</v>
      </c>
      <c r="M1346" s="116">
        <v>728.31</v>
      </c>
      <c r="N1346" s="116">
        <v>743.24</v>
      </c>
      <c r="O1346" s="116">
        <v>726.2</v>
      </c>
      <c r="P1346" s="116">
        <v>734</v>
      </c>
      <c r="Q1346" s="116">
        <v>3641.55</v>
      </c>
      <c r="R1346">
        <v>213234</v>
      </c>
    </row>
    <row r="1347" spans="1:18" x14ac:dyDescent="0.25">
      <c r="A1347" s="163">
        <v>43993</v>
      </c>
      <c r="B1347" s="116">
        <v>747.61</v>
      </c>
      <c r="C1347" s="116">
        <v>724.72</v>
      </c>
      <c r="D1347" s="116">
        <v>719.79</v>
      </c>
      <c r="E1347" s="116">
        <v>726</v>
      </c>
      <c r="F1347" s="116">
        <v>3623.6</v>
      </c>
      <c r="G1347">
        <v>21091</v>
      </c>
      <c r="H1347" s="116"/>
      <c r="I1347" s="116"/>
      <c r="L1347" s="163">
        <v>43993</v>
      </c>
      <c r="M1347" s="116">
        <v>725.14</v>
      </c>
      <c r="N1347" s="116">
        <v>747.39</v>
      </c>
      <c r="O1347" s="116">
        <v>718.4</v>
      </c>
      <c r="P1347" s="116">
        <v>729.8</v>
      </c>
      <c r="Q1347" s="116">
        <v>3625.7</v>
      </c>
      <c r="R1347">
        <v>420774</v>
      </c>
    </row>
    <row r="1348" spans="1:18" x14ac:dyDescent="0.25">
      <c r="A1348" s="163">
        <v>43994</v>
      </c>
      <c r="B1348" s="116">
        <v>738.54</v>
      </c>
      <c r="C1348" s="116">
        <v>736.61</v>
      </c>
      <c r="D1348" s="116">
        <v>706.41</v>
      </c>
      <c r="E1348" s="116">
        <v>720</v>
      </c>
      <c r="F1348" s="116">
        <v>3683.05</v>
      </c>
      <c r="G1348">
        <v>10679</v>
      </c>
      <c r="H1348" s="116"/>
      <c r="I1348" s="116"/>
      <c r="L1348" s="163">
        <v>43994</v>
      </c>
      <c r="M1348" s="116">
        <v>736.6</v>
      </c>
      <c r="N1348" s="116">
        <v>738.88</v>
      </c>
      <c r="O1348" s="116">
        <v>705.84</v>
      </c>
      <c r="P1348" s="116">
        <v>710</v>
      </c>
      <c r="Q1348" s="116">
        <v>3683</v>
      </c>
      <c r="R1348">
        <v>232589</v>
      </c>
    </row>
    <row r="1349" spans="1:18" x14ac:dyDescent="0.25">
      <c r="A1349" s="163">
        <v>43997</v>
      </c>
      <c r="B1349" s="116">
        <v>745</v>
      </c>
      <c r="C1349" s="116">
        <v>722.76</v>
      </c>
      <c r="D1349" s="116">
        <v>720.37</v>
      </c>
      <c r="E1349" s="116">
        <v>736.6</v>
      </c>
      <c r="F1349" s="116">
        <v>3613.8</v>
      </c>
      <c r="G1349">
        <v>7476</v>
      </c>
      <c r="H1349" s="116"/>
      <c r="I1349" s="116"/>
      <c r="L1349" s="163">
        <v>43997</v>
      </c>
      <c r="M1349" s="116">
        <v>723.04</v>
      </c>
      <c r="N1349" s="116">
        <v>744.9</v>
      </c>
      <c r="O1349" s="116">
        <v>720.01</v>
      </c>
      <c r="P1349" s="116">
        <v>739.82</v>
      </c>
      <c r="Q1349" s="116">
        <v>3615.2</v>
      </c>
      <c r="R1349">
        <v>203633</v>
      </c>
    </row>
    <row r="1350" spans="1:18" x14ac:dyDescent="0.25">
      <c r="A1350" s="163">
        <v>43998</v>
      </c>
      <c r="B1350" s="116">
        <v>739.18</v>
      </c>
      <c r="C1350" s="116">
        <v>722.94</v>
      </c>
      <c r="D1350" s="116">
        <v>709.8</v>
      </c>
      <c r="E1350" s="116">
        <v>733.6</v>
      </c>
      <c r="F1350" s="116">
        <v>3614.7</v>
      </c>
      <c r="G1350">
        <v>13763</v>
      </c>
      <c r="H1350" s="116"/>
      <c r="I1350" s="116"/>
      <c r="L1350" s="163">
        <v>43998</v>
      </c>
      <c r="M1350" s="116">
        <v>723.05</v>
      </c>
      <c r="N1350" s="116">
        <v>739.56</v>
      </c>
      <c r="O1350" s="116">
        <v>709.1</v>
      </c>
      <c r="P1350" s="116">
        <v>733.59</v>
      </c>
      <c r="Q1350" s="116">
        <v>3615.25</v>
      </c>
      <c r="R1350">
        <v>356425</v>
      </c>
    </row>
    <row r="1351" spans="1:18" x14ac:dyDescent="0.25">
      <c r="A1351" s="163">
        <v>43999</v>
      </c>
      <c r="B1351" s="116">
        <v>734.54</v>
      </c>
      <c r="C1351" s="116">
        <v>724.62</v>
      </c>
      <c r="D1351" s="116">
        <v>715</v>
      </c>
      <c r="E1351" s="116">
        <v>726</v>
      </c>
      <c r="F1351" s="116">
        <v>3623.1</v>
      </c>
      <c r="G1351">
        <v>5759</v>
      </c>
      <c r="H1351" s="116"/>
      <c r="I1351" s="116"/>
      <c r="L1351" s="163">
        <v>43999</v>
      </c>
      <c r="M1351" s="116">
        <v>724.25</v>
      </c>
      <c r="N1351" s="116">
        <v>734.64</v>
      </c>
      <c r="O1351" s="116">
        <v>713.28</v>
      </c>
      <c r="P1351" s="116">
        <v>723</v>
      </c>
      <c r="Q1351" s="116">
        <v>3621.25</v>
      </c>
      <c r="R1351">
        <v>293368</v>
      </c>
    </row>
    <row r="1352" spans="1:18" x14ac:dyDescent="0.25">
      <c r="A1352" s="163">
        <v>44000</v>
      </c>
      <c r="B1352" s="116">
        <v>730.6</v>
      </c>
      <c r="C1352" s="116">
        <v>720.7</v>
      </c>
      <c r="D1352" s="116">
        <v>710.2</v>
      </c>
      <c r="E1352" s="116">
        <v>710.2</v>
      </c>
      <c r="F1352" s="116">
        <v>3603.5</v>
      </c>
      <c r="G1352">
        <v>5843</v>
      </c>
      <c r="H1352" s="116"/>
      <c r="I1352" s="116"/>
      <c r="L1352" s="163">
        <v>44000</v>
      </c>
      <c r="M1352" s="116">
        <v>720.95</v>
      </c>
      <c r="N1352" s="116">
        <v>730.99</v>
      </c>
      <c r="O1352" s="116">
        <v>716</v>
      </c>
      <c r="P1352" s="116">
        <v>723</v>
      </c>
      <c r="Q1352" s="116">
        <v>3604.75</v>
      </c>
      <c r="R1352">
        <v>244315</v>
      </c>
    </row>
    <row r="1353" spans="1:18" x14ac:dyDescent="0.25">
      <c r="A1353" s="163">
        <v>44001</v>
      </c>
      <c r="B1353" s="116">
        <v>732</v>
      </c>
      <c r="C1353" s="116">
        <v>722.53</v>
      </c>
      <c r="D1353" s="116">
        <v>720</v>
      </c>
      <c r="E1353" s="116">
        <v>726</v>
      </c>
      <c r="F1353" s="116">
        <v>3612.65</v>
      </c>
      <c r="G1353">
        <v>6580</v>
      </c>
      <c r="H1353" s="116"/>
      <c r="I1353" s="116"/>
      <c r="L1353" s="163">
        <v>44001</v>
      </c>
      <c r="M1353" s="116">
        <v>722.83</v>
      </c>
      <c r="N1353" s="116">
        <v>732</v>
      </c>
      <c r="O1353" s="116">
        <v>719.54</v>
      </c>
      <c r="P1353" s="116">
        <v>723</v>
      </c>
      <c r="Q1353" s="116">
        <v>3614.15</v>
      </c>
      <c r="R1353">
        <v>281420</v>
      </c>
    </row>
    <row r="1354" spans="1:18" x14ac:dyDescent="0.25">
      <c r="A1354" s="163">
        <v>44004</v>
      </c>
      <c r="B1354" s="116">
        <v>731.27</v>
      </c>
      <c r="C1354" s="116">
        <v>723.48</v>
      </c>
      <c r="D1354" s="116">
        <v>721.81</v>
      </c>
      <c r="E1354" s="116">
        <v>725</v>
      </c>
      <c r="F1354" s="116">
        <v>3617.4</v>
      </c>
      <c r="G1354">
        <v>4010</v>
      </c>
      <c r="H1354" s="116"/>
      <c r="I1354" s="116"/>
      <c r="L1354" s="163">
        <v>44004</v>
      </c>
      <c r="M1354" s="116">
        <v>723.64</v>
      </c>
      <c r="N1354" s="116">
        <v>731.2</v>
      </c>
      <c r="O1354" s="116">
        <v>721.6</v>
      </c>
      <c r="P1354" s="116">
        <v>723.63</v>
      </c>
      <c r="Q1354" s="116">
        <v>3618.2</v>
      </c>
      <c r="R1354">
        <v>115805</v>
      </c>
    </row>
    <row r="1355" spans="1:18" x14ac:dyDescent="0.25">
      <c r="A1355" s="163">
        <v>44005</v>
      </c>
      <c r="B1355" s="116">
        <v>749.45</v>
      </c>
      <c r="C1355" s="116">
        <v>742.38</v>
      </c>
      <c r="D1355" s="116">
        <v>715.4</v>
      </c>
      <c r="E1355" s="116">
        <v>727.2</v>
      </c>
      <c r="F1355" s="116">
        <v>3711.9</v>
      </c>
      <c r="G1355">
        <v>15170</v>
      </c>
      <c r="H1355" s="116"/>
      <c r="I1355" s="116"/>
      <c r="L1355" s="163">
        <v>44005</v>
      </c>
      <c r="M1355" s="116">
        <v>743.04</v>
      </c>
      <c r="N1355" s="116">
        <v>749.6</v>
      </c>
      <c r="O1355" s="116">
        <v>715.29</v>
      </c>
      <c r="P1355" s="116">
        <v>730</v>
      </c>
      <c r="Q1355" s="116">
        <v>3715.2</v>
      </c>
      <c r="R1355">
        <v>329272</v>
      </c>
    </row>
    <row r="1356" spans="1:18" x14ac:dyDescent="0.25">
      <c r="A1356" s="163">
        <v>44006</v>
      </c>
      <c r="B1356" s="116">
        <v>750.29</v>
      </c>
      <c r="C1356" s="116">
        <v>720.6</v>
      </c>
      <c r="D1356" s="116">
        <v>716.96</v>
      </c>
      <c r="E1356" s="116">
        <v>747.4</v>
      </c>
      <c r="F1356" s="116">
        <v>3603</v>
      </c>
      <c r="G1356">
        <v>14434</v>
      </c>
      <c r="H1356" s="116"/>
      <c r="I1356" s="116"/>
      <c r="L1356" s="163">
        <v>44006</v>
      </c>
      <c r="M1356" s="116">
        <v>720.27</v>
      </c>
      <c r="N1356" s="116">
        <v>751.43</v>
      </c>
      <c r="O1356" s="116">
        <v>716.41</v>
      </c>
      <c r="P1356" s="116">
        <v>747.6</v>
      </c>
      <c r="Q1356" s="116">
        <v>3601.35</v>
      </c>
      <c r="R1356">
        <v>351709</v>
      </c>
    </row>
    <row r="1357" spans="1:18" x14ac:dyDescent="0.25">
      <c r="A1357" s="163">
        <v>44007</v>
      </c>
      <c r="B1357" s="116">
        <v>728.63</v>
      </c>
      <c r="C1357" s="116">
        <v>722.95</v>
      </c>
      <c r="D1357" s="116">
        <v>711.87</v>
      </c>
      <c r="E1357" s="116">
        <v>719.6</v>
      </c>
      <c r="F1357" s="116">
        <v>3614.75</v>
      </c>
      <c r="G1357">
        <v>7451</v>
      </c>
      <c r="H1357" s="116"/>
      <c r="I1357" s="116"/>
      <c r="L1357" s="163">
        <v>44007</v>
      </c>
      <c r="M1357" s="116">
        <v>723.03</v>
      </c>
      <c r="N1357" s="116">
        <v>728.97</v>
      </c>
      <c r="O1357" s="116">
        <v>712.4</v>
      </c>
      <c r="P1357" s="116">
        <v>720.27</v>
      </c>
      <c r="Q1357" s="116">
        <v>3615.15</v>
      </c>
      <c r="R1357">
        <v>178996</v>
      </c>
    </row>
    <row r="1358" spans="1:18" x14ac:dyDescent="0.25">
      <c r="A1358" s="163">
        <v>44008</v>
      </c>
      <c r="B1358" s="116">
        <v>732.75</v>
      </c>
      <c r="C1358" s="116">
        <v>720.43</v>
      </c>
      <c r="D1358" s="116">
        <v>717.52</v>
      </c>
      <c r="E1358" s="116">
        <v>728.97</v>
      </c>
      <c r="F1358" s="116">
        <v>3602.15</v>
      </c>
      <c r="G1358">
        <v>6919</v>
      </c>
      <c r="H1358" s="116"/>
      <c r="I1358" s="116"/>
      <c r="L1358" s="163">
        <v>44008</v>
      </c>
      <c r="M1358" s="116">
        <v>720.4</v>
      </c>
      <c r="N1358" s="116">
        <v>732.99</v>
      </c>
      <c r="O1358" s="116">
        <v>717.31</v>
      </c>
      <c r="P1358" s="116">
        <v>728</v>
      </c>
      <c r="Q1358" s="116">
        <v>3602</v>
      </c>
      <c r="R1358">
        <v>175971</v>
      </c>
    </row>
    <row r="1359" spans="1:18" x14ac:dyDescent="0.25">
      <c r="A1359" s="163">
        <v>44011</v>
      </c>
      <c r="B1359" s="116">
        <v>728</v>
      </c>
      <c r="C1359" s="116">
        <v>720.71</v>
      </c>
      <c r="D1359" s="116">
        <v>717.14</v>
      </c>
      <c r="E1359" s="116">
        <v>718</v>
      </c>
      <c r="F1359" s="116">
        <v>3603.55</v>
      </c>
      <c r="G1359">
        <v>8263</v>
      </c>
      <c r="H1359" s="116"/>
      <c r="I1359" s="116"/>
      <c r="L1359" s="163">
        <v>44011</v>
      </c>
      <c r="M1359" s="116">
        <v>720.7</v>
      </c>
      <c r="N1359" s="116">
        <v>727.99</v>
      </c>
      <c r="O1359" s="116">
        <v>716.81</v>
      </c>
      <c r="P1359" s="116">
        <v>720</v>
      </c>
      <c r="Q1359" s="116">
        <v>3603.5</v>
      </c>
      <c r="R1359">
        <v>111410</v>
      </c>
    </row>
    <row r="1360" spans="1:18" x14ac:dyDescent="0.25">
      <c r="A1360" s="163">
        <v>44012</v>
      </c>
      <c r="B1360" s="116">
        <v>730</v>
      </c>
      <c r="C1360" s="116">
        <v>720.96</v>
      </c>
      <c r="D1360" s="116">
        <v>714.76</v>
      </c>
      <c r="E1360" s="116">
        <v>724.2</v>
      </c>
      <c r="F1360" s="116">
        <v>3604.8</v>
      </c>
      <c r="G1360">
        <v>4581</v>
      </c>
      <c r="H1360" s="116"/>
      <c r="I1360" s="116"/>
      <c r="L1360" s="163">
        <v>44012</v>
      </c>
      <c r="M1360" s="116">
        <v>721.14</v>
      </c>
      <c r="N1360" s="116">
        <v>730.4</v>
      </c>
      <c r="O1360" s="116">
        <v>715.02</v>
      </c>
      <c r="P1360" s="116">
        <v>722</v>
      </c>
      <c r="Q1360" s="116">
        <v>3605.7</v>
      </c>
      <c r="R1360">
        <v>87548</v>
      </c>
    </row>
    <row r="1361" spans="1:18" x14ac:dyDescent="0.25">
      <c r="A1361" s="163">
        <v>44013</v>
      </c>
      <c r="B1361" s="116">
        <v>725</v>
      </c>
      <c r="C1361" s="116">
        <v>719.4</v>
      </c>
      <c r="D1361" s="116">
        <v>717.2</v>
      </c>
      <c r="E1361" s="116">
        <v>724.58</v>
      </c>
      <c r="F1361" s="116">
        <v>3597</v>
      </c>
      <c r="G1361">
        <v>4469</v>
      </c>
      <c r="H1361" s="116"/>
      <c r="I1361" s="116"/>
      <c r="L1361" s="163">
        <v>44013</v>
      </c>
      <c r="M1361" s="116">
        <v>719.59</v>
      </c>
      <c r="N1361" s="116">
        <v>725.63</v>
      </c>
      <c r="O1361" s="116">
        <v>717</v>
      </c>
      <c r="P1361" s="116">
        <v>721.4</v>
      </c>
      <c r="Q1361" s="116">
        <v>3597.95</v>
      </c>
      <c r="R1361">
        <v>101975</v>
      </c>
    </row>
    <row r="1362" spans="1:18" x14ac:dyDescent="0.25">
      <c r="A1362" s="163">
        <v>44014</v>
      </c>
      <c r="B1362" s="116">
        <v>741.55</v>
      </c>
      <c r="C1362" s="116">
        <v>730.82</v>
      </c>
      <c r="D1362" s="116">
        <v>722.44</v>
      </c>
      <c r="E1362" s="116">
        <v>725.73</v>
      </c>
      <c r="F1362" s="116">
        <v>3654.1</v>
      </c>
      <c r="G1362">
        <v>16865</v>
      </c>
      <c r="H1362" s="116"/>
      <c r="I1362" s="116"/>
      <c r="L1362" s="163">
        <v>44014</v>
      </c>
      <c r="M1362" s="116">
        <v>730.84</v>
      </c>
      <c r="N1362" s="116">
        <v>742</v>
      </c>
      <c r="O1362" s="116">
        <v>721.8</v>
      </c>
      <c r="P1362" s="116">
        <v>721.9</v>
      </c>
      <c r="Q1362" s="116">
        <v>3654.2</v>
      </c>
      <c r="R1362">
        <v>352012</v>
      </c>
    </row>
    <row r="1363" spans="1:18" x14ac:dyDescent="0.25">
      <c r="A1363" s="163">
        <v>44015</v>
      </c>
      <c r="B1363" s="116">
        <v>736.73</v>
      </c>
      <c r="C1363" s="116">
        <v>728.78</v>
      </c>
      <c r="D1363" s="116">
        <v>726</v>
      </c>
      <c r="E1363" s="116">
        <v>733.74</v>
      </c>
      <c r="F1363" s="116">
        <v>3643.9</v>
      </c>
      <c r="G1363">
        <v>5932</v>
      </c>
      <c r="H1363" s="116"/>
      <c r="I1363" s="116"/>
      <c r="L1363" s="163">
        <v>44015</v>
      </c>
      <c r="M1363" s="116">
        <v>728.68</v>
      </c>
      <c r="N1363" s="116">
        <v>737.07</v>
      </c>
      <c r="O1363" s="116">
        <v>726</v>
      </c>
      <c r="P1363" s="116">
        <v>731.07</v>
      </c>
      <c r="Q1363" s="116">
        <v>3643.4</v>
      </c>
      <c r="R1363">
        <v>63209</v>
      </c>
    </row>
    <row r="1364" spans="1:18" x14ac:dyDescent="0.25">
      <c r="A1364" s="163">
        <v>44018</v>
      </c>
      <c r="B1364" s="116">
        <v>776.2</v>
      </c>
      <c r="C1364" s="116">
        <v>770.48</v>
      </c>
      <c r="D1364" s="116">
        <v>728</v>
      </c>
      <c r="E1364" s="116">
        <v>728</v>
      </c>
      <c r="F1364" s="116">
        <v>3852.4</v>
      </c>
      <c r="G1364">
        <v>45532</v>
      </c>
      <c r="H1364" s="116"/>
      <c r="I1364" s="116"/>
      <c r="L1364" s="163">
        <v>44018</v>
      </c>
      <c r="M1364" s="116">
        <v>770.06</v>
      </c>
      <c r="N1364" s="116">
        <v>775.98</v>
      </c>
      <c r="O1364" s="116">
        <v>731</v>
      </c>
      <c r="P1364" s="116">
        <v>731</v>
      </c>
      <c r="Q1364" s="116">
        <v>3850.3</v>
      </c>
      <c r="R1364">
        <v>872617</v>
      </c>
    </row>
    <row r="1365" spans="1:18" x14ac:dyDescent="0.25">
      <c r="A1365" s="163">
        <v>44019</v>
      </c>
      <c r="B1365" s="116">
        <v>784.15</v>
      </c>
      <c r="C1365" s="116">
        <v>766.48</v>
      </c>
      <c r="D1365" s="116">
        <v>762.21</v>
      </c>
      <c r="E1365" s="116">
        <v>770.4</v>
      </c>
      <c r="F1365" s="116">
        <v>3832.4</v>
      </c>
      <c r="G1365">
        <v>19703</v>
      </c>
      <c r="H1365" s="116"/>
      <c r="I1365" s="116"/>
      <c r="L1365" s="163">
        <v>44019</v>
      </c>
      <c r="M1365" s="116">
        <v>766.2</v>
      </c>
      <c r="N1365" s="116">
        <v>784.46</v>
      </c>
      <c r="O1365" s="116">
        <v>762.22</v>
      </c>
      <c r="P1365" s="116">
        <v>775</v>
      </c>
      <c r="Q1365" s="116">
        <v>3831</v>
      </c>
      <c r="R1365">
        <v>278262</v>
      </c>
    </row>
    <row r="1366" spans="1:18" x14ac:dyDescent="0.25">
      <c r="A1366" s="163">
        <v>44020</v>
      </c>
      <c r="B1366" s="116">
        <v>808.45</v>
      </c>
      <c r="C1366" s="116">
        <v>780.42</v>
      </c>
      <c r="D1366" s="116">
        <v>772.99</v>
      </c>
      <c r="E1366" s="116">
        <v>773</v>
      </c>
      <c r="F1366" s="116">
        <v>3902.1</v>
      </c>
      <c r="G1366">
        <v>48996</v>
      </c>
      <c r="H1366" s="116"/>
      <c r="I1366" s="116"/>
      <c r="L1366" s="163">
        <v>44020</v>
      </c>
      <c r="M1366" s="116">
        <v>780.12</v>
      </c>
      <c r="N1366" s="116">
        <v>808.71</v>
      </c>
      <c r="O1366" s="116">
        <v>772.02</v>
      </c>
      <c r="P1366" s="116">
        <v>774</v>
      </c>
      <c r="Q1366" s="116">
        <v>3900.6</v>
      </c>
      <c r="R1366">
        <v>921868</v>
      </c>
    </row>
    <row r="1367" spans="1:18" x14ac:dyDescent="0.25">
      <c r="A1367" s="163">
        <v>44021</v>
      </c>
      <c r="B1367" s="116">
        <v>791.34</v>
      </c>
      <c r="C1367" s="116">
        <v>778.43</v>
      </c>
      <c r="D1367" s="116">
        <v>767.97</v>
      </c>
      <c r="E1367" s="116">
        <v>774.02</v>
      </c>
      <c r="F1367" s="116">
        <v>3892.15</v>
      </c>
      <c r="G1367">
        <v>13349</v>
      </c>
      <c r="H1367" s="116"/>
      <c r="I1367" s="116"/>
      <c r="L1367" s="163">
        <v>44021</v>
      </c>
      <c r="M1367" s="116">
        <v>778.13</v>
      </c>
      <c r="N1367" s="116">
        <v>792</v>
      </c>
      <c r="O1367" s="116">
        <v>768</v>
      </c>
      <c r="P1367" s="116">
        <v>782</v>
      </c>
      <c r="Q1367" s="116">
        <v>3890.65</v>
      </c>
      <c r="R1367">
        <v>218709</v>
      </c>
    </row>
    <row r="1368" spans="1:18" x14ac:dyDescent="0.25">
      <c r="A1368" s="163">
        <v>44022</v>
      </c>
      <c r="B1368" s="116">
        <v>792.2</v>
      </c>
      <c r="C1368" s="116">
        <v>779.61</v>
      </c>
      <c r="D1368" s="116">
        <v>768</v>
      </c>
      <c r="E1368" s="116">
        <v>768</v>
      </c>
      <c r="F1368" s="116">
        <v>3898.05</v>
      </c>
      <c r="G1368">
        <v>13854</v>
      </c>
      <c r="H1368" s="116"/>
      <c r="I1368" s="116"/>
      <c r="L1368" s="163">
        <v>44022</v>
      </c>
      <c r="M1368" s="116">
        <v>778.93</v>
      </c>
      <c r="N1368" s="116">
        <v>792.4</v>
      </c>
      <c r="O1368" s="116">
        <v>768</v>
      </c>
      <c r="P1368" s="116">
        <v>768</v>
      </c>
      <c r="Q1368" s="116">
        <v>3894.65</v>
      </c>
      <c r="R1368">
        <v>200421</v>
      </c>
    </row>
    <row r="1369" spans="1:18" x14ac:dyDescent="0.25">
      <c r="A1369" s="163">
        <v>44025</v>
      </c>
      <c r="B1369" s="116">
        <v>788.37</v>
      </c>
      <c r="C1369" s="116">
        <v>767.72</v>
      </c>
      <c r="D1369" s="116">
        <v>763.6</v>
      </c>
      <c r="E1369" s="116">
        <v>778</v>
      </c>
      <c r="F1369" s="116">
        <v>3838.6</v>
      </c>
      <c r="G1369">
        <v>9061</v>
      </c>
      <c r="H1369" s="116"/>
      <c r="I1369" s="116"/>
      <c r="L1369" s="163">
        <v>44025</v>
      </c>
      <c r="M1369" s="116">
        <v>768.13</v>
      </c>
      <c r="N1369" s="116">
        <v>788.19</v>
      </c>
      <c r="O1369" s="116">
        <v>763.21</v>
      </c>
      <c r="P1369" s="116">
        <v>783.32</v>
      </c>
      <c r="Q1369" s="116">
        <v>3840.65</v>
      </c>
      <c r="R1369">
        <v>195859</v>
      </c>
    </row>
    <row r="1370" spans="1:18" x14ac:dyDescent="0.25">
      <c r="A1370" s="163">
        <v>44026</v>
      </c>
      <c r="B1370" s="116">
        <v>778.46</v>
      </c>
      <c r="C1370" s="116">
        <v>760.74</v>
      </c>
      <c r="D1370" s="116">
        <v>758.73</v>
      </c>
      <c r="E1370" s="116">
        <v>760</v>
      </c>
      <c r="F1370" s="116">
        <v>3803.7</v>
      </c>
      <c r="G1370">
        <v>10115</v>
      </c>
      <c r="H1370" s="116"/>
      <c r="I1370" s="116"/>
      <c r="L1370" s="163">
        <v>44026</v>
      </c>
      <c r="M1370" s="116">
        <v>760.81</v>
      </c>
      <c r="N1370" s="116">
        <v>778.79</v>
      </c>
      <c r="O1370" s="116">
        <v>758</v>
      </c>
      <c r="P1370" s="116">
        <v>759.12</v>
      </c>
      <c r="Q1370" s="116">
        <v>3804.05</v>
      </c>
      <c r="R1370">
        <v>208161</v>
      </c>
    </row>
    <row r="1371" spans="1:18" x14ac:dyDescent="0.25">
      <c r="A1371" s="163">
        <v>44027</v>
      </c>
      <c r="B1371" s="116">
        <v>771.07</v>
      </c>
      <c r="C1371" s="116">
        <v>757.6</v>
      </c>
      <c r="D1371" s="116">
        <v>752.49</v>
      </c>
      <c r="E1371" s="116">
        <v>768</v>
      </c>
      <c r="F1371" s="116">
        <v>3788</v>
      </c>
      <c r="G1371">
        <v>13405</v>
      </c>
      <c r="H1371" s="116"/>
      <c r="I1371" s="116"/>
      <c r="L1371" s="163">
        <v>44027</v>
      </c>
      <c r="M1371" s="116">
        <v>758.68</v>
      </c>
      <c r="N1371" s="116">
        <v>771.59</v>
      </c>
      <c r="O1371" s="116">
        <v>752.4</v>
      </c>
      <c r="P1371" s="116">
        <v>766</v>
      </c>
      <c r="Q1371" s="116">
        <v>3793.4</v>
      </c>
      <c r="R1371">
        <v>147082</v>
      </c>
    </row>
    <row r="1372" spans="1:18" x14ac:dyDescent="0.25">
      <c r="A1372" s="163">
        <v>44028</v>
      </c>
      <c r="B1372" s="116">
        <v>766.43</v>
      </c>
      <c r="C1372" s="116">
        <v>762.94</v>
      </c>
      <c r="D1372" s="116">
        <v>752.02</v>
      </c>
      <c r="E1372" s="116">
        <v>758.24</v>
      </c>
      <c r="F1372" s="116">
        <v>3814.7</v>
      </c>
      <c r="G1372">
        <v>7786</v>
      </c>
      <c r="H1372" s="116"/>
      <c r="I1372" s="116"/>
      <c r="L1372" s="163">
        <v>44028</v>
      </c>
      <c r="M1372" s="116">
        <v>762.89</v>
      </c>
      <c r="N1372" s="116">
        <v>767.02</v>
      </c>
      <c r="O1372" s="116">
        <v>752.31</v>
      </c>
      <c r="P1372" s="116">
        <v>760</v>
      </c>
      <c r="Q1372" s="116">
        <v>3814.45</v>
      </c>
      <c r="R1372">
        <v>120625</v>
      </c>
    </row>
    <row r="1373" spans="1:18" x14ac:dyDescent="0.25">
      <c r="A1373" s="163">
        <v>44029</v>
      </c>
      <c r="B1373" s="116">
        <v>774.74</v>
      </c>
      <c r="C1373" s="116">
        <v>762.43</v>
      </c>
      <c r="D1373" s="116">
        <v>759.02</v>
      </c>
      <c r="E1373" s="116">
        <v>766.33</v>
      </c>
      <c r="F1373" s="116">
        <v>3812.15</v>
      </c>
      <c r="G1373">
        <v>6939</v>
      </c>
      <c r="H1373" s="116"/>
      <c r="I1373" s="116"/>
      <c r="L1373" s="163">
        <v>44029</v>
      </c>
      <c r="M1373" s="116">
        <v>762.66</v>
      </c>
      <c r="N1373" s="116">
        <v>774.5</v>
      </c>
      <c r="O1373" s="116">
        <v>758.81</v>
      </c>
      <c r="P1373" s="116">
        <v>764</v>
      </c>
      <c r="Q1373" s="116">
        <v>3813.3</v>
      </c>
      <c r="R1373">
        <v>143497</v>
      </c>
    </row>
    <row r="1374" spans="1:18" x14ac:dyDescent="0.25">
      <c r="A1374" s="163">
        <v>44032</v>
      </c>
      <c r="B1374" s="116">
        <v>782.71</v>
      </c>
      <c r="C1374" s="116">
        <v>769.81</v>
      </c>
      <c r="D1374" s="116">
        <v>763.53</v>
      </c>
      <c r="E1374" s="116">
        <v>768.65</v>
      </c>
      <c r="F1374" s="116">
        <v>3849.05</v>
      </c>
      <c r="G1374">
        <v>10914</v>
      </c>
      <c r="H1374" s="116"/>
      <c r="I1374" s="116"/>
      <c r="L1374" s="163">
        <v>44032</v>
      </c>
      <c r="M1374" s="116">
        <v>769.86</v>
      </c>
      <c r="N1374" s="116">
        <v>782.83</v>
      </c>
      <c r="O1374" s="116">
        <v>763.43</v>
      </c>
      <c r="P1374" s="116">
        <v>767.8</v>
      </c>
      <c r="Q1374" s="116">
        <v>3849.3</v>
      </c>
      <c r="R1374">
        <v>199323</v>
      </c>
    </row>
    <row r="1375" spans="1:18" x14ac:dyDescent="0.25">
      <c r="A1375" s="163">
        <v>44033</v>
      </c>
      <c r="B1375" s="116">
        <v>778.88</v>
      </c>
      <c r="C1375" s="116">
        <v>761.2</v>
      </c>
      <c r="D1375" s="116">
        <v>755</v>
      </c>
      <c r="E1375" s="116">
        <v>776.26</v>
      </c>
      <c r="F1375" s="116">
        <v>3806</v>
      </c>
      <c r="G1375">
        <v>5921</v>
      </c>
      <c r="H1375" s="116"/>
      <c r="I1375" s="116"/>
      <c r="L1375" s="163">
        <v>44033</v>
      </c>
      <c r="M1375" s="116">
        <v>761.23</v>
      </c>
      <c r="N1375" s="116">
        <v>779.25</v>
      </c>
      <c r="O1375" s="116">
        <v>754.4</v>
      </c>
      <c r="P1375" s="116">
        <v>775</v>
      </c>
      <c r="Q1375" s="116">
        <v>3806.15</v>
      </c>
      <c r="R1375">
        <v>121214</v>
      </c>
    </row>
    <row r="1376" spans="1:18" x14ac:dyDescent="0.25">
      <c r="A1376" s="163">
        <v>44034</v>
      </c>
      <c r="B1376" s="116">
        <v>773.66</v>
      </c>
      <c r="C1376" s="116">
        <v>762.4</v>
      </c>
      <c r="D1376" s="116">
        <v>754.32</v>
      </c>
      <c r="E1376" s="116">
        <v>768.8</v>
      </c>
      <c r="F1376" s="116">
        <v>3812</v>
      </c>
      <c r="G1376">
        <v>7837</v>
      </c>
      <c r="H1376" s="116"/>
      <c r="I1376" s="116"/>
      <c r="L1376" s="163">
        <v>44034</v>
      </c>
      <c r="M1376" s="116">
        <v>762.58</v>
      </c>
      <c r="N1376" s="116">
        <v>774</v>
      </c>
      <c r="O1376" s="116">
        <v>754</v>
      </c>
      <c r="P1376" s="116">
        <v>766.78</v>
      </c>
      <c r="Q1376" s="116">
        <v>3812.9</v>
      </c>
      <c r="R1376">
        <v>171782</v>
      </c>
    </row>
    <row r="1377" spans="1:18" x14ac:dyDescent="0.25">
      <c r="A1377" s="163">
        <v>44035</v>
      </c>
      <c r="B1377" s="116">
        <v>776.2</v>
      </c>
      <c r="C1377" s="116">
        <v>768.82</v>
      </c>
      <c r="D1377" s="116">
        <v>760.52</v>
      </c>
      <c r="E1377" s="116">
        <v>762.5</v>
      </c>
      <c r="F1377" s="116">
        <v>3844.1</v>
      </c>
      <c r="G1377">
        <v>11103</v>
      </c>
      <c r="H1377" s="116"/>
      <c r="I1377" s="116"/>
      <c r="L1377" s="163">
        <v>44035</v>
      </c>
      <c r="M1377" s="116">
        <v>768.26</v>
      </c>
      <c r="N1377" s="116">
        <v>776.79</v>
      </c>
      <c r="O1377" s="116">
        <v>760.08</v>
      </c>
      <c r="P1377" s="116">
        <v>764.4</v>
      </c>
      <c r="Q1377" s="116">
        <v>3841.3</v>
      </c>
      <c r="R1377">
        <v>202667</v>
      </c>
    </row>
    <row r="1378" spans="1:18" x14ac:dyDescent="0.25">
      <c r="A1378" s="163">
        <v>44036</v>
      </c>
      <c r="B1378" s="116">
        <v>775.2</v>
      </c>
      <c r="C1378" s="116">
        <v>758.21</v>
      </c>
      <c r="D1378" s="116">
        <v>755</v>
      </c>
      <c r="E1378" s="116">
        <v>758.01</v>
      </c>
      <c r="F1378" s="116">
        <v>3791.05</v>
      </c>
      <c r="G1378">
        <v>7350</v>
      </c>
      <c r="H1378" s="116"/>
      <c r="I1378" s="116"/>
      <c r="L1378" s="163">
        <v>44036</v>
      </c>
      <c r="M1378" s="116">
        <v>758</v>
      </c>
      <c r="N1378" s="116">
        <v>775.6</v>
      </c>
      <c r="O1378" s="116">
        <v>754.45</v>
      </c>
      <c r="P1378" s="116">
        <v>766</v>
      </c>
      <c r="Q1378" s="116">
        <v>3790</v>
      </c>
      <c r="R1378">
        <v>155507</v>
      </c>
    </row>
    <row r="1379" spans="1:18" x14ac:dyDescent="0.25">
      <c r="A1379" s="163">
        <v>44039</v>
      </c>
      <c r="B1379" s="116">
        <v>765.61</v>
      </c>
      <c r="C1379" s="116">
        <v>753.2</v>
      </c>
      <c r="D1379" s="116">
        <v>744.78</v>
      </c>
      <c r="E1379" s="116">
        <v>758.4</v>
      </c>
      <c r="F1379" s="116">
        <v>3766</v>
      </c>
      <c r="G1379">
        <v>7575</v>
      </c>
      <c r="H1379" s="116"/>
      <c r="I1379" s="116"/>
      <c r="L1379" s="163">
        <v>44039</v>
      </c>
      <c r="M1379" s="116">
        <v>753.14</v>
      </c>
      <c r="N1379" s="116">
        <v>766.12</v>
      </c>
      <c r="O1379" s="116">
        <v>744.42</v>
      </c>
      <c r="P1379" s="116">
        <v>761.8</v>
      </c>
      <c r="Q1379" s="116">
        <v>3765.7</v>
      </c>
      <c r="R1379">
        <v>148454</v>
      </c>
    </row>
    <row r="1380" spans="1:18" x14ac:dyDescent="0.25">
      <c r="A1380" s="163">
        <v>44040</v>
      </c>
      <c r="B1380" s="116">
        <v>761.6</v>
      </c>
      <c r="C1380" s="116">
        <v>754.08</v>
      </c>
      <c r="D1380" s="116">
        <v>752.01</v>
      </c>
      <c r="E1380" s="116">
        <v>759.8</v>
      </c>
      <c r="F1380" s="116">
        <v>3770.4</v>
      </c>
      <c r="G1380">
        <v>4734</v>
      </c>
      <c r="H1380" s="116"/>
      <c r="I1380" s="116"/>
      <c r="L1380" s="163">
        <v>44040</v>
      </c>
      <c r="M1380" s="116">
        <v>754.18</v>
      </c>
      <c r="N1380" s="116">
        <v>762</v>
      </c>
      <c r="O1380" s="116">
        <v>752.03</v>
      </c>
      <c r="P1380" s="116">
        <v>755.57</v>
      </c>
      <c r="Q1380" s="116">
        <v>3770.9</v>
      </c>
      <c r="R1380">
        <v>83783</v>
      </c>
    </row>
    <row r="1381" spans="1:18" x14ac:dyDescent="0.25">
      <c r="A1381" s="163">
        <v>44041</v>
      </c>
      <c r="B1381" s="116">
        <v>789.61</v>
      </c>
      <c r="C1381" s="116">
        <v>786.69</v>
      </c>
      <c r="D1381" s="116">
        <v>755.51</v>
      </c>
      <c r="E1381" s="116">
        <v>761.6</v>
      </c>
      <c r="F1381" s="116">
        <v>3933.45</v>
      </c>
      <c r="G1381">
        <v>15694</v>
      </c>
      <c r="H1381" s="116"/>
      <c r="I1381" s="116"/>
      <c r="L1381" s="163">
        <v>44041</v>
      </c>
      <c r="M1381" s="116">
        <v>786.97</v>
      </c>
      <c r="N1381" s="116">
        <v>789.69</v>
      </c>
      <c r="O1381" s="116">
        <v>754.4</v>
      </c>
      <c r="P1381" s="116">
        <v>759</v>
      </c>
      <c r="Q1381" s="116">
        <v>3934.85</v>
      </c>
      <c r="R1381">
        <v>411919</v>
      </c>
    </row>
    <row r="1382" spans="1:18" x14ac:dyDescent="0.25">
      <c r="A1382" s="163">
        <v>44042</v>
      </c>
      <c r="B1382" s="116">
        <v>805.79</v>
      </c>
      <c r="C1382" s="116">
        <v>751.73</v>
      </c>
      <c r="D1382" s="116">
        <v>746</v>
      </c>
      <c r="E1382" s="116">
        <v>791.8</v>
      </c>
      <c r="F1382" s="116">
        <v>3758.65</v>
      </c>
      <c r="G1382">
        <v>45198</v>
      </c>
      <c r="H1382" s="116"/>
      <c r="I1382" s="116"/>
      <c r="L1382" s="163">
        <v>44042</v>
      </c>
      <c r="M1382" s="116">
        <v>752.04</v>
      </c>
      <c r="N1382" s="116">
        <v>806</v>
      </c>
      <c r="O1382" s="116">
        <v>745.38</v>
      </c>
      <c r="P1382" s="116">
        <v>794.8</v>
      </c>
      <c r="Q1382" s="116">
        <v>3760.2</v>
      </c>
      <c r="R1382">
        <v>937199</v>
      </c>
    </row>
    <row r="1383" spans="1:18" x14ac:dyDescent="0.25">
      <c r="A1383" s="163">
        <v>44043</v>
      </c>
      <c r="B1383" s="116">
        <v>777</v>
      </c>
      <c r="C1383" s="116">
        <v>758.33</v>
      </c>
      <c r="D1383" s="116">
        <v>752.45</v>
      </c>
      <c r="E1383" s="116">
        <v>759.97</v>
      </c>
      <c r="F1383" s="116">
        <v>3791.65</v>
      </c>
      <c r="G1383">
        <v>15960</v>
      </c>
      <c r="H1383" s="116"/>
      <c r="I1383" s="116"/>
      <c r="L1383" s="163">
        <v>44043</v>
      </c>
      <c r="M1383" s="116">
        <v>758.63</v>
      </c>
      <c r="N1383" s="116">
        <v>777.25</v>
      </c>
      <c r="O1383" s="116">
        <v>751.2</v>
      </c>
      <c r="P1383" s="116">
        <v>757.6</v>
      </c>
      <c r="Q1383" s="116">
        <v>3793.15</v>
      </c>
      <c r="R1383">
        <v>333517</v>
      </c>
    </row>
    <row r="1384" spans="1:18" x14ac:dyDescent="0.25">
      <c r="A1384" s="163">
        <v>44046</v>
      </c>
      <c r="B1384" s="116">
        <v>775.5</v>
      </c>
      <c r="C1384" s="116">
        <v>765.98</v>
      </c>
      <c r="D1384" s="116">
        <v>755</v>
      </c>
      <c r="E1384" s="116">
        <v>755</v>
      </c>
      <c r="F1384" s="116">
        <v>3829.9</v>
      </c>
      <c r="G1384">
        <v>10341</v>
      </c>
      <c r="H1384" s="116"/>
      <c r="I1384" s="116"/>
      <c r="L1384" s="163">
        <v>44046</v>
      </c>
      <c r="M1384" s="116">
        <v>766.68</v>
      </c>
      <c r="N1384" s="116">
        <v>775.76</v>
      </c>
      <c r="O1384" s="116">
        <v>757</v>
      </c>
      <c r="P1384" s="116">
        <v>757</v>
      </c>
      <c r="Q1384" s="116">
        <v>3833.4</v>
      </c>
      <c r="R1384">
        <v>228660</v>
      </c>
    </row>
    <row r="1385" spans="1:18" x14ac:dyDescent="0.25">
      <c r="A1385" s="163">
        <v>44047</v>
      </c>
      <c r="B1385" s="116">
        <v>777</v>
      </c>
      <c r="C1385" s="116">
        <v>762.54</v>
      </c>
      <c r="D1385" s="116">
        <v>759.08</v>
      </c>
      <c r="E1385" s="116">
        <v>777</v>
      </c>
      <c r="F1385" s="116">
        <v>3812.7</v>
      </c>
      <c r="G1385">
        <v>11520</v>
      </c>
      <c r="H1385" s="116"/>
      <c r="I1385" s="116"/>
      <c r="L1385" s="163">
        <v>44047</v>
      </c>
      <c r="M1385" s="116">
        <v>762.28</v>
      </c>
      <c r="N1385" s="116">
        <v>778</v>
      </c>
      <c r="O1385" s="116">
        <v>759.34</v>
      </c>
      <c r="P1385" s="116">
        <v>770</v>
      </c>
      <c r="Q1385" s="116">
        <v>3811.4</v>
      </c>
      <c r="R1385">
        <v>137037</v>
      </c>
    </row>
    <row r="1386" spans="1:18" x14ac:dyDescent="0.25">
      <c r="A1386" s="163">
        <v>44048</v>
      </c>
      <c r="B1386" s="116">
        <v>780.2</v>
      </c>
      <c r="C1386" s="116">
        <v>763.14</v>
      </c>
      <c r="D1386" s="116">
        <v>760</v>
      </c>
      <c r="E1386" s="116">
        <v>767.6</v>
      </c>
      <c r="F1386" s="116">
        <v>3815.7</v>
      </c>
      <c r="G1386">
        <v>15696</v>
      </c>
      <c r="H1386" s="116"/>
      <c r="I1386" s="116"/>
      <c r="L1386" s="163">
        <v>44048</v>
      </c>
      <c r="M1386" s="116">
        <v>763.84</v>
      </c>
      <c r="N1386" s="116">
        <v>780.34</v>
      </c>
      <c r="O1386" s="116">
        <v>763</v>
      </c>
      <c r="P1386" s="116">
        <v>763.8</v>
      </c>
      <c r="Q1386" s="116">
        <v>3819.2</v>
      </c>
      <c r="R1386">
        <v>263517</v>
      </c>
    </row>
    <row r="1387" spans="1:18" x14ac:dyDescent="0.25">
      <c r="A1387" s="163">
        <v>44049</v>
      </c>
      <c r="B1387" s="116">
        <v>772.06</v>
      </c>
      <c r="C1387" s="116">
        <v>765.87</v>
      </c>
      <c r="D1387" s="116">
        <v>758.79</v>
      </c>
      <c r="E1387" s="116">
        <v>764</v>
      </c>
      <c r="F1387" s="116">
        <v>3829.35</v>
      </c>
      <c r="G1387">
        <v>6894</v>
      </c>
      <c r="H1387" s="116"/>
      <c r="I1387" s="116"/>
      <c r="L1387" s="163">
        <v>44049</v>
      </c>
      <c r="M1387" s="116">
        <v>766.21</v>
      </c>
      <c r="N1387" s="116">
        <v>772</v>
      </c>
      <c r="O1387" s="116">
        <v>758.17</v>
      </c>
      <c r="P1387" s="116">
        <v>769.9</v>
      </c>
      <c r="Q1387" s="116">
        <v>3831.05</v>
      </c>
      <c r="R1387">
        <v>203169</v>
      </c>
    </row>
    <row r="1388" spans="1:18" x14ac:dyDescent="0.25">
      <c r="A1388" s="163">
        <v>44050</v>
      </c>
      <c r="B1388" s="116">
        <v>824.51</v>
      </c>
      <c r="C1388" s="116">
        <v>816.1</v>
      </c>
      <c r="D1388" s="116">
        <v>768.32</v>
      </c>
      <c r="E1388" s="116">
        <v>768.8</v>
      </c>
      <c r="F1388" s="116">
        <v>4080.5</v>
      </c>
      <c r="G1388">
        <v>37137</v>
      </c>
      <c r="H1388" s="116"/>
      <c r="I1388" s="116"/>
      <c r="L1388" s="163">
        <v>44050</v>
      </c>
      <c r="M1388" s="116">
        <v>816.27</v>
      </c>
      <c r="N1388" s="116">
        <v>824.59</v>
      </c>
      <c r="O1388" s="116">
        <v>766.11</v>
      </c>
      <c r="P1388" s="116">
        <v>768</v>
      </c>
      <c r="Q1388" s="116">
        <v>4081.35</v>
      </c>
      <c r="R1388">
        <v>1011129</v>
      </c>
    </row>
    <row r="1389" spans="1:18" x14ac:dyDescent="0.25">
      <c r="A1389" s="163">
        <v>44053</v>
      </c>
      <c r="B1389" s="116">
        <v>855</v>
      </c>
      <c r="C1389" s="116">
        <v>844.95</v>
      </c>
      <c r="D1389" s="116">
        <v>813.12</v>
      </c>
      <c r="E1389" s="116">
        <v>821.8</v>
      </c>
      <c r="F1389" s="116">
        <v>4224.75</v>
      </c>
      <c r="G1389">
        <v>35816</v>
      </c>
      <c r="H1389" s="116"/>
      <c r="I1389" s="116"/>
      <c r="L1389" s="163">
        <v>44053</v>
      </c>
      <c r="M1389" s="116">
        <v>844.31</v>
      </c>
      <c r="N1389" s="116">
        <v>855.33</v>
      </c>
      <c r="O1389" s="116">
        <v>812.72</v>
      </c>
      <c r="P1389" s="116">
        <v>824</v>
      </c>
      <c r="Q1389" s="116">
        <v>4221.55</v>
      </c>
      <c r="R1389">
        <v>834885</v>
      </c>
    </row>
    <row r="1390" spans="1:18" x14ac:dyDescent="0.25">
      <c r="A1390" s="163">
        <v>44054</v>
      </c>
      <c r="B1390" s="116">
        <v>860.76</v>
      </c>
      <c r="C1390" s="116">
        <v>831.19</v>
      </c>
      <c r="D1390" s="116">
        <v>830</v>
      </c>
      <c r="E1390" s="116">
        <v>845</v>
      </c>
      <c r="F1390" s="116">
        <v>4155.95</v>
      </c>
      <c r="G1390">
        <v>22389</v>
      </c>
      <c r="H1390" s="116"/>
      <c r="I1390" s="116"/>
      <c r="L1390" s="163">
        <v>44054</v>
      </c>
      <c r="M1390" s="116">
        <v>831.88</v>
      </c>
      <c r="N1390" s="116">
        <v>861.59</v>
      </c>
      <c r="O1390" s="116">
        <v>830</v>
      </c>
      <c r="P1390" s="116">
        <v>844.8</v>
      </c>
      <c r="Q1390" s="116">
        <v>4159.3999999999996</v>
      </c>
      <c r="R1390">
        <v>546339</v>
      </c>
    </row>
    <row r="1391" spans="1:18" x14ac:dyDescent="0.25">
      <c r="A1391" s="163">
        <v>44055</v>
      </c>
      <c r="B1391" s="116">
        <v>847.17</v>
      </c>
      <c r="C1391" s="116">
        <v>829.61</v>
      </c>
      <c r="D1391" s="116">
        <v>821</v>
      </c>
      <c r="E1391" s="116">
        <v>831.19</v>
      </c>
      <c r="F1391" s="116">
        <v>4148.05</v>
      </c>
      <c r="G1391">
        <v>12446</v>
      </c>
      <c r="H1391" s="116"/>
      <c r="I1391" s="116"/>
      <c r="L1391" s="163">
        <v>44055</v>
      </c>
      <c r="M1391" s="116">
        <v>829.7</v>
      </c>
      <c r="N1391" s="116">
        <v>847.6</v>
      </c>
      <c r="O1391" s="116">
        <v>819.07</v>
      </c>
      <c r="P1391" s="116">
        <v>828</v>
      </c>
      <c r="Q1391" s="116">
        <v>4148.5</v>
      </c>
      <c r="R1391">
        <v>302073</v>
      </c>
    </row>
    <row r="1392" spans="1:18" x14ac:dyDescent="0.25">
      <c r="A1392" s="163">
        <v>44056</v>
      </c>
      <c r="B1392" s="116">
        <v>847.08</v>
      </c>
      <c r="C1392" s="116">
        <v>841.42</v>
      </c>
      <c r="D1392" s="116">
        <v>829.23</v>
      </c>
      <c r="E1392" s="116">
        <v>839.79</v>
      </c>
      <c r="F1392" s="116">
        <v>4207.1000000000004</v>
      </c>
      <c r="G1392">
        <v>13383</v>
      </c>
      <c r="H1392" s="116"/>
      <c r="I1392" s="116"/>
      <c r="L1392" s="163">
        <v>44056</v>
      </c>
      <c r="M1392" s="116">
        <v>841.21</v>
      </c>
      <c r="N1392" s="116">
        <v>847</v>
      </c>
      <c r="O1392" s="116">
        <v>829</v>
      </c>
      <c r="P1392" s="116">
        <v>834.22</v>
      </c>
      <c r="Q1392" s="116">
        <v>4206.05</v>
      </c>
      <c r="R1392">
        <v>328144</v>
      </c>
    </row>
    <row r="1393" spans="1:18" x14ac:dyDescent="0.25">
      <c r="A1393" s="163">
        <v>44057</v>
      </c>
      <c r="B1393" s="116">
        <v>854.04</v>
      </c>
      <c r="C1393" s="116">
        <v>834.7</v>
      </c>
      <c r="D1393" s="116">
        <v>826.89</v>
      </c>
      <c r="E1393" s="116">
        <v>842</v>
      </c>
      <c r="F1393" s="116">
        <v>4173.5</v>
      </c>
      <c r="G1393">
        <v>17947</v>
      </c>
      <c r="H1393" s="116"/>
      <c r="I1393" s="116"/>
      <c r="L1393" s="163">
        <v>44057</v>
      </c>
      <c r="M1393" s="116">
        <v>834.92</v>
      </c>
      <c r="N1393" s="116">
        <v>854.62</v>
      </c>
      <c r="O1393" s="116">
        <v>827</v>
      </c>
      <c r="P1393" s="116">
        <v>845</v>
      </c>
      <c r="Q1393" s="116">
        <v>4174.6000000000004</v>
      </c>
      <c r="R1393">
        <v>322353</v>
      </c>
    </row>
    <row r="1394" spans="1:18" x14ac:dyDescent="0.25">
      <c r="A1394" s="163">
        <v>44060</v>
      </c>
      <c r="B1394" s="116">
        <v>842.53</v>
      </c>
      <c r="C1394" s="116">
        <v>828.48</v>
      </c>
      <c r="D1394" s="116">
        <v>824.48</v>
      </c>
      <c r="E1394" s="116">
        <v>835.05</v>
      </c>
      <c r="F1394" s="116">
        <v>4142.3999999999996</v>
      </c>
      <c r="G1394">
        <v>4527</v>
      </c>
      <c r="H1394" s="116"/>
      <c r="I1394" s="116"/>
      <c r="L1394" s="163">
        <v>44060</v>
      </c>
      <c r="M1394" s="116">
        <v>828.46</v>
      </c>
      <c r="N1394" s="116">
        <v>843</v>
      </c>
      <c r="O1394" s="116">
        <v>824.42</v>
      </c>
      <c r="P1394" s="116">
        <v>837.8</v>
      </c>
      <c r="Q1394" s="116">
        <v>4142.3</v>
      </c>
      <c r="R1394">
        <v>171876</v>
      </c>
    </row>
    <row r="1395" spans="1:18" x14ac:dyDescent="0.25">
      <c r="A1395" s="163">
        <v>44061</v>
      </c>
      <c r="B1395" s="116">
        <v>866.35</v>
      </c>
      <c r="C1395" s="116">
        <v>857.1</v>
      </c>
      <c r="D1395" s="116">
        <v>825.72</v>
      </c>
      <c r="E1395" s="116">
        <v>826.01</v>
      </c>
      <c r="F1395" s="116">
        <v>4285.5</v>
      </c>
      <c r="G1395">
        <v>21872</v>
      </c>
      <c r="H1395" s="116"/>
      <c r="I1395" s="116"/>
      <c r="L1395" s="163">
        <v>44061</v>
      </c>
      <c r="M1395" s="116">
        <v>856.47</v>
      </c>
      <c r="N1395" s="116">
        <v>866.25</v>
      </c>
      <c r="O1395" s="116">
        <v>824</v>
      </c>
      <c r="P1395" s="116">
        <v>828.2</v>
      </c>
      <c r="Q1395" s="116">
        <v>4282.3500000000004</v>
      </c>
      <c r="R1395">
        <v>485139</v>
      </c>
    </row>
    <row r="1396" spans="1:18" x14ac:dyDescent="0.25">
      <c r="A1396" s="163">
        <v>44062</v>
      </c>
      <c r="B1396" s="116">
        <v>871.6</v>
      </c>
      <c r="C1396" s="116">
        <v>858.48</v>
      </c>
      <c r="D1396" s="116">
        <v>854.6</v>
      </c>
      <c r="E1396" s="116">
        <v>857.17</v>
      </c>
      <c r="F1396" s="116">
        <v>4292.3999999999996</v>
      </c>
      <c r="G1396">
        <v>11952</v>
      </c>
      <c r="H1396" s="116"/>
      <c r="I1396" s="116"/>
      <c r="L1396" s="163">
        <v>44062</v>
      </c>
      <c r="M1396" s="116">
        <v>859.01</v>
      </c>
      <c r="N1396" s="116">
        <v>871.8</v>
      </c>
      <c r="O1396" s="116">
        <v>854.48</v>
      </c>
      <c r="P1396" s="116">
        <v>859</v>
      </c>
      <c r="Q1396" s="116">
        <v>4295.05</v>
      </c>
      <c r="R1396">
        <v>351148</v>
      </c>
    </row>
    <row r="1397" spans="1:18" x14ac:dyDescent="0.25">
      <c r="A1397" s="163">
        <v>44063</v>
      </c>
      <c r="B1397" s="116">
        <v>869.8</v>
      </c>
      <c r="C1397" s="116">
        <v>850.69</v>
      </c>
      <c r="D1397" s="116">
        <v>845.1</v>
      </c>
      <c r="E1397" s="116">
        <v>855</v>
      </c>
      <c r="F1397" s="116">
        <v>4253.45</v>
      </c>
      <c r="G1397">
        <v>10754</v>
      </c>
      <c r="H1397" s="116"/>
      <c r="I1397" s="116"/>
      <c r="L1397" s="163">
        <v>44063</v>
      </c>
      <c r="M1397" s="116">
        <v>850.47</v>
      </c>
      <c r="N1397" s="116">
        <v>870</v>
      </c>
      <c r="O1397" s="116">
        <v>845.15</v>
      </c>
      <c r="P1397" s="116">
        <v>855</v>
      </c>
      <c r="Q1397" s="116">
        <v>4252.3500000000004</v>
      </c>
      <c r="R1397">
        <v>282558</v>
      </c>
    </row>
    <row r="1398" spans="1:18" x14ac:dyDescent="0.25">
      <c r="A1398" s="163">
        <v>44064</v>
      </c>
      <c r="B1398" s="116">
        <v>877.26</v>
      </c>
      <c r="C1398" s="116">
        <v>857.51</v>
      </c>
      <c r="D1398" s="116">
        <v>853.85</v>
      </c>
      <c r="E1398" s="116">
        <v>854.56</v>
      </c>
      <c r="F1398" s="116">
        <v>4287.55</v>
      </c>
      <c r="G1398">
        <v>15096</v>
      </c>
      <c r="H1398" s="116"/>
      <c r="I1398" s="116"/>
      <c r="L1398" s="163">
        <v>44064</v>
      </c>
      <c r="M1398" s="116">
        <v>857.29</v>
      </c>
      <c r="N1398" s="116">
        <v>877.79</v>
      </c>
      <c r="O1398" s="116">
        <v>853.46</v>
      </c>
      <c r="P1398" s="116">
        <v>855</v>
      </c>
      <c r="Q1398" s="116">
        <v>4286.45</v>
      </c>
      <c r="R1398">
        <v>391120</v>
      </c>
    </row>
    <row r="1399" spans="1:18" x14ac:dyDescent="0.25">
      <c r="A1399" s="163">
        <v>44067</v>
      </c>
      <c r="B1399" s="116">
        <v>887.4</v>
      </c>
      <c r="C1399" s="116">
        <v>867.2</v>
      </c>
      <c r="D1399" s="116">
        <v>857.6</v>
      </c>
      <c r="E1399" s="116">
        <v>857.6</v>
      </c>
      <c r="F1399" s="116">
        <v>4336</v>
      </c>
      <c r="G1399">
        <v>24496</v>
      </c>
      <c r="H1399" s="116"/>
      <c r="I1399" s="116"/>
      <c r="L1399" s="163">
        <v>44067</v>
      </c>
      <c r="M1399" s="116">
        <v>866.64</v>
      </c>
      <c r="N1399" s="116">
        <v>887.83</v>
      </c>
      <c r="O1399" s="116">
        <v>860.1</v>
      </c>
      <c r="P1399" s="116">
        <v>860.1</v>
      </c>
      <c r="Q1399" s="116">
        <v>4333.2</v>
      </c>
      <c r="R1399">
        <v>495774</v>
      </c>
    </row>
    <row r="1400" spans="1:18" x14ac:dyDescent="0.25">
      <c r="A1400" s="163">
        <v>44068</v>
      </c>
      <c r="B1400" s="116">
        <v>880.87</v>
      </c>
      <c r="C1400" s="116">
        <v>856.62</v>
      </c>
      <c r="D1400" s="116">
        <v>852.37</v>
      </c>
      <c r="E1400" s="116">
        <v>870.19</v>
      </c>
      <c r="F1400" s="116">
        <v>4283.1000000000004</v>
      </c>
      <c r="G1400">
        <v>13072</v>
      </c>
      <c r="H1400" s="116"/>
      <c r="I1400" s="116"/>
      <c r="L1400" s="163">
        <v>44068</v>
      </c>
      <c r="M1400" s="116">
        <v>855.25</v>
      </c>
      <c r="N1400" s="116">
        <v>882</v>
      </c>
      <c r="O1400" s="116">
        <v>852.42</v>
      </c>
      <c r="P1400" s="116">
        <v>871.6</v>
      </c>
      <c r="Q1400" s="116">
        <v>4276.25</v>
      </c>
      <c r="R1400">
        <v>303304</v>
      </c>
    </row>
    <row r="1401" spans="1:18" x14ac:dyDescent="0.25">
      <c r="A1401" s="163">
        <v>44069</v>
      </c>
      <c r="B1401" s="116">
        <v>865.77</v>
      </c>
      <c r="C1401" s="116">
        <v>851.5</v>
      </c>
      <c r="D1401" s="116">
        <v>842.21</v>
      </c>
      <c r="E1401" s="116">
        <v>852.2</v>
      </c>
      <c r="F1401" s="116">
        <v>4257.5</v>
      </c>
      <c r="G1401">
        <v>11507</v>
      </c>
      <c r="H1401" s="116"/>
      <c r="I1401" s="116"/>
      <c r="L1401" s="163">
        <v>44069</v>
      </c>
      <c r="M1401" s="116">
        <v>851.33</v>
      </c>
      <c r="N1401" s="116">
        <v>865.8</v>
      </c>
      <c r="O1401" s="116">
        <v>842.08</v>
      </c>
      <c r="P1401" s="116">
        <v>859.6</v>
      </c>
      <c r="Q1401" s="116">
        <v>4256.6499999999996</v>
      </c>
      <c r="R1401">
        <v>185977</v>
      </c>
    </row>
    <row r="1402" spans="1:18" x14ac:dyDescent="0.25">
      <c r="A1402" s="163">
        <v>44070</v>
      </c>
      <c r="B1402" s="116">
        <v>864.21</v>
      </c>
      <c r="C1402" s="116">
        <v>847.73</v>
      </c>
      <c r="D1402" s="116">
        <v>845.34</v>
      </c>
      <c r="E1402" s="116">
        <v>857.96</v>
      </c>
      <c r="F1402" s="116">
        <v>4238.6499999999996</v>
      </c>
      <c r="G1402">
        <v>8791</v>
      </c>
      <c r="H1402" s="116"/>
      <c r="I1402" s="116"/>
      <c r="L1402" s="163">
        <v>44070</v>
      </c>
      <c r="M1402" s="116">
        <v>847.66</v>
      </c>
      <c r="N1402" s="116">
        <v>864.78</v>
      </c>
      <c r="O1402" s="116">
        <v>845.42</v>
      </c>
      <c r="P1402" s="116">
        <v>856</v>
      </c>
      <c r="Q1402" s="116">
        <v>4238.3</v>
      </c>
      <c r="R1402">
        <v>209252</v>
      </c>
    </row>
    <row r="1403" spans="1:18" x14ac:dyDescent="0.25">
      <c r="A1403" s="163">
        <v>44071</v>
      </c>
      <c r="B1403" s="116">
        <v>855</v>
      </c>
      <c r="C1403" s="116">
        <v>844.54</v>
      </c>
      <c r="D1403" s="116">
        <v>842.23</v>
      </c>
      <c r="E1403" s="116">
        <v>853.14</v>
      </c>
      <c r="F1403" s="116">
        <v>4222.7</v>
      </c>
      <c r="G1403">
        <v>6104</v>
      </c>
      <c r="H1403" s="116"/>
      <c r="I1403" s="116"/>
      <c r="L1403" s="163">
        <v>44071</v>
      </c>
      <c r="M1403" s="116">
        <v>845.2</v>
      </c>
      <c r="N1403" s="116">
        <v>855.2</v>
      </c>
      <c r="O1403" s="116">
        <v>842</v>
      </c>
      <c r="P1403" s="116">
        <v>851.98</v>
      </c>
      <c r="Q1403" s="116">
        <v>4226</v>
      </c>
      <c r="R1403">
        <v>146907</v>
      </c>
    </row>
    <row r="1404" spans="1:18" x14ac:dyDescent="0.25">
      <c r="A1404" s="163">
        <v>44074</v>
      </c>
      <c r="B1404" s="116">
        <v>850.11</v>
      </c>
      <c r="C1404" s="116">
        <v>810.78</v>
      </c>
      <c r="D1404" s="116">
        <v>803.09</v>
      </c>
      <c r="E1404" s="116">
        <v>846.55</v>
      </c>
      <c r="F1404" s="116">
        <v>4053.9</v>
      </c>
      <c r="G1404">
        <v>8112</v>
      </c>
      <c r="H1404" s="116"/>
      <c r="I1404" s="116"/>
      <c r="L1404" s="163">
        <v>44074</v>
      </c>
      <c r="M1404" s="116">
        <v>810.78</v>
      </c>
      <c r="N1404" s="116">
        <v>854.19</v>
      </c>
      <c r="O1404" s="116">
        <v>802.75</v>
      </c>
      <c r="P1404" s="116">
        <v>846.8</v>
      </c>
      <c r="Q1404" s="116">
        <v>4053.9</v>
      </c>
      <c r="R1404">
        <v>241469</v>
      </c>
    </row>
    <row r="1405" spans="1:18" x14ac:dyDescent="0.25">
      <c r="A1405" s="163">
        <v>44075</v>
      </c>
      <c r="B1405" s="116">
        <v>830</v>
      </c>
      <c r="C1405" s="116">
        <v>821.84</v>
      </c>
      <c r="D1405" s="116">
        <v>807.64</v>
      </c>
      <c r="E1405" s="116">
        <v>810.78</v>
      </c>
      <c r="F1405" s="116">
        <v>4109.2</v>
      </c>
      <c r="G1405">
        <v>5469</v>
      </c>
      <c r="H1405" s="116"/>
      <c r="I1405" s="116"/>
      <c r="L1405" s="163">
        <v>44075</v>
      </c>
      <c r="M1405" s="116">
        <v>822.55</v>
      </c>
      <c r="N1405" s="116">
        <v>830.39</v>
      </c>
      <c r="O1405" s="116">
        <v>807.18</v>
      </c>
      <c r="P1405" s="116">
        <v>813</v>
      </c>
      <c r="Q1405" s="116">
        <v>4112.75</v>
      </c>
      <c r="R1405">
        <v>201156</v>
      </c>
    </row>
    <row r="1406" spans="1:18" x14ac:dyDescent="0.25">
      <c r="A1406" s="163">
        <v>44076</v>
      </c>
      <c r="B1406" s="116">
        <v>857.52</v>
      </c>
      <c r="C1406" s="116">
        <v>844.14</v>
      </c>
      <c r="D1406" s="116">
        <v>825.2</v>
      </c>
      <c r="E1406" s="116">
        <v>828.02</v>
      </c>
      <c r="F1406" s="116">
        <v>4220.7</v>
      </c>
      <c r="G1406">
        <v>10761</v>
      </c>
      <c r="H1406" s="116"/>
      <c r="I1406" s="116"/>
      <c r="L1406" s="163">
        <v>44076</v>
      </c>
      <c r="M1406" s="116">
        <v>843.64</v>
      </c>
      <c r="N1406" s="116">
        <v>858.39</v>
      </c>
      <c r="O1406" s="116">
        <v>824.28</v>
      </c>
      <c r="P1406" s="116">
        <v>827.98</v>
      </c>
      <c r="Q1406" s="116">
        <v>4218.2</v>
      </c>
      <c r="R1406">
        <v>273542</v>
      </c>
    </row>
    <row r="1407" spans="1:18" x14ac:dyDescent="0.25">
      <c r="A1407" s="163">
        <v>44077</v>
      </c>
      <c r="B1407" s="116">
        <v>867.89</v>
      </c>
      <c r="C1407" s="116">
        <v>864.63</v>
      </c>
      <c r="D1407" s="116">
        <v>844</v>
      </c>
      <c r="E1407" s="116">
        <v>847.2</v>
      </c>
      <c r="F1407" s="116">
        <v>4323.1499999999996</v>
      </c>
      <c r="G1407">
        <v>11661</v>
      </c>
      <c r="H1407" s="116"/>
      <c r="I1407" s="116"/>
      <c r="L1407" s="163">
        <v>44077</v>
      </c>
      <c r="M1407" s="116">
        <v>864.78</v>
      </c>
      <c r="N1407" s="116">
        <v>868</v>
      </c>
      <c r="O1407" s="116">
        <v>842.81</v>
      </c>
      <c r="P1407" s="116">
        <v>848.6</v>
      </c>
      <c r="Q1407" s="116">
        <v>4323.8999999999996</v>
      </c>
      <c r="R1407">
        <v>278934</v>
      </c>
    </row>
    <row r="1408" spans="1:18" x14ac:dyDescent="0.25">
      <c r="A1408" s="163">
        <v>44078</v>
      </c>
      <c r="B1408" s="116">
        <v>874.69</v>
      </c>
      <c r="C1408" s="116">
        <v>840.76</v>
      </c>
      <c r="D1408" s="116">
        <v>833.57</v>
      </c>
      <c r="E1408" s="116">
        <v>844.21</v>
      </c>
      <c r="F1408" s="116">
        <v>4203.8</v>
      </c>
      <c r="G1408">
        <v>13792</v>
      </c>
      <c r="H1408" s="116"/>
      <c r="I1408" s="116"/>
      <c r="L1408" s="163">
        <v>44078</v>
      </c>
      <c r="M1408" s="116">
        <v>840.41</v>
      </c>
      <c r="N1408" s="116">
        <v>874.96</v>
      </c>
      <c r="O1408" s="116">
        <v>833.41</v>
      </c>
      <c r="P1408" s="116">
        <v>849.75</v>
      </c>
      <c r="Q1408" s="116">
        <v>4202.05</v>
      </c>
      <c r="R1408">
        <v>370105</v>
      </c>
    </row>
    <row r="1409" spans="1:18" x14ac:dyDescent="0.25">
      <c r="A1409" s="163">
        <v>44081</v>
      </c>
      <c r="B1409" s="116">
        <v>855.8</v>
      </c>
      <c r="C1409" s="116">
        <v>838.94</v>
      </c>
      <c r="D1409" s="116">
        <v>830.84</v>
      </c>
      <c r="E1409" s="116">
        <v>841.2</v>
      </c>
      <c r="F1409" s="116">
        <v>4194.7</v>
      </c>
      <c r="G1409">
        <v>7967</v>
      </c>
      <c r="H1409" s="116"/>
      <c r="I1409" s="116"/>
      <c r="L1409" s="163">
        <v>44081</v>
      </c>
      <c r="M1409" s="116">
        <v>839.37</v>
      </c>
      <c r="N1409" s="116">
        <v>856.34</v>
      </c>
      <c r="O1409" s="116">
        <v>830.1</v>
      </c>
      <c r="P1409" s="116">
        <v>840.6</v>
      </c>
      <c r="Q1409" s="116">
        <v>4196.8500000000004</v>
      </c>
      <c r="R1409">
        <v>225831</v>
      </c>
    </row>
    <row r="1410" spans="1:18" x14ac:dyDescent="0.25">
      <c r="A1410" s="163">
        <v>44082</v>
      </c>
      <c r="B1410" s="116">
        <v>846.8</v>
      </c>
      <c r="C1410" s="116">
        <v>826.4</v>
      </c>
      <c r="D1410" s="116">
        <v>821.4</v>
      </c>
      <c r="E1410" s="116">
        <v>846.8</v>
      </c>
      <c r="F1410" s="116">
        <v>4132</v>
      </c>
      <c r="G1410">
        <v>4203</v>
      </c>
      <c r="H1410" s="116"/>
      <c r="I1410" s="116"/>
      <c r="L1410" s="163">
        <v>44082</v>
      </c>
      <c r="M1410" s="116">
        <v>826.41</v>
      </c>
      <c r="N1410" s="116">
        <v>845.48</v>
      </c>
      <c r="O1410" s="116">
        <v>821.04</v>
      </c>
      <c r="P1410" s="116">
        <v>840</v>
      </c>
      <c r="Q1410" s="116">
        <v>4132.05</v>
      </c>
      <c r="R1410">
        <v>182208</v>
      </c>
    </row>
    <row r="1411" spans="1:18" x14ac:dyDescent="0.25">
      <c r="A1411" s="163">
        <v>44083</v>
      </c>
      <c r="B1411" s="116">
        <v>827.31</v>
      </c>
      <c r="C1411" s="116">
        <v>825.32</v>
      </c>
      <c r="D1411" s="116">
        <v>807.81</v>
      </c>
      <c r="E1411" s="116">
        <v>820</v>
      </c>
      <c r="F1411" s="116">
        <v>4126.6000000000004</v>
      </c>
      <c r="G1411">
        <v>6680</v>
      </c>
      <c r="H1411" s="116"/>
      <c r="I1411" s="116"/>
      <c r="L1411" s="163">
        <v>44083</v>
      </c>
      <c r="M1411" s="116">
        <v>824.71</v>
      </c>
      <c r="N1411" s="116">
        <v>827.59</v>
      </c>
      <c r="O1411" s="116">
        <v>807</v>
      </c>
      <c r="P1411" s="116">
        <v>821.6</v>
      </c>
      <c r="Q1411" s="116">
        <v>4123.55</v>
      </c>
      <c r="R1411">
        <v>206441</v>
      </c>
    </row>
    <row r="1412" spans="1:18" x14ac:dyDescent="0.25">
      <c r="A1412" s="163">
        <v>44084</v>
      </c>
      <c r="B1412" s="116">
        <v>843.8</v>
      </c>
      <c r="C1412" s="116">
        <v>824.59</v>
      </c>
      <c r="D1412" s="116">
        <v>818.9</v>
      </c>
      <c r="E1412" s="116">
        <v>825.32</v>
      </c>
      <c r="F1412" s="116">
        <v>4122.95</v>
      </c>
      <c r="G1412">
        <v>6300</v>
      </c>
      <c r="H1412" s="116"/>
      <c r="I1412" s="116"/>
      <c r="L1412" s="163">
        <v>44084</v>
      </c>
      <c r="M1412" s="116">
        <v>823.6</v>
      </c>
      <c r="N1412" s="116">
        <v>844</v>
      </c>
      <c r="O1412" s="116">
        <v>818.61</v>
      </c>
      <c r="P1412" s="116">
        <v>832</v>
      </c>
      <c r="Q1412" s="116">
        <v>4118</v>
      </c>
      <c r="R1412">
        <v>174907</v>
      </c>
    </row>
    <row r="1413" spans="1:18" x14ac:dyDescent="0.25">
      <c r="A1413" s="163">
        <v>44085</v>
      </c>
      <c r="B1413" s="116">
        <v>843.5</v>
      </c>
      <c r="C1413" s="116">
        <v>841.33</v>
      </c>
      <c r="D1413" s="116">
        <v>822.65</v>
      </c>
      <c r="E1413" s="116">
        <v>824.6</v>
      </c>
      <c r="F1413" s="116">
        <v>4206.6499999999996</v>
      </c>
      <c r="G1413">
        <v>7614</v>
      </c>
      <c r="H1413" s="116"/>
      <c r="I1413" s="116"/>
      <c r="L1413" s="163">
        <v>44085</v>
      </c>
      <c r="M1413" s="116">
        <v>841.21</v>
      </c>
      <c r="N1413" s="116">
        <v>843.8</v>
      </c>
      <c r="O1413" s="116">
        <v>823</v>
      </c>
      <c r="P1413" s="116">
        <v>828.16</v>
      </c>
      <c r="Q1413" s="116">
        <v>4206.05</v>
      </c>
      <c r="R1413">
        <v>209268</v>
      </c>
    </row>
    <row r="1414" spans="1:18" x14ac:dyDescent="0.25">
      <c r="A1414" s="163">
        <v>44088</v>
      </c>
      <c r="B1414" s="116">
        <v>873.37</v>
      </c>
      <c r="C1414" s="116">
        <v>867.08</v>
      </c>
      <c r="D1414" s="116">
        <v>844.56</v>
      </c>
      <c r="E1414" s="116">
        <v>847</v>
      </c>
      <c r="F1414" s="116">
        <v>4335.3999999999996</v>
      </c>
      <c r="G1414">
        <v>15653</v>
      </c>
      <c r="H1414" s="116"/>
      <c r="I1414" s="116"/>
      <c r="L1414" s="163">
        <v>44088</v>
      </c>
      <c r="M1414" s="116">
        <v>866.06</v>
      </c>
      <c r="N1414" s="116">
        <v>873.99</v>
      </c>
      <c r="O1414" s="116">
        <v>844.6</v>
      </c>
      <c r="P1414" s="116">
        <v>846.89</v>
      </c>
      <c r="Q1414" s="116">
        <v>4330.3</v>
      </c>
      <c r="R1414">
        <v>380624</v>
      </c>
    </row>
    <row r="1415" spans="1:18" x14ac:dyDescent="0.25">
      <c r="A1415" s="163">
        <v>44089</v>
      </c>
      <c r="B1415" s="116">
        <v>876.79</v>
      </c>
      <c r="C1415" s="116">
        <v>863.14</v>
      </c>
      <c r="D1415" s="116">
        <v>855.54</v>
      </c>
      <c r="E1415" s="116">
        <v>872</v>
      </c>
      <c r="F1415" s="116">
        <v>4315.7</v>
      </c>
      <c r="G1415">
        <v>7972</v>
      </c>
      <c r="H1415" s="116"/>
      <c r="I1415" s="116"/>
      <c r="L1415" s="163">
        <v>44089</v>
      </c>
      <c r="M1415" s="116">
        <v>863.29</v>
      </c>
      <c r="N1415" s="116">
        <v>876.8</v>
      </c>
      <c r="O1415" s="116">
        <v>855.6</v>
      </c>
      <c r="P1415" s="116">
        <v>876.8</v>
      </c>
      <c r="Q1415" s="116">
        <v>4316.45</v>
      </c>
      <c r="R1415">
        <v>222690</v>
      </c>
    </row>
    <row r="1416" spans="1:18" x14ac:dyDescent="0.25">
      <c r="A1416" s="163">
        <v>44090</v>
      </c>
      <c r="B1416" s="116">
        <v>876.6</v>
      </c>
      <c r="C1416" s="116">
        <v>869.27</v>
      </c>
      <c r="D1416" s="116">
        <v>860</v>
      </c>
      <c r="E1416" s="116">
        <v>860</v>
      </c>
      <c r="F1416" s="116">
        <v>4346.3500000000004</v>
      </c>
      <c r="G1416">
        <v>9498</v>
      </c>
      <c r="H1416" s="116"/>
      <c r="I1416" s="116"/>
      <c r="L1416" s="163">
        <v>44090</v>
      </c>
      <c r="M1416" s="116">
        <v>869.35</v>
      </c>
      <c r="N1416" s="116">
        <v>876.8</v>
      </c>
      <c r="O1416" s="116">
        <v>864.03</v>
      </c>
      <c r="P1416" s="116">
        <v>869.6</v>
      </c>
      <c r="Q1416" s="116">
        <v>4346.75</v>
      </c>
      <c r="R1416">
        <v>178290</v>
      </c>
    </row>
    <row r="1417" spans="1:18" x14ac:dyDescent="0.25">
      <c r="A1417" s="163">
        <v>44091</v>
      </c>
      <c r="B1417" s="116">
        <v>895</v>
      </c>
      <c r="C1417" s="116">
        <v>878.47</v>
      </c>
      <c r="D1417" s="116">
        <v>861</v>
      </c>
      <c r="E1417" s="116">
        <v>861</v>
      </c>
      <c r="F1417" s="116">
        <v>4392.3500000000004</v>
      </c>
      <c r="G1417">
        <v>13006</v>
      </c>
      <c r="H1417" s="116"/>
      <c r="I1417" s="116"/>
      <c r="L1417" s="163">
        <v>44091</v>
      </c>
      <c r="M1417" s="116">
        <v>878.53</v>
      </c>
      <c r="N1417" s="116">
        <v>895</v>
      </c>
      <c r="O1417" s="116">
        <v>862.21</v>
      </c>
      <c r="P1417" s="116">
        <v>864</v>
      </c>
      <c r="Q1417" s="116">
        <v>4392.6499999999996</v>
      </c>
      <c r="R1417">
        <v>485723</v>
      </c>
    </row>
    <row r="1418" spans="1:18" x14ac:dyDescent="0.25">
      <c r="A1418" s="163">
        <v>44092</v>
      </c>
      <c r="B1418" s="116">
        <v>887.6</v>
      </c>
      <c r="C1418" s="116">
        <v>863.25</v>
      </c>
      <c r="D1418" s="116">
        <v>857.8</v>
      </c>
      <c r="E1418" s="116">
        <v>887.6</v>
      </c>
      <c r="F1418" s="116">
        <v>4316.25</v>
      </c>
      <c r="G1418">
        <v>5811</v>
      </c>
      <c r="H1418" s="116"/>
      <c r="I1418" s="116"/>
      <c r="L1418" s="163">
        <v>44092</v>
      </c>
      <c r="M1418" s="116">
        <v>863.59</v>
      </c>
      <c r="N1418" s="116">
        <v>888.68</v>
      </c>
      <c r="O1418" s="116">
        <v>857.5</v>
      </c>
      <c r="P1418" s="116">
        <v>884.8</v>
      </c>
      <c r="Q1418" s="116">
        <v>4317.95</v>
      </c>
      <c r="R1418">
        <v>487825</v>
      </c>
    </row>
    <row r="1419" spans="1:18" x14ac:dyDescent="0.25">
      <c r="A1419" s="163">
        <v>44095</v>
      </c>
      <c r="B1419" s="116">
        <v>869.78</v>
      </c>
      <c r="C1419" s="116">
        <v>831.56</v>
      </c>
      <c r="D1419" s="116">
        <v>827.1</v>
      </c>
      <c r="E1419" s="116">
        <v>866.9</v>
      </c>
      <c r="F1419" s="116">
        <v>4157.8</v>
      </c>
      <c r="G1419">
        <v>5217</v>
      </c>
      <c r="H1419" s="116"/>
      <c r="I1419" s="116"/>
      <c r="L1419" s="163">
        <v>44095</v>
      </c>
      <c r="M1419" s="116">
        <v>831.88</v>
      </c>
      <c r="N1419" s="116">
        <v>870.24</v>
      </c>
      <c r="O1419" s="116">
        <v>826.65</v>
      </c>
      <c r="P1419" s="116">
        <v>864.03</v>
      </c>
      <c r="Q1419" s="116">
        <v>4159.3999999999996</v>
      </c>
      <c r="R1419">
        <v>167969</v>
      </c>
    </row>
    <row r="1420" spans="1:18" x14ac:dyDescent="0.25">
      <c r="A1420" s="163">
        <v>44096</v>
      </c>
      <c r="B1420" s="116">
        <v>836.08</v>
      </c>
      <c r="C1420" s="116">
        <v>824.58</v>
      </c>
      <c r="D1420" s="116">
        <v>801.49</v>
      </c>
      <c r="E1420" s="116">
        <v>831.56</v>
      </c>
      <c r="F1420" s="116">
        <v>4122.8999999999996</v>
      </c>
      <c r="G1420">
        <v>5256</v>
      </c>
      <c r="H1420" s="116"/>
      <c r="I1420" s="116"/>
      <c r="L1420" s="163">
        <v>44096</v>
      </c>
      <c r="M1420" s="116">
        <v>825.31</v>
      </c>
      <c r="N1420" s="116">
        <v>836.97</v>
      </c>
      <c r="O1420" s="116">
        <v>801.18</v>
      </c>
      <c r="P1420" s="116">
        <v>830.11</v>
      </c>
      <c r="Q1420" s="116">
        <v>4126.55</v>
      </c>
      <c r="R1420">
        <v>218609</v>
      </c>
    </row>
    <row r="1421" spans="1:18" x14ac:dyDescent="0.25">
      <c r="A1421" s="163">
        <v>44097</v>
      </c>
      <c r="B1421" s="116">
        <v>834.95</v>
      </c>
      <c r="C1421" s="116">
        <v>823.18</v>
      </c>
      <c r="D1421" s="116">
        <v>809.76</v>
      </c>
      <c r="E1421" s="116">
        <v>834.4</v>
      </c>
      <c r="F1421" s="116">
        <v>4115.8999999999996</v>
      </c>
      <c r="G1421">
        <v>3796</v>
      </c>
      <c r="H1421" s="116"/>
      <c r="I1421" s="116"/>
      <c r="L1421" s="163">
        <v>44097</v>
      </c>
      <c r="M1421" s="116">
        <v>823.4</v>
      </c>
      <c r="N1421" s="116">
        <v>836.77</v>
      </c>
      <c r="O1421" s="116">
        <v>808.8</v>
      </c>
      <c r="P1421" s="116">
        <v>827.2</v>
      </c>
      <c r="Q1421" s="116">
        <v>4117</v>
      </c>
      <c r="R1421">
        <v>117776</v>
      </c>
    </row>
    <row r="1422" spans="1:18" x14ac:dyDescent="0.25">
      <c r="A1422" s="163">
        <v>44098</v>
      </c>
      <c r="B1422" s="116">
        <v>824.3</v>
      </c>
      <c r="C1422" s="116">
        <v>801.41</v>
      </c>
      <c r="D1422" s="116">
        <v>799.24</v>
      </c>
      <c r="E1422" s="116">
        <v>824.3</v>
      </c>
      <c r="F1422" s="116">
        <v>4007.05</v>
      </c>
      <c r="G1422">
        <v>4792</v>
      </c>
      <c r="H1422" s="116"/>
      <c r="I1422" s="116"/>
      <c r="L1422" s="163">
        <v>44098</v>
      </c>
      <c r="M1422" s="116">
        <v>801.13</v>
      </c>
      <c r="N1422" s="116">
        <v>820.18</v>
      </c>
      <c r="O1422" s="116">
        <v>798.72</v>
      </c>
      <c r="P1422" s="116">
        <v>819.6</v>
      </c>
      <c r="Q1422" s="116">
        <v>4005.65</v>
      </c>
      <c r="R1422">
        <v>182973</v>
      </c>
    </row>
    <row r="1423" spans="1:18" x14ac:dyDescent="0.25">
      <c r="A1423" s="163">
        <v>44099</v>
      </c>
      <c r="B1423" s="116">
        <v>822.2</v>
      </c>
      <c r="C1423" s="116">
        <v>817.29</v>
      </c>
      <c r="D1423" s="116">
        <v>806.02</v>
      </c>
      <c r="E1423" s="116">
        <v>809.99</v>
      </c>
      <c r="F1423" s="116">
        <v>4086.45</v>
      </c>
      <c r="G1423">
        <v>4886</v>
      </c>
      <c r="H1423" s="116"/>
      <c r="I1423" s="116"/>
      <c r="L1423" s="163">
        <v>44099</v>
      </c>
      <c r="M1423" s="116">
        <v>816.84</v>
      </c>
      <c r="N1423" s="116">
        <v>822.39</v>
      </c>
      <c r="O1423" s="116">
        <v>805.2</v>
      </c>
      <c r="P1423" s="116">
        <v>806.4</v>
      </c>
      <c r="Q1423" s="116">
        <v>4084.2</v>
      </c>
      <c r="R1423">
        <v>123270</v>
      </c>
    </row>
    <row r="1424" spans="1:18" x14ac:dyDescent="0.25">
      <c r="A1424" s="163">
        <v>44102</v>
      </c>
      <c r="B1424" s="116">
        <v>840</v>
      </c>
      <c r="C1424" s="116">
        <v>834.17</v>
      </c>
      <c r="D1424" s="116">
        <v>821.53</v>
      </c>
      <c r="E1424" s="116">
        <v>829</v>
      </c>
      <c r="F1424" s="116">
        <v>4170.8500000000004</v>
      </c>
      <c r="G1424">
        <v>6648</v>
      </c>
      <c r="H1424" s="116"/>
      <c r="I1424" s="116"/>
      <c r="L1424" s="163">
        <v>44102</v>
      </c>
      <c r="M1424" s="116">
        <v>833.83</v>
      </c>
      <c r="N1424" s="116">
        <v>841.54</v>
      </c>
      <c r="O1424" s="116">
        <v>820.85</v>
      </c>
      <c r="P1424" s="116">
        <v>827.72</v>
      </c>
      <c r="Q1424" s="116">
        <v>4169.1499999999996</v>
      </c>
      <c r="R1424">
        <v>137476</v>
      </c>
    </row>
    <row r="1425" spans="1:18" x14ac:dyDescent="0.25">
      <c r="A1425" s="163">
        <v>44103</v>
      </c>
      <c r="B1425" s="116">
        <v>865</v>
      </c>
      <c r="C1425" s="116">
        <v>827.03</v>
      </c>
      <c r="D1425" s="116">
        <v>814</v>
      </c>
      <c r="E1425" s="116">
        <v>853.58</v>
      </c>
      <c r="F1425" s="116">
        <v>4135.1499999999996</v>
      </c>
      <c r="G1425">
        <v>23472</v>
      </c>
      <c r="H1425" s="116"/>
      <c r="I1425" s="116"/>
      <c r="L1425" s="163">
        <v>44103</v>
      </c>
      <c r="M1425" s="116">
        <v>827.09</v>
      </c>
      <c r="N1425" s="116">
        <v>865.95</v>
      </c>
      <c r="O1425" s="116">
        <v>813.82</v>
      </c>
      <c r="P1425" s="116">
        <v>852</v>
      </c>
      <c r="Q1425" s="116">
        <v>4135.45</v>
      </c>
      <c r="R1425">
        <v>656558</v>
      </c>
    </row>
    <row r="1426" spans="1:18" x14ac:dyDescent="0.25">
      <c r="A1426" s="163">
        <v>44104</v>
      </c>
      <c r="B1426" s="116">
        <v>834.07</v>
      </c>
      <c r="C1426" s="116">
        <v>825.89</v>
      </c>
      <c r="D1426" s="116">
        <v>821.01</v>
      </c>
      <c r="E1426" s="116">
        <v>827</v>
      </c>
      <c r="F1426" s="116">
        <v>4129.45</v>
      </c>
      <c r="G1426">
        <v>3727</v>
      </c>
      <c r="H1426" s="116"/>
      <c r="I1426" s="116"/>
      <c r="L1426" s="163">
        <v>44104</v>
      </c>
      <c r="M1426" s="116">
        <v>826.02</v>
      </c>
      <c r="N1426" s="116">
        <v>834.51</v>
      </c>
      <c r="O1426" s="116">
        <v>820.38</v>
      </c>
      <c r="P1426" s="116">
        <v>827.2</v>
      </c>
      <c r="Q1426" s="116">
        <v>4130.1000000000004</v>
      </c>
      <c r="R1426">
        <v>133335</v>
      </c>
    </row>
    <row r="1427" spans="1:18" x14ac:dyDescent="0.25">
      <c r="A1427" s="163">
        <v>44105</v>
      </c>
      <c r="B1427" s="116">
        <v>838.33</v>
      </c>
      <c r="C1427" s="116">
        <v>823.05</v>
      </c>
      <c r="D1427" s="116">
        <v>820.71</v>
      </c>
      <c r="E1427" s="116">
        <v>834.71</v>
      </c>
      <c r="F1427" s="116">
        <v>4115.25</v>
      </c>
      <c r="G1427">
        <v>4432</v>
      </c>
      <c r="H1427" s="116"/>
      <c r="I1427" s="116"/>
      <c r="L1427" s="163">
        <v>44105</v>
      </c>
      <c r="M1427" s="116">
        <v>822.69</v>
      </c>
      <c r="N1427" s="116">
        <v>838.59</v>
      </c>
      <c r="O1427" s="116">
        <v>820.22</v>
      </c>
      <c r="P1427" s="116">
        <v>831.92</v>
      </c>
      <c r="Q1427" s="116">
        <v>4113.45</v>
      </c>
      <c r="R1427">
        <v>121716</v>
      </c>
    </row>
    <row r="1428" spans="1:18" x14ac:dyDescent="0.25">
      <c r="A1428" s="163">
        <v>44109</v>
      </c>
      <c r="B1428" s="116">
        <v>834.57</v>
      </c>
      <c r="C1428" s="116">
        <v>825.77</v>
      </c>
      <c r="D1428" s="116">
        <v>818.01</v>
      </c>
      <c r="E1428" s="116">
        <v>818.01</v>
      </c>
      <c r="F1428" s="116">
        <v>4128.8500000000004</v>
      </c>
      <c r="G1428">
        <v>7905</v>
      </c>
      <c r="H1428" s="116"/>
      <c r="I1428" s="116"/>
      <c r="L1428" s="163">
        <v>44109</v>
      </c>
      <c r="M1428" s="116">
        <v>825.48</v>
      </c>
      <c r="N1428" s="116">
        <v>834.98</v>
      </c>
      <c r="O1428" s="116">
        <v>818.6</v>
      </c>
      <c r="P1428" s="116">
        <v>824.94</v>
      </c>
      <c r="Q1428" s="116">
        <v>4127.3999999999996</v>
      </c>
      <c r="R1428">
        <v>172375</v>
      </c>
    </row>
    <row r="1429" spans="1:18" x14ac:dyDescent="0.25">
      <c r="A1429" s="163">
        <v>44110</v>
      </c>
      <c r="B1429" s="116">
        <v>836</v>
      </c>
      <c r="C1429" s="116">
        <v>824.62</v>
      </c>
      <c r="D1429" s="116">
        <v>823.01</v>
      </c>
      <c r="E1429" s="116">
        <v>832.45</v>
      </c>
      <c r="F1429" s="116">
        <v>4123.1000000000004</v>
      </c>
      <c r="G1429">
        <v>4630</v>
      </c>
      <c r="H1429" s="116"/>
      <c r="I1429" s="116"/>
      <c r="L1429" s="163">
        <v>44110</v>
      </c>
      <c r="M1429" s="116">
        <v>825.11</v>
      </c>
      <c r="N1429" s="116">
        <v>836.58</v>
      </c>
      <c r="O1429" s="116">
        <v>823.4</v>
      </c>
      <c r="P1429" s="116">
        <v>829.36</v>
      </c>
      <c r="Q1429" s="116">
        <v>4125.55</v>
      </c>
      <c r="R1429">
        <v>157193</v>
      </c>
    </row>
    <row r="1430" spans="1:18" x14ac:dyDescent="0.25">
      <c r="A1430" s="163">
        <v>44111</v>
      </c>
      <c r="B1430" s="116">
        <v>839.29</v>
      </c>
      <c r="C1430" s="116">
        <v>831.18</v>
      </c>
      <c r="D1430" s="116">
        <v>824.28</v>
      </c>
      <c r="E1430" s="116">
        <v>824.3</v>
      </c>
      <c r="F1430" s="116">
        <v>4155.8999999999996</v>
      </c>
      <c r="G1430">
        <v>3260</v>
      </c>
      <c r="H1430" s="116"/>
      <c r="I1430" s="116"/>
      <c r="L1430" s="163">
        <v>44111</v>
      </c>
      <c r="M1430" s="116">
        <v>831.26</v>
      </c>
      <c r="N1430" s="116">
        <v>839.8</v>
      </c>
      <c r="O1430" s="116">
        <v>820</v>
      </c>
      <c r="P1430" s="116">
        <v>825.11</v>
      </c>
      <c r="Q1430" s="116">
        <v>4156.3</v>
      </c>
      <c r="R1430">
        <v>131772</v>
      </c>
    </row>
    <row r="1431" spans="1:18" x14ac:dyDescent="0.25">
      <c r="A1431" s="163">
        <v>44112</v>
      </c>
      <c r="B1431" s="116">
        <v>858.84</v>
      </c>
      <c r="C1431" s="116">
        <v>852.33</v>
      </c>
      <c r="D1431" s="116">
        <v>835.36</v>
      </c>
      <c r="E1431" s="116">
        <v>837.63</v>
      </c>
      <c r="F1431" s="116">
        <v>4261.6499999999996</v>
      </c>
      <c r="G1431">
        <v>8441</v>
      </c>
      <c r="H1431" s="116"/>
      <c r="I1431" s="116"/>
      <c r="L1431" s="163">
        <v>44112</v>
      </c>
      <c r="M1431" s="116">
        <v>852.6</v>
      </c>
      <c r="N1431" s="116">
        <v>859.22</v>
      </c>
      <c r="O1431" s="116">
        <v>834.14</v>
      </c>
      <c r="P1431" s="116">
        <v>834.8</v>
      </c>
      <c r="Q1431" s="116">
        <v>4263</v>
      </c>
      <c r="R1431">
        <v>304357</v>
      </c>
    </row>
    <row r="1432" spans="1:18" x14ac:dyDescent="0.25">
      <c r="A1432" s="163">
        <v>44113</v>
      </c>
      <c r="B1432" s="116">
        <v>859</v>
      </c>
      <c r="C1432" s="116">
        <v>853.54</v>
      </c>
      <c r="D1432" s="116">
        <v>840.31</v>
      </c>
      <c r="E1432" s="116">
        <v>840.31</v>
      </c>
      <c r="F1432" s="116">
        <v>4267.7</v>
      </c>
      <c r="G1432">
        <v>6669</v>
      </c>
      <c r="H1432" s="116"/>
      <c r="I1432" s="116"/>
      <c r="L1432" s="163">
        <v>44113</v>
      </c>
      <c r="M1432" s="116">
        <v>853.35</v>
      </c>
      <c r="N1432" s="116">
        <v>859.6</v>
      </c>
      <c r="O1432" s="116">
        <v>842.23</v>
      </c>
      <c r="P1432" s="116">
        <v>853.5</v>
      </c>
      <c r="Q1432" s="116">
        <v>4266.75</v>
      </c>
      <c r="R1432">
        <v>162337</v>
      </c>
    </row>
    <row r="1433" spans="1:18" x14ac:dyDescent="0.25">
      <c r="A1433" s="163">
        <v>44116</v>
      </c>
      <c r="B1433" s="116">
        <v>881</v>
      </c>
      <c r="C1433" s="116">
        <v>873.77</v>
      </c>
      <c r="D1433" s="116">
        <v>851.11</v>
      </c>
      <c r="E1433" s="116">
        <v>858.94</v>
      </c>
      <c r="F1433" s="116">
        <v>4368.8500000000004</v>
      </c>
      <c r="G1433">
        <v>14743</v>
      </c>
      <c r="H1433" s="116"/>
      <c r="I1433" s="116"/>
      <c r="L1433" s="163">
        <v>44116</v>
      </c>
      <c r="M1433" s="116">
        <v>874.59</v>
      </c>
      <c r="N1433" s="116">
        <v>881.4</v>
      </c>
      <c r="O1433" s="116">
        <v>851.01</v>
      </c>
      <c r="P1433" s="116">
        <v>857.61</v>
      </c>
      <c r="Q1433" s="116">
        <v>4372.95</v>
      </c>
      <c r="R1433">
        <v>458060</v>
      </c>
    </row>
    <row r="1434" spans="1:18" x14ac:dyDescent="0.25">
      <c r="A1434" s="163">
        <v>44117</v>
      </c>
      <c r="B1434" s="116">
        <v>885.54</v>
      </c>
      <c r="C1434" s="116">
        <v>876.38</v>
      </c>
      <c r="D1434" s="116">
        <v>866.41</v>
      </c>
      <c r="E1434" s="116">
        <v>873.4</v>
      </c>
      <c r="F1434" s="116">
        <v>4381.8999999999996</v>
      </c>
      <c r="G1434">
        <v>12491</v>
      </c>
      <c r="H1434" s="116"/>
      <c r="I1434" s="116"/>
      <c r="L1434" s="163">
        <v>44117</v>
      </c>
      <c r="M1434" s="116">
        <v>876.85</v>
      </c>
      <c r="N1434" s="116">
        <v>886.49</v>
      </c>
      <c r="O1434" s="116">
        <v>866.27</v>
      </c>
      <c r="P1434" s="116">
        <v>874.4</v>
      </c>
      <c r="Q1434" s="116">
        <v>4384.25</v>
      </c>
      <c r="R1434">
        <v>375906</v>
      </c>
    </row>
    <row r="1435" spans="1:18" x14ac:dyDescent="0.25">
      <c r="A1435" s="163">
        <v>44118</v>
      </c>
      <c r="B1435" s="116">
        <v>881.6</v>
      </c>
      <c r="C1435" s="116">
        <v>874.44</v>
      </c>
      <c r="D1435" s="116">
        <v>858.26</v>
      </c>
      <c r="E1435" s="116">
        <v>875.6</v>
      </c>
      <c r="F1435" s="116">
        <v>4372.2</v>
      </c>
      <c r="G1435">
        <v>8782</v>
      </c>
      <c r="H1435" s="116"/>
      <c r="I1435" s="116"/>
      <c r="L1435" s="163">
        <v>44118</v>
      </c>
      <c r="M1435" s="116">
        <v>874.35</v>
      </c>
      <c r="N1435" s="116">
        <v>881.75</v>
      </c>
      <c r="O1435" s="116">
        <v>857.92</v>
      </c>
      <c r="P1435" s="116">
        <v>876</v>
      </c>
      <c r="Q1435" s="116">
        <v>4371.75</v>
      </c>
      <c r="R1435">
        <v>370762</v>
      </c>
    </row>
    <row r="1436" spans="1:18" x14ac:dyDescent="0.25">
      <c r="A1436" s="163">
        <v>44119</v>
      </c>
      <c r="B1436" s="116">
        <v>892.63</v>
      </c>
      <c r="C1436" s="116">
        <v>869.68</v>
      </c>
      <c r="D1436" s="116">
        <v>866.85</v>
      </c>
      <c r="E1436" s="116">
        <v>876</v>
      </c>
      <c r="F1436" s="116">
        <v>4348.3999999999996</v>
      </c>
      <c r="G1436">
        <v>10921</v>
      </c>
      <c r="H1436" s="116"/>
      <c r="I1436" s="116"/>
      <c r="L1436" s="163">
        <v>44119</v>
      </c>
      <c r="M1436" s="116">
        <v>870.34</v>
      </c>
      <c r="N1436" s="116">
        <v>893.59</v>
      </c>
      <c r="O1436" s="116">
        <v>866.02</v>
      </c>
      <c r="P1436" s="116">
        <v>871.4</v>
      </c>
      <c r="Q1436" s="116">
        <v>4351.7</v>
      </c>
      <c r="R1436">
        <v>438766</v>
      </c>
    </row>
    <row r="1437" spans="1:18" x14ac:dyDescent="0.25">
      <c r="A1437" s="163">
        <v>44120</v>
      </c>
      <c r="B1437" s="116">
        <v>900.8</v>
      </c>
      <c r="C1437" s="116">
        <v>890.37</v>
      </c>
      <c r="D1437" s="116">
        <v>877.99</v>
      </c>
      <c r="E1437" s="116">
        <v>886.8</v>
      </c>
      <c r="F1437" s="116">
        <v>4451.8500000000004</v>
      </c>
      <c r="G1437">
        <v>12078</v>
      </c>
      <c r="H1437" s="116"/>
      <c r="I1437" s="116"/>
      <c r="L1437" s="163">
        <v>44120</v>
      </c>
      <c r="M1437" s="116">
        <v>890.19</v>
      </c>
      <c r="N1437" s="116">
        <v>901.43</v>
      </c>
      <c r="O1437" s="116">
        <v>878</v>
      </c>
      <c r="P1437" s="116">
        <v>882.8</v>
      </c>
      <c r="Q1437" s="116">
        <v>4450.95</v>
      </c>
      <c r="R1437">
        <v>430760</v>
      </c>
    </row>
    <row r="1438" spans="1:18" x14ac:dyDescent="0.25">
      <c r="A1438" s="163">
        <v>44123</v>
      </c>
      <c r="B1438" s="116">
        <v>904.76</v>
      </c>
      <c r="C1438" s="116">
        <v>889.91</v>
      </c>
      <c r="D1438" s="116">
        <v>877.96</v>
      </c>
      <c r="E1438" s="116">
        <v>898</v>
      </c>
      <c r="F1438" s="116">
        <v>4449.55</v>
      </c>
      <c r="G1438">
        <v>6073</v>
      </c>
      <c r="H1438" s="116"/>
      <c r="I1438" s="116"/>
      <c r="L1438" s="163">
        <v>44123</v>
      </c>
      <c r="M1438" s="116">
        <v>890.13</v>
      </c>
      <c r="N1438" s="116">
        <v>905</v>
      </c>
      <c r="O1438" s="116">
        <v>878.4</v>
      </c>
      <c r="P1438" s="116">
        <v>897.32</v>
      </c>
      <c r="Q1438" s="116">
        <v>4450.6499999999996</v>
      </c>
      <c r="R1438">
        <v>293290</v>
      </c>
    </row>
    <row r="1439" spans="1:18" x14ac:dyDescent="0.25">
      <c r="A1439" s="163">
        <v>44124</v>
      </c>
      <c r="B1439" s="116">
        <v>904.8</v>
      </c>
      <c r="C1439" s="116">
        <v>897.32</v>
      </c>
      <c r="D1439" s="116">
        <v>887.42</v>
      </c>
      <c r="E1439" s="116">
        <v>894.32</v>
      </c>
      <c r="F1439" s="116">
        <v>4486.6000000000004</v>
      </c>
      <c r="G1439">
        <v>3921</v>
      </c>
      <c r="H1439" s="116"/>
      <c r="I1439" s="116"/>
      <c r="L1439" s="163">
        <v>44124</v>
      </c>
      <c r="M1439" s="116">
        <v>897.08</v>
      </c>
      <c r="N1439" s="116">
        <v>904.9</v>
      </c>
      <c r="O1439" s="116">
        <v>888.03</v>
      </c>
      <c r="P1439" s="116">
        <v>891.12</v>
      </c>
      <c r="Q1439" s="116">
        <v>4485.3999999999996</v>
      </c>
      <c r="R1439">
        <v>192555</v>
      </c>
    </row>
    <row r="1440" spans="1:18" x14ac:dyDescent="0.25">
      <c r="A1440" s="163">
        <v>44125</v>
      </c>
      <c r="B1440" s="116">
        <v>910</v>
      </c>
      <c r="C1440" s="116">
        <v>887.68</v>
      </c>
      <c r="D1440" s="116">
        <v>878.33</v>
      </c>
      <c r="E1440" s="116">
        <v>890.2</v>
      </c>
      <c r="F1440" s="116">
        <v>4438.3999999999996</v>
      </c>
      <c r="G1440">
        <v>5970</v>
      </c>
      <c r="H1440" s="116"/>
      <c r="I1440" s="116"/>
      <c r="L1440" s="163">
        <v>44125</v>
      </c>
      <c r="M1440" s="116">
        <v>887.73</v>
      </c>
      <c r="N1440" s="116">
        <v>910.23</v>
      </c>
      <c r="O1440" s="116">
        <v>878</v>
      </c>
      <c r="P1440" s="116">
        <v>898.4</v>
      </c>
      <c r="Q1440" s="116">
        <v>4438.6499999999996</v>
      </c>
      <c r="R1440">
        <v>231313</v>
      </c>
    </row>
    <row r="1441" spans="1:18" x14ac:dyDescent="0.25">
      <c r="A1441" s="163">
        <v>44126</v>
      </c>
      <c r="B1441" s="116">
        <v>889.82</v>
      </c>
      <c r="C1441" s="116">
        <v>875.1</v>
      </c>
      <c r="D1441" s="116">
        <v>867.44</v>
      </c>
      <c r="E1441" s="116">
        <v>886.24</v>
      </c>
      <c r="F1441" s="116">
        <v>4375.5</v>
      </c>
      <c r="G1441">
        <v>2297</v>
      </c>
      <c r="H1441" s="116"/>
      <c r="I1441" s="116"/>
      <c r="L1441" s="163">
        <v>44126</v>
      </c>
      <c r="M1441" s="116">
        <v>875.13</v>
      </c>
      <c r="N1441" s="116">
        <v>890.88</v>
      </c>
      <c r="O1441" s="116">
        <v>868</v>
      </c>
      <c r="P1441" s="116">
        <v>887.98</v>
      </c>
      <c r="Q1441" s="116">
        <v>4375.6499999999996</v>
      </c>
      <c r="R1441">
        <v>154632</v>
      </c>
    </row>
    <row r="1442" spans="1:18" x14ac:dyDescent="0.25">
      <c r="A1442" s="163">
        <v>44127</v>
      </c>
      <c r="B1442" s="116">
        <v>888.8</v>
      </c>
      <c r="C1442" s="116">
        <v>884.19</v>
      </c>
      <c r="D1442" s="116">
        <v>875.56</v>
      </c>
      <c r="E1442" s="116">
        <v>880.33</v>
      </c>
      <c r="F1442" s="116">
        <v>4420.95</v>
      </c>
      <c r="G1442">
        <v>2670</v>
      </c>
      <c r="H1442" s="116"/>
      <c r="I1442" s="116"/>
      <c r="L1442" s="163">
        <v>44127</v>
      </c>
      <c r="M1442" s="116">
        <v>884.51</v>
      </c>
      <c r="N1442" s="116">
        <v>889.4</v>
      </c>
      <c r="O1442" s="116">
        <v>875.54</v>
      </c>
      <c r="P1442" s="116">
        <v>879.94</v>
      </c>
      <c r="Q1442" s="116">
        <v>4422.55</v>
      </c>
      <c r="R1442">
        <v>115110</v>
      </c>
    </row>
    <row r="1443" spans="1:18" x14ac:dyDescent="0.25">
      <c r="A1443" s="163">
        <v>44130</v>
      </c>
      <c r="B1443" s="116">
        <v>895.79</v>
      </c>
      <c r="C1443" s="116">
        <v>867.65</v>
      </c>
      <c r="D1443" s="116">
        <v>860</v>
      </c>
      <c r="E1443" s="116">
        <v>895.79</v>
      </c>
      <c r="F1443" s="116">
        <v>4338.25</v>
      </c>
      <c r="G1443">
        <v>2805</v>
      </c>
      <c r="H1443" s="116"/>
      <c r="I1443" s="116"/>
      <c r="L1443" s="163">
        <v>44130</v>
      </c>
      <c r="M1443" s="116">
        <v>867.73</v>
      </c>
      <c r="N1443" s="116">
        <v>888.79</v>
      </c>
      <c r="O1443" s="116">
        <v>859.64</v>
      </c>
      <c r="P1443" s="116">
        <v>885</v>
      </c>
      <c r="Q1443" s="116">
        <v>4338.6499999999996</v>
      </c>
      <c r="R1443">
        <v>74684</v>
      </c>
    </row>
    <row r="1444" spans="1:18" x14ac:dyDescent="0.25">
      <c r="A1444" s="163">
        <v>44131</v>
      </c>
      <c r="B1444" s="116">
        <v>879.8</v>
      </c>
      <c r="C1444" s="116">
        <v>875.68</v>
      </c>
      <c r="D1444" s="116">
        <v>854.01</v>
      </c>
      <c r="E1444" s="116">
        <v>854.01</v>
      </c>
      <c r="F1444" s="116">
        <v>4378.3999999999996</v>
      </c>
      <c r="G1444">
        <v>1697</v>
      </c>
      <c r="H1444" s="116"/>
      <c r="I1444" s="116"/>
      <c r="L1444" s="163">
        <v>44131</v>
      </c>
      <c r="M1444" s="116">
        <v>876.24</v>
      </c>
      <c r="N1444" s="116">
        <v>880</v>
      </c>
      <c r="O1444" s="116">
        <v>858.01</v>
      </c>
      <c r="P1444" s="116">
        <v>866</v>
      </c>
      <c r="Q1444" s="116">
        <v>4381.2</v>
      </c>
      <c r="R1444">
        <v>104071</v>
      </c>
    </row>
    <row r="1445" spans="1:18" x14ac:dyDescent="0.25">
      <c r="A1445" s="163">
        <v>44132</v>
      </c>
      <c r="B1445" s="116">
        <v>892.14</v>
      </c>
      <c r="C1445" s="116">
        <v>874.8</v>
      </c>
      <c r="D1445" s="116">
        <v>870.66</v>
      </c>
      <c r="E1445" s="116">
        <v>875.28</v>
      </c>
      <c r="F1445" s="116">
        <v>4374</v>
      </c>
      <c r="G1445">
        <v>3377</v>
      </c>
      <c r="H1445" s="116"/>
      <c r="I1445" s="116"/>
      <c r="L1445" s="163">
        <v>44132</v>
      </c>
      <c r="M1445" s="116">
        <v>874.49</v>
      </c>
      <c r="N1445" s="116">
        <v>893.31</v>
      </c>
      <c r="O1445" s="116">
        <v>870</v>
      </c>
      <c r="P1445" s="116">
        <v>875.8</v>
      </c>
      <c r="Q1445" s="116">
        <v>4372.45</v>
      </c>
      <c r="R1445">
        <v>141268</v>
      </c>
    </row>
    <row r="1446" spans="1:18" x14ac:dyDescent="0.25">
      <c r="A1446" s="163">
        <v>44133</v>
      </c>
      <c r="B1446" s="116">
        <v>894.2</v>
      </c>
      <c r="C1446" s="116">
        <v>889.15</v>
      </c>
      <c r="D1446" s="116">
        <v>863.2</v>
      </c>
      <c r="E1446" s="116">
        <v>863.2</v>
      </c>
      <c r="F1446" s="116">
        <v>4445.75</v>
      </c>
      <c r="G1446">
        <v>5291</v>
      </c>
      <c r="H1446" s="116"/>
      <c r="I1446" s="116"/>
      <c r="L1446" s="163">
        <v>44133</v>
      </c>
      <c r="M1446" s="116">
        <v>887.68</v>
      </c>
      <c r="N1446" s="116">
        <v>894.4</v>
      </c>
      <c r="O1446" s="116">
        <v>865</v>
      </c>
      <c r="P1446" s="116">
        <v>869.98</v>
      </c>
      <c r="Q1446" s="116">
        <v>4438.3999999999996</v>
      </c>
      <c r="R1446">
        <v>144393</v>
      </c>
    </row>
    <row r="1447" spans="1:18" x14ac:dyDescent="0.25">
      <c r="A1447" s="163">
        <v>44134</v>
      </c>
      <c r="B1447" s="116">
        <v>911.05</v>
      </c>
      <c r="C1447" s="116">
        <v>883.33</v>
      </c>
      <c r="D1447" s="116">
        <v>870.23</v>
      </c>
      <c r="E1447" s="116">
        <v>890.04</v>
      </c>
      <c r="F1447" s="116">
        <v>4416.6499999999996</v>
      </c>
      <c r="G1447">
        <v>9452</v>
      </c>
      <c r="H1447" s="116"/>
      <c r="I1447" s="116"/>
      <c r="L1447" s="163">
        <v>44134</v>
      </c>
      <c r="M1447" s="116">
        <v>883.36</v>
      </c>
      <c r="N1447" s="116">
        <v>911.46</v>
      </c>
      <c r="O1447" s="116">
        <v>869.44</v>
      </c>
      <c r="P1447" s="116">
        <v>892.98</v>
      </c>
      <c r="Q1447" s="116">
        <v>4416.8</v>
      </c>
      <c r="R1447">
        <v>348338</v>
      </c>
    </row>
    <row r="1448" spans="1:18" x14ac:dyDescent="0.25">
      <c r="A1448" s="163">
        <v>44137</v>
      </c>
      <c r="B1448" s="116">
        <v>890.69</v>
      </c>
      <c r="C1448" s="116">
        <v>880.14</v>
      </c>
      <c r="D1448" s="116">
        <v>869.67</v>
      </c>
      <c r="E1448" s="116">
        <v>881.35</v>
      </c>
      <c r="F1448" s="116">
        <v>4400.7</v>
      </c>
      <c r="G1448">
        <v>2244</v>
      </c>
      <c r="H1448" s="116"/>
      <c r="I1448" s="116"/>
      <c r="L1448" s="163">
        <v>44137</v>
      </c>
      <c r="M1448" s="116">
        <v>880.53</v>
      </c>
      <c r="N1448" s="116">
        <v>892</v>
      </c>
      <c r="O1448" s="116">
        <v>869.75</v>
      </c>
      <c r="P1448" s="116">
        <v>883.36</v>
      </c>
      <c r="Q1448" s="116">
        <v>4402.6499999999996</v>
      </c>
      <c r="R1448">
        <v>143892</v>
      </c>
    </row>
    <row r="1449" spans="1:18" x14ac:dyDescent="0.25">
      <c r="A1449" s="163">
        <v>44138</v>
      </c>
      <c r="B1449" s="116">
        <v>885.92</v>
      </c>
      <c r="C1449" s="116">
        <v>878.88</v>
      </c>
      <c r="D1449" s="116">
        <v>866.9</v>
      </c>
      <c r="E1449" s="116">
        <v>885.92</v>
      </c>
      <c r="F1449" s="116">
        <v>4394.3999999999996</v>
      </c>
      <c r="G1449">
        <v>2376</v>
      </c>
      <c r="H1449" s="116"/>
      <c r="I1449" s="116"/>
      <c r="L1449" s="163">
        <v>44138</v>
      </c>
      <c r="M1449" s="116">
        <v>878.76</v>
      </c>
      <c r="N1449" s="116">
        <v>888.98</v>
      </c>
      <c r="O1449" s="116">
        <v>866.83</v>
      </c>
      <c r="P1449" s="116">
        <v>886.04</v>
      </c>
      <c r="Q1449" s="116">
        <v>4393.8</v>
      </c>
      <c r="R1449">
        <v>116245</v>
      </c>
    </row>
    <row r="1450" spans="1:18" x14ac:dyDescent="0.25">
      <c r="A1450" s="163">
        <v>44139</v>
      </c>
      <c r="B1450" s="116">
        <v>891.3</v>
      </c>
      <c r="C1450" s="116">
        <v>887.95</v>
      </c>
      <c r="D1450" s="116">
        <v>871.14</v>
      </c>
      <c r="E1450" s="116">
        <v>878</v>
      </c>
      <c r="F1450" s="116">
        <v>4439.75</v>
      </c>
      <c r="G1450">
        <v>5543</v>
      </c>
      <c r="H1450" s="116"/>
      <c r="I1450" s="116"/>
      <c r="L1450" s="163">
        <v>44139</v>
      </c>
      <c r="M1450" s="116">
        <v>888.63</v>
      </c>
      <c r="N1450" s="116">
        <v>891.8</v>
      </c>
      <c r="O1450" s="116">
        <v>871</v>
      </c>
      <c r="P1450" s="116">
        <v>880</v>
      </c>
      <c r="Q1450" s="116">
        <v>4443.1499999999996</v>
      </c>
      <c r="R1450">
        <v>157063</v>
      </c>
    </row>
    <row r="1451" spans="1:18" x14ac:dyDescent="0.25">
      <c r="A1451" s="163">
        <v>44140</v>
      </c>
      <c r="B1451" s="116">
        <v>976.74</v>
      </c>
      <c r="C1451" s="116">
        <v>973.84</v>
      </c>
      <c r="D1451" s="116">
        <v>898.25</v>
      </c>
      <c r="E1451" s="116">
        <v>915.6</v>
      </c>
      <c r="F1451" s="116">
        <v>4869.2</v>
      </c>
      <c r="G1451">
        <v>42416</v>
      </c>
      <c r="H1451" s="116"/>
      <c r="I1451" s="116"/>
      <c r="L1451" s="163">
        <v>44140</v>
      </c>
      <c r="M1451" s="116">
        <v>973.4</v>
      </c>
      <c r="N1451" s="116">
        <v>977.49</v>
      </c>
      <c r="O1451" s="116">
        <v>898.4</v>
      </c>
      <c r="P1451" s="116">
        <v>918</v>
      </c>
      <c r="Q1451" s="116">
        <v>4867</v>
      </c>
      <c r="R1451">
        <v>1465504</v>
      </c>
    </row>
    <row r="1452" spans="1:18" x14ac:dyDescent="0.25">
      <c r="A1452" s="163">
        <v>44141</v>
      </c>
      <c r="B1452" s="116">
        <v>1014.97</v>
      </c>
      <c r="C1452" s="116">
        <v>990.41</v>
      </c>
      <c r="D1452" s="116">
        <v>970.01</v>
      </c>
      <c r="E1452" s="116">
        <v>974</v>
      </c>
      <c r="F1452" s="116">
        <v>4952.05</v>
      </c>
      <c r="G1452">
        <v>46040</v>
      </c>
      <c r="H1452" s="116"/>
      <c r="I1452" s="116"/>
      <c r="L1452" s="163">
        <v>44141</v>
      </c>
      <c r="M1452" s="116">
        <v>993.38</v>
      </c>
      <c r="N1452" s="116">
        <v>1014.8</v>
      </c>
      <c r="O1452" s="116">
        <v>970.6</v>
      </c>
      <c r="P1452" s="116">
        <v>973.4</v>
      </c>
      <c r="Q1452" s="116">
        <v>4966.8999999999996</v>
      </c>
      <c r="R1452">
        <v>1244337</v>
      </c>
    </row>
    <row r="1453" spans="1:18" x14ac:dyDescent="0.25">
      <c r="A1453" s="163">
        <v>44144</v>
      </c>
      <c r="B1453" s="116">
        <v>1020</v>
      </c>
      <c r="C1453" s="116">
        <v>1014.14</v>
      </c>
      <c r="D1453" s="116">
        <v>986.92</v>
      </c>
      <c r="E1453" s="116">
        <v>993.38</v>
      </c>
      <c r="F1453" s="116">
        <v>5070.7</v>
      </c>
      <c r="G1453">
        <v>10776</v>
      </c>
      <c r="H1453" s="116"/>
      <c r="I1453" s="116"/>
      <c r="L1453" s="163">
        <v>44144</v>
      </c>
      <c r="M1453" s="116">
        <v>1011.05</v>
      </c>
      <c r="N1453" s="116">
        <v>1020</v>
      </c>
      <c r="O1453" s="116">
        <v>986.41</v>
      </c>
      <c r="P1453" s="116">
        <v>993.39</v>
      </c>
      <c r="Q1453" s="116">
        <v>5055.25</v>
      </c>
      <c r="R1453">
        <v>279137</v>
      </c>
    </row>
    <row r="1454" spans="1:18" x14ac:dyDescent="0.25">
      <c r="A1454" s="163">
        <v>44145</v>
      </c>
      <c r="B1454" s="116">
        <v>1026</v>
      </c>
      <c r="C1454" s="116">
        <v>996.4</v>
      </c>
      <c r="D1454" s="116">
        <v>986.33</v>
      </c>
      <c r="E1454" s="116">
        <v>1025</v>
      </c>
      <c r="F1454" s="116">
        <v>4982</v>
      </c>
      <c r="G1454">
        <v>10119</v>
      </c>
      <c r="H1454" s="116"/>
      <c r="I1454" s="116"/>
      <c r="L1454" s="163">
        <v>44145</v>
      </c>
      <c r="M1454" s="116">
        <v>996.93</v>
      </c>
      <c r="N1454" s="116">
        <v>1024.4000000000001</v>
      </c>
      <c r="O1454" s="116">
        <v>986.43</v>
      </c>
      <c r="P1454" s="116">
        <v>1019.8</v>
      </c>
      <c r="Q1454" s="116">
        <v>4984.6499999999996</v>
      </c>
      <c r="R1454">
        <v>239183</v>
      </c>
    </row>
    <row r="1455" spans="1:18" x14ac:dyDescent="0.25">
      <c r="A1455" s="163">
        <v>44146</v>
      </c>
      <c r="B1455" s="116">
        <v>1007.4</v>
      </c>
      <c r="C1455" s="116">
        <v>1001.7</v>
      </c>
      <c r="D1455" s="116">
        <v>987.31</v>
      </c>
      <c r="E1455" s="116">
        <v>995</v>
      </c>
      <c r="F1455" s="116">
        <v>5008.5</v>
      </c>
      <c r="G1455">
        <v>3793</v>
      </c>
      <c r="H1455" s="116"/>
      <c r="I1455" s="116"/>
      <c r="L1455" s="163">
        <v>44146</v>
      </c>
      <c r="M1455" s="116">
        <v>1000.99</v>
      </c>
      <c r="N1455" s="116">
        <v>1007.9</v>
      </c>
      <c r="O1455" s="116">
        <v>987.07</v>
      </c>
      <c r="P1455" s="116">
        <v>995.63</v>
      </c>
      <c r="Q1455" s="116">
        <v>5004.95</v>
      </c>
      <c r="R1455">
        <v>169259</v>
      </c>
    </row>
    <row r="1456" spans="1:18" x14ac:dyDescent="0.25">
      <c r="A1456" s="163">
        <v>44147</v>
      </c>
      <c r="B1456" s="116">
        <v>1024</v>
      </c>
      <c r="C1456" s="116">
        <v>1017.64</v>
      </c>
      <c r="D1456" s="116">
        <v>992.2</v>
      </c>
      <c r="E1456" s="116">
        <v>992.2</v>
      </c>
      <c r="F1456" s="116">
        <v>5088.2</v>
      </c>
      <c r="G1456">
        <v>20761</v>
      </c>
      <c r="H1456" s="116"/>
      <c r="I1456" s="116"/>
      <c r="L1456" s="163">
        <v>44147</v>
      </c>
      <c r="M1456" s="116">
        <v>1016.93</v>
      </c>
      <c r="N1456" s="116">
        <v>1025</v>
      </c>
      <c r="O1456" s="116">
        <v>997.16</v>
      </c>
      <c r="P1456" s="116">
        <v>1000.99</v>
      </c>
      <c r="Q1456" s="116">
        <v>5084.6499999999996</v>
      </c>
      <c r="R1456">
        <v>269147</v>
      </c>
    </row>
    <row r="1457" spans="1:18" x14ac:dyDescent="0.25">
      <c r="A1457" s="163">
        <v>44148</v>
      </c>
      <c r="B1457" s="116">
        <v>1030</v>
      </c>
      <c r="C1457" s="116">
        <v>1028.0899999999999</v>
      </c>
      <c r="D1457" s="116">
        <v>1009.4</v>
      </c>
      <c r="E1457" s="116">
        <v>1014.71</v>
      </c>
      <c r="F1457" s="116">
        <v>5140.45</v>
      </c>
      <c r="G1457">
        <v>7025</v>
      </c>
      <c r="H1457" s="116"/>
      <c r="I1457" s="116"/>
      <c r="L1457" s="163">
        <v>44148</v>
      </c>
      <c r="M1457" s="116">
        <v>1027.4100000000001</v>
      </c>
      <c r="N1457" s="116">
        <v>1030.4000000000001</v>
      </c>
      <c r="O1457" s="116">
        <v>1008.01</v>
      </c>
      <c r="P1457" s="116">
        <v>1008.01</v>
      </c>
      <c r="Q1457" s="116">
        <v>5137.05</v>
      </c>
      <c r="R1457">
        <v>169351</v>
      </c>
    </row>
    <row r="1458" spans="1:18" x14ac:dyDescent="0.25">
      <c r="A1458" s="163">
        <v>44149</v>
      </c>
      <c r="B1458" s="116">
        <v>1037</v>
      </c>
      <c r="C1458" s="116">
        <v>1028.25</v>
      </c>
      <c r="D1458" s="116">
        <v>1021.82</v>
      </c>
      <c r="E1458" s="116">
        <v>1037</v>
      </c>
      <c r="F1458" s="116">
        <v>5141.25</v>
      </c>
      <c r="G1458">
        <v>1741</v>
      </c>
      <c r="H1458" s="116"/>
      <c r="I1458" s="116"/>
      <c r="L1458" s="163">
        <v>44149</v>
      </c>
      <c r="M1458" s="116">
        <v>1027.07</v>
      </c>
      <c r="N1458" s="116">
        <v>1032</v>
      </c>
      <c r="O1458" s="116">
        <v>1022.38</v>
      </c>
      <c r="P1458" s="116">
        <v>1028.4000000000001</v>
      </c>
      <c r="Q1458" s="116">
        <v>5135.3500000000004</v>
      </c>
      <c r="R1458">
        <v>21620</v>
      </c>
    </row>
    <row r="1459" spans="1:18" x14ac:dyDescent="0.25">
      <c r="A1459" s="163">
        <v>44152</v>
      </c>
      <c r="B1459" s="116">
        <v>1035</v>
      </c>
      <c r="C1459" s="116">
        <v>1011.52</v>
      </c>
      <c r="D1459" s="116">
        <v>1007.33</v>
      </c>
      <c r="E1459" s="116">
        <v>1028.25</v>
      </c>
      <c r="F1459" s="116">
        <v>5057.6000000000004</v>
      </c>
      <c r="G1459">
        <v>9058</v>
      </c>
      <c r="H1459" s="116"/>
      <c r="I1459" s="116"/>
      <c r="L1459" s="163">
        <v>44152</v>
      </c>
      <c r="M1459" s="116">
        <v>1012.4</v>
      </c>
      <c r="N1459" s="116">
        <v>1035.6500000000001</v>
      </c>
      <c r="O1459" s="116">
        <v>1007.1</v>
      </c>
      <c r="P1459" s="116">
        <v>1027.0999999999999</v>
      </c>
      <c r="Q1459" s="116">
        <v>5062</v>
      </c>
      <c r="R1459">
        <v>233538</v>
      </c>
    </row>
    <row r="1460" spans="1:18" x14ac:dyDescent="0.25">
      <c r="A1460" s="163">
        <v>44153</v>
      </c>
      <c r="B1460" s="116">
        <v>1016.54</v>
      </c>
      <c r="C1460" s="116">
        <v>1005.73</v>
      </c>
      <c r="D1460" s="116">
        <v>1000.2</v>
      </c>
      <c r="E1460" s="116">
        <v>1000.2</v>
      </c>
      <c r="F1460" s="116">
        <v>5028.6499999999996</v>
      </c>
      <c r="G1460">
        <v>2382</v>
      </c>
      <c r="H1460" s="116"/>
      <c r="I1460" s="116"/>
      <c r="L1460" s="163">
        <v>44153</v>
      </c>
      <c r="M1460" s="116">
        <v>1005.6</v>
      </c>
      <c r="N1460" s="116">
        <v>1016.84</v>
      </c>
      <c r="O1460" s="116">
        <v>1001.8</v>
      </c>
      <c r="P1460" s="116">
        <v>1010</v>
      </c>
      <c r="Q1460" s="116">
        <v>5028</v>
      </c>
      <c r="R1460">
        <v>150095</v>
      </c>
    </row>
    <row r="1461" spans="1:18" x14ac:dyDescent="0.25">
      <c r="A1461" s="163">
        <v>44154</v>
      </c>
      <c r="B1461" s="116">
        <v>1042.94</v>
      </c>
      <c r="C1461" s="116">
        <v>1010.41</v>
      </c>
      <c r="D1461" s="116">
        <v>995.48</v>
      </c>
      <c r="E1461" s="116">
        <v>1004</v>
      </c>
      <c r="F1461" s="116">
        <v>5052.05</v>
      </c>
      <c r="G1461">
        <v>8992</v>
      </c>
      <c r="H1461" s="116"/>
      <c r="I1461" s="116"/>
      <c r="L1461" s="163">
        <v>44154</v>
      </c>
      <c r="M1461" s="116">
        <v>1010.76</v>
      </c>
      <c r="N1461" s="116">
        <v>1043</v>
      </c>
      <c r="O1461" s="116">
        <v>991.54</v>
      </c>
      <c r="P1461" s="116">
        <v>1002.6</v>
      </c>
      <c r="Q1461" s="116">
        <v>5053.8</v>
      </c>
      <c r="R1461">
        <v>484419</v>
      </c>
    </row>
    <row r="1462" spans="1:18" x14ac:dyDescent="0.25">
      <c r="A1462" s="163">
        <v>44155</v>
      </c>
      <c r="B1462" s="116">
        <v>1034.32</v>
      </c>
      <c r="C1462" s="116">
        <v>1018.15</v>
      </c>
      <c r="D1462" s="116">
        <v>1006.88</v>
      </c>
      <c r="E1462" s="116">
        <v>1012.2</v>
      </c>
      <c r="F1462" s="116">
        <v>5090.75</v>
      </c>
      <c r="G1462">
        <v>3912</v>
      </c>
      <c r="H1462" s="116"/>
      <c r="I1462" s="116"/>
      <c r="L1462" s="163">
        <v>44155</v>
      </c>
      <c r="M1462" s="116">
        <v>1017.43</v>
      </c>
      <c r="N1462" s="116">
        <v>1034.83</v>
      </c>
      <c r="O1462" s="116">
        <v>1006.33</v>
      </c>
      <c r="P1462" s="116">
        <v>1010.22</v>
      </c>
      <c r="Q1462" s="116">
        <v>5087.1499999999996</v>
      </c>
      <c r="R1462">
        <v>183116</v>
      </c>
    </row>
    <row r="1463" spans="1:18" x14ac:dyDescent="0.25">
      <c r="A1463" s="163">
        <v>44158</v>
      </c>
      <c r="B1463" s="116">
        <v>1034.95</v>
      </c>
      <c r="C1463" s="116">
        <v>1031.3699999999999</v>
      </c>
      <c r="D1463" s="116">
        <v>1015.2</v>
      </c>
      <c r="E1463" s="116">
        <v>1015.2</v>
      </c>
      <c r="F1463" s="116">
        <v>5156.8500000000004</v>
      </c>
      <c r="G1463">
        <v>4018</v>
      </c>
      <c r="H1463" s="116"/>
      <c r="I1463" s="116"/>
      <c r="L1463" s="163">
        <v>44158</v>
      </c>
      <c r="M1463" s="116">
        <v>1031.81</v>
      </c>
      <c r="N1463" s="116">
        <v>1035</v>
      </c>
      <c r="O1463" s="116">
        <v>1014.86</v>
      </c>
      <c r="P1463" s="116">
        <v>1020.25</v>
      </c>
      <c r="Q1463" s="116">
        <v>5159.05</v>
      </c>
      <c r="R1463">
        <v>135908</v>
      </c>
    </row>
    <row r="1464" spans="1:18" x14ac:dyDescent="0.25">
      <c r="A1464" s="163">
        <v>44159</v>
      </c>
      <c r="B1464" s="116">
        <v>1073</v>
      </c>
      <c r="C1464" s="116">
        <v>1066.3900000000001</v>
      </c>
      <c r="D1464" s="116">
        <v>1036.77</v>
      </c>
      <c r="E1464" s="116">
        <v>1038.75</v>
      </c>
      <c r="F1464" s="116">
        <v>5331.95</v>
      </c>
      <c r="G1464">
        <v>9776</v>
      </c>
      <c r="H1464" s="116"/>
      <c r="I1464" s="116"/>
      <c r="L1464" s="163">
        <v>44159</v>
      </c>
      <c r="M1464" s="116">
        <v>1066.52</v>
      </c>
      <c r="N1464" s="116">
        <v>1073.44</v>
      </c>
      <c r="O1464" s="116">
        <v>1032.01</v>
      </c>
      <c r="P1464" s="116">
        <v>1034.8</v>
      </c>
      <c r="Q1464" s="116">
        <v>5332.6</v>
      </c>
      <c r="R1464">
        <v>439124</v>
      </c>
    </row>
    <row r="1465" spans="1:18" x14ac:dyDescent="0.25">
      <c r="A1465" s="163">
        <v>44160</v>
      </c>
      <c r="B1465" s="116">
        <v>1069.8399999999999</v>
      </c>
      <c r="C1465" s="116">
        <v>1021.05</v>
      </c>
      <c r="D1465" s="116">
        <v>1016.3</v>
      </c>
      <c r="E1465" s="116">
        <v>1069.3800000000001</v>
      </c>
      <c r="F1465" s="116">
        <v>5105.25</v>
      </c>
      <c r="G1465">
        <v>7872</v>
      </c>
      <c r="H1465" s="116"/>
      <c r="I1465" s="116"/>
      <c r="L1465" s="163">
        <v>44160</v>
      </c>
      <c r="M1465" s="116">
        <v>1021.15</v>
      </c>
      <c r="N1465" s="116">
        <v>1070.5999999999999</v>
      </c>
      <c r="O1465" s="116">
        <v>1016.48</v>
      </c>
      <c r="P1465" s="116">
        <v>1069</v>
      </c>
      <c r="Q1465" s="116">
        <v>5105.75</v>
      </c>
      <c r="R1465">
        <v>276061</v>
      </c>
    </row>
    <row r="1466" spans="1:18" x14ac:dyDescent="0.25">
      <c r="A1466" s="163">
        <v>44161</v>
      </c>
      <c r="B1466" s="116">
        <v>1031.8900000000001</v>
      </c>
      <c r="C1466" s="116">
        <v>1015.94</v>
      </c>
      <c r="D1466" s="116">
        <v>1006.2</v>
      </c>
      <c r="E1466" s="116">
        <v>1028.83</v>
      </c>
      <c r="F1466" s="116">
        <v>5079.7</v>
      </c>
      <c r="G1466">
        <v>4450</v>
      </c>
      <c r="H1466" s="116"/>
      <c r="I1466" s="116"/>
      <c r="L1466" s="163">
        <v>44161</v>
      </c>
      <c r="M1466" s="116">
        <v>1015.22</v>
      </c>
      <c r="N1466" s="116">
        <v>1033.2</v>
      </c>
      <c r="O1466" s="116">
        <v>1005.28</v>
      </c>
      <c r="P1466" s="116">
        <v>1027.8</v>
      </c>
      <c r="Q1466" s="116">
        <v>5076.1000000000004</v>
      </c>
      <c r="R1466">
        <v>233949</v>
      </c>
    </row>
    <row r="1467" spans="1:18" x14ac:dyDescent="0.25">
      <c r="A1467" s="163">
        <v>44162</v>
      </c>
      <c r="B1467" s="116">
        <v>1037.5999999999999</v>
      </c>
      <c r="C1467" s="116">
        <v>1027.06</v>
      </c>
      <c r="D1467" s="116">
        <v>1006.17</v>
      </c>
      <c r="E1467" s="116">
        <v>1010</v>
      </c>
      <c r="F1467" s="116">
        <v>5135.3</v>
      </c>
      <c r="G1467">
        <v>8884</v>
      </c>
      <c r="H1467" s="116"/>
      <c r="I1467" s="116"/>
      <c r="L1467" s="163">
        <v>44162</v>
      </c>
      <c r="M1467" s="116">
        <v>1026.73</v>
      </c>
      <c r="N1467" s="116">
        <v>1038.4000000000001</v>
      </c>
      <c r="O1467" s="116">
        <v>1006</v>
      </c>
      <c r="P1467" s="116">
        <v>1018</v>
      </c>
      <c r="Q1467" s="116">
        <v>5133.6499999999996</v>
      </c>
      <c r="R1467">
        <v>495836</v>
      </c>
    </row>
    <row r="1468" spans="1:18" x14ac:dyDescent="0.25">
      <c r="A1468" s="163">
        <v>44166</v>
      </c>
      <c r="B1468" s="116">
        <v>1037</v>
      </c>
      <c r="C1468" s="116">
        <v>1019.74</v>
      </c>
      <c r="D1468" s="116">
        <v>1013.47</v>
      </c>
      <c r="E1468" s="116">
        <v>1037</v>
      </c>
      <c r="F1468" s="116">
        <v>5098.7</v>
      </c>
      <c r="G1468">
        <v>3816</v>
      </c>
      <c r="H1468" s="116"/>
      <c r="I1468" s="116"/>
      <c r="L1468" s="163">
        <v>44166</v>
      </c>
      <c r="M1468" s="116">
        <v>1019.6</v>
      </c>
      <c r="N1468" s="116">
        <v>1035.9000000000001</v>
      </c>
      <c r="O1468" s="116">
        <v>1013.27</v>
      </c>
      <c r="P1468" s="116">
        <v>1035.9000000000001</v>
      </c>
      <c r="Q1468" s="116">
        <v>5098</v>
      </c>
      <c r="R1468">
        <v>116811</v>
      </c>
    </row>
    <row r="1469" spans="1:18" x14ac:dyDescent="0.25">
      <c r="A1469" s="163">
        <v>44167</v>
      </c>
      <c r="B1469" s="116">
        <v>1049</v>
      </c>
      <c r="C1469" s="116">
        <v>1042.73</v>
      </c>
      <c r="D1469" s="116">
        <v>1017.49</v>
      </c>
      <c r="E1469" s="116">
        <v>1020</v>
      </c>
      <c r="F1469" s="116">
        <v>5213.6499999999996</v>
      </c>
      <c r="G1469">
        <v>10133</v>
      </c>
      <c r="H1469" s="116"/>
      <c r="I1469" s="116"/>
      <c r="L1469" s="163">
        <v>44167</v>
      </c>
      <c r="M1469" s="116">
        <v>1042.55</v>
      </c>
      <c r="N1469" s="116">
        <v>1048.44</v>
      </c>
      <c r="O1469" s="116">
        <v>1018.38</v>
      </c>
      <c r="P1469" s="116">
        <v>1021.6</v>
      </c>
      <c r="Q1469" s="116">
        <v>5212.75</v>
      </c>
      <c r="R1469">
        <v>208526</v>
      </c>
    </row>
    <row r="1470" spans="1:18" x14ac:dyDescent="0.25">
      <c r="A1470" s="163">
        <v>44168</v>
      </c>
      <c r="B1470" s="116">
        <v>1064.69</v>
      </c>
      <c r="C1470" s="116">
        <v>1053.21</v>
      </c>
      <c r="D1470" s="116">
        <v>1040.2</v>
      </c>
      <c r="E1470" s="116">
        <v>1040.2</v>
      </c>
      <c r="F1470" s="116">
        <v>5266.05</v>
      </c>
      <c r="G1470">
        <v>9098</v>
      </c>
      <c r="H1470" s="116"/>
      <c r="I1470" s="116"/>
      <c r="L1470" s="163">
        <v>44168</v>
      </c>
      <c r="M1470" s="116">
        <v>1053.33</v>
      </c>
      <c r="N1470" s="116">
        <v>1065</v>
      </c>
      <c r="O1470" s="116">
        <v>1043.4100000000001</v>
      </c>
      <c r="P1470" s="116">
        <v>1047</v>
      </c>
      <c r="Q1470" s="116">
        <v>5266.65</v>
      </c>
      <c r="R1470">
        <v>208526</v>
      </c>
    </row>
    <row r="1471" spans="1:18" x14ac:dyDescent="0.25">
      <c r="A1471" s="163">
        <v>44169</v>
      </c>
      <c r="B1471" s="116">
        <v>1069.4000000000001</v>
      </c>
      <c r="C1471" s="116">
        <v>1066.48</v>
      </c>
      <c r="D1471" s="116">
        <v>1048</v>
      </c>
      <c r="E1471" s="116">
        <v>1055</v>
      </c>
      <c r="F1471" s="116">
        <v>5332.4</v>
      </c>
      <c r="G1471">
        <v>5731</v>
      </c>
      <c r="H1471" s="116"/>
      <c r="I1471" s="116"/>
      <c r="L1471" s="163">
        <v>44169</v>
      </c>
      <c r="M1471" s="116">
        <v>1066.58</v>
      </c>
      <c r="N1471" s="116">
        <v>1069.48</v>
      </c>
      <c r="O1471" s="116">
        <v>1045.8800000000001</v>
      </c>
      <c r="P1471" s="116">
        <v>1051.8</v>
      </c>
      <c r="Q1471" s="116">
        <v>5332.9</v>
      </c>
      <c r="R1471">
        <v>131550</v>
      </c>
    </row>
    <row r="1472" spans="1:18" x14ac:dyDescent="0.25">
      <c r="A1472" s="163">
        <v>44172</v>
      </c>
      <c r="B1472" s="116">
        <v>1084.02</v>
      </c>
      <c r="C1472" s="116">
        <v>1072.54</v>
      </c>
      <c r="D1472" s="116">
        <v>1067.29</v>
      </c>
      <c r="E1472" s="116">
        <v>1070</v>
      </c>
      <c r="F1472" s="116">
        <v>5362.7</v>
      </c>
      <c r="G1472">
        <v>3743</v>
      </c>
      <c r="H1472" s="116"/>
      <c r="I1472" s="116"/>
      <c r="L1472" s="163">
        <v>44172</v>
      </c>
      <c r="M1472" s="116">
        <v>1073.46</v>
      </c>
      <c r="N1472" s="116">
        <v>1084.8</v>
      </c>
      <c r="O1472" s="116">
        <v>1066.58</v>
      </c>
      <c r="P1472" s="116">
        <v>1067.58</v>
      </c>
      <c r="Q1472" s="116">
        <v>5367.3</v>
      </c>
      <c r="R1472">
        <v>157050</v>
      </c>
    </row>
    <row r="1473" spans="1:18" x14ac:dyDescent="0.25">
      <c r="A1473" s="163">
        <v>44173</v>
      </c>
      <c r="B1473" s="116">
        <v>1085.4000000000001</v>
      </c>
      <c r="C1473" s="116">
        <v>1067.1300000000001</v>
      </c>
      <c r="D1473" s="116">
        <v>1063</v>
      </c>
      <c r="E1473" s="116">
        <v>1079</v>
      </c>
      <c r="F1473" s="116">
        <v>5335.65</v>
      </c>
      <c r="G1473">
        <v>6565</v>
      </c>
      <c r="H1473" s="116"/>
      <c r="I1473" s="116"/>
      <c r="L1473" s="163">
        <v>44173</v>
      </c>
      <c r="M1473" s="116">
        <v>1069.1400000000001</v>
      </c>
      <c r="N1473" s="116">
        <v>1085.5899999999999</v>
      </c>
      <c r="O1473" s="116">
        <v>1062.45</v>
      </c>
      <c r="P1473" s="116">
        <v>1076.96</v>
      </c>
      <c r="Q1473" s="116">
        <v>5345.7</v>
      </c>
      <c r="R1473">
        <v>124339</v>
      </c>
    </row>
    <row r="1474" spans="1:18" x14ac:dyDescent="0.25">
      <c r="A1474" s="163">
        <v>44174</v>
      </c>
      <c r="B1474" s="116">
        <v>1089.04</v>
      </c>
      <c r="C1474" s="116">
        <v>1084.17</v>
      </c>
      <c r="D1474" s="116">
        <v>1069.5999999999999</v>
      </c>
      <c r="E1474" s="116">
        <v>1069.5999999999999</v>
      </c>
      <c r="F1474" s="116">
        <v>5420.85</v>
      </c>
      <c r="G1474">
        <v>7434</v>
      </c>
      <c r="H1474" s="116"/>
      <c r="I1474" s="116"/>
      <c r="L1474" s="163">
        <v>44174</v>
      </c>
      <c r="M1474" s="116">
        <v>1084.8699999999999</v>
      </c>
      <c r="N1474" s="116">
        <v>1089.5899999999999</v>
      </c>
      <c r="O1474" s="116">
        <v>1070.5999999999999</v>
      </c>
      <c r="P1474" s="116">
        <v>1070.5999999999999</v>
      </c>
      <c r="Q1474" s="116">
        <v>5424.35</v>
      </c>
      <c r="R1474">
        <v>159758</v>
      </c>
    </row>
    <row r="1475" spans="1:18" x14ac:dyDescent="0.25">
      <c r="A1475" s="163">
        <v>44175</v>
      </c>
      <c r="B1475" s="116">
        <v>1084</v>
      </c>
      <c r="C1475" s="116">
        <v>1061.8399999999999</v>
      </c>
      <c r="D1475" s="116">
        <v>1055.8499999999999</v>
      </c>
      <c r="E1475" s="116">
        <v>1078.58</v>
      </c>
      <c r="F1475" s="116">
        <v>5309.2</v>
      </c>
      <c r="G1475">
        <v>6001</v>
      </c>
      <c r="H1475" s="116"/>
      <c r="I1475" s="116"/>
      <c r="L1475" s="163">
        <v>44175</v>
      </c>
      <c r="M1475" s="116">
        <v>1062.8699999999999</v>
      </c>
      <c r="N1475" s="116">
        <v>1083.8</v>
      </c>
      <c r="O1475" s="116">
        <v>1056</v>
      </c>
      <c r="P1475" s="116">
        <v>1081.8</v>
      </c>
      <c r="Q1475" s="116">
        <v>5314.35</v>
      </c>
      <c r="R1475">
        <v>121245</v>
      </c>
    </row>
    <row r="1476" spans="1:18" x14ac:dyDescent="0.25">
      <c r="A1476" s="163">
        <v>44176</v>
      </c>
      <c r="B1476" s="116">
        <v>1074.04</v>
      </c>
      <c r="C1476" s="116">
        <v>1054.0899999999999</v>
      </c>
      <c r="D1476" s="116">
        <v>1048.01</v>
      </c>
      <c r="E1476" s="116">
        <v>1068.49</v>
      </c>
      <c r="F1476" s="116">
        <v>5270.45</v>
      </c>
      <c r="G1476">
        <v>3920</v>
      </c>
      <c r="H1476" s="116"/>
      <c r="I1476" s="116"/>
      <c r="L1476" s="163">
        <v>44176</v>
      </c>
      <c r="M1476" s="116">
        <v>1053.5899999999999</v>
      </c>
      <c r="N1476" s="116">
        <v>1074.99</v>
      </c>
      <c r="O1476" s="116">
        <v>1047.98</v>
      </c>
      <c r="P1476" s="116">
        <v>1066.1199999999999</v>
      </c>
      <c r="Q1476" s="116">
        <v>5267.95</v>
      </c>
      <c r="R1476">
        <v>100993</v>
      </c>
    </row>
    <row r="1477" spans="1:18" x14ac:dyDescent="0.25">
      <c r="A1477" s="163">
        <v>44179</v>
      </c>
      <c r="B1477" s="116">
        <v>1069.29</v>
      </c>
      <c r="C1477" s="116">
        <v>1061.4000000000001</v>
      </c>
      <c r="D1477" s="116">
        <v>1048</v>
      </c>
      <c r="E1477" s="116">
        <v>1054.52</v>
      </c>
      <c r="F1477" s="116">
        <v>5307</v>
      </c>
      <c r="G1477">
        <v>5947</v>
      </c>
      <c r="H1477" s="116"/>
      <c r="I1477" s="116"/>
      <c r="L1477" s="163">
        <v>44179</v>
      </c>
      <c r="M1477" s="116">
        <v>1062.3599999999999</v>
      </c>
      <c r="N1477" s="116">
        <v>1069.69</v>
      </c>
      <c r="O1477" s="116">
        <v>1048.06</v>
      </c>
      <c r="P1477" s="116">
        <v>1059.8</v>
      </c>
      <c r="Q1477" s="116">
        <v>5311.8</v>
      </c>
      <c r="R1477">
        <v>134670</v>
      </c>
    </row>
    <row r="1478" spans="1:18" x14ac:dyDescent="0.25">
      <c r="A1478" s="163">
        <v>44180</v>
      </c>
      <c r="B1478" s="116">
        <v>1065.1199999999999</v>
      </c>
      <c r="C1478" s="116">
        <v>1041.55</v>
      </c>
      <c r="D1478" s="116">
        <v>1039.6400000000001</v>
      </c>
      <c r="E1478" s="116">
        <v>1064.3800000000001</v>
      </c>
      <c r="F1478" s="116">
        <v>5207.75</v>
      </c>
      <c r="G1478">
        <v>4485</v>
      </c>
      <c r="H1478" s="116"/>
      <c r="I1478" s="116"/>
      <c r="L1478" s="163">
        <v>44180</v>
      </c>
      <c r="M1478" s="116">
        <v>1043.25</v>
      </c>
      <c r="N1478" s="116">
        <v>1068.27</v>
      </c>
      <c r="O1478" s="116">
        <v>1040.01</v>
      </c>
      <c r="P1478" s="116">
        <v>1061.5999999999999</v>
      </c>
      <c r="Q1478" s="116">
        <v>5216.25</v>
      </c>
      <c r="R1478">
        <v>215034</v>
      </c>
    </row>
    <row r="1479" spans="1:18" x14ac:dyDescent="0.25">
      <c r="A1479" s="163">
        <v>44181</v>
      </c>
      <c r="B1479" s="116">
        <v>1071.24</v>
      </c>
      <c r="C1479" s="116">
        <v>1068.3699999999999</v>
      </c>
      <c r="D1479" s="116">
        <v>1044.25</v>
      </c>
      <c r="E1479" s="116">
        <v>1047.94</v>
      </c>
      <c r="F1479" s="116">
        <v>5341.85</v>
      </c>
      <c r="G1479">
        <v>7406</v>
      </c>
      <c r="H1479" s="116"/>
      <c r="I1479" s="116"/>
      <c r="L1479" s="163">
        <v>44181</v>
      </c>
      <c r="M1479" s="116">
        <v>1068.6099999999999</v>
      </c>
      <c r="N1479" s="116">
        <v>1071.56</v>
      </c>
      <c r="O1479" s="116">
        <v>1044.4000000000001</v>
      </c>
      <c r="P1479" s="116">
        <v>1051.1099999999999</v>
      </c>
      <c r="Q1479" s="116">
        <v>5343.05</v>
      </c>
      <c r="R1479">
        <v>196024</v>
      </c>
    </row>
    <row r="1480" spans="1:18" x14ac:dyDescent="0.25">
      <c r="A1480" s="163">
        <v>44182</v>
      </c>
      <c r="B1480" s="116">
        <v>1117</v>
      </c>
      <c r="C1480" s="116">
        <v>1106.1300000000001</v>
      </c>
      <c r="D1480" s="116">
        <v>1065.42</v>
      </c>
      <c r="E1480" s="116">
        <v>1066</v>
      </c>
      <c r="F1480" s="116">
        <v>5530.65</v>
      </c>
      <c r="G1480">
        <v>14199</v>
      </c>
      <c r="H1480" s="116"/>
      <c r="I1480" s="116"/>
      <c r="L1480" s="163">
        <v>44182</v>
      </c>
      <c r="M1480" s="116">
        <v>1105.92</v>
      </c>
      <c r="N1480" s="116">
        <v>1116.8</v>
      </c>
      <c r="O1480" s="116">
        <v>1062.4000000000001</v>
      </c>
      <c r="P1480" s="116">
        <v>1062.4000000000001</v>
      </c>
      <c r="Q1480" s="116">
        <v>5529.6</v>
      </c>
      <c r="R1480">
        <v>471701</v>
      </c>
    </row>
    <row r="1481" spans="1:18" x14ac:dyDescent="0.25">
      <c r="A1481" s="163">
        <v>44183</v>
      </c>
      <c r="B1481" s="116">
        <v>1122.02</v>
      </c>
      <c r="C1481" s="116">
        <v>1109.42</v>
      </c>
      <c r="D1481" s="116">
        <v>1097</v>
      </c>
      <c r="E1481" s="116">
        <v>1115.4000000000001</v>
      </c>
      <c r="F1481" s="116">
        <v>5547.1</v>
      </c>
      <c r="G1481">
        <v>14141</v>
      </c>
      <c r="H1481" s="116"/>
      <c r="I1481" s="116"/>
      <c r="L1481" s="163">
        <v>44183</v>
      </c>
      <c r="M1481" s="116">
        <v>1111.8599999999999</v>
      </c>
      <c r="N1481" s="116">
        <v>1122.93</v>
      </c>
      <c r="O1481" s="116">
        <v>1099.6400000000001</v>
      </c>
      <c r="P1481" s="116">
        <v>1112</v>
      </c>
      <c r="Q1481" s="116">
        <v>5559.3</v>
      </c>
      <c r="R1481">
        <v>343302</v>
      </c>
    </row>
    <row r="1482" spans="1:18" x14ac:dyDescent="0.25">
      <c r="A1482" s="163">
        <v>44186</v>
      </c>
      <c r="B1482" s="116">
        <v>1107.51</v>
      </c>
      <c r="C1482" s="116">
        <v>1055.9100000000001</v>
      </c>
      <c r="D1482" s="116">
        <v>1046.3499999999999</v>
      </c>
      <c r="E1482" s="116">
        <v>1105.8900000000001</v>
      </c>
      <c r="F1482" s="116">
        <v>5279.55</v>
      </c>
      <c r="G1482">
        <v>6865</v>
      </c>
      <c r="H1482" s="116"/>
      <c r="I1482" s="116"/>
      <c r="L1482" s="163">
        <v>44186</v>
      </c>
      <c r="M1482" s="116">
        <v>1055.79</v>
      </c>
      <c r="N1482" s="116">
        <v>1108</v>
      </c>
      <c r="O1482" s="116">
        <v>1044.18</v>
      </c>
      <c r="P1482" s="116">
        <v>1092</v>
      </c>
      <c r="Q1482" s="116">
        <v>5278.95</v>
      </c>
      <c r="R1482">
        <v>188452</v>
      </c>
    </row>
    <row r="1483" spans="1:18" x14ac:dyDescent="0.25">
      <c r="A1483" s="163">
        <v>44187</v>
      </c>
      <c r="B1483" s="116">
        <v>1081.17</v>
      </c>
      <c r="C1483" s="116">
        <v>1077.96</v>
      </c>
      <c r="D1483" s="116">
        <v>1020.97</v>
      </c>
      <c r="E1483" s="116">
        <v>1052</v>
      </c>
      <c r="F1483" s="116">
        <v>5389.8</v>
      </c>
      <c r="G1483">
        <v>6583</v>
      </c>
      <c r="H1483" s="116"/>
      <c r="I1483" s="116"/>
      <c r="L1483" s="163">
        <v>44187</v>
      </c>
      <c r="M1483" s="116">
        <v>1077.9000000000001</v>
      </c>
      <c r="N1483" s="116">
        <v>1082.6199999999999</v>
      </c>
      <c r="O1483" s="116">
        <v>1021.69</v>
      </c>
      <c r="P1483" s="116">
        <v>1067.4000000000001</v>
      </c>
      <c r="Q1483" s="116">
        <v>5389.5</v>
      </c>
      <c r="R1483">
        <v>241041</v>
      </c>
    </row>
    <row r="1484" spans="1:18" x14ac:dyDescent="0.25">
      <c r="A1484" s="163">
        <v>44188</v>
      </c>
      <c r="B1484" s="116">
        <v>1113</v>
      </c>
      <c r="C1484" s="116">
        <v>1106.01</v>
      </c>
      <c r="D1484" s="116">
        <v>1066.2</v>
      </c>
      <c r="E1484" s="116">
        <v>1066.2</v>
      </c>
      <c r="F1484" s="116">
        <v>5530.05</v>
      </c>
      <c r="G1484">
        <v>3623</v>
      </c>
      <c r="H1484" s="116"/>
      <c r="I1484" s="116"/>
      <c r="L1484" s="163">
        <v>44188</v>
      </c>
      <c r="M1484" s="116">
        <v>1106.44</v>
      </c>
      <c r="N1484" s="116">
        <v>1113.4000000000001</v>
      </c>
      <c r="O1484" s="116">
        <v>1070.4000000000001</v>
      </c>
      <c r="P1484" s="116">
        <v>1076.3900000000001</v>
      </c>
      <c r="Q1484" s="116">
        <v>5532.2</v>
      </c>
      <c r="R1484">
        <v>109941</v>
      </c>
    </row>
    <row r="1485" spans="1:18" x14ac:dyDescent="0.25">
      <c r="A1485" s="163">
        <v>44189</v>
      </c>
      <c r="B1485" s="116">
        <v>1128</v>
      </c>
      <c r="C1485" s="116">
        <v>1094.5899999999999</v>
      </c>
      <c r="D1485" s="116">
        <v>1090</v>
      </c>
      <c r="E1485" s="116">
        <v>1109</v>
      </c>
      <c r="F1485" s="116">
        <v>5472.95</v>
      </c>
      <c r="G1485">
        <v>5142</v>
      </c>
      <c r="H1485" s="116"/>
      <c r="I1485" s="116"/>
      <c r="L1485" s="163">
        <v>44189</v>
      </c>
      <c r="M1485" s="116">
        <v>1096.55</v>
      </c>
      <c r="N1485" s="116">
        <v>1128.75</v>
      </c>
      <c r="O1485" s="116">
        <v>1091.21</v>
      </c>
      <c r="P1485" s="116">
        <v>1113.96</v>
      </c>
      <c r="Q1485" s="116">
        <v>5482.75</v>
      </c>
      <c r="R1485">
        <v>180071</v>
      </c>
    </row>
    <row r="1486" spans="1:18" x14ac:dyDescent="0.25">
      <c r="A1486" s="163">
        <v>44193</v>
      </c>
      <c r="B1486" s="116">
        <v>1108</v>
      </c>
      <c r="C1486" s="116">
        <v>1100.73</v>
      </c>
      <c r="D1486" s="116">
        <v>1090.83</v>
      </c>
      <c r="E1486" s="116">
        <v>1104</v>
      </c>
      <c r="F1486" s="116">
        <v>5503.65</v>
      </c>
      <c r="G1486">
        <v>4132</v>
      </c>
      <c r="H1486" s="116"/>
      <c r="I1486" s="116"/>
      <c r="L1486" s="163">
        <v>44193</v>
      </c>
      <c r="M1486" s="116">
        <v>1101.07</v>
      </c>
      <c r="N1486" s="116">
        <v>1107.44</v>
      </c>
      <c r="O1486" s="116">
        <v>1090.0999999999999</v>
      </c>
      <c r="P1486" s="116">
        <v>1104</v>
      </c>
      <c r="Q1486" s="116">
        <v>5505.35</v>
      </c>
      <c r="R1486">
        <v>98372</v>
      </c>
    </row>
    <row r="1487" spans="1:18" x14ac:dyDescent="0.25">
      <c r="A1487" s="163">
        <v>44194</v>
      </c>
      <c r="B1487" s="116">
        <v>1112.8</v>
      </c>
      <c r="C1487" s="116">
        <v>1098.05</v>
      </c>
      <c r="D1487" s="116">
        <v>1093.54</v>
      </c>
      <c r="E1487" s="116">
        <v>1109.5999999999999</v>
      </c>
      <c r="F1487" s="116">
        <v>5490.25</v>
      </c>
      <c r="G1487">
        <v>5770</v>
      </c>
      <c r="H1487" s="116"/>
      <c r="I1487" s="116"/>
      <c r="L1487" s="163">
        <v>44194</v>
      </c>
      <c r="M1487" s="116">
        <v>1097.1600000000001</v>
      </c>
      <c r="N1487" s="116">
        <v>1113</v>
      </c>
      <c r="O1487" s="116">
        <v>1092.1600000000001</v>
      </c>
      <c r="P1487" s="116">
        <v>1106</v>
      </c>
      <c r="Q1487" s="116">
        <v>5485.8</v>
      </c>
      <c r="R1487">
        <v>136022</v>
      </c>
    </row>
    <row r="1488" spans="1:18" x14ac:dyDescent="0.25">
      <c r="A1488" s="163">
        <v>44195</v>
      </c>
      <c r="B1488" s="116">
        <v>1117.6500000000001</v>
      </c>
      <c r="C1488" s="116">
        <v>1103.77</v>
      </c>
      <c r="D1488" s="116">
        <v>1096.45</v>
      </c>
      <c r="E1488" s="116">
        <v>1101.6600000000001</v>
      </c>
      <c r="F1488" s="116">
        <v>5518.85</v>
      </c>
      <c r="G1488">
        <v>7057</v>
      </c>
      <c r="H1488" s="116"/>
      <c r="I1488" s="116"/>
      <c r="L1488" s="163">
        <v>44195</v>
      </c>
      <c r="M1488" s="116">
        <v>1103.3900000000001</v>
      </c>
      <c r="N1488" s="116">
        <v>1118.29</v>
      </c>
      <c r="O1488" s="116">
        <v>1096</v>
      </c>
      <c r="P1488" s="116">
        <v>1100</v>
      </c>
      <c r="Q1488" s="116">
        <v>5516.95</v>
      </c>
      <c r="R1488">
        <v>186725</v>
      </c>
    </row>
    <row r="1489" spans="1:18" x14ac:dyDescent="0.25">
      <c r="A1489" s="163">
        <v>44196</v>
      </c>
      <c r="B1489" s="116">
        <v>1117.6500000000001</v>
      </c>
      <c r="C1489" s="116">
        <v>1114.3599999999999</v>
      </c>
      <c r="D1489" s="116">
        <v>1097.8</v>
      </c>
      <c r="E1489" s="116">
        <v>1106.47</v>
      </c>
      <c r="F1489" s="116">
        <v>5571.8</v>
      </c>
      <c r="G1489">
        <v>6586</v>
      </c>
      <c r="H1489" s="116"/>
      <c r="I1489" s="116"/>
      <c r="L1489" s="163">
        <v>44196</v>
      </c>
      <c r="M1489" s="116">
        <v>1114.78</v>
      </c>
      <c r="N1489" s="116">
        <v>1117.99</v>
      </c>
      <c r="O1489" s="116">
        <v>1097.45</v>
      </c>
      <c r="P1489" s="116">
        <v>1107</v>
      </c>
      <c r="Q1489" s="116">
        <v>5573.9</v>
      </c>
      <c r="R1489">
        <v>136310</v>
      </c>
    </row>
    <row r="1490" spans="1:18" x14ac:dyDescent="0.25">
      <c r="A1490" s="163">
        <v>44197</v>
      </c>
      <c r="B1490" s="116">
        <v>1145.5999999999999</v>
      </c>
      <c r="C1490" s="116">
        <v>1137.47</v>
      </c>
      <c r="D1490" s="116">
        <v>1110.27</v>
      </c>
      <c r="E1490" s="116">
        <v>1114.3599999999999</v>
      </c>
      <c r="F1490" s="116">
        <v>5687.35</v>
      </c>
      <c r="G1490">
        <v>7931</v>
      </c>
      <c r="H1490" s="116"/>
      <c r="I1490" s="116"/>
      <c r="L1490" s="163">
        <v>44197</v>
      </c>
      <c r="M1490" s="116">
        <v>1136.24</v>
      </c>
      <c r="N1490" s="116">
        <v>1146</v>
      </c>
      <c r="O1490" s="116">
        <v>1109.8</v>
      </c>
      <c r="P1490" s="116">
        <v>1110</v>
      </c>
      <c r="Q1490" s="116">
        <v>5681.2</v>
      </c>
      <c r="R1490">
        <v>183896</v>
      </c>
    </row>
    <row r="1491" spans="1:18" x14ac:dyDescent="0.25">
      <c r="A1491" s="163">
        <v>44200</v>
      </c>
      <c r="B1491" s="116">
        <v>1147.6099999999999</v>
      </c>
      <c r="C1491" s="116">
        <v>1136.45</v>
      </c>
      <c r="D1491" s="116">
        <v>1124.01</v>
      </c>
      <c r="E1491" s="116">
        <v>1140</v>
      </c>
      <c r="F1491" s="116">
        <v>5682.25</v>
      </c>
      <c r="G1491">
        <v>10312</v>
      </c>
      <c r="H1491" s="116"/>
      <c r="I1491" s="116"/>
      <c r="L1491" s="163">
        <v>44200</v>
      </c>
      <c r="M1491" s="116">
        <v>1137.42</v>
      </c>
      <c r="N1491" s="116">
        <v>1144.6300000000001</v>
      </c>
      <c r="O1491" s="116">
        <v>1125</v>
      </c>
      <c r="P1491" s="116">
        <v>1143</v>
      </c>
      <c r="Q1491" s="116">
        <v>5687.1</v>
      </c>
      <c r="R1491">
        <v>177035</v>
      </c>
    </row>
    <row r="1492" spans="1:18" x14ac:dyDescent="0.25">
      <c r="A1492" s="163">
        <v>44201</v>
      </c>
      <c r="B1492" s="116">
        <v>1144.5899999999999</v>
      </c>
      <c r="C1492" s="116">
        <v>1139.3</v>
      </c>
      <c r="D1492" s="116">
        <v>1119.1099999999999</v>
      </c>
      <c r="E1492" s="116">
        <v>1144.5899999999999</v>
      </c>
      <c r="F1492" s="116">
        <v>5696.5</v>
      </c>
      <c r="G1492">
        <v>7382</v>
      </c>
      <c r="H1492" s="116"/>
      <c r="I1492" s="116"/>
      <c r="L1492" s="163">
        <v>44201</v>
      </c>
      <c r="M1492" s="116">
        <v>1139.05</v>
      </c>
      <c r="N1492" s="116">
        <v>1143.79</v>
      </c>
      <c r="O1492" s="116">
        <v>1118</v>
      </c>
      <c r="P1492" s="116">
        <v>1135</v>
      </c>
      <c r="Q1492" s="116">
        <v>5695.25</v>
      </c>
      <c r="R1492">
        <v>110797</v>
      </c>
    </row>
    <row r="1493" spans="1:18" x14ac:dyDescent="0.25">
      <c r="A1493" s="163">
        <v>44202</v>
      </c>
      <c r="B1493" s="116">
        <v>1158</v>
      </c>
      <c r="C1493" s="116">
        <v>1141.6400000000001</v>
      </c>
      <c r="D1493" s="116">
        <v>1128.47</v>
      </c>
      <c r="E1493" s="116">
        <v>1140.05</v>
      </c>
      <c r="F1493" s="116">
        <v>5708.2</v>
      </c>
      <c r="G1493">
        <v>13765</v>
      </c>
      <c r="H1493" s="116"/>
      <c r="I1493" s="116"/>
      <c r="L1493" s="163">
        <v>44202</v>
      </c>
      <c r="M1493" s="116">
        <v>1140.29</v>
      </c>
      <c r="N1493" s="116">
        <v>1158.94</v>
      </c>
      <c r="O1493" s="116">
        <v>1129.2</v>
      </c>
      <c r="P1493" s="116">
        <v>1140.2</v>
      </c>
      <c r="Q1493" s="116">
        <v>5701.45</v>
      </c>
      <c r="R1493">
        <v>190537</v>
      </c>
    </row>
    <row r="1494" spans="1:18" x14ac:dyDescent="0.25">
      <c r="A1494" s="163">
        <v>44203</v>
      </c>
      <c r="B1494" s="116">
        <v>1157.33</v>
      </c>
      <c r="C1494" s="116">
        <v>1142.81</v>
      </c>
      <c r="D1494" s="116">
        <v>1138</v>
      </c>
      <c r="E1494" s="116">
        <v>1142.5</v>
      </c>
      <c r="F1494" s="116">
        <v>5714.05</v>
      </c>
      <c r="G1494">
        <v>9249</v>
      </c>
      <c r="H1494" s="116"/>
      <c r="I1494" s="116"/>
      <c r="L1494" s="163">
        <v>44203</v>
      </c>
      <c r="M1494" s="116">
        <v>1141.92</v>
      </c>
      <c r="N1494" s="116">
        <v>1157</v>
      </c>
      <c r="O1494" s="116">
        <v>1136.9000000000001</v>
      </c>
      <c r="P1494" s="116">
        <v>1147.98</v>
      </c>
      <c r="Q1494" s="116">
        <v>5709.6</v>
      </c>
      <c r="R1494">
        <v>91740</v>
      </c>
    </row>
    <row r="1495" spans="1:18" x14ac:dyDescent="0.25">
      <c r="A1495" s="163">
        <v>44204</v>
      </c>
      <c r="B1495" s="116">
        <v>1191.53</v>
      </c>
      <c r="C1495" s="116">
        <v>1178.7</v>
      </c>
      <c r="D1495" s="116">
        <v>1146.05</v>
      </c>
      <c r="E1495" s="116">
        <v>1157.8</v>
      </c>
      <c r="F1495" s="116">
        <v>5893.5</v>
      </c>
      <c r="G1495">
        <v>13961</v>
      </c>
      <c r="H1495" s="116"/>
      <c r="I1495" s="116"/>
      <c r="L1495" s="163">
        <v>44204</v>
      </c>
      <c r="M1495" s="116">
        <v>1183.3900000000001</v>
      </c>
      <c r="N1495" s="116">
        <v>1193</v>
      </c>
      <c r="O1495" s="116">
        <v>1144.94</v>
      </c>
      <c r="P1495" s="116">
        <v>1153</v>
      </c>
      <c r="Q1495" s="116">
        <v>5916.95</v>
      </c>
      <c r="R1495">
        <v>218155</v>
      </c>
    </row>
    <row r="1496" spans="1:18" x14ac:dyDescent="0.25">
      <c r="A1496" s="163">
        <v>44207</v>
      </c>
      <c r="B1496" s="116">
        <v>1206</v>
      </c>
      <c r="C1496" s="116">
        <v>1183.32</v>
      </c>
      <c r="D1496" s="116">
        <v>1173.42</v>
      </c>
      <c r="E1496" s="116">
        <v>1184.8</v>
      </c>
      <c r="F1496" s="116">
        <v>5916.6</v>
      </c>
      <c r="G1496">
        <v>12493</v>
      </c>
      <c r="H1496" s="116"/>
      <c r="I1496" s="116"/>
      <c r="L1496" s="163">
        <v>44207</v>
      </c>
      <c r="M1496" s="116">
        <v>1184.21</v>
      </c>
      <c r="N1496" s="116">
        <v>1206.18</v>
      </c>
      <c r="O1496" s="116">
        <v>1173.4000000000001</v>
      </c>
      <c r="P1496" s="116">
        <v>1183.8</v>
      </c>
      <c r="Q1496" s="116">
        <v>5921.05</v>
      </c>
      <c r="R1496">
        <v>244522</v>
      </c>
    </row>
    <row r="1497" spans="1:18" x14ac:dyDescent="0.25">
      <c r="A1497" s="163">
        <v>44208</v>
      </c>
      <c r="B1497" s="116">
        <v>1200.79</v>
      </c>
      <c r="C1497" s="116">
        <v>1186.04</v>
      </c>
      <c r="D1497" s="116">
        <v>1177.99</v>
      </c>
      <c r="E1497" s="116">
        <v>1185.21</v>
      </c>
      <c r="F1497" s="116">
        <v>5930.2</v>
      </c>
      <c r="G1497">
        <v>8102</v>
      </c>
      <c r="H1497" s="116"/>
      <c r="I1497" s="116"/>
      <c r="L1497" s="163">
        <v>44208</v>
      </c>
      <c r="M1497" s="116">
        <v>1185.8800000000001</v>
      </c>
      <c r="N1497" s="116">
        <v>1200.56</v>
      </c>
      <c r="O1497" s="116">
        <v>1177.76</v>
      </c>
      <c r="P1497" s="116">
        <v>1186.3399999999999</v>
      </c>
      <c r="Q1497" s="116">
        <v>5929.4</v>
      </c>
      <c r="R1497">
        <v>147776</v>
      </c>
    </row>
    <row r="1498" spans="1:18" x14ac:dyDescent="0.25">
      <c r="A1498" s="163">
        <v>44209</v>
      </c>
      <c r="B1498" s="116">
        <v>1207.95</v>
      </c>
      <c r="C1498" s="116">
        <v>1202.1600000000001</v>
      </c>
      <c r="D1498" s="116">
        <v>1170</v>
      </c>
      <c r="E1498" s="116">
        <v>1190</v>
      </c>
      <c r="F1498" s="116">
        <v>6010.8</v>
      </c>
      <c r="G1498">
        <v>11903</v>
      </c>
      <c r="H1498" s="116"/>
      <c r="I1498" s="116"/>
      <c r="L1498" s="163">
        <v>44209</v>
      </c>
      <c r="M1498" s="116">
        <v>1201.79</v>
      </c>
      <c r="N1498" s="116">
        <v>1207.8599999999999</v>
      </c>
      <c r="O1498" s="116">
        <v>1168.92</v>
      </c>
      <c r="P1498" s="116">
        <v>1189.8</v>
      </c>
      <c r="Q1498" s="116">
        <v>6008.95</v>
      </c>
      <c r="R1498">
        <v>160915</v>
      </c>
    </row>
    <row r="1499" spans="1:18" x14ac:dyDescent="0.25">
      <c r="A1499" s="163">
        <v>44210</v>
      </c>
      <c r="B1499" s="116">
        <v>1208.24</v>
      </c>
      <c r="C1499" s="116">
        <v>1196.53</v>
      </c>
      <c r="D1499" s="116">
        <v>1178.98</v>
      </c>
      <c r="E1499" s="116">
        <v>1203.02</v>
      </c>
      <c r="F1499" s="116">
        <v>5982.65</v>
      </c>
      <c r="G1499">
        <v>6370</v>
      </c>
      <c r="H1499" s="116"/>
      <c r="I1499" s="116"/>
      <c r="L1499" s="163">
        <v>44210</v>
      </c>
      <c r="M1499" s="116">
        <v>1195.9100000000001</v>
      </c>
      <c r="N1499" s="116">
        <v>1207</v>
      </c>
      <c r="O1499" s="116">
        <v>1178.6099999999999</v>
      </c>
      <c r="P1499" s="116">
        <v>1206.8</v>
      </c>
      <c r="Q1499" s="116">
        <v>5979.55</v>
      </c>
      <c r="R1499">
        <v>108940</v>
      </c>
    </row>
    <row r="1500" spans="1:18" x14ac:dyDescent="0.25">
      <c r="A1500" s="163">
        <v>44211</v>
      </c>
      <c r="B1500" s="116">
        <v>1215</v>
      </c>
      <c r="C1500" s="116">
        <v>1162.92</v>
      </c>
      <c r="D1500" s="116">
        <v>1155.5999999999999</v>
      </c>
      <c r="E1500" s="116">
        <v>1190.67</v>
      </c>
      <c r="F1500" s="116">
        <v>5814.6</v>
      </c>
      <c r="G1500">
        <v>16689</v>
      </c>
      <c r="H1500" s="116"/>
      <c r="I1500" s="116"/>
      <c r="L1500" s="163">
        <v>44211</v>
      </c>
      <c r="M1500" s="116">
        <v>1165.83</v>
      </c>
      <c r="N1500" s="116">
        <v>1214.0999999999999</v>
      </c>
      <c r="O1500" s="116">
        <v>1160</v>
      </c>
      <c r="P1500" s="116">
        <v>1194.2</v>
      </c>
      <c r="Q1500" s="116">
        <v>5829.15</v>
      </c>
      <c r="R1500">
        <v>188109</v>
      </c>
    </row>
    <row r="1501" spans="1:18" x14ac:dyDescent="0.25">
      <c r="A1501" s="163">
        <v>44214</v>
      </c>
      <c r="B1501" s="116">
        <v>1184.99</v>
      </c>
      <c r="C1501" s="116">
        <v>1147.67</v>
      </c>
      <c r="D1501" s="116">
        <v>1129.49</v>
      </c>
      <c r="E1501" s="116">
        <v>1184.99</v>
      </c>
      <c r="F1501" s="116">
        <v>5738.35</v>
      </c>
      <c r="G1501">
        <v>4296</v>
      </c>
      <c r="H1501" s="116"/>
      <c r="I1501" s="116"/>
      <c r="L1501" s="163">
        <v>44214</v>
      </c>
      <c r="M1501" s="116">
        <v>1147.26</v>
      </c>
      <c r="N1501" s="116">
        <v>1169.99</v>
      </c>
      <c r="O1501" s="116">
        <v>1128</v>
      </c>
      <c r="P1501" s="116">
        <v>1168</v>
      </c>
      <c r="Q1501" s="116">
        <v>5736.3</v>
      </c>
      <c r="R1501">
        <v>178095</v>
      </c>
    </row>
    <row r="1502" spans="1:18" x14ac:dyDescent="0.25">
      <c r="A1502" s="163">
        <v>44215</v>
      </c>
      <c r="B1502" s="116">
        <v>1171.6600000000001</v>
      </c>
      <c r="C1502" s="116">
        <v>1165.48</v>
      </c>
      <c r="D1502" s="116">
        <v>1159.93</v>
      </c>
      <c r="E1502" s="116">
        <v>1163</v>
      </c>
      <c r="F1502" s="116">
        <v>5827.4</v>
      </c>
      <c r="G1502">
        <v>6605</v>
      </c>
      <c r="H1502" s="116"/>
      <c r="I1502" s="116"/>
      <c r="L1502" s="163">
        <v>44215</v>
      </c>
      <c r="M1502" s="116">
        <v>1165.67</v>
      </c>
      <c r="N1502" s="116">
        <v>1172</v>
      </c>
      <c r="O1502" s="116">
        <v>1155</v>
      </c>
      <c r="P1502" s="116">
        <v>1159.46</v>
      </c>
      <c r="Q1502" s="116">
        <v>5828.35</v>
      </c>
      <c r="R1502">
        <v>132597</v>
      </c>
    </row>
    <row r="1503" spans="1:18" x14ac:dyDescent="0.25">
      <c r="A1503" s="163">
        <v>44216</v>
      </c>
      <c r="B1503" s="116">
        <v>1190</v>
      </c>
      <c r="C1503" s="116">
        <v>1173.3800000000001</v>
      </c>
      <c r="D1503" s="116">
        <v>1156.6099999999999</v>
      </c>
      <c r="E1503" s="116">
        <v>1190</v>
      </c>
      <c r="F1503" s="116">
        <v>5866.9</v>
      </c>
      <c r="G1503">
        <v>5105</v>
      </c>
      <c r="H1503" s="116"/>
      <c r="I1503" s="116"/>
      <c r="L1503" s="163">
        <v>44216</v>
      </c>
      <c r="M1503" s="116">
        <v>1173.19</v>
      </c>
      <c r="N1503" s="116">
        <v>1185.2</v>
      </c>
      <c r="O1503" s="116">
        <v>1156.2</v>
      </c>
      <c r="P1503" s="116">
        <v>1171.5999999999999</v>
      </c>
      <c r="Q1503" s="116">
        <v>5865.95</v>
      </c>
      <c r="R1503">
        <v>162852</v>
      </c>
    </row>
    <row r="1504" spans="1:18" x14ac:dyDescent="0.25">
      <c r="A1504" s="163">
        <v>44217</v>
      </c>
      <c r="B1504" s="116">
        <v>1192</v>
      </c>
      <c r="C1504" s="116">
        <v>1154.8399999999999</v>
      </c>
      <c r="D1504" s="116">
        <v>1116.23</v>
      </c>
      <c r="E1504" s="116">
        <v>1180</v>
      </c>
      <c r="F1504" s="116">
        <v>5774.2</v>
      </c>
      <c r="G1504">
        <v>8244</v>
      </c>
      <c r="H1504" s="116"/>
      <c r="I1504" s="116"/>
      <c r="L1504" s="163">
        <v>44217</v>
      </c>
      <c r="M1504" s="116">
        <v>1154.52</v>
      </c>
      <c r="N1504" s="116">
        <v>1192.4000000000001</v>
      </c>
      <c r="O1504" s="116">
        <v>1115.6400000000001</v>
      </c>
      <c r="P1504" s="116">
        <v>1179.06</v>
      </c>
      <c r="Q1504" s="116">
        <v>5772.6</v>
      </c>
      <c r="R1504">
        <v>347500</v>
      </c>
    </row>
    <row r="1505" spans="1:18" x14ac:dyDescent="0.25">
      <c r="A1505" s="163">
        <v>44218</v>
      </c>
      <c r="B1505" s="116">
        <v>1143</v>
      </c>
      <c r="C1505" s="116">
        <v>1081.26</v>
      </c>
      <c r="D1505" s="116">
        <v>1069.49</v>
      </c>
      <c r="E1505" s="116">
        <v>1143</v>
      </c>
      <c r="F1505" s="116">
        <v>5406.3</v>
      </c>
      <c r="G1505">
        <v>27515</v>
      </c>
      <c r="H1505" s="116"/>
      <c r="I1505" s="116"/>
      <c r="L1505" s="163">
        <v>44218</v>
      </c>
      <c r="M1505" s="116">
        <v>1081.06</v>
      </c>
      <c r="N1505" s="116">
        <v>1146.99</v>
      </c>
      <c r="O1505" s="116">
        <v>1069.4000000000001</v>
      </c>
      <c r="P1505" s="116">
        <v>1139.0999999999999</v>
      </c>
      <c r="Q1505" s="116">
        <v>5405.3</v>
      </c>
      <c r="R1505">
        <v>718734</v>
      </c>
    </row>
    <row r="1506" spans="1:18" x14ac:dyDescent="0.25">
      <c r="A1506" s="163">
        <v>44221</v>
      </c>
      <c r="B1506" s="116">
        <v>1100.4000000000001</v>
      </c>
      <c r="C1506" s="116">
        <v>1077.78</v>
      </c>
      <c r="D1506" s="116">
        <v>1047.98</v>
      </c>
      <c r="E1506" s="116">
        <v>1098</v>
      </c>
      <c r="F1506" s="116">
        <v>5388.9</v>
      </c>
      <c r="G1506">
        <v>19350</v>
      </c>
      <c r="H1506" s="116"/>
      <c r="I1506" s="116"/>
      <c r="L1506" s="163">
        <v>44221</v>
      </c>
      <c r="M1506" s="116">
        <v>1077.47</v>
      </c>
      <c r="N1506" s="116">
        <v>1104.78</v>
      </c>
      <c r="O1506" s="116">
        <v>1048</v>
      </c>
      <c r="P1506" s="116">
        <v>1104.78</v>
      </c>
      <c r="Q1506" s="116">
        <v>5387.35</v>
      </c>
      <c r="R1506">
        <v>327101</v>
      </c>
    </row>
    <row r="1507" spans="1:18" x14ac:dyDescent="0.25">
      <c r="A1507" s="163">
        <v>44223</v>
      </c>
      <c r="B1507" s="116">
        <v>1091.99</v>
      </c>
      <c r="C1507" s="116">
        <v>1071.5899999999999</v>
      </c>
      <c r="D1507" s="116">
        <v>1065.82</v>
      </c>
      <c r="E1507" s="116">
        <v>1077.5999999999999</v>
      </c>
      <c r="F1507" s="116">
        <v>5357.95</v>
      </c>
      <c r="G1507">
        <v>4771</v>
      </c>
      <c r="H1507" s="116"/>
      <c r="I1507" s="116"/>
      <c r="L1507" s="163">
        <v>44223</v>
      </c>
      <c r="M1507" s="116">
        <v>1072.3399999999999</v>
      </c>
      <c r="N1507" s="116">
        <v>1092</v>
      </c>
      <c r="O1507" s="116">
        <v>1065.01</v>
      </c>
      <c r="P1507" s="116">
        <v>1078.8</v>
      </c>
      <c r="Q1507" s="116">
        <v>5361.7</v>
      </c>
      <c r="R1507">
        <v>223452</v>
      </c>
    </row>
    <row r="1508" spans="1:18" x14ac:dyDescent="0.25">
      <c r="A1508" s="163">
        <v>44224</v>
      </c>
      <c r="B1508" s="116">
        <v>1098.99</v>
      </c>
      <c r="C1508" s="116">
        <v>1074.6400000000001</v>
      </c>
      <c r="D1508" s="116">
        <v>1064.8699999999999</v>
      </c>
      <c r="E1508" s="116">
        <v>1069</v>
      </c>
      <c r="F1508" s="116">
        <v>5373.2</v>
      </c>
      <c r="G1508">
        <v>9732</v>
      </c>
      <c r="H1508" s="116"/>
      <c r="I1508" s="116"/>
      <c r="L1508" s="163">
        <v>44224</v>
      </c>
      <c r="M1508" s="116">
        <v>1074.1099999999999</v>
      </c>
      <c r="N1508" s="116">
        <v>1098.98</v>
      </c>
      <c r="O1508" s="116">
        <v>1063</v>
      </c>
      <c r="P1508" s="116">
        <v>1063</v>
      </c>
      <c r="Q1508" s="116">
        <v>5370.55</v>
      </c>
      <c r="R1508">
        <v>310852</v>
      </c>
    </row>
    <row r="1509" spans="1:18" x14ac:dyDescent="0.25">
      <c r="A1509" s="163">
        <v>44225</v>
      </c>
      <c r="B1509" s="116">
        <v>1087.1400000000001</v>
      </c>
      <c r="C1509" s="116">
        <v>1074.26</v>
      </c>
      <c r="D1509" s="116">
        <v>1064</v>
      </c>
      <c r="E1509" s="116">
        <v>1076.6400000000001</v>
      </c>
      <c r="F1509" s="116">
        <v>5371.3</v>
      </c>
      <c r="G1509">
        <v>7776</v>
      </c>
      <c r="H1509" s="116"/>
      <c r="I1509" s="116"/>
      <c r="L1509" s="163">
        <v>44225</v>
      </c>
      <c r="M1509" s="116">
        <v>1073.99</v>
      </c>
      <c r="N1509" s="116">
        <v>1087.79</v>
      </c>
      <c r="O1509" s="116">
        <v>1063.8</v>
      </c>
      <c r="P1509" s="116">
        <v>1081</v>
      </c>
      <c r="Q1509" s="116">
        <v>5369.95</v>
      </c>
      <c r="R1509">
        <v>195391</v>
      </c>
    </row>
    <row r="1510" spans="1:18" x14ac:dyDescent="0.25">
      <c r="A1510" s="163">
        <v>44228</v>
      </c>
      <c r="B1510" s="116">
        <v>1107.43</v>
      </c>
      <c r="C1510" s="116">
        <v>1098.02</v>
      </c>
      <c r="D1510" s="116">
        <v>1059.67</v>
      </c>
      <c r="E1510" s="116">
        <v>1079.99</v>
      </c>
      <c r="F1510" s="116">
        <v>5490.1</v>
      </c>
      <c r="G1510">
        <v>12874</v>
      </c>
      <c r="H1510" s="116"/>
      <c r="I1510" s="116"/>
      <c r="L1510" s="163">
        <v>44228</v>
      </c>
      <c r="M1510" s="116">
        <v>1098.19</v>
      </c>
      <c r="N1510" s="116">
        <v>1107.94</v>
      </c>
      <c r="O1510" s="116">
        <v>1059.2</v>
      </c>
      <c r="P1510" s="116">
        <v>1078</v>
      </c>
      <c r="Q1510" s="116">
        <v>5490.95</v>
      </c>
      <c r="R1510">
        <v>343680</v>
      </c>
    </row>
    <row r="1511" spans="1:18" x14ac:dyDescent="0.25">
      <c r="A1511" s="163">
        <v>44229</v>
      </c>
      <c r="B1511" s="116">
        <v>1115.8</v>
      </c>
      <c r="C1511" s="116">
        <v>1090.1099999999999</v>
      </c>
      <c r="D1511" s="116">
        <v>1085.97</v>
      </c>
      <c r="E1511" s="116">
        <v>1110.99</v>
      </c>
      <c r="F1511" s="116">
        <v>5450.55</v>
      </c>
      <c r="G1511">
        <v>8877</v>
      </c>
      <c r="H1511" s="116"/>
      <c r="I1511" s="116"/>
      <c r="L1511" s="163">
        <v>44229</v>
      </c>
      <c r="M1511" s="116">
        <v>1089.9100000000001</v>
      </c>
      <c r="N1511" s="116">
        <v>1116.26</v>
      </c>
      <c r="O1511" s="116">
        <v>1086</v>
      </c>
      <c r="P1511" s="116">
        <v>1108</v>
      </c>
      <c r="Q1511" s="116">
        <v>5449.55</v>
      </c>
      <c r="R1511">
        <v>246981</v>
      </c>
    </row>
    <row r="1512" spans="1:18" x14ac:dyDescent="0.25">
      <c r="A1512" s="163">
        <v>44230</v>
      </c>
      <c r="B1512" s="116">
        <v>1144.1400000000001</v>
      </c>
      <c r="C1512" s="116">
        <v>1122.1400000000001</v>
      </c>
      <c r="D1512" s="116">
        <v>1095.3699999999999</v>
      </c>
      <c r="E1512" s="116">
        <v>1097.73</v>
      </c>
      <c r="F1512" s="116">
        <v>5610.7</v>
      </c>
      <c r="G1512">
        <v>22020</v>
      </c>
      <c r="H1512" s="116"/>
      <c r="I1512" s="116"/>
      <c r="L1512" s="163">
        <v>44230</v>
      </c>
      <c r="M1512" s="116">
        <v>1123.99</v>
      </c>
      <c r="N1512" s="116">
        <v>1144.5899999999999</v>
      </c>
      <c r="O1512" s="116">
        <v>1093.96</v>
      </c>
      <c r="P1512" s="116">
        <v>1093.96</v>
      </c>
      <c r="Q1512" s="116">
        <v>5619.95</v>
      </c>
      <c r="R1512">
        <v>346699</v>
      </c>
    </row>
    <row r="1513" spans="1:18" x14ac:dyDescent="0.25">
      <c r="A1513" s="163">
        <v>44231</v>
      </c>
      <c r="B1513" s="116">
        <v>1147.98</v>
      </c>
      <c r="C1513" s="116">
        <v>1141.71</v>
      </c>
      <c r="D1513" s="116">
        <v>1113.17</v>
      </c>
      <c r="E1513" s="116">
        <v>1136</v>
      </c>
      <c r="F1513" s="116">
        <v>5708.55</v>
      </c>
      <c r="G1513">
        <v>5232</v>
      </c>
      <c r="H1513" s="116"/>
      <c r="I1513" s="116"/>
      <c r="L1513" s="163">
        <v>44231</v>
      </c>
      <c r="M1513" s="116">
        <v>1142.1400000000001</v>
      </c>
      <c r="N1513" s="116">
        <v>1148</v>
      </c>
      <c r="O1513" s="116">
        <v>1113.3900000000001</v>
      </c>
      <c r="P1513" s="116">
        <v>1130</v>
      </c>
      <c r="Q1513" s="116">
        <v>5710.7</v>
      </c>
      <c r="R1513">
        <v>154386</v>
      </c>
    </row>
    <row r="1514" spans="1:18" x14ac:dyDescent="0.25">
      <c r="A1514" s="163">
        <v>44232</v>
      </c>
      <c r="B1514" s="116">
        <v>1143.2</v>
      </c>
      <c r="C1514" s="116">
        <v>1114.06</v>
      </c>
      <c r="D1514" s="116">
        <v>1109.99</v>
      </c>
      <c r="E1514" s="116">
        <v>1143.2</v>
      </c>
      <c r="F1514" s="116">
        <v>5570.3</v>
      </c>
      <c r="G1514">
        <v>5338</v>
      </c>
      <c r="H1514" s="116"/>
      <c r="I1514" s="116"/>
      <c r="L1514" s="163">
        <v>44232</v>
      </c>
      <c r="M1514" s="116">
        <v>1113.58</v>
      </c>
      <c r="N1514" s="116">
        <v>1142.8699999999999</v>
      </c>
      <c r="O1514" s="116">
        <v>1110</v>
      </c>
      <c r="P1514" s="116">
        <v>1142.1400000000001</v>
      </c>
      <c r="Q1514" s="116">
        <v>5567.9</v>
      </c>
      <c r="R1514">
        <v>129729</v>
      </c>
    </row>
    <row r="1515" spans="1:18" x14ac:dyDescent="0.25">
      <c r="A1515" s="163">
        <v>44235</v>
      </c>
      <c r="B1515" s="116">
        <v>1133.8</v>
      </c>
      <c r="C1515" s="116">
        <v>1126.75</v>
      </c>
      <c r="D1515" s="116">
        <v>1113.58</v>
      </c>
      <c r="E1515" s="116">
        <v>1113.5999999999999</v>
      </c>
      <c r="F1515" s="116">
        <v>5633.75</v>
      </c>
      <c r="G1515">
        <v>5322</v>
      </c>
      <c r="H1515" s="116"/>
      <c r="I1515" s="116"/>
      <c r="L1515" s="163">
        <v>44235</v>
      </c>
      <c r="M1515" s="116">
        <v>1126.99</v>
      </c>
      <c r="N1515" s="116">
        <v>1134.72</v>
      </c>
      <c r="O1515" s="116">
        <v>1113.5999999999999</v>
      </c>
      <c r="P1515" s="116">
        <v>1117.8</v>
      </c>
      <c r="Q1515" s="116">
        <v>5634.95</v>
      </c>
      <c r="R1515">
        <v>93425</v>
      </c>
    </row>
    <row r="1516" spans="1:18" x14ac:dyDescent="0.25">
      <c r="A1516" s="163">
        <v>44236</v>
      </c>
      <c r="B1516" s="116">
        <v>1138</v>
      </c>
      <c r="C1516" s="116">
        <v>1106.17</v>
      </c>
      <c r="D1516" s="116">
        <v>1101.82</v>
      </c>
      <c r="E1516" s="116">
        <v>1126.72</v>
      </c>
      <c r="F1516" s="116">
        <v>5530.85</v>
      </c>
      <c r="G1516">
        <v>5060</v>
      </c>
      <c r="H1516" s="116"/>
      <c r="I1516" s="116"/>
      <c r="L1516" s="163">
        <v>44236</v>
      </c>
      <c r="M1516" s="116">
        <v>1105.42</v>
      </c>
      <c r="N1516" s="116">
        <v>1138.74</v>
      </c>
      <c r="O1516" s="116">
        <v>1101.5999999999999</v>
      </c>
      <c r="P1516" s="116">
        <v>1126.8</v>
      </c>
      <c r="Q1516" s="116">
        <v>5527.1</v>
      </c>
      <c r="R1516">
        <v>124387</v>
      </c>
    </row>
    <row r="1517" spans="1:18" x14ac:dyDescent="0.25">
      <c r="A1517" s="163">
        <v>44237</v>
      </c>
      <c r="B1517" s="116">
        <v>1118.7</v>
      </c>
      <c r="C1517" s="116">
        <v>1106.3499999999999</v>
      </c>
      <c r="D1517" s="116">
        <v>1098.52</v>
      </c>
      <c r="E1517" s="116">
        <v>1100.22</v>
      </c>
      <c r="F1517" s="116">
        <v>5531.75</v>
      </c>
      <c r="G1517">
        <v>6050</v>
      </c>
      <c r="H1517" s="116"/>
      <c r="I1517" s="116"/>
      <c r="L1517" s="163">
        <v>44237</v>
      </c>
      <c r="M1517" s="116">
        <v>1107.02</v>
      </c>
      <c r="N1517" s="116">
        <v>1119.2</v>
      </c>
      <c r="O1517" s="116">
        <v>1098</v>
      </c>
      <c r="P1517" s="116">
        <v>1111.8</v>
      </c>
      <c r="Q1517" s="116">
        <v>5535.1</v>
      </c>
      <c r="R1517">
        <v>156448</v>
      </c>
    </row>
    <row r="1518" spans="1:18" x14ac:dyDescent="0.25">
      <c r="A1518" s="163">
        <v>44238</v>
      </c>
      <c r="B1518" s="116">
        <v>1141.17</v>
      </c>
      <c r="C1518" s="116">
        <v>1132.8599999999999</v>
      </c>
      <c r="D1518" s="116">
        <v>1102.2</v>
      </c>
      <c r="E1518" s="116">
        <v>1106.42</v>
      </c>
      <c r="F1518" s="116">
        <v>5664.3</v>
      </c>
      <c r="G1518">
        <v>7173</v>
      </c>
      <c r="H1518" s="116"/>
      <c r="I1518" s="116"/>
      <c r="L1518" s="163">
        <v>44238</v>
      </c>
      <c r="M1518" s="116">
        <v>1135.3599999999999</v>
      </c>
      <c r="N1518" s="116">
        <v>1141.19</v>
      </c>
      <c r="O1518" s="116">
        <v>1102</v>
      </c>
      <c r="P1518" s="116">
        <v>1110</v>
      </c>
      <c r="Q1518" s="116">
        <v>5676.8</v>
      </c>
      <c r="R1518">
        <v>159278</v>
      </c>
    </row>
    <row r="1519" spans="1:18" x14ac:dyDescent="0.25">
      <c r="A1519" s="163">
        <v>44239</v>
      </c>
      <c r="B1519" s="116">
        <v>1151</v>
      </c>
      <c r="C1519" s="116">
        <v>1123.8800000000001</v>
      </c>
      <c r="D1519" s="116">
        <v>1114.5999999999999</v>
      </c>
      <c r="E1519" s="116">
        <v>1134.28</v>
      </c>
      <c r="F1519" s="116">
        <v>5619.4</v>
      </c>
      <c r="G1519">
        <v>5869</v>
      </c>
      <c r="H1519" s="116"/>
      <c r="I1519" s="116"/>
      <c r="L1519" s="163">
        <v>44239</v>
      </c>
      <c r="M1519" s="116">
        <v>1123.18</v>
      </c>
      <c r="N1519" s="116">
        <v>1151.58</v>
      </c>
      <c r="O1519" s="116">
        <v>1114</v>
      </c>
      <c r="P1519" s="116">
        <v>1135.3599999999999</v>
      </c>
      <c r="Q1519" s="116">
        <v>5615.9</v>
      </c>
      <c r="R1519">
        <v>154628</v>
      </c>
    </row>
    <row r="1520" spans="1:18" x14ac:dyDescent="0.25">
      <c r="A1520" s="163">
        <v>44242</v>
      </c>
      <c r="B1520" s="116">
        <v>1144.8</v>
      </c>
      <c r="C1520" s="116">
        <v>1124.5899999999999</v>
      </c>
      <c r="D1520" s="116">
        <v>1122.21</v>
      </c>
      <c r="E1520" s="116">
        <v>1134</v>
      </c>
      <c r="F1520" s="116">
        <v>5622.95</v>
      </c>
      <c r="G1520">
        <v>7171</v>
      </c>
      <c r="H1520" s="116"/>
      <c r="I1520" s="116"/>
      <c r="L1520" s="163">
        <v>44242</v>
      </c>
      <c r="M1520" s="116">
        <v>1124.44</v>
      </c>
      <c r="N1520" s="116">
        <v>1145</v>
      </c>
      <c r="O1520" s="116">
        <v>1122.06</v>
      </c>
      <c r="P1520" s="116">
        <v>1126.99</v>
      </c>
      <c r="Q1520" s="116">
        <v>5622.2</v>
      </c>
      <c r="R1520">
        <v>123535</v>
      </c>
    </row>
    <row r="1521" spans="1:18" x14ac:dyDescent="0.25">
      <c r="A1521" s="163">
        <v>44243</v>
      </c>
      <c r="B1521" s="116">
        <v>1164</v>
      </c>
      <c r="C1521" s="116">
        <v>1157.03</v>
      </c>
      <c r="D1521" s="116">
        <v>1125.1600000000001</v>
      </c>
      <c r="E1521" s="116">
        <v>1130.77</v>
      </c>
      <c r="F1521" s="116">
        <v>5785.15</v>
      </c>
      <c r="G1521">
        <v>8119</v>
      </c>
      <c r="H1521" s="116"/>
      <c r="I1521" s="116"/>
      <c r="L1521" s="163">
        <v>44243</v>
      </c>
      <c r="M1521" s="116">
        <v>1157.52</v>
      </c>
      <c r="N1521" s="116">
        <v>1164</v>
      </c>
      <c r="O1521" s="116">
        <v>1125</v>
      </c>
      <c r="P1521" s="116">
        <v>1126.4000000000001</v>
      </c>
      <c r="Q1521" s="116">
        <v>5787.6</v>
      </c>
      <c r="R1521">
        <v>172931</v>
      </c>
    </row>
    <row r="1522" spans="1:18" x14ac:dyDescent="0.25">
      <c r="A1522" s="163">
        <v>44244</v>
      </c>
      <c r="B1522" s="116">
        <v>1168.07</v>
      </c>
      <c r="C1522" s="116">
        <v>1137.01</v>
      </c>
      <c r="D1522" s="116">
        <v>1130.01</v>
      </c>
      <c r="E1522" s="116">
        <v>1159.99</v>
      </c>
      <c r="F1522" s="116">
        <v>5685.05</v>
      </c>
      <c r="G1522">
        <v>5587</v>
      </c>
      <c r="H1522" s="116"/>
      <c r="I1522" s="116"/>
      <c r="L1522" s="163">
        <v>44244</v>
      </c>
      <c r="M1522" s="116">
        <v>1137.23</v>
      </c>
      <c r="N1522" s="116">
        <v>1168.5</v>
      </c>
      <c r="O1522" s="116">
        <v>1130</v>
      </c>
      <c r="P1522" s="116">
        <v>1156.4000000000001</v>
      </c>
      <c r="Q1522" s="116">
        <v>5686.15</v>
      </c>
      <c r="R1522">
        <v>215848</v>
      </c>
    </row>
    <row r="1523" spans="1:18" x14ac:dyDescent="0.25">
      <c r="A1523" s="163">
        <v>44245</v>
      </c>
      <c r="B1523" s="116">
        <v>1145.5899999999999</v>
      </c>
      <c r="C1523" s="116">
        <v>1132.3399999999999</v>
      </c>
      <c r="D1523" s="116">
        <v>1125</v>
      </c>
      <c r="E1523" s="116">
        <v>1139.47</v>
      </c>
      <c r="F1523" s="116">
        <v>5661.7</v>
      </c>
      <c r="G1523">
        <v>2699</v>
      </c>
      <c r="H1523" s="116"/>
      <c r="I1523" s="116"/>
      <c r="L1523" s="163">
        <v>44245</v>
      </c>
      <c r="M1523" s="116">
        <v>1136.1199999999999</v>
      </c>
      <c r="N1523" s="116">
        <v>1145.99</v>
      </c>
      <c r="O1523" s="116">
        <v>1125.02</v>
      </c>
      <c r="P1523" s="116">
        <v>1140</v>
      </c>
      <c r="Q1523" s="116">
        <v>5680.6</v>
      </c>
      <c r="R1523">
        <v>75821</v>
      </c>
    </row>
    <row r="1524" spans="1:18" x14ac:dyDescent="0.25">
      <c r="A1524" s="163">
        <v>44246</v>
      </c>
      <c r="B1524" s="116">
        <v>1140.67</v>
      </c>
      <c r="C1524" s="116">
        <v>1102.96</v>
      </c>
      <c r="D1524" s="116">
        <v>1084.23</v>
      </c>
      <c r="E1524" s="116">
        <v>1133.18</v>
      </c>
      <c r="F1524" s="116">
        <v>5514.8</v>
      </c>
      <c r="G1524">
        <v>10083</v>
      </c>
      <c r="H1524" s="116"/>
      <c r="I1524" s="116"/>
      <c r="L1524" s="163">
        <v>44246</v>
      </c>
      <c r="M1524" s="116">
        <v>1103.52</v>
      </c>
      <c r="N1524" s="116">
        <v>1141.6500000000001</v>
      </c>
      <c r="O1524" s="116">
        <v>1083.9100000000001</v>
      </c>
      <c r="P1524" s="116">
        <v>1131.79</v>
      </c>
      <c r="Q1524" s="116">
        <v>5517.6</v>
      </c>
      <c r="R1524">
        <v>185580</v>
      </c>
    </row>
    <row r="1525" spans="1:18" x14ac:dyDescent="0.25">
      <c r="A1525" s="163">
        <v>44249</v>
      </c>
      <c r="B1525" s="116">
        <v>1128</v>
      </c>
      <c r="C1525" s="116">
        <v>1070.05</v>
      </c>
      <c r="D1525" s="116">
        <v>1057.74</v>
      </c>
      <c r="E1525" s="116">
        <v>1128</v>
      </c>
      <c r="F1525" s="116">
        <v>5350.25</v>
      </c>
      <c r="G1525">
        <v>8520</v>
      </c>
      <c r="H1525" s="116"/>
      <c r="I1525" s="116"/>
      <c r="L1525" s="163">
        <v>44249</v>
      </c>
      <c r="M1525" s="116">
        <v>1071.03</v>
      </c>
      <c r="N1525" s="116">
        <v>1113.8</v>
      </c>
      <c r="O1525" s="116">
        <v>1057.08</v>
      </c>
      <c r="P1525" s="116">
        <v>1108.6400000000001</v>
      </c>
      <c r="Q1525" s="116">
        <v>5355.15</v>
      </c>
      <c r="R1525">
        <v>206509</v>
      </c>
    </row>
    <row r="1526" spans="1:18" x14ac:dyDescent="0.25">
      <c r="A1526" s="163">
        <v>44250</v>
      </c>
      <c r="B1526" s="116">
        <v>1090</v>
      </c>
      <c r="C1526" s="116">
        <v>1082.26</v>
      </c>
      <c r="D1526" s="116">
        <v>1074.6099999999999</v>
      </c>
      <c r="E1526" s="116">
        <v>1077.99</v>
      </c>
      <c r="F1526" s="116">
        <v>5411.3</v>
      </c>
      <c r="G1526">
        <v>3694</v>
      </c>
      <c r="H1526" s="116"/>
      <c r="I1526" s="116"/>
      <c r="L1526" s="163">
        <v>44250</v>
      </c>
      <c r="M1526" s="116">
        <v>1082.1400000000001</v>
      </c>
      <c r="N1526" s="116">
        <v>1090.79</v>
      </c>
      <c r="O1526" s="116">
        <v>1074</v>
      </c>
      <c r="P1526" s="116">
        <v>1077</v>
      </c>
      <c r="Q1526" s="116">
        <v>5410.7</v>
      </c>
      <c r="R1526">
        <v>85858</v>
      </c>
    </row>
    <row r="1527" spans="1:18" x14ac:dyDescent="0.25">
      <c r="A1527" s="163">
        <v>44251</v>
      </c>
      <c r="B1527" s="116">
        <v>1119.8</v>
      </c>
      <c r="C1527" s="116">
        <v>1098.3900000000001</v>
      </c>
      <c r="D1527" s="116">
        <v>1066.56</v>
      </c>
      <c r="E1527" s="116">
        <v>1081.52</v>
      </c>
      <c r="F1527" s="116">
        <v>5491.95</v>
      </c>
      <c r="G1527">
        <v>16403</v>
      </c>
      <c r="H1527" s="116"/>
      <c r="I1527" s="116"/>
      <c r="L1527" s="163">
        <v>44251</v>
      </c>
      <c r="M1527" s="116">
        <v>1096.0899999999999</v>
      </c>
      <c r="N1527" s="116">
        <v>1107</v>
      </c>
      <c r="O1527" s="116">
        <v>1078</v>
      </c>
      <c r="P1527" s="116">
        <v>1083</v>
      </c>
      <c r="Q1527" s="116">
        <v>5480.45</v>
      </c>
      <c r="R1527">
        <v>42649</v>
      </c>
    </row>
    <row r="1528" spans="1:18" x14ac:dyDescent="0.25">
      <c r="A1528" s="163">
        <v>44252</v>
      </c>
      <c r="B1528" s="116">
        <v>1118.1300000000001</v>
      </c>
      <c r="C1528" s="116">
        <v>1108.0899999999999</v>
      </c>
      <c r="D1528" s="116">
        <v>1080.2</v>
      </c>
      <c r="E1528" s="116">
        <v>1080.2</v>
      </c>
      <c r="F1528" s="116">
        <v>5540.45</v>
      </c>
      <c r="G1528">
        <v>7791</v>
      </c>
      <c r="H1528" s="116"/>
      <c r="I1528" s="116"/>
      <c r="L1528" s="163">
        <v>44252</v>
      </c>
      <c r="M1528" s="116">
        <v>1108.07</v>
      </c>
      <c r="N1528" s="116">
        <v>1119</v>
      </c>
      <c r="O1528" s="116">
        <v>1080</v>
      </c>
      <c r="P1528" s="116">
        <v>1101</v>
      </c>
      <c r="Q1528" s="116">
        <v>5540.35</v>
      </c>
      <c r="R1528">
        <v>210737</v>
      </c>
    </row>
    <row r="1529" spans="1:18" x14ac:dyDescent="0.25">
      <c r="A1529" s="163">
        <v>44253</v>
      </c>
      <c r="B1529" s="116">
        <v>1108</v>
      </c>
      <c r="C1529" s="116">
        <v>1088.74</v>
      </c>
      <c r="D1529" s="116">
        <v>1063</v>
      </c>
      <c r="E1529" s="116">
        <v>1080.01</v>
      </c>
      <c r="F1529" s="116">
        <v>5443.7</v>
      </c>
      <c r="G1529">
        <v>12181</v>
      </c>
      <c r="H1529" s="116"/>
      <c r="I1529" s="116"/>
      <c r="L1529" s="163">
        <v>44253</v>
      </c>
      <c r="M1529" s="116">
        <v>1087.5899999999999</v>
      </c>
      <c r="N1529" s="116">
        <v>1108.19</v>
      </c>
      <c r="O1529" s="116">
        <v>1063.01</v>
      </c>
      <c r="P1529" s="116">
        <v>1085</v>
      </c>
      <c r="Q1529" s="116">
        <v>5437.95</v>
      </c>
      <c r="R1529">
        <v>329200</v>
      </c>
    </row>
    <row r="1530" spans="1:18" x14ac:dyDescent="0.25">
      <c r="A1530" s="163">
        <v>44256</v>
      </c>
      <c r="B1530" s="116">
        <v>1103.06</v>
      </c>
      <c r="C1530" s="116">
        <v>1084.47</v>
      </c>
      <c r="D1530" s="116">
        <v>1077.31</v>
      </c>
      <c r="E1530" s="116">
        <v>1088.74</v>
      </c>
      <c r="F1530" s="116">
        <v>5422.35</v>
      </c>
      <c r="G1530">
        <v>6391</v>
      </c>
      <c r="H1530" s="116"/>
      <c r="I1530" s="116"/>
      <c r="L1530" s="163">
        <v>44256</v>
      </c>
      <c r="M1530" s="116">
        <v>1084.3499999999999</v>
      </c>
      <c r="N1530" s="116">
        <v>1103.8800000000001</v>
      </c>
      <c r="O1530" s="116">
        <v>1077.72</v>
      </c>
      <c r="P1530" s="116">
        <v>1087.5999999999999</v>
      </c>
      <c r="Q1530" s="116">
        <v>5421.75</v>
      </c>
      <c r="R1530">
        <v>109665</v>
      </c>
    </row>
    <row r="1531" spans="1:18" x14ac:dyDescent="0.25">
      <c r="A1531" s="163">
        <v>44257</v>
      </c>
      <c r="B1531" s="116">
        <v>1109</v>
      </c>
      <c r="C1531" s="116">
        <v>1100.76</v>
      </c>
      <c r="D1531" s="116">
        <v>1083.8800000000001</v>
      </c>
      <c r="E1531" s="116">
        <v>1086</v>
      </c>
      <c r="F1531" s="116">
        <v>5503.8</v>
      </c>
      <c r="G1531">
        <v>6898</v>
      </c>
      <c r="H1531" s="116"/>
      <c r="I1531" s="116"/>
      <c r="L1531" s="163">
        <v>44257</v>
      </c>
      <c r="M1531" s="116">
        <v>1100.3599999999999</v>
      </c>
      <c r="N1531" s="116">
        <v>1110</v>
      </c>
      <c r="O1531" s="116">
        <v>1084.2</v>
      </c>
      <c r="P1531" s="116">
        <v>1090</v>
      </c>
      <c r="Q1531" s="116">
        <v>5501.8</v>
      </c>
      <c r="R1531">
        <v>119790</v>
      </c>
    </row>
    <row r="1532" spans="1:18" x14ac:dyDescent="0.25">
      <c r="A1532" s="163">
        <v>44258</v>
      </c>
      <c r="B1532" s="116">
        <v>1146</v>
      </c>
      <c r="C1532" s="116">
        <v>1137.68</v>
      </c>
      <c r="D1532" s="116">
        <v>1108.25</v>
      </c>
      <c r="E1532" s="116">
        <v>1108.79</v>
      </c>
      <c r="F1532" s="116">
        <v>5688.4</v>
      </c>
      <c r="G1532">
        <v>10338</v>
      </c>
      <c r="H1532" s="116"/>
      <c r="I1532" s="116"/>
      <c r="L1532" s="163">
        <v>44258</v>
      </c>
      <c r="M1532" s="116">
        <v>1138.1600000000001</v>
      </c>
      <c r="N1532" s="116">
        <v>1147.8</v>
      </c>
      <c r="O1532" s="116">
        <v>1107</v>
      </c>
      <c r="P1532" s="116">
        <v>1107</v>
      </c>
      <c r="Q1532" s="116">
        <v>5690.8</v>
      </c>
      <c r="R1532">
        <v>181759</v>
      </c>
    </row>
    <row r="1533" spans="1:18" x14ac:dyDescent="0.25">
      <c r="A1533" s="163">
        <v>44259</v>
      </c>
      <c r="B1533" s="116">
        <v>1147</v>
      </c>
      <c r="C1533" s="116">
        <v>1142.1600000000001</v>
      </c>
      <c r="D1533" s="116">
        <v>1121.78</v>
      </c>
      <c r="E1533" s="116">
        <v>1137.68</v>
      </c>
      <c r="F1533" s="116">
        <v>5710.8</v>
      </c>
      <c r="G1533">
        <v>8424</v>
      </c>
      <c r="H1533" s="116"/>
      <c r="I1533" s="116"/>
      <c r="L1533" s="163">
        <v>44259</v>
      </c>
      <c r="M1533" s="116">
        <v>1142.97</v>
      </c>
      <c r="N1533" s="116">
        <v>1148.01</v>
      </c>
      <c r="O1533" s="116">
        <v>1121.1099999999999</v>
      </c>
      <c r="P1533" s="116">
        <v>1132</v>
      </c>
      <c r="Q1533" s="116">
        <v>5714.85</v>
      </c>
      <c r="R1533">
        <v>121743</v>
      </c>
    </row>
    <row r="1534" spans="1:18" x14ac:dyDescent="0.25">
      <c r="A1534" s="163">
        <v>44260</v>
      </c>
      <c r="B1534" s="116">
        <v>1163.08</v>
      </c>
      <c r="C1534" s="116">
        <v>1125.8900000000001</v>
      </c>
      <c r="D1534" s="116">
        <v>1112.8399999999999</v>
      </c>
      <c r="E1534" s="116">
        <v>1148</v>
      </c>
      <c r="F1534" s="116">
        <v>5629.45</v>
      </c>
      <c r="G1534">
        <v>9309</v>
      </c>
      <c r="H1534" s="116"/>
      <c r="I1534" s="116"/>
      <c r="L1534" s="163">
        <v>44260</v>
      </c>
      <c r="M1534" s="116">
        <v>1124.8900000000001</v>
      </c>
      <c r="N1534" s="116">
        <v>1164.0999999999999</v>
      </c>
      <c r="O1534" s="116">
        <v>1112.1400000000001</v>
      </c>
      <c r="P1534" s="116">
        <v>1150</v>
      </c>
      <c r="Q1534" s="116">
        <v>5624.45</v>
      </c>
      <c r="R1534">
        <v>184392</v>
      </c>
    </row>
    <row r="1535" spans="1:18" x14ac:dyDescent="0.25">
      <c r="A1535" s="163">
        <v>44263</v>
      </c>
      <c r="B1535" s="116">
        <v>1146.2</v>
      </c>
      <c r="C1535" s="116">
        <v>1131.6500000000001</v>
      </c>
      <c r="D1535" s="116">
        <v>1120.02</v>
      </c>
      <c r="E1535" s="116">
        <v>1132</v>
      </c>
      <c r="F1535" s="116">
        <v>5658.25</v>
      </c>
      <c r="G1535">
        <v>6822</v>
      </c>
      <c r="H1535" s="116"/>
      <c r="I1535" s="116"/>
      <c r="L1535" s="163">
        <v>44263</v>
      </c>
      <c r="M1535" s="116">
        <v>1132.6500000000001</v>
      </c>
      <c r="N1535" s="116">
        <v>1145.9100000000001</v>
      </c>
      <c r="O1535" s="116">
        <v>1120.01</v>
      </c>
      <c r="P1535" s="116">
        <v>1131.8</v>
      </c>
      <c r="Q1535" s="116">
        <v>5663.25</v>
      </c>
      <c r="R1535">
        <v>96092</v>
      </c>
    </row>
    <row r="1536" spans="1:18" x14ac:dyDescent="0.25">
      <c r="A1536" s="163">
        <v>44264</v>
      </c>
      <c r="B1536" s="116">
        <v>1140.42</v>
      </c>
      <c r="C1536" s="116">
        <v>1125.17</v>
      </c>
      <c r="D1536" s="116">
        <v>1114.31</v>
      </c>
      <c r="E1536" s="116">
        <v>1118</v>
      </c>
      <c r="F1536" s="116">
        <v>5625.85</v>
      </c>
      <c r="G1536">
        <v>3202</v>
      </c>
      <c r="H1536" s="116"/>
      <c r="I1536" s="116"/>
      <c r="L1536" s="163">
        <v>44264</v>
      </c>
      <c r="M1536" s="116">
        <v>1124.8699999999999</v>
      </c>
      <c r="N1536" s="116">
        <v>1140.97</v>
      </c>
      <c r="O1536" s="116">
        <v>1114</v>
      </c>
      <c r="P1536" s="116">
        <v>1135.76</v>
      </c>
      <c r="Q1536" s="116">
        <v>5624.35</v>
      </c>
      <c r="R1536">
        <v>87933</v>
      </c>
    </row>
    <row r="1537" spans="1:18" x14ac:dyDescent="0.25">
      <c r="A1537" s="163">
        <v>44265</v>
      </c>
      <c r="B1537" s="116">
        <v>1138</v>
      </c>
      <c r="C1537" s="116">
        <v>1132.28</v>
      </c>
      <c r="D1537" s="116">
        <v>1121.07</v>
      </c>
      <c r="E1537" s="116">
        <v>1130</v>
      </c>
      <c r="F1537" s="116">
        <v>5661.4</v>
      </c>
      <c r="G1537">
        <v>3835</v>
      </c>
      <c r="H1537" s="116"/>
      <c r="I1537" s="116"/>
      <c r="L1537" s="163">
        <v>44265</v>
      </c>
      <c r="M1537" s="116">
        <v>1131.72</v>
      </c>
      <c r="N1537" s="116">
        <v>1138.54</v>
      </c>
      <c r="O1537" s="116">
        <v>1120.94</v>
      </c>
      <c r="P1537" s="116">
        <v>1127.23</v>
      </c>
      <c r="Q1537" s="116">
        <v>5658.6</v>
      </c>
      <c r="R1537">
        <v>65597</v>
      </c>
    </row>
    <row r="1538" spans="1:18" x14ac:dyDescent="0.25">
      <c r="A1538" s="163">
        <v>44267</v>
      </c>
      <c r="B1538" s="116">
        <v>1144.44</v>
      </c>
      <c r="C1538" s="116">
        <v>1119.81</v>
      </c>
      <c r="D1538" s="116">
        <v>1116.51</v>
      </c>
      <c r="E1538" s="116">
        <v>1130.01</v>
      </c>
      <c r="F1538" s="116">
        <v>5599.05</v>
      </c>
      <c r="G1538">
        <v>5225</v>
      </c>
      <c r="H1538" s="116"/>
      <c r="I1538" s="116"/>
      <c r="L1538" s="163">
        <v>44267</v>
      </c>
      <c r="M1538" s="116">
        <v>1119.8</v>
      </c>
      <c r="N1538" s="116">
        <v>1144</v>
      </c>
      <c r="O1538" s="116">
        <v>1116.1199999999999</v>
      </c>
      <c r="P1538" s="116">
        <v>1132.2</v>
      </c>
      <c r="Q1538" s="116">
        <v>5599</v>
      </c>
      <c r="R1538">
        <v>116215</v>
      </c>
    </row>
    <row r="1539" spans="1:18" x14ac:dyDescent="0.25">
      <c r="A1539" s="163">
        <v>44270</v>
      </c>
      <c r="B1539" s="116">
        <v>1123.95</v>
      </c>
      <c r="C1539" s="116">
        <v>1105.1199999999999</v>
      </c>
      <c r="D1539" s="116">
        <v>1096.4000000000001</v>
      </c>
      <c r="E1539" s="116">
        <v>1120.2</v>
      </c>
      <c r="F1539" s="116">
        <v>5525.6</v>
      </c>
      <c r="G1539">
        <v>7013</v>
      </c>
      <c r="H1539" s="116"/>
      <c r="I1539" s="116"/>
      <c r="L1539" s="163">
        <v>44270</v>
      </c>
      <c r="M1539" s="116">
        <v>1106.93</v>
      </c>
      <c r="N1539" s="116">
        <v>1125</v>
      </c>
      <c r="O1539" s="116">
        <v>1096.2</v>
      </c>
      <c r="P1539" s="116">
        <v>1125</v>
      </c>
      <c r="Q1539" s="116">
        <v>5534.65</v>
      </c>
      <c r="R1539">
        <v>110711</v>
      </c>
    </row>
    <row r="1540" spans="1:18" x14ac:dyDescent="0.25">
      <c r="A1540" s="163">
        <v>44271</v>
      </c>
      <c r="B1540" s="116">
        <v>1114.05</v>
      </c>
      <c r="C1540" s="116">
        <v>1100.3399999999999</v>
      </c>
      <c r="D1540" s="116">
        <v>1097.1099999999999</v>
      </c>
      <c r="E1540" s="116">
        <v>1113.3</v>
      </c>
      <c r="F1540" s="116">
        <v>5501.7</v>
      </c>
      <c r="G1540">
        <v>3557</v>
      </c>
      <c r="H1540" s="116"/>
      <c r="I1540" s="116"/>
      <c r="L1540" s="163">
        <v>44271</v>
      </c>
      <c r="M1540" s="116">
        <v>1100.6500000000001</v>
      </c>
      <c r="N1540" s="116">
        <v>1118</v>
      </c>
      <c r="O1540" s="116">
        <v>1096.2</v>
      </c>
      <c r="P1540" s="116">
        <v>1118</v>
      </c>
      <c r="Q1540" s="116">
        <v>5503.25</v>
      </c>
      <c r="R1540">
        <v>79326</v>
      </c>
    </row>
    <row r="1541" spans="1:18" x14ac:dyDescent="0.25">
      <c r="A1541" s="163">
        <v>44272</v>
      </c>
      <c r="B1541" s="116">
        <v>1101.83</v>
      </c>
      <c r="C1541" s="116">
        <v>1080.52</v>
      </c>
      <c r="D1541" s="116">
        <v>1075.75</v>
      </c>
      <c r="E1541" s="116">
        <v>1100.4000000000001</v>
      </c>
      <c r="F1541" s="116">
        <v>5402.6</v>
      </c>
      <c r="G1541">
        <v>3250</v>
      </c>
      <c r="H1541" s="116"/>
      <c r="I1541" s="116"/>
      <c r="L1541" s="163">
        <v>44272</v>
      </c>
      <c r="M1541" s="116">
        <v>1080.94</v>
      </c>
      <c r="N1541" s="116">
        <v>1102.98</v>
      </c>
      <c r="O1541" s="116">
        <v>1075.02</v>
      </c>
      <c r="P1541" s="116">
        <v>1100</v>
      </c>
      <c r="Q1541" s="116">
        <v>5404.7</v>
      </c>
      <c r="R1541">
        <v>101716</v>
      </c>
    </row>
    <row r="1542" spans="1:18" x14ac:dyDescent="0.25">
      <c r="A1542" s="163">
        <v>44273</v>
      </c>
      <c r="B1542" s="116">
        <v>1093.1099999999999</v>
      </c>
      <c r="C1542" s="116">
        <v>1056.45</v>
      </c>
      <c r="D1542" s="116">
        <v>1052.8800000000001</v>
      </c>
      <c r="E1542" s="116">
        <v>1093.1099999999999</v>
      </c>
      <c r="F1542" s="116">
        <v>5282.25</v>
      </c>
      <c r="G1542">
        <v>6945</v>
      </c>
      <c r="H1542" s="116"/>
      <c r="I1542" s="116"/>
      <c r="L1542" s="163">
        <v>44273</v>
      </c>
      <c r="M1542" s="116">
        <v>1056.99</v>
      </c>
      <c r="N1542" s="116">
        <v>1096</v>
      </c>
      <c r="O1542" s="116">
        <v>1053.5999999999999</v>
      </c>
      <c r="P1542" s="116">
        <v>1095.8</v>
      </c>
      <c r="Q1542" s="116">
        <v>5284.95</v>
      </c>
      <c r="R1542">
        <v>209957</v>
      </c>
    </row>
    <row r="1543" spans="1:18" x14ac:dyDescent="0.25">
      <c r="A1543" s="163">
        <v>44274</v>
      </c>
      <c r="B1543" s="116">
        <v>1080</v>
      </c>
      <c r="C1543" s="116">
        <v>1064.0999999999999</v>
      </c>
      <c r="D1543" s="116">
        <v>1026.6300000000001</v>
      </c>
      <c r="E1543" s="116">
        <v>1056.45</v>
      </c>
      <c r="F1543" s="116">
        <v>5320.5</v>
      </c>
      <c r="G1543">
        <v>10033</v>
      </c>
      <c r="H1543" s="116"/>
      <c r="I1543" s="116"/>
      <c r="L1543" s="163">
        <v>44274</v>
      </c>
      <c r="M1543" s="116">
        <v>1062.93</v>
      </c>
      <c r="N1543" s="116">
        <v>1080</v>
      </c>
      <c r="O1543" s="116">
        <v>1026.21</v>
      </c>
      <c r="P1543" s="116">
        <v>1045</v>
      </c>
      <c r="Q1543" s="116">
        <v>5314.65</v>
      </c>
      <c r="R1543">
        <v>283241</v>
      </c>
    </row>
    <row r="1544" spans="1:18" x14ac:dyDescent="0.25">
      <c r="A1544" s="163">
        <v>44277</v>
      </c>
      <c r="B1544" s="116">
        <v>1064.04</v>
      </c>
      <c r="C1544" s="116">
        <v>1056.51</v>
      </c>
      <c r="D1544" s="116">
        <v>1047</v>
      </c>
      <c r="E1544" s="116">
        <v>1062.5</v>
      </c>
      <c r="F1544" s="116">
        <v>5282.55</v>
      </c>
      <c r="G1544">
        <v>5748</v>
      </c>
      <c r="H1544" s="116"/>
      <c r="I1544" s="116"/>
      <c r="L1544" s="163">
        <v>44277</v>
      </c>
      <c r="M1544" s="116">
        <v>1056.2</v>
      </c>
      <c r="N1544" s="116">
        <v>1064.55</v>
      </c>
      <c r="O1544" s="116">
        <v>1046.81</v>
      </c>
      <c r="P1544" s="116">
        <v>1054</v>
      </c>
      <c r="Q1544" s="116">
        <v>5281</v>
      </c>
      <c r="R1544">
        <v>91631</v>
      </c>
    </row>
    <row r="1545" spans="1:18" x14ac:dyDescent="0.25">
      <c r="A1545" s="163">
        <v>44278</v>
      </c>
      <c r="B1545" s="116">
        <v>1072.96</v>
      </c>
      <c r="C1545" s="116">
        <v>1069.33</v>
      </c>
      <c r="D1545" s="116">
        <v>1054.0899999999999</v>
      </c>
      <c r="E1545" s="116">
        <v>1062.19</v>
      </c>
      <c r="F1545" s="116">
        <v>5346.65</v>
      </c>
      <c r="G1545">
        <v>7555</v>
      </c>
      <c r="H1545" s="116"/>
      <c r="I1545" s="116"/>
      <c r="L1545" s="163">
        <v>44278</v>
      </c>
      <c r="M1545" s="116">
        <v>1067.8699999999999</v>
      </c>
      <c r="N1545" s="116">
        <v>1073.52</v>
      </c>
      <c r="O1545" s="116">
        <v>1053.51</v>
      </c>
      <c r="P1545" s="116">
        <v>1056.2</v>
      </c>
      <c r="Q1545" s="116">
        <v>5339.35</v>
      </c>
      <c r="R1545">
        <v>154029</v>
      </c>
    </row>
    <row r="1546" spans="1:18" x14ac:dyDescent="0.25">
      <c r="A1546" s="163">
        <v>44279</v>
      </c>
      <c r="B1546" s="116">
        <v>1072</v>
      </c>
      <c r="C1546" s="116">
        <v>1062.19</v>
      </c>
      <c r="D1546" s="116">
        <v>1058.32</v>
      </c>
      <c r="E1546" s="116">
        <v>1064</v>
      </c>
      <c r="F1546" s="116">
        <v>5310.95</v>
      </c>
      <c r="G1546">
        <v>3366</v>
      </c>
      <c r="H1546" s="116"/>
      <c r="I1546" s="116"/>
      <c r="L1546" s="163">
        <v>44279</v>
      </c>
      <c r="M1546" s="116">
        <v>1061.3399999999999</v>
      </c>
      <c r="N1546" s="116">
        <v>1071.3599999999999</v>
      </c>
      <c r="O1546" s="116">
        <v>1057.21</v>
      </c>
      <c r="P1546" s="116">
        <v>1060.25</v>
      </c>
      <c r="Q1546" s="116">
        <v>5306.7</v>
      </c>
      <c r="R1546">
        <v>93292</v>
      </c>
    </row>
    <row r="1547" spans="1:18" x14ac:dyDescent="0.25">
      <c r="A1547" s="163">
        <v>44280</v>
      </c>
      <c r="B1547" s="116">
        <v>1063.5</v>
      </c>
      <c r="C1547" s="116">
        <v>1050.6400000000001</v>
      </c>
      <c r="D1547" s="116">
        <v>1046.8699999999999</v>
      </c>
      <c r="E1547" s="116">
        <v>1057.2</v>
      </c>
      <c r="F1547" s="116">
        <v>5253.2</v>
      </c>
      <c r="G1547">
        <v>4205</v>
      </c>
      <c r="H1547" s="116"/>
      <c r="I1547" s="116"/>
      <c r="L1547" s="163">
        <v>44280</v>
      </c>
      <c r="M1547" s="116">
        <v>1050.6099999999999</v>
      </c>
      <c r="N1547" s="116">
        <v>1063.79</v>
      </c>
      <c r="O1547" s="116">
        <v>1047.75</v>
      </c>
      <c r="P1547" s="116">
        <v>1061.3399999999999</v>
      </c>
      <c r="Q1547" s="116">
        <v>5253.05</v>
      </c>
      <c r="R1547">
        <v>96649</v>
      </c>
    </row>
    <row r="1548" spans="1:18" x14ac:dyDescent="0.25">
      <c r="A1548" s="163">
        <v>44281</v>
      </c>
      <c r="B1548" s="116">
        <v>1069.19</v>
      </c>
      <c r="C1548" s="116">
        <v>1053.52</v>
      </c>
      <c r="D1548" s="116">
        <v>1045.83</v>
      </c>
      <c r="E1548" s="116">
        <v>1049</v>
      </c>
      <c r="F1548" s="116">
        <v>5267.6</v>
      </c>
      <c r="G1548">
        <v>3422</v>
      </c>
      <c r="H1548" s="116"/>
      <c r="I1548" s="116"/>
      <c r="L1548" s="163">
        <v>44281</v>
      </c>
      <c r="M1548" s="116">
        <v>1054.6500000000001</v>
      </c>
      <c r="N1548" s="116">
        <v>1069.1600000000001</v>
      </c>
      <c r="O1548" s="116">
        <v>1045</v>
      </c>
      <c r="P1548" s="116">
        <v>1054.02</v>
      </c>
      <c r="Q1548" s="116">
        <v>5273.25</v>
      </c>
      <c r="R1548">
        <v>77754</v>
      </c>
    </row>
    <row r="1549" spans="1:18" x14ac:dyDescent="0.25">
      <c r="A1549" s="163">
        <v>44285</v>
      </c>
      <c r="B1549" s="116">
        <v>1088.98</v>
      </c>
      <c r="C1549" s="116">
        <v>1081.3800000000001</v>
      </c>
      <c r="D1549" s="116">
        <v>1057.8499999999999</v>
      </c>
      <c r="E1549" s="116">
        <v>1062.03</v>
      </c>
      <c r="F1549" s="116">
        <v>5406.9</v>
      </c>
      <c r="G1549">
        <v>26245</v>
      </c>
      <c r="H1549" s="116"/>
      <c r="I1549" s="116"/>
      <c r="L1549" s="163">
        <v>44285</v>
      </c>
      <c r="M1549" s="116">
        <v>1080.45</v>
      </c>
      <c r="N1549" s="116">
        <v>1084.19</v>
      </c>
      <c r="O1549" s="116">
        <v>1057.1199999999999</v>
      </c>
      <c r="P1549" s="116">
        <v>1060</v>
      </c>
      <c r="Q1549" s="116">
        <v>5402.25</v>
      </c>
      <c r="R1549">
        <v>153794</v>
      </c>
    </row>
    <row r="1550" spans="1:18" x14ac:dyDescent="0.25">
      <c r="A1550" s="163">
        <v>44286</v>
      </c>
      <c r="B1550" s="116">
        <v>1087.18</v>
      </c>
      <c r="C1550" s="116">
        <v>1081.3</v>
      </c>
      <c r="D1550" s="116">
        <v>1066.4100000000001</v>
      </c>
      <c r="E1550" s="116">
        <v>1084</v>
      </c>
      <c r="F1550" s="116">
        <v>5406.5</v>
      </c>
      <c r="G1550">
        <v>16592</v>
      </c>
      <c r="H1550" s="116"/>
      <c r="I1550" s="116"/>
      <c r="L1550" s="163">
        <v>44286</v>
      </c>
      <c r="M1550" s="116">
        <v>1082.1600000000001</v>
      </c>
      <c r="N1550" s="116">
        <v>1090</v>
      </c>
      <c r="O1550" s="116">
        <v>1066.26</v>
      </c>
      <c r="P1550" s="116">
        <v>1090</v>
      </c>
      <c r="Q1550" s="116">
        <v>5410.8</v>
      </c>
      <c r="R1550">
        <v>214425</v>
      </c>
    </row>
    <row r="1551" spans="1:18" x14ac:dyDescent="0.25">
      <c r="A1551" s="163">
        <v>44287</v>
      </c>
      <c r="B1551" s="116">
        <v>1154.71</v>
      </c>
      <c r="C1551" s="116">
        <v>1148.6500000000001</v>
      </c>
      <c r="D1551" s="116">
        <v>1082</v>
      </c>
      <c r="E1551" s="116">
        <v>1082</v>
      </c>
      <c r="F1551" s="116">
        <v>5743.25</v>
      </c>
      <c r="G1551">
        <v>13747</v>
      </c>
      <c r="H1551" s="116"/>
      <c r="I1551" s="116"/>
      <c r="L1551" s="163">
        <v>44287</v>
      </c>
      <c r="M1551" s="116">
        <v>1148.27</v>
      </c>
      <c r="N1551" s="116">
        <v>1154.95</v>
      </c>
      <c r="O1551" s="116">
        <v>1087.21</v>
      </c>
      <c r="P1551" s="116">
        <v>1089.9000000000001</v>
      </c>
      <c r="Q1551" s="116">
        <v>5741.35</v>
      </c>
      <c r="R1551">
        <v>431901</v>
      </c>
    </row>
    <row r="1552" spans="1:18" x14ac:dyDescent="0.25">
      <c r="A1552" s="163">
        <v>44291</v>
      </c>
      <c r="B1552" s="116">
        <v>1151.5999999999999</v>
      </c>
      <c r="C1552" s="116">
        <v>1128.44</v>
      </c>
      <c r="D1552" s="116">
        <v>1117.4100000000001</v>
      </c>
      <c r="E1552" s="116">
        <v>1149.5999999999999</v>
      </c>
      <c r="F1552" s="116">
        <v>5642.2</v>
      </c>
      <c r="G1552">
        <v>10383</v>
      </c>
      <c r="H1552" s="116"/>
      <c r="I1552" s="116"/>
      <c r="L1552" s="163">
        <v>44291</v>
      </c>
      <c r="M1552" s="116">
        <v>1130.44</v>
      </c>
      <c r="N1552" s="116">
        <v>1154</v>
      </c>
      <c r="O1552" s="116">
        <v>1116</v>
      </c>
      <c r="P1552" s="116">
        <v>1154</v>
      </c>
      <c r="Q1552" s="116">
        <v>5652.2</v>
      </c>
      <c r="R1552">
        <v>143188</v>
      </c>
    </row>
    <row r="1553" spans="1:18" x14ac:dyDescent="0.25">
      <c r="A1553" s="163">
        <v>44292</v>
      </c>
      <c r="B1553" s="116">
        <v>1232.2</v>
      </c>
      <c r="C1553" s="116">
        <v>1222.48</v>
      </c>
      <c r="D1553" s="116">
        <v>1122.31</v>
      </c>
      <c r="E1553" s="116">
        <v>1132.02</v>
      </c>
      <c r="F1553" s="116">
        <v>6112.4</v>
      </c>
      <c r="G1553">
        <v>23916</v>
      </c>
      <c r="H1553" s="116"/>
      <c r="I1553" s="116"/>
      <c r="L1553" s="163">
        <v>44292</v>
      </c>
      <c r="M1553" s="116">
        <v>1222.33</v>
      </c>
      <c r="N1553" s="116">
        <v>1232.43</v>
      </c>
      <c r="O1553" s="116">
        <v>1122.23</v>
      </c>
      <c r="P1553" s="116">
        <v>1133.5999999999999</v>
      </c>
      <c r="Q1553" s="116">
        <v>6111.65</v>
      </c>
      <c r="R1553">
        <v>579329</v>
      </c>
    </row>
    <row r="1554" spans="1:18" x14ac:dyDescent="0.25">
      <c r="A1554" s="163">
        <v>44293</v>
      </c>
      <c r="B1554" s="116">
        <v>1248.67</v>
      </c>
      <c r="C1554" s="116">
        <v>1237.77</v>
      </c>
      <c r="D1554" s="116">
        <v>1207.45</v>
      </c>
      <c r="E1554" s="116">
        <v>1226</v>
      </c>
      <c r="F1554" s="116">
        <v>6188.85</v>
      </c>
      <c r="G1554">
        <v>23393</v>
      </c>
      <c r="H1554" s="116"/>
      <c r="I1554" s="116"/>
      <c r="L1554" s="163">
        <v>44293</v>
      </c>
      <c r="M1554" s="116">
        <v>1237.95</v>
      </c>
      <c r="N1554" s="116">
        <v>1249.2</v>
      </c>
      <c r="O1554" s="116">
        <v>1206.8</v>
      </c>
      <c r="P1554" s="116">
        <v>1222.96</v>
      </c>
      <c r="Q1554" s="116">
        <v>6189.75</v>
      </c>
      <c r="R1554">
        <v>469668</v>
      </c>
    </row>
    <row r="1555" spans="1:18" x14ac:dyDescent="0.25">
      <c r="A1555" s="163">
        <v>44294</v>
      </c>
      <c r="B1555" s="116">
        <v>1272.79</v>
      </c>
      <c r="C1555" s="116">
        <v>1242.97</v>
      </c>
      <c r="D1555" s="116">
        <v>1220.73</v>
      </c>
      <c r="E1555" s="116">
        <v>1226</v>
      </c>
      <c r="F1555" s="116">
        <v>6214.85</v>
      </c>
      <c r="G1555">
        <v>13077</v>
      </c>
      <c r="H1555" s="116"/>
      <c r="I1555" s="116"/>
      <c r="L1555" s="163">
        <v>44294</v>
      </c>
      <c r="M1555" s="116">
        <v>1241.1500000000001</v>
      </c>
      <c r="N1555" s="116">
        <v>1272.92</v>
      </c>
      <c r="O1555" s="116">
        <v>1226</v>
      </c>
      <c r="P1555" s="116">
        <v>1239.8</v>
      </c>
      <c r="Q1555" s="116">
        <v>6205.75</v>
      </c>
      <c r="R1555">
        <v>306052</v>
      </c>
    </row>
    <row r="1556" spans="1:18" x14ac:dyDescent="0.25">
      <c r="A1556" s="163">
        <v>44295</v>
      </c>
      <c r="B1556" s="116">
        <v>1272</v>
      </c>
      <c r="C1556" s="116">
        <v>1252</v>
      </c>
      <c r="D1556" s="116">
        <v>1228.54</v>
      </c>
      <c r="E1556" s="116">
        <v>1232.01</v>
      </c>
      <c r="F1556" s="116">
        <v>6260</v>
      </c>
      <c r="G1556">
        <v>13549</v>
      </c>
      <c r="H1556" s="116"/>
      <c r="I1556" s="116"/>
      <c r="L1556" s="163">
        <v>44295</v>
      </c>
      <c r="M1556" s="116">
        <v>1251.8699999999999</v>
      </c>
      <c r="N1556" s="116">
        <v>1272.71</v>
      </c>
      <c r="O1556" s="116">
        <v>1230.48</v>
      </c>
      <c r="P1556" s="116">
        <v>1236.06</v>
      </c>
      <c r="Q1556" s="116">
        <v>6259.35</v>
      </c>
      <c r="R1556">
        <v>213233</v>
      </c>
    </row>
    <row r="1557" spans="1:18" x14ac:dyDescent="0.25">
      <c r="A1557" s="163">
        <v>44298</v>
      </c>
      <c r="B1557" s="116">
        <v>1239.78</v>
      </c>
      <c r="C1557" s="116">
        <v>1223.05</v>
      </c>
      <c r="D1557" s="116">
        <v>1180.02</v>
      </c>
      <c r="E1557" s="116">
        <v>1231</v>
      </c>
      <c r="F1557" s="116">
        <v>6115.25</v>
      </c>
      <c r="G1557">
        <v>13383</v>
      </c>
      <c r="H1557" s="116"/>
      <c r="I1557" s="116"/>
      <c r="L1557" s="163">
        <v>44298</v>
      </c>
      <c r="M1557" s="116">
        <v>1224.5899999999999</v>
      </c>
      <c r="N1557" s="116">
        <v>1243.99</v>
      </c>
      <c r="O1557" s="116">
        <v>1181</v>
      </c>
      <c r="P1557" s="116">
        <v>1240</v>
      </c>
      <c r="Q1557" s="116">
        <v>6122.95</v>
      </c>
      <c r="R1557">
        <v>186751</v>
      </c>
    </row>
    <row r="1558" spans="1:18" x14ac:dyDescent="0.25">
      <c r="A1558" s="163">
        <v>44299</v>
      </c>
      <c r="B1558" s="116">
        <v>1266.18</v>
      </c>
      <c r="C1558" s="116">
        <v>1209</v>
      </c>
      <c r="D1558" s="116">
        <v>1205.45</v>
      </c>
      <c r="E1558" s="116">
        <v>1220</v>
      </c>
      <c r="F1558" s="116">
        <v>6045</v>
      </c>
      <c r="G1558">
        <v>10050</v>
      </c>
      <c r="H1558" s="116"/>
      <c r="I1558" s="116"/>
      <c r="L1558" s="163">
        <v>44299</v>
      </c>
      <c r="M1558" s="116">
        <v>1210.56</v>
      </c>
      <c r="N1558" s="116">
        <v>1266</v>
      </c>
      <c r="O1558" s="116">
        <v>1205.5899999999999</v>
      </c>
      <c r="P1558" s="116">
        <v>1227</v>
      </c>
      <c r="Q1558" s="116">
        <v>6052.8</v>
      </c>
      <c r="R1558">
        <v>210942</v>
      </c>
    </row>
    <row r="1559" spans="1:18" x14ac:dyDescent="0.25">
      <c r="A1559" s="163">
        <v>44301</v>
      </c>
      <c r="B1559" s="116">
        <v>1225.83</v>
      </c>
      <c r="C1559" s="116">
        <v>1198.3800000000001</v>
      </c>
      <c r="D1559" s="116">
        <v>1190.02</v>
      </c>
      <c r="E1559" s="116">
        <v>1217.44</v>
      </c>
      <c r="F1559" s="116">
        <v>5991.9</v>
      </c>
      <c r="G1559">
        <v>5186</v>
      </c>
      <c r="H1559" s="116"/>
      <c r="I1559" s="116"/>
      <c r="L1559" s="163">
        <v>44301</v>
      </c>
      <c r="M1559" s="116">
        <v>1199.57</v>
      </c>
      <c r="N1559" s="116">
        <v>1225.99</v>
      </c>
      <c r="O1559" s="116">
        <v>1188</v>
      </c>
      <c r="P1559" s="116">
        <v>1221.1099999999999</v>
      </c>
      <c r="Q1559" s="116">
        <v>5997.85</v>
      </c>
      <c r="R1559">
        <v>212540</v>
      </c>
    </row>
    <row r="1560" spans="1:18" x14ac:dyDescent="0.25">
      <c r="A1560" s="163">
        <v>44302</v>
      </c>
      <c r="B1560" s="116">
        <v>1231.5899999999999</v>
      </c>
      <c r="C1560" s="116">
        <v>1225.8900000000001</v>
      </c>
      <c r="D1560" s="116">
        <v>1200</v>
      </c>
      <c r="E1560" s="116">
        <v>1200</v>
      </c>
      <c r="F1560" s="116">
        <v>6129.45</v>
      </c>
      <c r="G1560">
        <v>4221</v>
      </c>
      <c r="H1560" s="116"/>
      <c r="I1560" s="116"/>
      <c r="L1560" s="163">
        <v>44302</v>
      </c>
      <c r="M1560" s="116">
        <v>1225.45</v>
      </c>
      <c r="N1560" s="116">
        <v>1232</v>
      </c>
      <c r="O1560" s="116">
        <v>1197.5999999999999</v>
      </c>
      <c r="P1560" s="116">
        <v>1199.57</v>
      </c>
      <c r="Q1560" s="116">
        <v>6127.25</v>
      </c>
      <c r="R1560">
        <v>154684</v>
      </c>
    </row>
    <row r="1561" spans="1:18" x14ac:dyDescent="0.25">
      <c r="A1561" s="163">
        <v>44305</v>
      </c>
      <c r="B1561" s="116">
        <v>1252.78</v>
      </c>
      <c r="C1561" s="116">
        <v>1246.93</v>
      </c>
      <c r="D1561" s="116">
        <v>1171.6500000000001</v>
      </c>
      <c r="E1561" s="116">
        <v>1171.6500000000001</v>
      </c>
      <c r="F1561" s="116">
        <v>6234.65</v>
      </c>
      <c r="G1561">
        <v>7584</v>
      </c>
      <c r="H1561" s="116"/>
      <c r="I1561" s="116"/>
      <c r="L1561" s="163">
        <v>44305</v>
      </c>
      <c r="M1561" s="116">
        <v>1247.21</v>
      </c>
      <c r="N1561" s="116">
        <v>1252.55</v>
      </c>
      <c r="O1561" s="116">
        <v>1192.03</v>
      </c>
      <c r="P1561" s="116">
        <v>1205.1099999999999</v>
      </c>
      <c r="Q1561" s="116">
        <v>6236.05</v>
      </c>
      <c r="R1561">
        <v>218041</v>
      </c>
    </row>
    <row r="1562" spans="1:18" x14ac:dyDescent="0.25">
      <c r="A1562" s="163">
        <v>44306</v>
      </c>
      <c r="B1562" s="116">
        <v>1255</v>
      </c>
      <c r="C1562" s="116">
        <v>1230.3900000000001</v>
      </c>
      <c r="D1562" s="116">
        <v>1211.99</v>
      </c>
      <c r="E1562" s="116">
        <v>1255</v>
      </c>
      <c r="F1562" s="116">
        <v>6151.95</v>
      </c>
      <c r="G1562">
        <v>4898</v>
      </c>
      <c r="H1562" s="116"/>
      <c r="I1562" s="116"/>
      <c r="L1562" s="163">
        <v>44306</v>
      </c>
      <c r="M1562" s="116">
        <v>1230.0999999999999</v>
      </c>
      <c r="N1562" s="116">
        <v>1257.9100000000001</v>
      </c>
      <c r="O1562" s="116">
        <v>1210.55</v>
      </c>
      <c r="P1562" s="116">
        <v>1254</v>
      </c>
      <c r="Q1562" s="116">
        <v>6150.5</v>
      </c>
      <c r="R1562">
        <v>172396</v>
      </c>
    </row>
    <row r="1563" spans="1:18" x14ac:dyDescent="0.25">
      <c r="A1563" s="163">
        <v>44308</v>
      </c>
      <c r="B1563" s="116">
        <v>1238.4100000000001</v>
      </c>
      <c r="C1563" s="116">
        <v>1221.1199999999999</v>
      </c>
      <c r="D1563" s="116">
        <v>1214.22</v>
      </c>
      <c r="E1563" s="116">
        <v>1216</v>
      </c>
      <c r="F1563" s="116">
        <v>6105.6</v>
      </c>
      <c r="G1563">
        <v>8145</v>
      </c>
      <c r="H1563" s="116"/>
      <c r="I1563" s="116"/>
      <c r="L1563" s="163">
        <v>44308</v>
      </c>
      <c r="M1563" s="116">
        <v>1221.71</v>
      </c>
      <c r="N1563" s="116">
        <v>1239.5899999999999</v>
      </c>
      <c r="O1563" s="116">
        <v>1214.03</v>
      </c>
      <c r="P1563" s="116">
        <v>1224</v>
      </c>
      <c r="Q1563" s="116">
        <v>6108.55</v>
      </c>
      <c r="R1563">
        <v>113999</v>
      </c>
    </row>
    <row r="1564" spans="1:18" x14ac:dyDescent="0.25">
      <c r="A1564" s="163">
        <v>44309</v>
      </c>
      <c r="B1564" s="116">
        <v>1242.18</v>
      </c>
      <c r="C1564" s="116">
        <v>1233.57</v>
      </c>
      <c r="D1564" s="116">
        <v>1220.8599999999999</v>
      </c>
      <c r="E1564" s="116">
        <v>1221.1199999999999</v>
      </c>
      <c r="F1564" s="116">
        <v>6167.85</v>
      </c>
      <c r="G1564">
        <v>4730</v>
      </c>
      <c r="H1564" s="116"/>
      <c r="I1564" s="116"/>
      <c r="L1564" s="163">
        <v>44309</v>
      </c>
      <c r="M1564" s="116">
        <v>1234.18</v>
      </c>
      <c r="N1564" s="116">
        <v>1242.1600000000001</v>
      </c>
      <c r="O1564" s="116">
        <v>1219.99</v>
      </c>
      <c r="P1564" s="116">
        <v>1220</v>
      </c>
      <c r="Q1564" s="116">
        <v>6170.9</v>
      </c>
      <c r="R1564">
        <v>163918</v>
      </c>
    </row>
    <row r="1565" spans="1:18" x14ac:dyDescent="0.25">
      <c r="A1565" s="163">
        <v>44312</v>
      </c>
      <c r="B1565" s="116">
        <v>1260.56</v>
      </c>
      <c r="C1565" s="116">
        <v>1239.3599999999999</v>
      </c>
      <c r="D1565" s="116">
        <v>1227.3699999999999</v>
      </c>
      <c r="E1565" s="116">
        <v>1229.2</v>
      </c>
      <c r="F1565" s="116">
        <v>6196.8</v>
      </c>
      <c r="G1565">
        <v>7026</v>
      </c>
      <c r="H1565" s="116"/>
      <c r="I1565" s="116"/>
      <c r="L1565" s="163">
        <v>44312</v>
      </c>
      <c r="M1565" s="116">
        <v>1240.6400000000001</v>
      </c>
      <c r="N1565" s="116">
        <v>1280.46</v>
      </c>
      <c r="O1565" s="116">
        <v>1223.04</v>
      </c>
      <c r="P1565" s="116">
        <v>1240.4000000000001</v>
      </c>
      <c r="Q1565" s="116">
        <v>6203.2</v>
      </c>
      <c r="R1565">
        <v>137823</v>
      </c>
    </row>
    <row r="1566" spans="1:18" x14ac:dyDescent="0.25">
      <c r="A1566" s="163">
        <v>44313</v>
      </c>
      <c r="B1566" s="116">
        <v>1290.5999999999999</v>
      </c>
      <c r="C1566" s="116">
        <v>1285.81</v>
      </c>
      <c r="D1566" s="116">
        <v>1240.8499999999999</v>
      </c>
      <c r="E1566" s="116">
        <v>1246</v>
      </c>
      <c r="F1566" s="116">
        <v>6429.05</v>
      </c>
      <c r="G1566">
        <v>12911</v>
      </c>
      <c r="H1566" s="116"/>
      <c r="I1566" s="116"/>
      <c r="L1566" s="163">
        <v>44313</v>
      </c>
      <c r="M1566" s="116">
        <v>1286.97</v>
      </c>
      <c r="N1566" s="116">
        <v>1290.6500000000001</v>
      </c>
      <c r="O1566" s="116">
        <v>1240.21</v>
      </c>
      <c r="P1566" s="116">
        <v>1240.8</v>
      </c>
      <c r="Q1566" s="116">
        <v>6434.85</v>
      </c>
      <c r="R1566">
        <v>337803</v>
      </c>
    </row>
    <row r="1567" spans="1:18" x14ac:dyDescent="0.25">
      <c r="A1567" s="163">
        <v>44314</v>
      </c>
      <c r="B1567" s="116">
        <v>1305</v>
      </c>
      <c r="C1567" s="116">
        <v>1284.32</v>
      </c>
      <c r="D1567" s="116">
        <v>1276.98</v>
      </c>
      <c r="E1567" s="116">
        <v>1295</v>
      </c>
      <c r="F1567" s="116">
        <v>6421.6</v>
      </c>
      <c r="G1567">
        <v>12815</v>
      </c>
      <c r="H1567" s="116"/>
      <c r="I1567" s="116"/>
      <c r="L1567" s="163">
        <v>44314</v>
      </c>
      <c r="M1567" s="116">
        <v>1284.5</v>
      </c>
      <c r="N1567" s="116">
        <v>1305.71</v>
      </c>
      <c r="O1567" s="116">
        <v>1276.81</v>
      </c>
      <c r="P1567" s="116">
        <v>1295.8</v>
      </c>
      <c r="Q1567" s="116">
        <v>6422.5</v>
      </c>
      <c r="R1567">
        <v>259728</v>
      </c>
    </row>
    <row r="1568" spans="1:18" x14ac:dyDescent="0.25">
      <c r="A1568" s="163">
        <v>44315</v>
      </c>
      <c r="B1568" s="116">
        <v>1308.0899999999999</v>
      </c>
      <c r="C1568" s="116">
        <v>1288.3399999999999</v>
      </c>
      <c r="D1568" s="116">
        <v>1280.79</v>
      </c>
      <c r="E1568" s="116">
        <v>1300</v>
      </c>
      <c r="F1568" s="116">
        <v>6441.7</v>
      </c>
      <c r="G1568">
        <v>4398</v>
      </c>
      <c r="H1568" s="116"/>
      <c r="I1568" s="116"/>
      <c r="L1568" s="163">
        <v>44315</v>
      </c>
      <c r="M1568" s="116">
        <v>1288.04</v>
      </c>
      <c r="N1568" s="116">
        <v>1308.49</v>
      </c>
      <c r="O1568" s="116">
        <v>1279.74</v>
      </c>
      <c r="P1568" s="116">
        <v>1288</v>
      </c>
      <c r="Q1568" s="116">
        <v>6440.2</v>
      </c>
      <c r="R1568">
        <v>130265</v>
      </c>
    </row>
    <row r="1569" spans="1:18" x14ac:dyDescent="0.25">
      <c r="A1569" s="163">
        <v>44316</v>
      </c>
      <c r="B1569" s="116">
        <v>1317.77</v>
      </c>
      <c r="C1569" s="116">
        <v>1286.3599999999999</v>
      </c>
      <c r="D1569" s="116">
        <v>1276.92</v>
      </c>
      <c r="E1569" s="116">
        <v>1280.3399999999999</v>
      </c>
      <c r="F1569" s="116">
        <v>6431.8</v>
      </c>
      <c r="G1569">
        <v>10681</v>
      </c>
      <c r="H1569" s="116"/>
      <c r="I1569" s="116"/>
      <c r="L1569" s="163">
        <v>44316</v>
      </c>
      <c r="M1569" s="116">
        <v>1286.22</v>
      </c>
      <c r="N1569" s="116">
        <v>1318</v>
      </c>
      <c r="O1569" s="116">
        <v>1277.27</v>
      </c>
      <c r="P1569" s="116">
        <v>1284.22</v>
      </c>
      <c r="Q1569" s="116">
        <v>6431.1</v>
      </c>
      <c r="R1569">
        <v>214303</v>
      </c>
    </row>
    <row r="1570" spans="1:18" x14ac:dyDescent="0.25">
      <c r="A1570" s="163">
        <v>44319</v>
      </c>
      <c r="B1570" s="116">
        <v>1315.62</v>
      </c>
      <c r="C1570" s="116">
        <v>1305.8599999999999</v>
      </c>
      <c r="D1570" s="116">
        <v>1276</v>
      </c>
      <c r="E1570" s="116">
        <v>1276</v>
      </c>
      <c r="F1570" s="116">
        <v>6529.3</v>
      </c>
      <c r="G1570">
        <v>9180</v>
      </c>
      <c r="H1570" s="116"/>
      <c r="I1570" s="116"/>
      <c r="L1570" s="163">
        <v>44319</v>
      </c>
      <c r="M1570" s="116">
        <v>1306.02</v>
      </c>
      <c r="N1570" s="116">
        <v>1315.97</v>
      </c>
      <c r="O1570" s="116">
        <v>1274</v>
      </c>
      <c r="P1570" s="116">
        <v>1286</v>
      </c>
      <c r="Q1570" s="116">
        <v>6530.1</v>
      </c>
      <c r="R1570">
        <v>142570</v>
      </c>
    </row>
    <row r="1571" spans="1:18" x14ac:dyDescent="0.25">
      <c r="A1571" s="163">
        <v>44320</v>
      </c>
      <c r="B1571" s="116">
        <v>1361.92</v>
      </c>
      <c r="C1571" s="116">
        <v>1342.08</v>
      </c>
      <c r="D1571" s="116">
        <v>1304.3900000000001</v>
      </c>
      <c r="E1571" s="116">
        <v>1314.99</v>
      </c>
      <c r="F1571" s="116">
        <v>6710.4</v>
      </c>
      <c r="G1571">
        <v>19370</v>
      </c>
      <c r="H1571" s="116"/>
      <c r="I1571" s="116"/>
      <c r="L1571" s="163">
        <v>44320</v>
      </c>
      <c r="M1571" s="116">
        <v>1341.7</v>
      </c>
      <c r="N1571" s="116">
        <v>1362.78</v>
      </c>
      <c r="O1571" s="116">
        <v>1304</v>
      </c>
      <c r="P1571" s="116">
        <v>1314</v>
      </c>
      <c r="Q1571" s="116">
        <v>6708.5</v>
      </c>
      <c r="R1571">
        <v>475971</v>
      </c>
    </row>
    <row r="1572" spans="1:18" x14ac:dyDescent="0.25">
      <c r="A1572" s="163">
        <v>44321</v>
      </c>
      <c r="B1572" s="116">
        <v>1381.8</v>
      </c>
      <c r="C1572" s="116">
        <v>1368.26</v>
      </c>
      <c r="D1572" s="116">
        <v>1330.8</v>
      </c>
      <c r="E1572" s="116">
        <v>1364</v>
      </c>
      <c r="F1572" s="116">
        <v>6841.3</v>
      </c>
      <c r="G1572">
        <v>28478</v>
      </c>
      <c r="H1572" s="116"/>
      <c r="I1572" s="116"/>
      <c r="L1572" s="163">
        <v>44321</v>
      </c>
      <c r="M1572" s="116">
        <v>1367.33</v>
      </c>
      <c r="N1572" s="116">
        <v>1399.8</v>
      </c>
      <c r="O1572" s="116">
        <v>1330.72</v>
      </c>
      <c r="P1572" s="116">
        <v>1361.6</v>
      </c>
      <c r="Q1572" s="116">
        <v>6836.65</v>
      </c>
      <c r="R1572">
        <v>661029</v>
      </c>
    </row>
    <row r="1573" spans="1:18" x14ac:dyDescent="0.25">
      <c r="A1573" s="163">
        <v>44322</v>
      </c>
      <c r="B1573" s="116">
        <v>1397.21</v>
      </c>
      <c r="C1573" s="116">
        <v>1372.33</v>
      </c>
      <c r="D1573" s="116">
        <v>1352</v>
      </c>
      <c r="E1573" s="116">
        <v>1385</v>
      </c>
      <c r="F1573" s="116">
        <v>6861.65</v>
      </c>
      <c r="G1573">
        <v>14680</v>
      </c>
      <c r="H1573" s="116"/>
      <c r="I1573" s="116"/>
      <c r="L1573" s="163">
        <v>44322</v>
      </c>
      <c r="M1573" s="116">
        <v>1372.63</v>
      </c>
      <c r="N1573" s="116">
        <v>1397.6</v>
      </c>
      <c r="O1573" s="116">
        <v>1341.85</v>
      </c>
      <c r="P1573" s="116">
        <v>1380</v>
      </c>
      <c r="Q1573" s="116">
        <v>6863.15</v>
      </c>
      <c r="R1573">
        <v>362719</v>
      </c>
    </row>
    <row r="1574" spans="1:18" x14ac:dyDescent="0.25">
      <c r="A1574" s="163">
        <v>44323</v>
      </c>
      <c r="B1574" s="116">
        <v>1364</v>
      </c>
      <c r="C1574" s="116">
        <v>1255.2</v>
      </c>
      <c r="D1574" s="116">
        <v>1245.2</v>
      </c>
      <c r="E1574" s="116">
        <v>1364</v>
      </c>
      <c r="F1574" s="116">
        <v>6276</v>
      </c>
      <c r="G1574">
        <v>44631</v>
      </c>
      <c r="H1574" s="116"/>
      <c r="I1574" s="116"/>
      <c r="L1574" s="163">
        <v>44323</v>
      </c>
      <c r="M1574" s="116">
        <v>1255.83</v>
      </c>
      <c r="N1574" s="116">
        <v>1346</v>
      </c>
      <c r="O1574" s="116">
        <v>1245</v>
      </c>
      <c r="P1574" s="116">
        <v>1346</v>
      </c>
      <c r="Q1574" s="116">
        <v>6279.15</v>
      </c>
      <c r="R1574">
        <v>1359690</v>
      </c>
    </row>
    <row r="1575" spans="1:18" x14ac:dyDescent="0.25">
      <c r="A1575" s="163">
        <v>44326</v>
      </c>
      <c r="B1575" s="116">
        <v>1268.26</v>
      </c>
      <c r="C1575" s="116">
        <v>1259.93</v>
      </c>
      <c r="D1575" s="116">
        <v>1252.05</v>
      </c>
      <c r="E1575" s="116">
        <v>1264</v>
      </c>
      <c r="F1575" s="116">
        <v>6299.65</v>
      </c>
      <c r="G1575">
        <v>7189</v>
      </c>
      <c r="H1575" s="116"/>
      <c r="I1575" s="116"/>
      <c r="L1575" s="163">
        <v>44326</v>
      </c>
      <c r="M1575" s="116">
        <v>1259.8800000000001</v>
      </c>
      <c r="N1575" s="116">
        <v>1268.44</v>
      </c>
      <c r="O1575" s="116">
        <v>1250.6600000000001</v>
      </c>
      <c r="P1575" s="116">
        <v>1260</v>
      </c>
      <c r="Q1575" s="116">
        <v>6299.4</v>
      </c>
      <c r="R1575">
        <v>297671</v>
      </c>
    </row>
    <row r="1576" spans="1:18" x14ac:dyDescent="0.25">
      <c r="A1576" s="163">
        <v>44327</v>
      </c>
      <c r="B1576" s="116">
        <v>1289.8</v>
      </c>
      <c r="C1576" s="116">
        <v>1262.67</v>
      </c>
      <c r="D1576" s="116">
        <v>1242</v>
      </c>
      <c r="E1576" s="116">
        <v>1242</v>
      </c>
      <c r="F1576" s="116">
        <v>6313.35</v>
      </c>
      <c r="G1576">
        <v>24128</v>
      </c>
      <c r="H1576" s="116"/>
      <c r="I1576" s="116"/>
      <c r="L1576" s="163">
        <v>44327</v>
      </c>
      <c r="M1576" s="116">
        <v>1258.9000000000001</v>
      </c>
      <c r="N1576" s="116">
        <v>1289.9000000000001</v>
      </c>
      <c r="O1576" s="116">
        <v>1253.6199999999999</v>
      </c>
      <c r="P1576" s="116">
        <v>1259.8800000000001</v>
      </c>
      <c r="Q1576" s="116">
        <v>6294.5</v>
      </c>
      <c r="R1576">
        <v>405113</v>
      </c>
    </row>
    <row r="1577" spans="1:18" x14ac:dyDescent="0.25">
      <c r="A1577" s="163">
        <v>44328</v>
      </c>
      <c r="B1577" s="116">
        <v>1275.6400000000001</v>
      </c>
      <c r="C1577" s="116">
        <v>1256.2</v>
      </c>
      <c r="D1577" s="116">
        <v>1240</v>
      </c>
      <c r="E1577" s="116">
        <v>1256</v>
      </c>
      <c r="F1577" s="116">
        <v>6281</v>
      </c>
      <c r="G1577">
        <v>12412</v>
      </c>
      <c r="H1577" s="116"/>
      <c r="I1577" s="116"/>
      <c r="L1577" s="163">
        <v>44328</v>
      </c>
      <c r="M1577" s="116">
        <v>1256.01</v>
      </c>
      <c r="N1577" s="116">
        <v>1275.97</v>
      </c>
      <c r="O1577" s="116">
        <v>1236.24</v>
      </c>
      <c r="P1577" s="116">
        <v>1245</v>
      </c>
      <c r="Q1577" s="116">
        <v>6280.05</v>
      </c>
      <c r="R1577">
        <v>319990</v>
      </c>
    </row>
    <row r="1578" spans="1:18" x14ac:dyDescent="0.25">
      <c r="A1578" s="163">
        <v>44330</v>
      </c>
      <c r="B1578" s="116">
        <v>1273.67</v>
      </c>
      <c r="C1578" s="116">
        <v>1252.56</v>
      </c>
      <c r="D1578" s="116">
        <v>1244.4000000000001</v>
      </c>
      <c r="E1578" s="116">
        <v>1261.8</v>
      </c>
      <c r="F1578" s="116">
        <v>6262.8</v>
      </c>
      <c r="G1578">
        <v>8034</v>
      </c>
      <c r="H1578" s="116"/>
      <c r="I1578" s="116"/>
      <c r="L1578" s="163">
        <v>44330</v>
      </c>
      <c r="M1578" s="116">
        <v>1251.9000000000001</v>
      </c>
      <c r="N1578" s="116">
        <v>1274.95</v>
      </c>
      <c r="O1578" s="116">
        <v>1243.67</v>
      </c>
      <c r="P1578" s="116">
        <v>1269</v>
      </c>
      <c r="Q1578" s="116">
        <v>6259.5</v>
      </c>
      <c r="R1578">
        <v>171874</v>
      </c>
    </row>
    <row r="1579" spans="1:18" x14ac:dyDescent="0.25">
      <c r="A1579" s="163">
        <v>44333</v>
      </c>
      <c r="B1579" s="116">
        <v>1278.71</v>
      </c>
      <c r="C1579" s="116">
        <v>1271.82</v>
      </c>
      <c r="D1579" s="116">
        <v>1251.1500000000001</v>
      </c>
      <c r="E1579" s="116">
        <v>1258</v>
      </c>
      <c r="F1579" s="116">
        <v>6359.1</v>
      </c>
      <c r="G1579">
        <v>6755</v>
      </c>
      <c r="H1579" s="116"/>
      <c r="I1579" s="116"/>
      <c r="L1579" s="163">
        <v>44333</v>
      </c>
      <c r="M1579" s="116">
        <v>1273.33</v>
      </c>
      <c r="N1579" s="116">
        <v>1279.4000000000001</v>
      </c>
      <c r="O1579" s="116">
        <v>1252.01</v>
      </c>
      <c r="P1579" s="116">
        <v>1259.5999999999999</v>
      </c>
      <c r="Q1579" s="116">
        <v>6366.65</v>
      </c>
      <c r="R1579">
        <v>143037</v>
      </c>
    </row>
    <row r="1580" spans="1:18" x14ac:dyDescent="0.25">
      <c r="A1580" s="163">
        <v>44334</v>
      </c>
      <c r="B1580" s="116">
        <v>1297</v>
      </c>
      <c r="C1580" s="116">
        <v>1285.24</v>
      </c>
      <c r="D1580" s="116">
        <v>1275.5</v>
      </c>
      <c r="E1580" s="116">
        <v>1283.5999999999999</v>
      </c>
      <c r="F1580" s="116">
        <v>6426.2</v>
      </c>
      <c r="G1580">
        <v>4609</v>
      </c>
      <c r="H1580" s="116"/>
      <c r="I1580" s="116"/>
      <c r="L1580" s="163">
        <v>44334</v>
      </c>
      <c r="M1580" s="116">
        <v>1285.47</v>
      </c>
      <c r="N1580" s="116">
        <v>1297.2</v>
      </c>
      <c r="O1580" s="116">
        <v>1274.4100000000001</v>
      </c>
      <c r="P1580" s="116">
        <v>1279</v>
      </c>
      <c r="Q1580" s="116">
        <v>6427.35</v>
      </c>
      <c r="R1580">
        <v>189327</v>
      </c>
    </row>
    <row r="1581" spans="1:18" x14ac:dyDescent="0.25">
      <c r="A1581" s="163">
        <v>44335</v>
      </c>
      <c r="B1581" s="116">
        <v>1296</v>
      </c>
      <c r="C1581" s="116">
        <v>1282.79</v>
      </c>
      <c r="D1581" s="116">
        <v>1280.29</v>
      </c>
      <c r="E1581" s="116">
        <v>1283</v>
      </c>
      <c r="F1581" s="116">
        <v>6413.95</v>
      </c>
      <c r="G1581">
        <v>3817</v>
      </c>
      <c r="H1581" s="116"/>
      <c r="I1581" s="116"/>
      <c r="L1581" s="163">
        <v>44335</v>
      </c>
      <c r="M1581" s="116">
        <v>1282.79</v>
      </c>
      <c r="N1581" s="116">
        <v>1296.53</v>
      </c>
      <c r="O1581" s="116">
        <v>1280.01</v>
      </c>
      <c r="P1581" s="116">
        <v>1288.8</v>
      </c>
      <c r="Q1581" s="116">
        <v>6413.95</v>
      </c>
      <c r="R1581">
        <v>68745</v>
      </c>
    </row>
    <row r="1582" spans="1:18" x14ac:dyDescent="0.25">
      <c r="A1582" s="163">
        <v>44336</v>
      </c>
      <c r="B1582" s="116">
        <v>1301.21</v>
      </c>
      <c r="C1582" s="116">
        <v>1286.83</v>
      </c>
      <c r="D1582" s="116">
        <v>1276.32</v>
      </c>
      <c r="E1582" s="116">
        <v>1290</v>
      </c>
      <c r="F1582" s="116">
        <v>6434.15</v>
      </c>
      <c r="G1582">
        <v>4851</v>
      </c>
      <c r="H1582" s="116"/>
      <c r="I1582" s="116"/>
      <c r="L1582" s="163">
        <v>44336</v>
      </c>
      <c r="M1582" s="116">
        <v>1287.3800000000001</v>
      </c>
      <c r="N1582" s="116">
        <v>1301.98</v>
      </c>
      <c r="O1582" s="116">
        <v>1276.1199999999999</v>
      </c>
      <c r="P1582" s="116">
        <v>1291.1099999999999</v>
      </c>
      <c r="Q1582" s="116">
        <v>6436.9</v>
      </c>
      <c r="R1582">
        <v>131823</v>
      </c>
    </row>
    <row r="1583" spans="1:18" x14ac:dyDescent="0.25">
      <c r="A1583" s="163">
        <v>44337</v>
      </c>
      <c r="B1583" s="116">
        <v>1305.2</v>
      </c>
      <c r="C1583" s="116">
        <v>1290.8499999999999</v>
      </c>
      <c r="D1583" s="116">
        <v>1286</v>
      </c>
      <c r="E1583" s="116">
        <v>1287.01</v>
      </c>
      <c r="F1583" s="116">
        <v>6454.25</v>
      </c>
      <c r="G1583">
        <v>3043</v>
      </c>
      <c r="H1583" s="116"/>
      <c r="I1583" s="116"/>
      <c r="L1583" s="163">
        <v>44337</v>
      </c>
      <c r="M1583" s="116">
        <v>1290.3599999999999</v>
      </c>
      <c r="N1583" s="116">
        <v>1306</v>
      </c>
      <c r="O1583" s="116">
        <v>1284.42</v>
      </c>
      <c r="P1583" s="116">
        <v>1284.42</v>
      </c>
      <c r="Q1583" s="116">
        <v>6451.8</v>
      </c>
      <c r="R1583">
        <v>98965</v>
      </c>
    </row>
    <row r="1584" spans="1:18" x14ac:dyDescent="0.25">
      <c r="A1584" s="163">
        <v>44340</v>
      </c>
      <c r="B1584" s="116">
        <v>1304.48</v>
      </c>
      <c r="C1584" s="116">
        <v>1281.46</v>
      </c>
      <c r="D1584" s="116">
        <v>1274.0899999999999</v>
      </c>
      <c r="E1584" s="116">
        <v>1293</v>
      </c>
      <c r="F1584" s="116">
        <v>6407.3</v>
      </c>
      <c r="G1584">
        <v>9366</v>
      </c>
      <c r="H1584" s="116"/>
      <c r="I1584" s="116"/>
      <c r="L1584" s="163">
        <v>44340</v>
      </c>
      <c r="M1584" s="116">
        <v>1281.9100000000001</v>
      </c>
      <c r="N1584" s="116">
        <v>1304.6600000000001</v>
      </c>
      <c r="O1584" s="116">
        <v>1275.5999999999999</v>
      </c>
      <c r="P1584" s="116">
        <v>1290.8</v>
      </c>
      <c r="Q1584" s="116">
        <v>6409.55</v>
      </c>
      <c r="R1584">
        <v>81690</v>
      </c>
    </row>
    <row r="1585" spans="1:18" x14ac:dyDescent="0.25">
      <c r="A1585" s="163">
        <v>44341</v>
      </c>
      <c r="B1585" s="116">
        <v>1306.6600000000001</v>
      </c>
      <c r="C1585" s="116">
        <v>1286.58</v>
      </c>
      <c r="D1585" s="116">
        <v>1281.0899999999999</v>
      </c>
      <c r="E1585" s="116">
        <v>1289.99</v>
      </c>
      <c r="F1585" s="116">
        <v>6432.9</v>
      </c>
      <c r="G1585">
        <v>6541</v>
      </c>
      <c r="H1585" s="116"/>
      <c r="I1585" s="116"/>
      <c r="L1585" s="163">
        <v>44341</v>
      </c>
      <c r="M1585" s="116">
        <v>1285.98</v>
      </c>
      <c r="N1585" s="116">
        <v>1307.68</v>
      </c>
      <c r="O1585" s="116">
        <v>1280</v>
      </c>
      <c r="P1585" s="116">
        <v>1280</v>
      </c>
      <c r="Q1585" s="116">
        <v>6429.9</v>
      </c>
      <c r="R1585">
        <v>218221</v>
      </c>
    </row>
    <row r="1586" spans="1:18" x14ac:dyDescent="0.25">
      <c r="A1586" s="163">
        <v>44342</v>
      </c>
      <c r="B1586" s="116">
        <v>1302.5999999999999</v>
      </c>
      <c r="C1586" s="116">
        <v>1288.48</v>
      </c>
      <c r="D1586" s="116">
        <v>1283.1300000000001</v>
      </c>
      <c r="E1586" s="116">
        <v>1290</v>
      </c>
      <c r="F1586" s="116">
        <v>6442.4</v>
      </c>
      <c r="G1586">
        <v>4122</v>
      </c>
      <c r="H1586" s="116"/>
      <c r="I1586" s="116"/>
      <c r="L1586" s="163">
        <v>44342</v>
      </c>
      <c r="M1586" s="116">
        <v>1288.21</v>
      </c>
      <c r="N1586" s="116">
        <v>1303.29</v>
      </c>
      <c r="O1586" s="116">
        <v>1283</v>
      </c>
      <c r="P1586" s="116">
        <v>1287.4000000000001</v>
      </c>
      <c r="Q1586" s="116">
        <v>6441.05</v>
      </c>
      <c r="R1586">
        <v>121737</v>
      </c>
    </row>
    <row r="1587" spans="1:18" x14ac:dyDescent="0.25">
      <c r="A1587" s="163">
        <v>44343</v>
      </c>
      <c r="B1587" s="116">
        <v>1304</v>
      </c>
      <c r="C1587" s="116">
        <v>1299.79</v>
      </c>
      <c r="D1587" s="116">
        <v>1276.4000000000001</v>
      </c>
      <c r="E1587" s="116">
        <v>1287.8800000000001</v>
      </c>
      <c r="F1587" s="116">
        <v>6498.95</v>
      </c>
      <c r="G1587">
        <v>5255</v>
      </c>
      <c r="H1587" s="116"/>
      <c r="I1587" s="116"/>
      <c r="L1587" s="163">
        <v>44343</v>
      </c>
      <c r="M1587" s="116">
        <v>1299.8800000000001</v>
      </c>
      <c r="N1587" s="116">
        <v>1305</v>
      </c>
      <c r="O1587" s="116">
        <v>1276.2</v>
      </c>
      <c r="P1587" s="116">
        <v>1296.96</v>
      </c>
      <c r="Q1587" s="116">
        <v>6499.4</v>
      </c>
      <c r="R1587">
        <v>157038</v>
      </c>
    </row>
    <row r="1588" spans="1:18" x14ac:dyDescent="0.25">
      <c r="A1588" s="163">
        <v>44344</v>
      </c>
      <c r="B1588" s="116">
        <v>1316.05</v>
      </c>
      <c r="C1588" s="116">
        <v>1303.8499999999999</v>
      </c>
      <c r="D1588" s="116">
        <v>1295.18</v>
      </c>
      <c r="E1588" s="116">
        <v>1299.8</v>
      </c>
      <c r="F1588" s="116">
        <v>6519.25</v>
      </c>
      <c r="G1588">
        <v>3439</v>
      </c>
      <c r="H1588" s="116"/>
      <c r="I1588" s="116"/>
      <c r="L1588" s="163">
        <v>44344</v>
      </c>
      <c r="M1588" s="116">
        <v>1303.0999999999999</v>
      </c>
      <c r="N1588" s="116">
        <v>1317.8</v>
      </c>
      <c r="O1588" s="116">
        <v>1294.21</v>
      </c>
      <c r="P1588" s="116">
        <v>1299.8800000000001</v>
      </c>
      <c r="Q1588" s="116">
        <v>6515.5</v>
      </c>
      <c r="R1588">
        <v>106422</v>
      </c>
    </row>
    <row r="1589" spans="1:18" x14ac:dyDescent="0.25">
      <c r="A1589" s="163">
        <v>44347</v>
      </c>
      <c r="B1589" s="116">
        <v>1317.31</v>
      </c>
      <c r="C1589" s="116">
        <v>1301.92</v>
      </c>
      <c r="D1589" s="116">
        <v>1264</v>
      </c>
      <c r="E1589" s="116">
        <v>1302.93</v>
      </c>
      <c r="F1589" s="116">
        <v>6509.6</v>
      </c>
      <c r="G1589">
        <v>4968</v>
      </c>
      <c r="H1589" s="116"/>
      <c r="I1589" s="116"/>
      <c r="L1589" s="163">
        <v>44347</v>
      </c>
      <c r="M1589" s="116">
        <v>1302.6300000000001</v>
      </c>
      <c r="N1589" s="116">
        <v>1318.18</v>
      </c>
      <c r="O1589" s="116">
        <v>1299</v>
      </c>
      <c r="P1589" s="116">
        <v>1302.6600000000001</v>
      </c>
      <c r="Q1589" s="116">
        <v>6513.15</v>
      </c>
      <c r="R1589">
        <v>90431</v>
      </c>
    </row>
    <row r="1590" spans="1:18" x14ac:dyDescent="0.25">
      <c r="A1590" s="163">
        <v>44348</v>
      </c>
      <c r="B1590" s="116">
        <v>1314</v>
      </c>
      <c r="C1590" s="116">
        <v>1311.28</v>
      </c>
      <c r="D1590" s="116">
        <v>1293.7</v>
      </c>
      <c r="E1590" s="116">
        <v>1305.2</v>
      </c>
      <c r="F1590" s="116">
        <v>6556.4</v>
      </c>
      <c r="G1590">
        <v>3369</v>
      </c>
      <c r="H1590" s="116"/>
      <c r="I1590" s="116"/>
      <c r="L1590" s="163">
        <v>44348</v>
      </c>
      <c r="M1590" s="116">
        <v>1311.72</v>
      </c>
      <c r="N1590" s="116">
        <v>1314.22</v>
      </c>
      <c r="O1590" s="116">
        <v>1292.3399999999999</v>
      </c>
      <c r="P1590" s="116">
        <v>1311.2</v>
      </c>
      <c r="Q1590" s="116">
        <v>6558.6</v>
      </c>
      <c r="R1590">
        <v>96335</v>
      </c>
    </row>
    <row r="1591" spans="1:18" x14ac:dyDescent="0.25">
      <c r="A1591" s="163">
        <v>44349</v>
      </c>
      <c r="B1591" s="116">
        <v>1333.2</v>
      </c>
      <c r="C1591" s="116">
        <v>1305.69</v>
      </c>
      <c r="D1591" s="116">
        <v>1297.2</v>
      </c>
      <c r="E1591" s="116">
        <v>1298.22</v>
      </c>
      <c r="F1591" s="116">
        <v>6528.45</v>
      </c>
      <c r="G1591">
        <v>3625</v>
      </c>
      <c r="H1591" s="116"/>
      <c r="I1591" s="116"/>
      <c r="L1591" s="163">
        <v>44349</v>
      </c>
      <c r="M1591" s="116">
        <v>1305.77</v>
      </c>
      <c r="N1591" s="116">
        <v>1333.8</v>
      </c>
      <c r="O1591" s="116">
        <v>1296.08</v>
      </c>
      <c r="P1591" s="116">
        <v>1307.3699999999999</v>
      </c>
      <c r="Q1591" s="116">
        <v>6528.85</v>
      </c>
      <c r="R1591">
        <v>168117</v>
      </c>
    </row>
    <row r="1592" spans="1:18" x14ac:dyDescent="0.25">
      <c r="A1592" s="163">
        <v>44350</v>
      </c>
      <c r="B1592" s="116">
        <v>1321.77</v>
      </c>
      <c r="C1592" s="116">
        <v>1317.24</v>
      </c>
      <c r="D1592" s="116">
        <v>1304.07</v>
      </c>
      <c r="E1592" s="116">
        <v>1315.86</v>
      </c>
      <c r="F1592" s="116">
        <v>6586.2</v>
      </c>
      <c r="G1592">
        <v>4172</v>
      </c>
      <c r="H1592" s="116"/>
      <c r="I1592" s="116"/>
      <c r="L1592" s="163">
        <v>44350</v>
      </c>
      <c r="M1592" s="116">
        <v>1317.25</v>
      </c>
      <c r="N1592" s="116">
        <v>1321.99</v>
      </c>
      <c r="O1592" s="116">
        <v>1304.2</v>
      </c>
      <c r="P1592" s="116">
        <v>1312.22</v>
      </c>
      <c r="Q1592" s="116">
        <v>6586.25</v>
      </c>
      <c r="R1592">
        <v>90208</v>
      </c>
    </row>
    <row r="1593" spans="1:18" x14ac:dyDescent="0.25">
      <c r="A1593" s="163">
        <v>44351</v>
      </c>
      <c r="B1593" s="116">
        <v>1329</v>
      </c>
      <c r="C1593" s="116">
        <v>1324.13</v>
      </c>
      <c r="D1593" s="116">
        <v>1317.24</v>
      </c>
      <c r="E1593" s="116">
        <v>1317.24</v>
      </c>
      <c r="F1593" s="116">
        <v>6620.65</v>
      </c>
      <c r="G1593">
        <v>2816</v>
      </c>
      <c r="H1593" s="116"/>
      <c r="I1593" s="116"/>
      <c r="L1593" s="163">
        <v>44351</v>
      </c>
      <c r="M1593" s="116">
        <v>1324.69</v>
      </c>
      <c r="N1593" s="116">
        <v>1330.41</v>
      </c>
      <c r="O1593" s="116">
        <v>1316.95</v>
      </c>
      <c r="P1593" s="116">
        <v>1317.25</v>
      </c>
      <c r="Q1593" s="116">
        <v>6623.45</v>
      </c>
      <c r="R1593">
        <v>87374</v>
      </c>
    </row>
    <row r="1594" spans="1:18" x14ac:dyDescent="0.25">
      <c r="A1594" s="163">
        <v>44354</v>
      </c>
      <c r="B1594" s="116">
        <v>1342.88</v>
      </c>
      <c r="C1594" s="116">
        <v>1337.29</v>
      </c>
      <c r="D1594" s="116">
        <v>1321.83</v>
      </c>
      <c r="E1594" s="116">
        <v>1327.49</v>
      </c>
      <c r="F1594" s="116">
        <v>6686.45</v>
      </c>
      <c r="G1594">
        <v>3459</v>
      </c>
      <c r="H1594" s="116"/>
      <c r="I1594" s="116"/>
      <c r="L1594" s="163">
        <v>44354</v>
      </c>
      <c r="M1594" s="116">
        <v>1337.25</v>
      </c>
      <c r="N1594" s="116">
        <v>1343.8</v>
      </c>
      <c r="O1594" s="116">
        <v>1322.02</v>
      </c>
      <c r="P1594" s="116">
        <v>1325.89</v>
      </c>
      <c r="Q1594" s="116">
        <v>6686.25</v>
      </c>
      <c r="R1594">
        <v>98494</v>
      </c>
    </row>
    <row r="1595" spans="1:18" x14ac:dyDescent="0.25">
      <c r="A1595" s="163">
        <v>44355</v>
      </c>
      <c r="B1595" s="116">
        <v>1408</v>
      </c>
      <c r="C1595" s="116">
        <v>1399.55</v>
      </c>
      <c r="D1595" s="116">
        <v>1337.29</v>
      </c>
      <c r="E1595" s="116">
        <v>1337.29</v>
      </c>
      <c r="F1595" s="116">
        <v>6997.75</v>
      </c>
      <c r="G1595">
        <v>27754</v>
      </c>
      <c r="H1595" s="116"/>
      <c r="I1595" s="116"/>
      <c r="L1595" s="163">
        <v>44355</v>
      </c>
      <c r="M1595" s="116">
        <v>1399.56</v>
      </c>
      <c r="N1595" s="116">
        <v>1409.17</v>
      </c>
      <c r="O1595" s="116">
        <v>1335.02</v>
      </c>
      <c r="P1595" s="116">
        <v>1337.12</v>
      </c>
      <c r="Q1595" s="116">
        <v>6997.8</v>
      </c>
      <c r="R1595">
        <v>472928</v>
      </c>
    </row>
    <row r="1596" spans="1:18" x14ac:dyDescent="0.25">
      <c r="A1596" s="163">
        <v>44356</v>
      </c>
      <c r="B1596" s="116">
        <v>1417.58</v>
      </c>
      <c r="C1596" s="116">
        <v>1397.5</v>
      </c>
      <c r="D1596" s="116">
        <v>1380</v>
      </c>
      <c r="E1596" s="116">
        <v>1400</v>
      </c>
      <c r="F1596" s="116">
        <v>6987.5</v>
      </c>
      <c r="G1596">
        <v>11593</v>
      </c>
      <c r="H1596" s="116"/>
      <c r="I1596" s="116"/>
      <c r="L1596" s="163">
        <v>44356</v>
      </c>
      <c r="M1596" s="116">
        <v>1396.69</v>
      </c>
      <c r="N1596" s="116">
        <v>1417.99</v>
      </c>
      <c r="O1596" s="116">
        <v>1380</v>
      </c>
      <c r="P1596" s="116">
        <v>1409</v>
      </c>
      <c r="Q1596" s="116">
        <v>6983.45</v>
      </c>
      <c r="R1596">
        <v>307224</v>
      </c>
    </row>
    <row r="1597" spans="1:18" x14ac:dyDescent="0.25">
      <c r="A1597" s="163">
        <v>44357</v>
      </c>
      <c r="B1597" s="116">
        <v>1421</v>
      </c>
      <c r="C1597" s="116">
        <v>1415.47</v>
      </c>
      <c r="D1597" s="116">
        <v>1314.2</v>
      </c>
      <c r="E1597" s="116">
        <v>1314.2</v>
      </c>
      <c r="F1597" s="116">
        <v>7077.35</v>
      </c>
      <c r="G1597">
        <v>9073</v>
      </c>
      <c r="H1597" s="116"/>
      <c r="I1597" s="116"/>
      <c r="L1597" s="163">
        <v>44357</v>
      </c>
      <c r="M1597" s="116">
        <v>1415.15</v>
      </c>
      <c r="N1597" s="116">
        <v>1421.95</v>
      </c>
      <c r="O1597" s="116">
        <v>1384.43</v>
      </c>
      <c r="P1597" s="116">
        <v>1396</v>
      </c>
      <c r="Q1597" s="116">
        <v>7075.75</v>
      </c>
      <c r="R1597">
        <v>156878</v>
      </c>
    </row>
    <row r="1598" spans="1:18" x14ac:dyDescent="0.25">
      <c r="A1598" s="163">
        <v>44358</v>
      </c>
      <c r="B1598" s="116">
        <v>1430.99</v>
      </c>
      <c r="C1598" s="116">
        <v>1413.02</v>
      </c>
      <c r="D1598" s="116">
        <v>1407.31</v>
      </c>
      <c r="E1598" s="116">
        <v>1412</v>
      </c>
      <c r="F1598" s="116">
        <v>7065.1</v>
      </c>
      <c r="G1598">
        <v>6521</v>
      </c>
      <c r="H1598" s="116"/>
      <c r="I1598" s="116"/>
      <c r="L1598" s="163">
        <v>44358</v>
      </c>
      <c r="M1598" s="116">
        <v>1413.02</v>
      </c>
      <c r="N1598" s="116">
        <v>1432</v>
      </c>
      <c r="O1598" s="116">
        <v>1406</v>
      </c>
      <c r="P1598" s="116">
        <v>1414.3</v>
      </c>
      <c r="Q1598" s="116">
        <v>7065.1</v>
      </c>
      <c r="R1598">
        <v>304262</v>
      </c>
    </row>
    <row r="1599" spans="1:18" x14ac:dyDescent="0.25">
      <c r="A1599" s="163">
        <v>44361</v>
      </c>
      <c r="B1599" s="116">
        <v>1413</v>
      </c>
      <c r="C1599" s="116">
        <v>1396.59</v>
      </c>
      <c r="D1599" s="116">
        <v>1393.21</v>
      </c>
      <c r="E1599" s="116">
        <v>1413</v>
      </c>
      <c r="F1599" s="116">
        <v>6982.95</v>
      </c>
      <c r="G1599">
        <v>4857</v>
      </c>
      <c r="H1599" s="116"/>
      <c r="I1599" s="116"/>
      <c r="L1599" s="163">
        <v>44361</v>
      </c>
      <c r="M1599" s="116">
        <v>1396.75</v>
      </c>
      <c r="N1599" s="116">
        <v>1413.02</v>
      </c>
      <c r="O1599" s="116">
        <v>1393.35</v>
      </c>
      <c r="P1599" s="116">
        <v>1407.4</v>
      </c>
      <c r="Q1599" s="116">
        <v>6983.75</v>
      </c>
      <c r="R1599">
        <v>91708</v>
      </c>
    </row>
    <row r="1600" spans="1:18" x14ac:dyDescent="0.25">
      <c r="A1600" s="163">
        <v>44362</v>
      </c>
      <c r="B1600" s="116">
        <v>1439</v>
      </c>
      <c r="C1600" s="116">
        <v>1430.98</v>
      </c>
      <c r="D1600" s="116">
        <v>1398.58</v>
      </c>
      <c r="E1600" s="116">
        <v>1398.58</v>
      </c>
      <c r="F1600" s="116">
        <v>7154.9</v>
      </c>
      <c r="G1600">
        <v>8329</v>
      </c>
      <c r="H1600" s="116"/>
      <c r="I1600" s="116"/>
      <c r="L1600" s="163">
        <v>44362</v>
      </c>
      <c r="M1600" s="116">
        <v>1429.94</v>
      </c>
      <c r="N1600" s="116">
        <v>1438</v>
      </c>
      <c r="O1600" s="116">
        <v>1395</v>
      </c>
      <c r="P1600" s="116">
        <v>1395.11</v>
      </c>
      <c r="Q1600" s="116">
        <v>7149.7</v>
      </c>
      <c r="R1600">
        <v>191343</v>
      </c>
    </row>
    <row r="1601" spans="1:18" x14ac:dyDescent="0.25">
      <c r="A1601" s="163">
        <v>44363</v>
      </c>
      <c r="B1601" s="116">
        <v>1441.2</v>
      </c>
      <c r="C1601" s="116">
        <v>1428.53</v>
      </c>
      <c r="D1601" s="116">
        <v>1417.68</v>
      </c>
      <c r="E1601" s="116">
        <v>1431</v>
      </c>
      <c r="F1601" s="116">
        <v>7142.65</v>
      </c>
      <c r="G1601">
        <v>7890</v>
      </c>
      <c r="H1601" s="116"/>
      <c r="I1601" s="116"/>
      <c r="L1601" s="163">
        <v>44363</v>
      </c>
      <c r="M1601" s="116">
        <v>1429.41</v>
      </c>
      <c r="N1601" s="116">
        <v>1441.6</v>
      </c>
      <c r="O1601" s="116">
        <v>1416.92</v>
      </c>
      <c r="P1601" s="116">
        <v>1434.02</v>
      </c>
      <c r="Q1601" s="116">
        <v>7147.05</v>
      </c>
      <c r="R1601">
        <v>119492</v>
      </c>
    </row>
    <row r="1602" spans="1:18" x14ac:dyDescent="0.25">
      <c r="A1602" s="163">
        <v>44364</v>
      </c>
      <c r="B1602" s="116">
        <v>1440.18</v>
      </c>
      <c r="C1602" s="116">
        <v>1426.9</v>
      </c>
      <c r="D1602" s="116">
        <v>1415</v>
      </c>
      <c r="E1602" s="116">
        <v>1426</v>
      </c>
      <c r="F1602" s="116">
        <v>7134.5</v>
      </c>
      <c r="G1602">
        <v>5419</v>
      </c>
      <c r="H1602" s="116"/>
      <c r="I1602" s="116"/>
      <c r="L1602" s="163">
        <v>44364</v>
      </c>
      <c r="M1602" s="116">
        <v>1426.97</v>
      </c>
      <c r="N1602" s="116">
        <v>1440</v>
      </c>
      <c r="O1602" s="116">
        <v>1414.59</v>
      </c>
      <c r="P1602" s="116">
        <v>1425.6</v>
      </c>
      <c r="Q1602" s="116">
        <v>7134.85</v>
      </c>
      <c r="R1602">
        <v>124514</v>
      </c>
    </row>
    <row r="1603" spans="1:18" x14ac:dyDescent="0.25">
      <c r="A1603" s="163">
        <v>44365</v>
      </c>
      <c r="B1603" s="116">
        <v>1433.74</v>
      </c>
      <c r="C1603" s="116">
        <v>1415.46</v>
      </c>
      <c r="D1603" s="116">
        <v>1387</v>
      </c>
      <c r="E1603" s="116">
        <v>1426.9</v>
      </c>
      <c r="F1603" s="116">
        <v>7077.3</v>
      </c>
      <c r="G1603">
        <v>7695</v>
      </c>
      <c r="H1603" s="116"/>
      <c r="I1603" s="116"/>
      <c r="L1603" s="163">
        <v>44365</v>
      </c>
      <c r="M1603" s="116">
        <v>1413.84</v>
      </c>
      <c r="N1603" s="116">
        <v>1437.8</v>
      </c>
      <c r="O1603" s="116">
        <v>1386.62</v>
      </c>
      <c r="P1603" s="116">
        <v>1437.8</v>
      </c>
      <c r="Q1603" s="116">
        <v>7069.2</v>
      </c>
      <c r="R1603">
        <v>195083</v>
      </c>
    </row>
    <row r="1604" spans="1:18" x14ac:dyDescent="0.25">
      <c r="A1604" s="163">
        <v>44368</v>
      </c>
      <c r="B1604" s="116">
        <v>1401.95</v>
      </c>
      <c r="C1604" s="116">
        <v>1387.19</v>
      </c>
      <c r="D1604" s="116">
        <v>1381.61</v>
      </c>
      <c r="E1604" s="116">
        <v>1397.15</v>
      </c>
      <c r="F1604" s="116">
        <v>6935.95</v>
      </c>
      <c r="G1604">
        <v>5235</v>
      </c>
      <c r="H1604" s="116"/>
      <c r="I1604" s="116"/>
      <c r="L1604" s="163">
        <v>44368</v>
      </c>
      <c r="M1604" s="116">
        <v>1386.64</v>
      </c>
      <c r="N1604" s="116">
        <v>1407</v>
      </c>
      <c r="O1604" s="116">
        <v>1381.2</v>
      </c>
      <c r="P1604" s="116">
        <v>1407</v>
      </c>
      <c r="Q1604" s="116">
        <v>6933.2</v>
      </c>
      <c r="R1604">
        <v>123782</v>
      </c>
    </row>
    <row r="1605" spans="1:18" x14ac:dyDescent="0.25">
      <c r="A1605" s="163">
        <v>44369</v>
      </c>
      <c r="B1605" s="116">
        <v>1409.87</v>
      </c>
      <c r="C1605" s="116">
        <v>1395.39</v>
      </c>
      <c r="D1605" s="116">
        <v>1388.03</v>
      </c>
      <c r="E1605" s="116">
        <v>1388.03</v>
      </c>
      <c r="F1605" s="116">
        <v>6976.95</v>
      </c>
      <c r="G1605">
        <v>6938</v>
      </c>
      <c r="H1605" s="116"/>
      <c r="I1605" s="116"/>
      <c r="L1605" s="163">
        <v>44369</v>
      </c>
      <c r="M1605" s="116">
        <v>1396.53</v>
      </c>
      <c r="N1605" s="116">
        <v>1410</v>
      </c>
      <c r="O1605" s="116">
        <v>1389.7</v>
      </c>
      <c r="P1605" s="116">
        <v>1392</v>
      </c>
      <c r="Q1605" s="116">
        <v>6982.65</v>
      </c>
      <c r="R1605">
        <v>75622</v>
      </c>
    </row>
    <row r="1606" spans="1:18" x14ac:dyDescent="0.25">
      <c r="A1606" s="163">
        <v>44370</v>
      </c>
      <c r="B1606" s="116">
        <v>1409.03</v>
      </c>
      <c r="C1606" s="116">
        <v>1381.12</v>
      </c>
      <c r="D1606" s="116">
        <v>1376.17</v>
      </c>
      <c r="E1606" s="116">
        <v>1403.46</v>
      </c>
      <c r="F1606" s="116">
        <v>6905.6</v>
      </c>
      <c r="G1606">
        <v>3377</v>
      </c>
      <c r="H1606" s="116"/>
      <c r="I1606" s="116"/>
      <c r="L1606" s="163">
        <v>44370</v>
      </c>
      <c r="M1606" s="116">
        <v>1380.95</v>
      </c>
      <c r="N1606" s="116">
        <v>1409.4</v>
      </c>
      <c r="O1606" s="116">
        <v>1376</v>
      </c>
      <c r="P1606" s="116">
        <v>1402</v>
      </c>
      <c r="Q1606" s="116">
        <v>6904.75</v>
      </c>
      <c r="R1606">
        <v>79553</v>
      </c>
    </row>
    <row r="1607" spans="1:18" x14ac:dyDescent="0.25">
      <c r="A1607" s="163">
        <v>44371</v>
      </c>
      <c r="B1607" s="116">
        <v>1394.2</v>
      </c>
      <c r="C1607" s="116">
        <v>1387.38</v>
      </c>
      <c r="D1607" s="116">
        <v>1374</v>
      </c>
      <c r="E1607" s="116">
        <v>1383.11</v>
      </c>
      <c r="F1607" s="116">
        <v>6936.9</v>
      </c>
      <c r="G1607">
        <v>3820</v>
      </c>
      <c r="H1607" s="116"/>
      <c r="I1607" s="116"/>
      <c r="L1607" s="163">
        <v>44371</v>
      </c>
      <c r="M1607" s="116">
        <v>1387.24</v>
      </c>
      <c r="N1607" s="116">
        <v>1394.74</v>
      </c>
      <c r="O1607" s="116">
        <v>1373.46</v>
      </c>
      <c r="P1607" s="116">
        <v>1386.56</v>
      </c>
      <c r="Q1607" s="116">
        <v>6936.2</v>
      </c>
      <c r="R1607">
        <v>74095</v>
      </c>
    </row>
    <row r="1608" spans="1:18" x14ac:dyDescent="0.25">
      <c r="A1608" s="163">
        <v>44372</v>
      </c>
      <c r="B1608" s="116">
        <v>1422.8</v>
      </c>
      <c r="C1608" s="116">
        <v>1408.94</v>
      </c>
      <c r="D1608" s="116">
        <v>1385</v>
      </c>
      <c r="E1608" s="116">
        <v>1386.03</v>
      </c>
      <c r="F1608" s="116">
        <v>7044.7</v>
      </c>
      <c r="G1608">
        <v>6805</v>
      </c>
      <c r="H1608" s="116"/>
      <c r="I1608" s="116"/>
      <c r="L1608" s="163">
        <v>44372</v>
      </c>
      <c r="M1608" s="116">
        <v>1409.31</v>
      </c>
      <c r="N1608" s="116">
        <v>1423.58</v>
      </c>
      <c r="O1608" s="116">
        <v>1384.74</v>
      </c>
      <c r="P1608" s="116">
        <v>1395</v>
      </c>
      <c r="Q1608" s="116">
        <v>7046.55</v>
      </c>
      <c r="R1608">
        <v>106862</v>
      </c>
    </row>
    <row r="1609" spans="1:18" x14ac:dyDescent="0.25">
      <c r="A1609" s="163">
        <v>44375</v>
      </c>
      <c r="B1609" s="116">
        <v>1428.71</v>
      </c>
      <c r="C1609" s="116">
        <v>1424.37</v>
      </c>
      <c r="D1609" s="116">
        <v>1409.39</v>
      </c>
      <c r="E1609" s="116">
        <v>1416.43</v>
      </c>
      <c r="F1609" s="116">
        <v>7121.85</v>
      </c>
      <c r="G1609">
        <v>5722</v>
      </c>
      <c r="H1609" s="116"/>
      <c r="I1609" s="116"/>
      <c r="L1609" s="163">
        <v>44375</v>
      </c>
      <c r="M1609" s="116">
        <v>1423.73</v>
      </c>
      <c r="N1609" s="116">
        <v>1428.86</v>
      </c>
      <c r="O1609" s="116">
        <v>1409</v>
      </c>
      <c r="P1609" s="116">
        <v>1418</v>
      </c>
      <c r="Q1609" s="116">
        <v>7118.65</v>
      </c>
      <c r="R1609">
        <v>63198</v>
      </c>
    </row>
    <row r="1610" spans="1:18" x14ac:dyDescent="0.25">
      <c r="A1610" s="163">
        <v>44376</v>
      </c>
      <c r="B1610" s="116">
        <v>1438.06</v>
      </c>
      <c r="C1610" s="116">
        <v>1416.9</v>
      </c>
      <c r="D1610" s="116">
        <v>1412.4</v>
      </c>
      <c r="E1610" s="116">
        <v>1424.37</v>
      </c>
      <c r="F1610" s="116">
        <v>7084.5</v>
      </c>
      <c r="G1610">
        <v>4741</v>
      </c>
      <c r="H1610" s="116"/>
      <c r="I1610" s="116"/>
      <c r="L1610" s="163">
        <v>44376</v>
      </c>
      <c r="M1610" s="116">
        <v>1416.38</v>
      </c>
      <c r="N1610" s="116">
        <v>1439.19</v>
      </c>
      <c r="O1610" s="116">
        <v>1411.96</v>
      </c>
      <c r="P1610" s="116">
        <v>1425.96</v>
      </c>
      <c r="Q1610" s="116">
        <v>7081.9</v>
      </c>
      <c r="R1610">
        <v>85691</v>
      </c>
    </row>
    <row r="1611" spans="1:18" x14ac:dyDescent="0.25">
      <c r="A1611" s="163">
        <v>44377</v>
      </c>
      <c r="B1611" s="116">
        <v>1461.45</v>
      </c>
      <c r="C1611" s="116">
        <v>1454.94</v>
      </c>
      <c r="D1611" s="116">
        <v>1420.64</v>
      </c>
      <c r="E1611" s="116">
        <v>1423.57</v>
      </c>
      <c r="F1611" s="116">
        <v>7274.7</v>
      </c>
      <c r="G1611">
        <v>9174</v>
      </c>
      <c r="H1611" s="116"/>
      <c r="I1611" s="116"/>
      <c r="L1611" s="163">
        <v>44377</v>
      </c>
      <c r="M1611" s="116">
        <v>1455.14</v>
      </c>
      <c r="N1611" s="116">
        <v>1462</v>
      </c>
      <c r="O1611" s="116">
        <v>1418.8</v>
      </c>
      <c r="P1611" s="116">
        <v>1418.8</v>
      </c>
      <c r="Q1611" s="116">
        <v>7275.7</v>
      </c>
      <c r="R1611">
        <v>211855</v>
      </c>
    </row>
    <row r="1612" spans="1:18" x14ac:dyDescent="0.25">
      <c r="A1612" s="163">
        <v>44378</v>
      </c>
      <c r="B1612" s="116">
        <v>1480.64</v>
      </c>
      <c r="C1612" s="116">
        <v>1468.69</v>
      </c>
      <c r="D1612" s="116">
        <v>1450</v>
      </c>
      <c r="E1612" s="116">
        <v>1465</v>
      </c>
      <c r="F1612" s="116">
        <v>7343.45</v>
      </c>
      <c r="G1612">
        <v>9034</v>
      </c>
      <c r="H1612" s="116"/>
      <c r="I1612" s="116"/>
      <c r="L1612" s="163">
        <v>44378</v>
      </c>
      <c r="M1612" s="116">
        <v>1469.54</v>
      </c>
      <c r="N1612" s="116">
        <v>1481.2</v>
      </c>
      <c r="O1612" s="116">
        <v>1450.2</v>
      </c>
      <c r="P1612" s="116">
        <v>1465</v>
      </c>
      <c r="Q1612" s="116">
        <v>7347.7</v>
      </c>
      <c r="R1612">
        <v>182879</v>
      </c>
    </row>
    <row r="1613" spans="1:18" x14ac:dyDescent="0.25">
      <c r="A1613" s="163">
        <v>44379</v>
      </c>
      <c r="B1613" s="116">
        <v>1505.1</v>
      </c>
      <c r="C1613" s="116">
        <v>1497.52</v>
      </c>
      <c r="D1613" s="116">
        <v>1470</v>
      </c>
      <c r="E1613" s="116">
        <v>1470</v>
      </c>
      <c r="F1613" s="116">
        <v>7487.6</v>
      </c>
      <c r="G1613">
        <v>12000</v>
      </c>
      <c r="H1613" s="116"/>
      <c r="I1613" s="116"/>
      <c r="L1613" s="163">
        <v>44379</v>
      </c>
      <c r="M1613" s="116">
        <v>1499.2</v>
      </c>
      <c r="N1613" s="116">
        <v>1506</v>
      </c>
      <c r="O1613" s="116">
        <v>1470</v>
      </c>
      <c r="P1613" s="116">
        <v>1479</v>
      </c>
      <c r="Q1613" s="116">
        <v>7496</v>
      </c>
      <c r="R1613">
        <v>209002</v>
      </c>
    </row>
    <row r="1614" spans="1:18" x14ac:dyDescent="0.25">
      <c r="A1614" s="163">
        <v>44382</v>
      </c>
      <c r="B1614" s="116">
        <v>1509.8</v>
      </c>
      <c r="C1614" s="116">
        <v>1498.29</v>
      </c>
      <c r="D1614" s="116">
        <v>1487.61</v>
      </c>
      <c r="E1614" s="116">
        <v>1509.8</v>
      </c>
      <c r="F1614" s="116">
        <v>7491.45</v>
      </c>
      <c r="G1614">
        <v>3447</v>
      </c>
      <c r="H1614" s="116"/>
      <c r="I1614" s="116"/>
      <c r="L1614" s="163">
        <v>44382</v>
      </c>
      <c r="M1614" s="116">
        <v>1498.64</v>
      </c>
      <c r="N1614" s="116">
        <v>1509.35</v>
      </c>
      <c r="O1614" s="116">
        <v>1487.63</v>
      </c>
      <c r="P1614" s="116">
        <v>1503.99</v>
      </c>
      <c r="Q1614" s="116">
        <v>7493.2</v>
      </c>
      <c r="R1614">
        <v>80626</v>
      </c>
    </row>
    <row r="1615" spans="1:18" x14ac:dyDescent="0.25">
      <c r="A1615" s="163">
        <v>44383</v>
      </c>
      <c r="B1615" s="116">
        <v>1518.99</v>
      </c>
      <c r="C1615" s="116">
        <v>1508.87</v>
      </c>
      <c r="D1615" s="116">
        <v>1498.2</v>
      </c>
      <c r="E1615" s="116">
        <v>1499.8</v>
      </c>
      <c r="F1615" s="116">
        <v>7544.35</v>
      </c>
      <c r="G1615">
        <v>4893</v>
      </c>
      <c r="H1615" s="116"/>
      <c r="I1615" s="116"/>
      <c r="L1615" s="163">
        <v>44383</v>
      </c>
      <c r="M1615" s="116">
        <v>1507.99</v>
      </c>
      <c r="N1615" s="116">
        <v>1519</v>
      </c>
      <c r="O1615" s="116">
        <v>1496.27</v>
      </c>
      <c r="P1615" s="116">
        <v>1498.57</v>
      </c>
      <c r="Q1615" s="116">
        <v>7539.95</v>
      </c>
      <c r="R1615">
        <v>81112</v>
      </c>
    </row>
    <row r="1616" spans="1:18" x14ac:dyDescent="0.25">
      <c r="A1616" s="163">
        <v>44384</v>
      </c>
      <c r="B1616" s="116">
        <v>1520.79</v>
      </c>
      <c r="C1616" s="116">
        <v>1516.27</v>
      </c>
      <c r="D1616" s="116">
        <v>1502.93</v>
      </c>
      <c r="E1616" s="116">
        <v>1503</v>
      </c>
      <c r="F1616" s="116">
        <v>7581.35</v>
      </c>
      <c r="G1616">
        <v>10579</v>
      </c>
      <c r="H1616" s="116"/>
      <c r="I1616" s="116"/>
      <c r="L1616" s="163">
        <v>44384</v>
      </c>
      <c r="M1616" s="116">
        <v>1515.5</v>
      </c>
      <c r="N1616" s="116">
        <v>1522</v>
      </c>
      <c r="O1616" s="116">
        <v>1501.25</v>
      </c>
      <c r="P1616" s="116">
        <v>1506</v>
      </c>
      <c r="Q1616" s="116">
        <v>7577.5</v>
      </c>
      <c r="R1616">
        <v>79372</v>
      </c>
    </row>
    <row r="1617" spans="1:18" x14ac:dyDescent="0.25">
      <c r="A1617" s="163">
        <v>44385</v>
      </c>
      <c r="B1617" s="116">
        <v>1528.22</v>
      </c>
      <c r="C1617" s="116">
        <v>1508.28</v>
      </c>
      <c r="D1617" s="116">
        <v>1491.27</v>
      </c>
      <c r="E1617" s="116">
        <v>1516.2</v>
      </c>
      <c r="F1617" s="116">
        <v>7541.4</v>
      </c>
      <c r="G1617">
        <v>7061</v>
      </c>
      <c r="H1617" s="116"/>
      <c r="I1617" s="116"/>
      <c r="L1617" s="163">
        <v>44385</v>
      </c>
      <c r="M1617" s="116">
        <v>1508.81</v>
      </c>
      <c r="N1617" s="116">
        <v>1528</v>
      </c>
      <c r="O1617" s="116">
        <v>1490.44</v>
      </c>
      <c r="P1617" s="116">
        <v>1508.71</v>
      </c>
      <c r="Q1617" s="116">
        <v>7544.05</v>
      </c>
      <c r="R1617">
        <v>104903</v>
      </c>
    </row>
    <row r="1618" spans="1:18" x14ac:dyDescent="0.25">
      <c r="A1618" s="163">
        <v>44386</v>
      </c>
      <c r="B1618" s="116">
        <v>1523.97</v>
      </c>
      <c r="C1618" s="116">
        <v>1520.67</v>
      </c>
      <c r="D1618" s="116">
        <v>1504.89</v>
      </c>
      <c r="E1618" s="116">
        <v>1510</v>
      </c>
      <c r="F1618" s="116">
        <v>7603.35</v>
      </c>
      <c r="G1618">
        <v>4669</v>
      </c>
      <c r="H1618" s="116"/>
      <c r="I1618" s="116"/>
      <c r="L1618" s="163">
        <v>44386</v>
      </c>
      <c r="M1618" s="116">
        <v>1520.72</v>
      </c>
      <c r="N1618" s="116">
        <v>1524</v>
      </c>
      <c r="O1618" s="116">
        <v>1503</v>
      </c>
      <c r="P1618" s="116">
        <v>1511</v>
      </c>
      <c r="Q1618" s="116">
        <v>7603.6</v>
      </c>
      <c r="R1618">
        <v>76576</v>
      </c>
    </row>
    <row r="1619" spans="1:18" x14ac:dyDescent="0.25">
      <c r="A1619" s="163">
        <v>44389</v>
      </c>
      <c r="B1619" s="116">
        <v>1526.99</v>
      </c>
      <c r="C1619" s="116">
        <v>1516.76</v>
      </c>
      <c r="D1619" s="116">
        <v>1514</v>
      </c>
      <c r="E1619" s="116">
        <v>1526</v>
      </c>
      <c r="F1619" s="116">
        <v>7583.8</v>
      </c>
      <c r="G1619">
        <v>2283</v>
      </c>
      <c r="H1619" s="116"/>
      <c r="I1619" s="116"/>
      <c r="L1619" s="163">
        <v>44389</v>
      </c>
      <c r="M1619" s="116">
        <v>1516.38</v>
      </c>
      <c r="N1619" s="116">
        <v>1526.96</v>
      </c>
      <c r="O1619" s="116">
        <v>1513</v>
      </c>
      <c r="P1619" s="116">
        <v>1521</v>
      </c>
      <c r="Q1619" s="116">
        <v>7581.9</v>
      </c>
      <c r="R1619">
        <v>64160</v>
      </c>
    </row>
    <row r="1620" spans="1:18" x14ac:dyDescent="0.25">
      <c r="A1620" s="163">
        <v>44390</v>
      </c>
      <c r="B1620" s="116">
        <v>1525.13</v>
      </c>
      <c r="C1620" s="116">
        <v>1520.63</v>
      </c>
      <c r="D1620" s="116">
        <v>1512.48</v>
      </c>
      <c r="E1620" s="116">
        <v>1523.2</v>
      </c>
      <c r="F1620" s="116">
        <v>7603.15</v>
      </c>
      <c r="G1620">
        <v>3499</v>
      </c>
      <c r="H1620" s="116"/>
      <c r="I1620" s="116"/>
      <c r="L1620" s="163">
        <v>44390</v>
      </c>
      <c r="M1620" s="116">
        <v>1520.74</v>
      </c>
      <c r="N1620" s="116">
        <v>1525.6</v>
      </c>
      <c r="O1620" s="116">
        <v>1510.81</v>
      </c>
      <c r="P1620" s="116">
        <v>1520.44</v>
      </c>
      <c r="Q1620" s="116">
        <v>7603.7</v>
      </c>
      <c r="R1620">
        <v>53694</v>
      </c>
    </row>
    <row r="1621" spans="1:18" x14ac:dyDescent="0.25">
      <c r="A1621" s="163">
        <v>44391</v>
      </c>
      <c r="B1621" s="116">
        <v>1527.11</v>
      </c>
      <c r="C1621" s="116">
        <v>1515.83</v>
      </c>
      <c r="D1621" s="116">
        <v>1511.75</v>
      </c>
      <c r="E1621" s="116">
        <v>1523</v>
      </c>
      <c r="F1621" s="116">
        <v>7579.15</v>
      </c>
      <c r="G1621">
        <v>2423</v>
      </c>
      <c r="H1621" s="116"/>
      <c r="I1621" s="116"/>
      <c r="L1621" s="163">
        <v>44391</v>
      </c>
      <c r="M1621" s="116">
        <v>1516.21</v>
      </c>
      <c r="N1621" s="116">
        <v>1527.65</v>
      </c>
      <c r="O1621" s="116">
        <v>1512.5</v>
      </c>
      <c r="P1621" s="116">
        <v>1520</v>
      </c>
      <c r="Q1621" s="116">
        <v>7581.05</v>
      </c>
      <c r="R1621">
        <v>43525</v>
      </c>
    </row>
    <row r="1622" spans="1:18" x14ac:dyDescent="0.25">
      <c r="A1622" s="163">
        <v>44392</v>
      </c>
      <c r="B1622" s="116">
        <v>1539.74</v>
      </c>
      <c r="C1622" s="116">
        <v>1535.53</v>
      </c>
      <c r="D1622" s="116">
        <v>1517.42</v>
      </c>
      <c r="E1622" s="116">
        <v>1517.7</v>
      </c>
      <c r="F1622" s="116">
        <v>7677.65</v>
      </c>
      <c r="G1622">
        <v>3143</v>
      </c>
      <c r="H1622" s="116"/>
      <c r="I1622" s="116"/>
      <c r="L1622" s="163">
        <v>44392</v>
      </c>
      <c r="M1622" s="116">
        <v>1534.81</v>
      </c>
      <c r="N1622" s="116">
        <v>1539.96</v>
      </c>
      <c r="O1622" s="116">
        <v>1517.71</v>
      </c>
      <c r="P1622" s="116">
        <v>1517.96</v>
      </c>
      <c r="Q1622" s="116">
        <v>7674.05</v>
      </c>
      <c r="R1622">
        <v>72648</v>
      </c>
    </row>
    <row r="1623" spans="1:18" x14ac:dyDescent="0.25">
      <c r="A1623" s="163">
        <v>44393</v>
      </c>
      <c r="B1623" s="116">
        <v>1560</v>
      </c>
      <c r="C1623" s="116">
        <v>1551.7</v>
      </c>
      <c r="D1623" s="116">
        <v>1529.51</v>
      </c>
      <c r="E1623" s="116">
        <v>1535.15</v>
      </c>
      <c r="F1623" s="116">
        <v>7758.5</v>
      </c>
      <c r="G1623">
        <v>6317</v>
      </c>
      <c r="H1623" s="116"/>
      <c r="I1623" s="116"/>
      <c r="L1623" s="163">
        <v>44393</v>
      </c>
      <c r="M1623" s="116">
        <v>1552.37</v>
      </c>
      <c r="N1623" s="116">
        <v>1559.99</v>
      </c>
      <c r="O1623" s="116">
        <v>1527.6</v>
      </c>
      <c r="P1623" s="116">
        <v>1544</v>
      </c>
      <c r="Q1623" s="116">
        <v>7761.85</v>
      </c>
      <c r="R1623">
        <v>91419</v>
      </c>
    </row>
    <row r="1624" spans="1:18" x14ac:dyDescent="0.25">
      <c r="A1624" s="163">
        <v>44396</v>
      </c>
      <c r="B1624" s="116">
        <v>1574.87</v>
      </c>
      <c r="C1624" s="116">
        <v>1567.71</v>
      </c>
      <c r="D1624" s="116">
        <v>1532.42</v>
      </c>
      <c r="E1624" s="116">
        <v>1550.5</v>
      </c>
      <c r="F1624" s="116">
        <v>7838.55</v>
      </c>
      <c r="G1624">
        <v>5351</v>
      </c>
      <c r="H1624" s="116"/>
      <c r="I1624" s="116"/>
      <c r="L1624" s="163">
        <v>44396</v>
      </c>
      <c r="M1624" s="116">
        <v>1568.86</v>
      </c>
      <c r="N1624" s="116">
        <v>1574.97</v>
      </c>
      <c r="O1624" s="116">
        <v>1531.29</v>
      </c>
      <c r="P1624" s="116">
        <v>1549.96</v>
      </c>
      <c r="Q1624" s="116">
        <v>7844.3</v>
      </c>
      <c r="R1624">
        <v>138363</v>
      </c>
    </row>
    <row r="1625" spans="1:18" x14ac:dyDescent="0.25">
      <c r="A1625" s="163">
        <v>44397</v>
      </c>
      <c r="B1625" s="116">
        <v>1570.46</v>
      </c>
      <c r="C1625" s="116">
        <v>1559.17</v>
      </c>
      <c r="D1625" s="116">
        <v>1535.84</v>
      </c>
      <c r="E1625" s="116">
        <v>1566.8</v>
      </c>
      <c r="F1625" s="116">
        <v>7795.85</v>
      </c>
      <c r="G1625">
        <v>3849</v>
      </c>
      <c r="H1625" s="116"/>
      <c r="I1625" s="116"/>
      <c r="L1625" s="163">
        <v>44397</v>
      </c>
      <c r="M1625" s="116">
        <v>1559.39</v>
      </c>
      <c r="N1625" s="116">
        <v>1570.99</v>
      </c>
      <c r="O1625" s="116">
        <v>1536.2</v>
      </c>
      <c r="P1625" s="116">
        <v>1565.4</v>
      </c>
      <c r="Q1625" s="116">
        <v>7796.95</v>
      </c>
      <c r="R1625">
        <v>103679</v>
      </c>
    </row>
    <row r="1626" spans="1:18" x14ac:dyDescent="0.25">
      <c r="A1626" s="163">
        <v>44399</v>
      </c>
      <c r="B1626" s="116">
        <v>1588.81</v>
      </c>
      <c r="C1626" s="116">
        <v>1580.93</v>
      </c>
      <c r="D1626" s="116">
        <v>1560</v>
      </c>
      <c r="E1626" s="116">
        <v>1560</v>
      </c>
      <c r="F1626" s="116">
        <v>7904.65</v>
      </c>
      <c r="G1626">
        <v>4264</v>
      </c>
      <c r="H1626" s="116"/>
      <c r="I1626" s="116"/>
      <c r="L1626" s="163">
        <v>44399</v>
      </c>
      <c r="M1626" s="116">
        <v>1581.44</v>
      </c>
      <c r="N1626" s="116">
        <v>1587.99</v>
      </c>
      <c r="O1626" s="116">
        <v>1562.87</v>
      </c>
      <c r="P1626" s="116">
        <v>1562.87</v>
      </c>
      <c r="Q1626" s="116">
        <v>7907.2</v>
      </c>
      <c r="R1626">
        <v>92340</v>
      </c>
    </row>
    <row r="1627" spans="1:18" x14ac:dyDescent="0.25">
      <c r="A1627" s="163">
        <v>44400</v>
      </c>
      <c r="B1627" s="116">
        <v>1591.71</v>
      </c>
      <c r="C1627" s="116">
        <v>1580.79</v>
      </c>
      <c r="D1627" s="116">
        <v>1575.95</v>
      </c>
      <c r="E1627" s="116">
        <v>1578</v>
      </c>
      <c r="F1627" s="116">
        <v>7903.95</v>
      </c>
      <c r="G1627">
        <v>3050</v>
      </c>
      <c r="H1627" s="116"/>
      <c r="I1627" s="116"/>
      <c r="L1627" s="163">
        <v>44400</v>
      </c>
      <c r="M1627" s="116">
        <v>1580.38</v>
      </c>
      <c r="N1627" s="116">
        <v>1593.8</v>
      </c>
      <c r="O1627" s="116">
        <v>1575</v>
      </c>
      <c r="P1627" s="116">
        <v>1585.8</v>
      </c>
      <c r="Q1627" s="116">
        <v>7901.9</v>
      </c>
      <c r="R1627">
        <v>62374</v>
      </c>
    </row>
    <row r="1628" spans="1:18" x14ac:dyDescent="0.25">
      <c r="A1628" s="163">
        <v>44403</v>
      </c>
      <c r="B1628" s="116">
        <v>1601.25</v>
      </c>
      <c r="C1628" s="116">
        <v>1567.5</v>
      </c>
      <c r="D1628" s="116">
        <v>1548.39</v>
      </c>
      <c r="E1628" s="116">
        <v>1576</v>
      </c>
      <c r="F1628" s="116">
        <v>7837.5</v>
      </c>
      <c r="G1628">
        <v>6218</v>
      </c>
      <c r="H1628" s="116"/>
      <c r="I1628" s="116"/>
      <c r="L1628" s="163">
        <v>44403</v>
      </c>
      <c r="M1628" s="116">
        <v>1566.87</v>
      </c>
      <c r="N1628" s="116">
        <v>1601.33</v>
      </c>
      <c r="O1628" s="116">
        <v>1548.63</v>
      </c>
      <c r="P1628" s="116">
        <v>1580.4</v>
      </c>
      <c r="Q1628" s="116">
        <v>7834.35</v>
      </c>
      <c r="R1628">
        <v>115168</v>
      </c>
    </row>
    <row r="1629" spans="1:18" x14ac:dyDescent="0.25">
      <c r="A1629" s="163">
        <v>44404</v>
      </c>
      <c r="B1629" s="116">
        <v>1572.45</v>
      </c>
      <c r="C1629" s="116">
        <v>1532.37</v>
      </c>
      <c r="D1629" s="116">
        <v>1524</v>
      </c>
      <c r="E1629" s="116">
        <v>1571.93</v>
      </c>
      <c r="F1629" s="116">
        <v>7661.85</v>
      </c>
      <c r="G1629">
        <v>5181</v>
      </c>
      <c r="H1629" s="116"/>
      <c r="I1629" s="116"/>
      <c r="L1629" s="163">
        <v>44404</v>
      </c>
      <c r="M1629" s="116">
        <v>1532.04</v>
      </c>
      <c r="N1629" s="116">
        <v>1576.56</v>
      </c>
      <c r="O1629" s="116">
        <v>1524.38</v>
      </c>
      <c r="P1629" s="116">
        <v>1575.4</v>
      </c>
      <c r="Q1629" s="116">
        <v>7660.2</v>
      </c>
      <c r="R1629">
        <v>110833</v>
      </c>
    </row>
    <row r="1630" spans="1:18" x14ac:dyDescent="0.25">
      <c r="A1630" s="163">
        <v>44405</v>
      </c>
      <c r="B1630" s="116">
        <v>1621.09</v>
      </c>
      <c r="C1630" s="116">
        <v>1544.38</v>
      </c>
      <c r="D1630" s="116">
        <v>1514.82</v>
      </c>
      <c r="E1630" s="116">
        <v>1532</v>
      </c>
      <c r="F1630" s="116">
        <v>7721.9</v>
      </c>
      <c r="G1630">
        <v>33999</v>
      </c>
      <c r="H1630" s="116"/>
      <c r="I1630" s="116"/>
      <c r="L1630" s="163">
        <v>44405</v>
      </c>
      <c r="M1630" s="116">
        <v>1545.6</v>
      </c>
      <c r="N1630" s="116">
        <v>1622.81</v>
      </c>
      <c r="O1630" s="116">
        <v>1514.06</v>
      </c>
      <c r="P1630" s="116">
        <v>1528</v>
      </c>
      <c r="Q1630" s="116">
        <v>7728</v>
      </c>
      <c r="R1630">
        <v>852480</v>
      </c>
    </row>
    <row r="1631" spans="1:18" x14ac:dyDescent="0.25">
      <c r="A1631" s="163">
        <v>44406</v>
      </c>
      <c r="B1631" s="116">
        <v>1621.14</v>
      </c>
      <c r="C1631" s="116">
        <v>1585.25</v>
      </c>
      <c r="D1631" s="116">
        <v>1535.58</v>
      </c>
      <c r="E1631" s="116">
        <v>1558.89</v>
      </c>
      <c r="F1631" s="116">
        <v>7926.25</v>
      </c>
      <c r="G1631">
        <v>22713</v>
      </c>
      <c r="H1631" s="116"/>
      <c r="I1631" s="116"/>
      <c r="L1631" s="163">
        <v>44406</v>
      </c>
      <c r="M1631" s="116">
        <v>1586.33</v>
      </c>
      <c r="N1631" s="116">
        <v>1622</v>
      </c>
      <c r="O1631" s="116">
        <v>1533</v>
      </c>
      <c r="P1631" s="116">
        <v>1560</v>
      </c>
      <c r="Q1631" s="116">
        <v>7931.65</v>
      </c>
      <c r="R1631">
        <v>424080</v>
      </c>
    </row>
    <row r="1632" spans="1:18" x14ac:dyDescent="0.25">
      <c r="A1632" s="163">
        <v>44407</v>
      </c>
      <c r="B1632" s="116">
        <v>1744.04</v>
      </c>
      <c r="C1632" s="116">
        <v>1732</v>
      </c>
      <c r="D1632" s="116">
        <v>1587.88</v>
      </c>
      <c r="E1632" s="116">
        <v>1599</v>
      </c>
      <c r="F1632" s="116">
        <v>8660</v>
      </c>
      <c r="G1632">
        <v>65862</v>
      </c>
      <c r="H1632" s="116"/>
      <c r="I1632" s="116"/>
      <c r="L1632" s="163">
        <v>44407</v>
      </c>
      <c r="M1632" s="116">
        <v>1731.74</v>
      </c>
      <c r="N1632" s="116">
        <v>1744.96</v>
      </c>
      <c r="O1632" s="116">
        <v>1586.33</v>
      </c>
      <c r="P1632" s="116">
        <v>1600</v>
      </c>
      <c r="Q1632" s="116">
        <v>8658.7000000000007</v>
      </c>
      <c r="R1632">
        <v>1302448</v>
      </c>
    </row>
    <row r="1633" spans="1:18" x14ac:dyDescent="0.25">
      <c r="A1633" s="163">
        <v>44410</v>
      </c>
      <c r="B1633" s="116">
        <v>1814.4</v>
      </c>
      <c r="C1633" s="116">
        <v>1799.61</v>
      </c>
      <c r="D1633" s="116">
        <v>1729.99</v>
      </c>
      <c r="E1633" s="116">
        <v>1732</v>
      </c>
      <c r="F1633" s="116">
        <v>8998.0499999999993</v>
      </c>
      <c r="G1633">
        <v>39147</v>
      </c>
      <c r="H1633" s="116"/>
      <c r="I1633" s="116"/>
      <c r="L1633" s="163">
        <v>44410</v>
      </c>
      <c r="M1633" s="116">
        <v>1800.99</v>
      </c>
      <c r="N1633" s="116">
        <v>1814.91</v>
      </c>
      <c r="O1633" s="116">
        <v>1731.11</v>
      </c>
      <c r="P1633" s="116">
        <v>1732</v>
      </c>
      <c r="Q1633" s="116">
        <v>9004.9500000000007</v>
      </c>
      <c r="R1633">
        <v>630805</v>
      </c>
    </row>
    <row r="1634" spans="1:18" x14ac:dyDescent="0.25">
      <c r="A1634" s="163">
        <v>44411</v>
      </c>
      <c r="B1634" s="116">
        <v>1818</v>
      </c>
      <c r="C1634" s="116">
        <v>1810.07</v>
      </c>
      <c r="D1634" s="116">
        <v>1752</v>
      </c>
      <c r="E1634" s="116">
        <v>1800</v>
      </c>
      <c r="F1634" s="116">
        <v>9050.35</v>
      </c>
      <c r="G1634">
        <v>28252</v>
      </c>
      <c r="H1634" s="116"/>
      <c r="I1634" s="116"/>
      <c r="L1634" s="163">
        <v>44411</v>
      </c>
      <c r="M1634" s="116">
        <v>1808</v>
      </c>
      <c r="N1634" s="116">
        <v>1818</v>
      </c>
      <c r="O1634" s="116">
        <v>1750.43</v>
      </c>
      <c r="P1634" s="116">
        <v>1790</v>
      </c>
      <c r="Q1634" s="116">
        <v>9040</v>
      </c>
      <c r="R1634">
        <v>670910</v>
      </c>
    </row>
    <row r="1635" spans="1:18" x14ac:dyDescent="0.25">
      <c r="A1635" s="163">
        <v>44412</v>
      </c>
      <c r="B1635" s="116">
        <v>1826.57</v>
      </c>
      <c r="C1635" s="116">
        <v>1802.48</v>
      </c>
      <c r="D1635" s="116">
        <v>1790.07</v>
      </c>
      <c r="E1635" s="116">
        <v>1808.32</v>
      </c>
      <c r="F1635" s="116">
        <v>9012.4</v>
      </c>
      <c r="G1635">
        <v>15580</v>
      </c>
      <c r="H1635" s="116"/>
      <c r="I1635" s="116"/>
      <c r="L1635" s="163">
        <v>44412</v>
      </c>
      <c r="M1635" s="116">
        <v>1806.67</v>
      </c>
      <c r="N1635" s="116">
        <v>1826.99</v>
      </c>
      <c r="O1635" s="116">
        <v>1794.02</v>
      </c>
      <c r="P1635" s="116">
        <v>1812</v>
      </c>
      <c r="Q1635" s="116">
        <v>9033.35</v>
      </c>
      <c r="R1635">
        <v>251827</v>
      </c>
    </row>
    <row r="1636" spans="1:18" x14ac:dyDescent="0.25">
      <c r="A1636" s="163">
        <v>44413</v>
      </c>
      <c r="B1636" s="116">
        <v>1802.22</v>
      </c>
      <c r="C1636" s="116">
        <v>1797.87</v>
      </c>
      <c r="D1636" s="116">
        <v>1778.52</v>
      </c>
      <c r="E1636" s="116">
        <v>1795.34</v>
      </c>
      <c r="F1636" s="116">
        <v>8989.35</v>
      </c>
      <c r="G1636">
        <v>6555</v>
      </c>
      <c r="H1636" s="116"/>
      <c r="I1636" s="116"/>
      <c r="L1636" s="163">
        <v>44413</v>
      </c>
      <c r="M1636" s="116">
        <v>1797.4</v>
      </c>
      <c r="N1636" s="116">
        <v>1808</v>
      </c>
      <c r="O1636" s="116">
        <v>1778.22</v>
      </c>
      <c r="P1636" s="116">
        <v>1808</v>
      </c>
      <c r="Q1636" s="116">
        <v>8987</v>
      </c>
      <c r="R1636">
        <v>165496</v>
      </c>
    </row>
    <row r="1637" spans="1:18" x14ac:dyDescent="0.25">
      <c r="A1637" s="163">
        <v>44414</v>
      </c>
      <c r="B1637" s="116">
        <v>1808.2</v>
      </c>
      <c r="C1637" s="116">
        <v>1780.98</v>
      </c>
      <c r="D1637" s="116">
        <v>1769.71</v>
      </c>
      <c r="E1637" s="116">
        <v>1799.8</v>
      </c>
      <c r="F1637" s="116">
        <v>8904.9</v>
      </c>
      <c r="G1637">
        <v>8535</v>
      </c>
      <c r="H1637" s="116"/>
      <c r="I1637" s="116"/>
      <c r="L1637" s="163">
        <v>44414</v>
      </c>
      <c r="M1637" s="116">
        <v>1781.22</v>
      </c>
      <c r="N1637" s="116">
        <v>1808.96</v>
      </c>
      <c r="O1637" s="116">
        <v>1769.39</v>
      </c>
      <c r="P1637" s="116">
        <v>1796</v>
      </c>
      <c r="Q1637" s="116">
        <v>8906.1</v>
      </c>
      <c r="R1637">
        <v>156118</v>
      </c>
    </row>
    <row r="1638" spans="1:18" x14ac:dyDescent="0.25">
      <c r="A1638" s="163">
        <v>44417</v>
      </c>
      <c r="B1638" s="116">
        <v>1819.4</v>
      </c>
      <c r="C1638" s="116">
        <v>1791.24</v>
      </c>
      <c r="D1638" s="116">
        <v>1783.3</v>
      </c>
      <c r="E1638" s="116">
        <v>1793.2</v>
      </c>
      <c r="F1638" s="116">
        <v>8956.2000000000007</v>
      </c>
      <c r="G1638">
        <v>6485</v>
      </c>
      <c r="H1638" s="116"/>
      <c r="I1638" s="116"/>
      <c r="L1638" s="163">
        <v>44417</v>
      </c>
      <c r="M1638" s="116">
        <v>1791.22</v>
      </c>
      <c r="N1638" s="116">
        <v>1820</v>
      </c>
      <c r="O1638" s="116">
        <v>1781.11</v>
      </c>
      <c r="P1638" s="116">
        <v>1781.11</v>
      </c>
      <c r="Q1638" s="116">
        <v>8956.1</v>
      </c>
      <c r="R1638">
        <v>138197</v>
      </c>
    </row>
    <row r="1639" spans="1:18" x14ac:dyDescent="0.25">
      <c r="A1639" s="163">
        <v>44418</v>
      </c>
      <c r="B1639" s="116">
        <v>1806.81</v>
      </c>
      <c r="C1639" s="116">
        <v>1772.15</v>
      </c>
      <c r="D1639" s="116">
        <v>1759.49</v>
      </c>
      <c r="E1639" s="116">
        <v>1799.88</v>
      </c>
      <c r="F1639" s="116">
        <v>8860.75</v>
      </c>
      <c r="G1639">
        <v>7622</v>
      </c>
      <c r="H1639" s="116"/>
      <c r="I1639" s="116"/>
      <c r="L1639" s="163">
        <v>44418</v>
      </c>
      <c r="M1639" s="116">
        <v>1772.23</v>
      </c>
      <c r="N1639" s="116">
        <v>1807.09</v>
      </c>
      <c r="O1639" s="116">
        <v>1758.9</v>
      </c>
      <c r="P1639" s="116">
        <v>1800.03</v>
      </c>
      <c r="Q1639" s="116">
        <v>8861.15</v>
      </c>
      <c r="R1639">
        <v>149683</v>
      </c>
    </row>
    <row r="1640" spans="1:18" x14ac:dyDescent="0.25">
      <c r="A1640" s="163">
        <v>44419</v>
      </c>
      <c r="B1640" s="116">
        <v>1792.16</v>
      </c>
      <c r="C1640" s="116">
        <v>1751.22</v>
      </c>
      <c r="D1640" s="116">
        <v>1745</v>
      </c>
      <c r="E1640" s="116">
        <v>1765.55</v>
      </c>
      <c r="F1640" s="116">
        <v>8756.1</v>
      </c>
      <c r="G1640">
        <v>5799</v>
      </c>
      <c r="H1640" s="116"/>
      <c r="I1640" s="116"/>
      <c r="L1640" s="163">
        <v>44419</v>
      </c>
      <c r="M1640" s="116">
        <v>1752.6</v>
      </c>
      <c r="N1640" s="116">
        <v>1793.04</v>
      </c>
      <c r="O1640" s="116">
        <v>1740.8</v>
      </c>
      <c r="P1640" s="116">
        <v>1778</v>
      </c>
      <c r="Q1640" s="116">
        <v>8763</v>
      </c>
      <c r="R1640">
        <v>168755</v>
      </c>
    </row>
    <row r="1641" spans="1:18" x14ac:dyDescent="0.25">
      <c r="A1641" s="163">
        <v>44420</v>
      </c>
      <c r="B1641" s="116">
        <v>1782</v>
      </c>
      <c r="C1641" s="116">
        <v>1760.92</v>
      </c>
      <c r="D1641" s="116">
        <v>1730.39</v>
      </c>
      <c r="E1641" s="116">
        <v>1760.24</v>
      </c>
      <c r="F1641" s="116">
        <v>8804.6</v>
      </c>
      <c r="G1641">
        <v>7134</v>
      </c>
      <c r="H1641" s="116"/>
      <c r="I1641" s="116"/>
      <c r="L1641" s="163">
        <v>44420</v>
      </c>
      <c r="M1641" s="116">
        <v>1760.82</v>
      </c>
      <c r="N1641" s="116">
        <v>1782.37</v>
      </c>
      <c r="O1641" s="116">
        <v>1722</v>
      </c>
      <c r="P1641" s="116">
        <v>1748</v>
      </c>
      <c r="Q1641" s="116">
        <v>8804.1</v>
      </c>
      <c r="R1641">
        <v>185907</v>
      </c>
    </row>
    <row r="1642" spans="1:18" x14ac:dyDescent="0.25">
      <c r="A1642" s="163">
        <v>44421</v>
      </c>
      <c r="B1642" s="116">
        <v>1797.61</v>
      </c>
      <c r="C1642" s="116">
        <v>1771.65</v>
      </c>
      <c r="D1642" s="116">
        <v>1760.94</v>
      </c>
      <c r="E1642" s="116">
        <v>1764.42</v>
      </c>
      <c r="F1642" s="116">
        <v>8858.25</v>
      </c>
      <c r="G1642">
        <v>8026</v>
      </c>
      <c r="H1642" s="116"/>
      <c r="I1642" s="116"/>
      <c r="L1642" s="163">
        <v>44421</v>
      </c>
      <c r="M1642" s="116">
        <v>1771.32</v>
      </c>
      <c r="N1642" s="116">
        <v>1798</v>
      </c>
      <c r="O1642" s="116">
        <v>1760.91</v>
      </c>
      <c r="P1642" s="116">
        <v>1774.69</v>
      </c>
      <c r="Q1642" s="116">
        <v>8856.6</v>
      </c>
      <c r="R1642">
        <v>181689</v>
      </c>
    </row>
    <row r="1643" spans="1:18" x14ac:dyDescent="0.25">
      <c r="A1643" s="163">
        <v>44424</v>
      </c>
      <c r="B1643" s="116">
        <v>1787.65</v>
      </c>
      <c r="C1643" s="116">
        <v>1758.38</v>
      </c>
      <c r="D1643" s="116">
        <v>1756.88</v>
      </c>
      <c r="E1643" s="116">
        <v>1773</v>
      </c>
      <c r="F1643" s="116">
        <v>8791.9</v>
      </c>
      <c r="G1643">
        <v>3802</v>
      </c>
      <c r="H1643" s="116"/>
      <c r="I1643" s="116"/>
      <c r="L1643" s="163">
        <v>44424</v>
      </c>
      <c r="M1643" s="116">
        <v>1758.58</v>
      </c>
      <c r="N1643" s="116">
        <v>1786.7</v>
      </c>
      <c r="O1643" s="116">
        <v>1756.13</v>
      </c>
      <c r="P1643" s="116">
        <v>1778.27</v>
      </c>
      <c r="Q1643" s="116">
        <v>8792.9</v>
      </c>
      <c r="R1643">
        <v>106965</v>
      </c>
    </row>
    <row r="1644" spans="1:18" x14ac:dyDescent="0.25">
      <c r="A1644" s="163">
        <v>44425</v>
      </c>
      <c r="B1644" s="116">
        <v>1843.64</v>
      </c>
      <c r="C1644" s="116">
        <v>1824.99</v>
      </c>
      <c r="D1644" s="116">
        <v>1756.16</v>
      </c>
      <c r="E1644" s="116">
        <v>1760</v>
      </c>
      <c r="F1644" s="116">
        <v>9124.9500000000007</v>
      </c>
      <c r="G1644">
        <v>7998</v>
      </c>
      <c r="H1644" s="116"/>
      <c r="I1644" s="116"/>
      <c r="L1644" s="163">
        <v>44425</v>
      </c>
      <c r="M1644" s="116">
        <v>1823.46</v>
      </c>
      <c r="N1644" s="116">
        <v>1846</v>
      </c>
      <c r="O1644" s="116">
        <v>1755.01</v>
      </c>
      <c r="P1644" s="116">
        <v>1767.99</v>
      </c>
      <c r="Q1644" s="116">
        <v>9117.2999999999993</v>
      </c>
      <c r="R1644">
        <v>258582</v>
      </c>
    </row>
    <row r="1645" spans="1:18" x14ac:dyDescent="0.25">
      <c r="A1645" s="163">
        <v>44426</v>
      </c>
      <c r="B1645" s="116">
        <v>1853.61</v>
      </c>
      <c r="C1645" s="116">
        <v>1796.27</v>
      </c>
      <c r="D1645" s="116">
        <v>1791</v>
      </c>
      <c r="E1645" s="116">
        <v>1844.6</v>
      </c>
      <c r="F1645" s="116">
        <v>8981.35</v>
      </c>
      <c r="G1645">
        <v>10814</v>
      </c>
      <c r="H1645" s="116"/>
      <c r="I1645" s="116"/>
      <c r="L1645" s="163">
        <v>44426</v>
      </c>
      <c r="M1645" s="116">
        <v>1796.71</v>
      </c>
      <c r="N1645" s="116">
        <v>1856</v>
      </c>
      <c r="O1645" s="116">
        <v>1790.35</v>
      </c>
      <c r="P1645" s="116">
        <v>1839.6</v>
      </c>
      <c r="Q1645" s="116">
        <v>8983.5499999999993</v>
      </c>
      <c r="R1645">
        <v>226826</v>
      </c>
    </row>
    <row r="1646" spans="1:18" x14ac:dyDescent="0.25">
      <c r="A1646" s="163">
        <v>44428</v>
      </c>
      <c r="B1646" s="116">
        <v>1811.2</v>
      </c>
      <c r="C1646" s="116">
        <v>1780.4</v>
      </c>
      <c r="D1646" s="116">
        <v>1750.81</v>
      </c>
      <c r="E1646" s="116">
        <v>1811.2</v>
      </c>
      <c r="F1646" s="116">
        <v>8902</v>
      </c>
      <c r="G1646">
        <v>5721</v>
      </c>
      <c r="H1646" s="116"/>
      <c r="I1646" s="116"/>
      <c r="L1646" s="163">
        <v>44428</v>
      </c>
      <c r="M1646" s="116">
        <v>1777.82</v>
      </c>
      <c r="N1646" s="116">
        <v>1803.33</v>
      </c>
      <c r="O1646" s="116">
        <v>1743.01</v>
      </c>
      <c r="P1646" s="116">
        <v>1796</v>
      </c>
      <c r="Q1646" s="116">
        <v>8889.1</v>
      </c>
      <c r="R1646">
        <v>151757</v>
      </c>
    </row>
    <row r="1647" spans="1:18" x14ac:dyDescent="0.25">
      <c r="A1647" s="163">
        <v>44431</v>
      </c>
      <c r="B1647" s="116">
        <v>1859.8</v>
      </c>
      <c r="C1647" s="116">
        <v>1794.04</v>
      </c>
      <c r="D1647" s="116">
        <v>1780</v>
      </c>
      <c r="E1647" s="116">
        <v>1859.8</v>
      </c>
      <c r="F1647" s="116">
        <v>8970.2000000000007</v>
      </c>
      <c r="G1647">
        <v>13793</v>
      </c>
      <c r="H1647" s="116"/>
      <c r="I1647" s="116"/>
      <c r="L1647" s="163">
        <v>44431</v>
      </c>
      <c r="M1647" s="116">
        <v>1794.2</v>
      </c>
      <c r="N1647" s="116">
        <v>1855.8</v>
      </c>
      <c r="O1647" s="116">
        <v>1781</v>
      </c>
      <c r="P1647" s="116">
        <v>1855.58</v>
      </c>
      <c r="Q1647" s="116">
        <v>8971</v>
      </c>
      <c r="R1647">
        <v>286945</v>
      </c>
    </row>
    <row r="1648" spans="1:18" x14ac:dyDescent="0.25">
      <c r="A1648" s="163">
        <v>44432</v>
      </c>
      <c r="B1648" s="116">
        <v>1817.4</v>
      </c>
      <c r="C1648" s="116">
        <v>1795.82</v>
      </c>
      <c r="D1648" s="116">
        <v>1781.92</v>
      </c>
      <c r="E1648" s="116">
        <v>1795.2</v>
      </c>
      <c r="F1648" s="116">
        <v>8979.1</v>
      </c>
      <c r="G1648">
        <v>5537</v>
      </c>
      <c r="H1648" s="116"/>
      <c r="I1648" s="116"/>
      <c r="L1648" s="163">
        <v>44432</v>
      </c>
      <c r="M1648" s="116">
        <v>1796.56</v>
      </c>
      <c r="N1648" s="116">
        <v>1817.98</v>
      </c>
      <c r="O1648" s="116">
        <v>1781.2</v>
      </c>
      <c r="P1648" s="116">
        <v>1799</v>
      </c>
      <c r="Q1648" s="116">
        <v>8982.7999999999993</v>
      </c>
      <c r="R1648">
        <v>158897</v>
      </c>
    </row>
    <row r="1649" spans="1:18" x14ac:dyDescent="0.25">
      <c r="A1649" s="163">
        <v>44433</v>
      </c>
      <c r="B1649" s="116">
        <v>1813.27</v>
      </c>
      <c r="C1649" s="116">
        <v>1785.93</v>
      </c>
      <c r="D1649" s="116">
        <v>1780.01</v>
      </c>
      <c r="E1649" s="116">
        <v>1802</v>
      </c>
      <c r="F1649" s="116">
        <v>8929.65</v>
      </c>
      <c r="G1649">
        <v>4129</v>
      </c>
      <c r="H1649" s="116"/>
      <c r="I1649" s="116"/>
      <c r="L1649" s="163">
        <v>44433</v>
      </c>
      <c r="M1649" s="116">
        <v>1788.84</v>
      </c>
      <c r="N1649" s="116">
        <v>1813.59</v>
      </c>
      <c r="O1649" s="116">
        <v>1786.05</v>
      </c>
      <c r="P1649" s="116">
        <v>1807.96</v>
      </c>
      <c r="Q1649" s="116">
        <v>8944.2000000000007</v>
      </c>
      <c r="R1649">
        <v>105308</v>
      </c>
    </row>
    <row r="1650" spans="1:18" x14ac:dyDescent="0.25">
      <c r="A1650" s="163">
        <v>44434</v>
      </c>
      <c r="B1650" s="116">
        <v>1829.35</v>
      </c>
      <c r="C1650" s="116">
        <v>1811.83</v>
      </c>
      <c r="D1650" s="116">
        <v>1780.24</v>
      </c>
      <c r="E1650" s="116">
        <v>1797.8</v>
      </c>
      <c r="F1650" s="116">
        <v>9059.15</v>
      </c>
      <c r="G1650">
        <v>2661</v>
      </c>
      <c r="H1650" s="116"/>
      <c r="I1650" s="116"/>
      <c r="L1650" s="163">
        <v>44434</v>
      </c>
      <c r="M1650" s="116">
        <v>1812.63</v>
      </c>
      <c r="N1650" s="116">
        <v>1830</v>
      </c>
      <c r="O1650" s="116">
        <v>1778.02</v>
      </c>
      <c r="P1650" s="116">
        <v>1787.96</v>
      </c>
      <c r="Q1650" s="116">
        <v>9063.15</v>
      </c>
      <c r="R1650">
        <v>132950</v>
      </c>
    </row>
    <row r="1651" spans="1:18" x14ac:dyDescent="0.25">
      <c r="A1651" s="163">
        <v>44435</v>
      </c>
      <c r="B1651" s="116">
        <v>1890.98</v>
      </c>
      <c r="C1651" s="116">
        <v>1885.12</v>
      </c>
      <c r="D1651" s="116">
        <v>1803.3</v>
      </c>
      <c r="E1651" s="116">
        <v>1828.4</v>
      </c>
      <c r="F1651" s="116">
        <v>9425.6</v>
      </c>
      <c r="G1651">
        <v>14458</v>
      </c>
      <c r="H1651" s="116"/>
      <c r="I1651" s="116"/>
      <c r="L1651" s="163">
        <v>44435</v>
      </c>
      <c r="M1651" s="116">
        <v>1884.71</v>
      </c>
      <c r="N1651" s="116">
        <v>1890</v>
      </c>
      <c r="O1651" s="116">
        <v>1802.2</v>
      </c>
      <c r="P1651" s="116">
        <v>1825</v>
      </c>
      <c r="Q1651" s="116">
        <v>9423.5499999999993</v>
      </c>
      <c r="R1651">
        <v>525505</v>
      </c>
    </row>
    <row r="1652" spans="1:18" x14ac:dyDescent="0.25">
      <c r="A1652" s="163">
        <v>44438</v>
      </c>
      <c r="B1652" s="116">
        <v>1975.31</v>
      </c>
      <c r="C1652" s="116">
        <v>1942.31</v>
      </c>
      <c r="D1652" s="116">
        <v>1881.55</v>
      </c>
      <c r="E1652" s="116">
        <v>1905.4</v>
      </c>
      <c r="F1652" s="116">
        <v>9711.5499999999993</v>
      </c>
      <c r="G1652">
        <v>35066</v>
      </c>
      <c r="H1652" s="116"/>
      <c r="I1652" s="116"/>
      <c r="L1652" s="163">
        <v>44438</v>
      </c>
      <c r="M1652" s="116">
        <v>1942.62</v>
      </c>
      <c r="N1652" s="116">
        <v>1975.78</v>
      </c>
      <c r="O1652" s="116">
        <v>1883.03</v>
      </c>
      <c r="P1652" s="116">
        <v>1900</v>
      </c>
      <c r="Q1652" s="116">
        <v>9713.1</v>
      </c>
      <c r="R1652">
        <v>675208</v>
      </c>
    </row>
    <row r="1653" spans="1:18" x14ac:dyDescent="0.25">
      <c r="A1653" s="163">
        <v>44439</v>
      </c>
      <c r="B1653" s="116">
        <v>2070.85</v>
      </c>
      <c r="C1653" s="116">
        <v>2028.13</v>
      </c>
      <c r="D1653" s="116">
        <v>1952</v>
      </c>
      <c r="E1653" s="116">
        <v>1960.2</v>
      </c>
      <c r="F1653" s="116">
        <v>10140.65</v>
      </c>
      <c r="G1653">
        <v>49865</v>
      </c>
      <c r="H1653" s="116"/>
      <c r="I1653" s="116"/>
      <c r="L1653" s="163">
        <v>44439</v>
      </c>
      <c r="M1653" s="116">
        <v>2027.95</v>
      </c>
      <c r="N1653" s="116">
        <v>2069</v>
      </c>
      <c r="O1653" s="116">
        <v>1955</v>
      </c>
      <c r="P1653" s="116">
        <v>1959.8</v>
      </c>
      <c r="Q1653" s="116">
        <v>10139.75</v>
      </c>
      <c r="R1653">
        <v>972455</v>
      </c>
    </row>
    <row r="1654" spans="1:18" x14ac:dyDescent="0.25">
      <c r="A1654" s="163">
        <v>44440</v>
      </c>
      <c r="B1654" s="116">
        <v>2066.8000000000002</v>
      </c>
      <c r="C1654" s="116">
        <v>1986.37</v>
      </c>
      <c r="D1654" s="116">
        <v>1965.2</v>
      </c>
      <c r="E1654" s="116">
        <v>2066.8000000000002</v>
      </c>
      <c r="F1654" s="116">
        <v>9931.85</v>
      </c>
      <c r="G1654">
        <v>32373</v>
      </c>
      <c r="H1654" s="116"/>
      <c r="I1654" s="116"/>
      <c r="L1654" s="163">
        <v>44440</v>
      </c>
      <c r="M1654" s="116">
        <v>1985.98</v>
      </c>
      <c r="N1654" s="116">
        <v>2062.6</v>
      </c>
      <c r="O1654" s="116">
        <v>1965.02</v>
      </c>
      <c r="P1654" s="116">
        <v>2060</v>
      </c>
      <c r="Q1654" s="116">
        <v>9929.9</v>
      </c>
      <c r="R1654">
        <v>549006</v>
      </c>
    </row>
    <row r="1655" spans="1:18" x14ac:dyDescent="0.25">
      <c r="A1655" s="163">
        <v>44441</v>
      </c>
      <c r="B1655" s="116">
        <v>2049.8000000000002</v>
      </c>
      <c r="C1655" s="116">
        <v>2033.76</v>
      </c>
      <c r="D1655" s="116">
        <v>1990.23</v>
      </c>
      <c r="E1655" s="116">
        <v>2004</v>
      </c>
      <c r="F1655" s="116">
        <v>10168.799999999999</v>
      </c>
      <c r="G1655">
        <v>18319</v>
      </c>
      <c r="H1655" s="116"/>
      <c r="I1655" s="116"/>
      <c r="L1655" s="163">
        <v>44441</v>
      </c>
      <c r="M1655" s="116">
        <v>2034.18</v>
      </c>
      <c r="N1655" s="116">
        <v>2049.9899999999998</v>
      </c>
      <c r="O1655" s="116">
        <v>1990</v>
      </c>
      <c r="P1655" s="116">
        <v>1992</v>
      </c>
      <c r="Q1655" s="116">
        <v>10170.9</v>
      </c>
      <c r="R1655">
        <v>289563</v>
      </c>
    </row>
    <row r="1656" spans="1:18" x14ac:dyDescent="0.25">
      <c r="A1656" s="163">
        <v>44442</v>
      </c>
      <c r="B1656" s="116">
        <v>2075.92</v>
      </c>
      <c r="C1656" s="116">
        <v>2068.2199999999998</v>
      </c>
      <c r="D1656" s="116">
        <v>2017.21</v>
      </c>
      <c r="E1656" s="116">
        <v>2034</v>
      </c>
      <c r="F1656" s="116">
        <v>10341.1</v>
      </c>
      <c r="G1656">
        <v>13032</v>
      </c>
      <c r="H1656" s="116"/>
      <c r="I1656" s="116"/>
      <c r="L1656" s="163">
        <v>44442</v>
      </c>
      <c r="M1656" s="116">
        <v>2068.29</v>
      </c>
      <c r="N1656" s="116">
        <v>2076</v>
      </c>
      <c r="O1656" s="116">
        <v>2016.4</v>
      </c>
      <c r="P1656" s="116">
        <v>2039.8</v>
      </c>
      <c r="Q1656" s="116">
        <v>10341.450000000001</v>
      </c>
      <c r="R1656">
        <v>311209</v>
      </c>
    </row>
    <row r="1657" spans="1:18" x14ac:dyDescent="0.25">
      <c r="A1657" s="163">
        <v>44445</v>
      </c>
      <c r="B1657" s="116">
        <v>2080.5700000000002</v>
      </c>
      <c r="C1657" s="116">
        <v>2046.65</v>
      </c>
      <c r="D1657" s="116">
        <v>2042</v>
      </c>
      <c r="E1657" s="116">
        <v>2078.1799999999998</v>
      </c>
      <c r="F1657" s="116">
        <v>10233.25</v>
      </c>
      <c r="G1657">
        <v>6741</v>
      </c>
      <c r="H1657" s="116"/>
      <c r="I1657" s="116"/>
      <c r="L1657" s="163">
        <v>44445</v>
      </c>
      <c r="M1657" s="116">
        <v>2046.09</v>
      </c>
      <c r="N1657" s="116">
        <v>2080.69</v>
      </c>
      <c r="O1657" s="116">
        <v>2041.49</v>
      </c>
      <c r="P1657" s="116">
        <v>2076</v>
      </c>
      <c r="Q1657" s="116">
        <v>10230.450000000001</v>
      </c>
      <c r="R1657">
        <v>237687</v>
      </c>
    </row>
    <row r="1658" spans="1:18" x14ac:dyDescent="0.25">
      <c r="A1658" s="163">
        <v>44446</v>
      </c>
      <c r="B1658" s="116">
        <v>2066.7399999999998</v>
      </c>
      <c r="C1658" s="116">
        <v>2031.14</v>
      </c>
      <c r="D1658" s="116">
        <v>2027.51</v>
      </c>
      <c r="E1658" s="116">
        <v>2051.58</v>
      </c>
      <c r="F1658" s="116">
        <v>10155.700000000001</v>
      </c>
      <c r="G1658">
        <v>7882</v>
      </c>
      <c r="H1658" s="116"/>
      <c r="I1658" s="116"/>
      <c r="L1658" s="163">
        <v>44446</v>
      </c>
      <c r="M1658" s="116">
        <v>2030.97</v>
      </c>
      <c r="N1658" s="116">
        <v>2067.9899999999998</v>
      </c>
      <c r="O1658" s="116">
        <v>2027.76</v>
      </c>
      <c r="P1658" s="116">
        <v>2055.62</v>
      </c>
      <c r="Q1658" s="116">
        <v>10154.85</v>
      </c>
      <c r="R1658">
        <v>188828</v>
      </c>
    </row>
    <row r="1659" spans="1:18" x14ac:dyDescent="0.25">
      <c r="A1659" s="163">
        <v>44447</v>
      </c>
      <c r="B1659" s="116">
        <v>2049.59</v>
      </c>
      <c r="C1659" s="116">
        <v>2033.4</v>
      </c>
      <c r="D1659" s="116">
        <v>2000.3</v>
      </c>
      <c r="E1659" s="116">
        <v>2032</v>
      </c>
      <c r="F1659" s="116">
        <v>10167</v>
      </c>
      <c r="G1659">
        <v>12084</v>
      </c>
      <c r="H1659" s="116"/>
      <c r="I1659" s="116"/>
      <c r="L1659" s="163">
        <v>44447</v>
      </c>
      <c r="M1659" s="116">
        <v>2034.38</v>
      </c>
      <c r="N1659" s="116">
        <v>2048.8000000000002</v>
      </c>
      <c r="O1659" s="116">
        <v>2000.2</v>
      </c>
      <c r="P1659" s="116">
        <v>2042.78</v>
      </c>
      <c r="Q1659" s="116">
        <v>10171.9</v>
      </c>
      <c r="R1659">
        <v>186443</v>
      </c>
    </row>
    <row r="1660" spans="1:18" x14ac:dyDescent="0.25">
      <c r="A1660" s="163">
        <v>44448</v>
      </c>
      <c r="B1660" s="116">
        <v>2073.84</v>
      </c>
      <c r="C1660" s="116">
        <v>2065.91</v>
      </c>
      <c r="D1660" s="116">
        <v>2031.59</v>
      </c>
      <c r="E1660" s="116">
        <v>2033</v>
      </c>
      <c r="F1660" s="116">
        <v>10329.549999999999</v>
      </c>
      <c r="G1660">
        <v>10058</v>
      </c>
      <c r="H1660" s="116"/>
      <c r="I1660" s="116"/>
      <c r="L1660" s="163">
        <v>44448</v>
      </c>
      <c r="M1660" s="116">
        <v>2065.89</v>
      </c>
      <c r="N1660" s="116">
        <v>2075</v>
      </c>
      <c r="O1660" s="116">
        <v>2030.83</v>
      </c>
      <c r="P1660" s="116">
        <v>2040</v>
      </c>
      <c r="Q1660" s="116">
        <v>10329.450000000001</v>
      </c>
      <c r="R1660">
        <v>390936</v>
      </c>
    </row>
    <row r="1661" spans="1:18" x14ac:dyDescent="0.25">
      <c r="A1661" s="163">
        <v>44452</v>
      </c>
      <c r="B1661" s="116">
        <v>2149.4</v>
      </c>
      <c r="C1661" s="116">
        <v>2137.1799999999998</v>
      </c>
      <c r="D1661" s="116">
        <v>2060</v>
      </c>
      <c r="E1661" s="116">
        <v>2065.91</v>
      </c>
      <c r="F1661" s="116">
        <v>10685.9</v>
      </c>
      <c r="G1661">
        <v>29568</v>
      </c>
      <c r="H1661" s="116"/>
      <c r="I1661" s="116"/>
      <c r="L1661" s="163">
        <v>44452</v>
      </c>
      <c r="M1661" s="116">
        <v>2137.1</v>
      </c>
      <c r="N1661" s="116">
        <v>2149.6</v>
      </c>
      <c r="O1661" s="116">
        <v>2053.7199999999998</v>
      </c>
      <c r="P1661" s="116">
        <v>2070.1999999999998</v>
      </c>
      <c r="Q1661" s="116">
        <v>10685.5</v>
      </c>
      <c r="R1661">
        <v>430094</v>
      </c>
    </row>
    <row r="1662" spans="1:18" x14ac:dyDescent="0.25">
      <c r="A1662" s="163">
        <v>44453</v>
      </c>
      <c r="B1662" s="116">
        <v>2163.84</v>
      </c>
      <c r="C1662" s="116">
        <v>2135.81</v>
      </c>
      <c r="D1662" s="116">
        <v>2122.56</v>
      </c>
      <c r="E1662" s="116">
        <v>2160</v>
      </c>
      <c r="F1662" s="116">
        <v>10679.05</v>
      </c>
      <c r="G1662">
        <v>10101</v>
      </c>
      <c r="H1662" s="116"/>
      <c r="I1662" s="116"/>
      <c r="L1662" s="163">
        <v>44453</v>
      </c>
      <c r="M1662" s="116">
        <v>2135.2800000000002</v>
      </c>
      <c r="N1662" s="116">
        <v>2164.1999999999998</v>
      </c>
      <c r="O1662" s="116">
        <v>2122.27</v>
      </c>
      <c r="P1662" s="116">
        <v>2163.5700000000002</v>
      </c>
      <c r="Q1662" s="116">
        <v>10676.4</v>
      </c>
      <c r="R1662">
        <v>258514</v>
      </c>
    </row>
    <row r="1663" spans="1:18" x14ac:dyDescent="0.25">
      <c r="A1663" s="163">
        <v>44454</v>
      </c>
      <c r="B1663" s="116">
        <v>2259.33</v>
      </c>
      <c r="C1663" s="116">
        <v>2243.9</v>
      </c>
      <c r="D1663" s="116">
        <v>2135.9899999999998</v>
      </c>
      <c r="E1663" s="116">
        <v>2148.7800000000002</v>
      </c>
      <c r="F1663" s="116">
        <v>11219.5</v>
      </c>
      <c r="G1663">
        <v>24074</v>
      </c>
      <c r="H1663" s="116"/>
      <c r="I1663" s="116"/>
      <c r="L1663" s="163">
        <v>44454</v>
      </c>
      <c r="M1663" s="116">
        <v>2244.92</v>
      </c>
      <c r="N1663" s="116">
        <v>2259.9899999999998</v>
      </c>
      <c r="O1663" s="116">
        <v>2135.8000000000002</v>
      </c>
      <c r="P1663" s="116">
        <v>2148.4699999999998</v>
      </c>
      <c r="Q1663" s="116">
        <v>11224.6</v>
      </c>
      <c r="R1663">
        <v>589262</v>
      </c>
    </row>
    <row r="1664" spans="1:18" x14ac:dyDescent="0.25">
      <c r="A1664" s="163">
        <v>44455</v>
      </c>
      <c r="B1664" s="116">
        <v>2281.8000000000002</v>
      </c>
      <c r="C1664" s="116">
        <v>2269.16</v>
      </c>
      <c r="D1664" s="116">
        <v>2215.39</v>
      </c>
      <c r="E1664" s="116">
        <v>2252</v>
      </c>
      <c r="F1664" s="116">
        <v>11345.8</v>
      </c>
      <c r="G1664">
        <v>16492</v>
      </c>
      <c r="H1664" s="116"/>
      <c r="I1664" s="116"/>
      <c r="L1664" s="163">
        <v>44455</v>
      </c>
      <c r="M1664" s="116">
        <v>2264.9499999999998</v>
      </c>
      <c r="N1664" s="116">
        <v>2275.64</v>
      </c>
      <c r="O1664" s="116">
        <v>2213.2199999999998</v>
      </c>
      <c r="P1664" s="116">
        <v>2244.1999999999998</v>
      </c>
      <c r="Q1664" s="116">
        <v>11324.75</v>
      </c>
      <c r="R1664">
        <v>300889</v>
      </c>
    </row>
    <row r="1665" spans="1:18" x14ac:dyDescent="0.25">
      <c r="A1665" s="163">
        <v>44456</v>
      </c>
      <c r="B1665" s="116">
        <v>2275.2800000000002</v>
      </c>
      <c r="C1665" s="116">
        <v>2220.23</v>
      </c>
      <c r="D1665" s="116">
        <v>2207.8000000000002</v>
      </c>
      <c r="E1665" s="116">
        <v>2269.8000000000002</v>
      </c>
      <c r="F1665" s="116">
        <v>11101.15</v>
      </c>
      <c r="G1665">
        <v>11844</v>
      </c>
      <c r="H1665" s="116"/>
      <c r="I1665" s="116"/>
      <c r="L1665" s="163">
        <v>44456</v>
      </c>
      <c r="M1665" s="116">
        <v>2219.81</v>
      </c>
      <c r="N1665" s="116">
        <v>2273.9</v>
      </c>
      <c r="O1665" s="116">
        <v>2208.4</v>
      </c>
      <c r="P1665" s="116">
        <v>2268</v>
      </c>
      <c r="Q1665" s="116">
        <v>11099.05</v>
      </c>
      <c r="R1665">
        <v>313218</v>
      </c>
    </row>
    <row r="1666" spans="1:18" x14ac:dyDescent="0.25">
      <c r="A1666" s="163">
        <v>44459</v>
      </c>
      <c r="B1666" s="116">
        <v>2235.34</v>
      </c>
      <c r="C1666" s="116">
        <v>2122.2399999999998</v>
      </c>
      <c r="D1666" s="116">
        <v>2100.25</v>
      </c>
      <c r="E1666" s="116">
        <v>2235.34</v>
      </c>
      <c r="F1666" s="116">
        <v>10611.2</v>
      </c>
      <c r="G1666">
        <v>16905</v>
      </c>
      <c r="H1666" s="116"/>
      <c r="I1666" s="116"/>
      <c r="L1666" s="163">
        <v>44459</v>
      </c>
      <c r="M1666" s="116">
        <v>2121.48</v>
      </c>
      <c r="N1666" s="116">
        <v>2219.8000000000002</v>
      </c>
      <c r="O1666" s="116">
        <v>2104</v>
      </c>
      <c r="P1666" s="116">
        <v>2219.8000000000002</v>
      </c>
      <c r="Q1666" s="116">
        <v>10607.4</v>
      </c>
      <c r="R1666">
        <v>350343</v>
      </c>
    </row>
    <row r="1667" spans="1:18" x14ac:dyDescent="0.25">
      <c r="A1667" s="163">
        <v>44460</v>
      </c>
      <c r="B1667" s="116">
        <v>2165.5100000000002</v>
      </c>
      <c r="C1667" s="116">
        <v>2132.65</v>
      </c>
      <c r="D1667" s="116">
        <v>2105.35</v>
      </c>
      <c r="E1667" s="116">
        <v>2111</v>
      </c>
      <c r="F1667" s="116">
        <v>10663.25</v>
      </c>
      <c r="G1667">
        <v>16868</v>
      </c>
      <c r="H1667" s="116"/>
      <c r="I1667" s="116"/>
      <c r="L1667" s="163">
        <v>44460</v>
      </c>
      <c r="M1667" s="116">
        <v>2132.85</v>
      </c>
      <c r="N1667" s="116">
        <v>2166.0500000000002</v>
      </c>
      <c r="O1667" s="116">
        <v>2106.6</v>
      </c>
      <c r="P1667" s="116">
        <v>2122.0700000000002</v>
      </c>
      <c r="Q1667" s="116">
        <v>10664.25</v>
      </c>
      <c r="R1667">
        <v>295200</v>
      </c>
    </row>
    <row r="1668" spans="1:18" x14ac:dyDescent="0.25">
      <c r="A1668" s="163">
        <v>44461</v>
      </c>
      <c r="B1668" s="116">
        <v>2181</v>
      </c>
      <c r="C1668" s="116">
        <v>2146.89</v>
      </c>
      <c r="D1668" s="116">
        <v>2139.21</v>
      </c>
      <c r="E1668" s="116">
        <v>2159.6</v>
      </c>
      <c r="F1668" s="116">
        <v>10734.45</v>
      </c>
      <c r="G1668">
        <v>5703</v>
      </c>
      <c r="H1668" s="116"/>
      <c r="I1668" s="116"/>
      <c r="L1668" s="163">
        <v>44461</v>
      </c>
      <c r="M1668" s="116">
        <v>2146.14</v>
      </c>
      <c r="N1668" s="116">
        <v>2181.58</v>
      </c>
      <c r="O1668" s="116">
        <v>2139.0100000000002</v>
      </c>
      <c r="P1668" s="116">
        <v>2148.41</v>
      </c>
      <c r="Q1668" s="116">
        <v>10730.7</v>
      </c>
      <c r="R1668">
        <v>230838</v>
      </c>
    </row>
    <row r="1669" spans="1:18" x14ac:dyDescent="0.25">
      <c r="A1669" s="163">
        <v>44462</v>
      </c>
      <c r="B1669" s="116">
        <v>2227.34</v>
      </c>
      <c r="C1669" s="116">
        <v>2199.08</v>
      </c>
      <c r="D1669" s="116">
        <v>2157.3000000000002</v>
      </c>
      <c r="E1669" s="116">
        <v>2174.67</v>
      </c>
      <c r="F1669" s="116">
        <v>10995.4</v>
      </c>
      <c r="G1669">
        <v>10851</v>
      </c>
      <c r="H1669" s="116"/>
      <c r="I1669" s="116"/>
      <c r="L1669" s="163">
        <v>44462</v>
      </c>
      <c r="M1669" s="116">
        <v>2199.77</v>
      </c>
      <c r="N1669" s="116">
        <v>2226.6</v>
      </c>
      <c r="O1669" s="116">
        <v>2157.15</v>
      </c>
      <c r="P1669" s="116">
        <v>2181.8000000000002</v>
      </c>
      <c r="Q1669" s="116">
        <v>10998.85</v>
      </c>
      <c r="R1669">
        <v>259560</v>
      </c>
    </row>
    <row r="1670" spans="1:18" x14ac:dyDescent="0.25">
      <c r="A1670" s="163">
        <v>44463</v>
      </c>
      <c r="B1670" s="116">
        <v>2227.1999999999998</v>
      </c>
      <c r="C1670" s="116">
        <v>2201.52</v>
      </c>
      <c r="D1670" s="116">
        <v>2170.61</v>
      </c>
      <c r="E1670" s="116">
        <v>2224</v>
      </c>
      <c r="F1670" s="116">
        <v>11007.6</v>
      </c>
      <c r="G1670">
        <v>5127</v>
      </c>
      <c r="H1670" s="116"/>
      <c r="I1670" s="116"/>
      <c r="L1670" s="163">
        <v>44463</v>
      </c>
      <c r="M1670" s="116">
        <v>2202.81</v>
      </c>
      <c r="N1670" s="116">
        <v>2219.59</v>
      </c>
      <c r="O1670" s="116">
        <v>2170</v>
      </c>
      <c r="P1670" s="116">
        <v>2212.14</v>
      </c>
      <c r="Q1670" s="116">
        <v>11014.05</v>
      </c>
      <c r="R1670">
        <v>190158</v>
      </c>
    </row>
    <row r="1671" spans="1:18" x14ac:dyDescent="0.25">
      <c r="A1671" s="163">
        <v>44466</v>
      </c>
      <c r="B1671" s="116">
        <v>2253.1799999999998</v>
      </c>
      <c r="C1671" s="116">
        <v>2228.9899999999998</v>
      </c>
      <c r="D1671" s="116">
        <v>2200</v>
      </c>
      <c r="E1671" s="116">
        <v>2243</v>
      </c>
      <c r="F1671" s="116">
        <v>11144.95</v>
      </c>
      <c r="G1671">
        <v>26821</v>
      </c>
      <c r="H1671" s="116"/>
      <c r="I1671" s="116"/>
      <c r="L1671" s="163">
        <v>44466</v>
      </c>
      <c r="M1671" s="116">
        <v>2225.39</v>
      </c>
      <c r="N1671" s="116">
        <v>2253.75</v>
      </c>
      <c r="O1671" s="116">
        <v>2199</v>
      </c>
      <c r="P1671" s="116">
        <v>2240.4</v>
      </c>
      <c r="Q1671" s="116">
        <v>11126.95</v>
      </c>
      <c r="R1671">
        <v>325623</v>
      </c>
    </row>
    <row r="1672" spans="1:18" x14ac:dyDescent="0.25">
      <c r="A1672" s="163">
        <v>44467</v>
      </c>
      <c r="B1672" s="116">
        <v>2229.0100000000002</v>
      </c>
      <c r="C1672" s="116">
        <v>2183.4699999999998</v>
      </c>
      <c r="D1672" s="116">
        <v>2150.1999999999998</v>
      </c>
      <c r="E1672" s="116">
        <v>2229</v>
      </c>
      <c r="F1672" s="116">
        <v>10917.35</v>
      </c>
      <c r="G1672">
        <v>18632</v>
      </c>
      <c r="H1672" s="116"/>
      <c r="I1672" s="116"/>
      <c r="L1672" s="163">
        <v>44467</v>
      </c>
      <c r="M1672" s="116">
        <v>2184.39</v>
      </c>
      <c r="N1672" s="116">
        <v>2235.98</v>
      </c>
      <c r="O1672" s="116">
        <v>2150.0100000000002</v>
      </c>
      <c r="P1672" s="116">
        <v>2235.98</v>
      </c>
      <c r="Q1672" s="116">
        <v>10921.95</v>
      </c>
      <c r="R1672">
        <v>243974</v>
      </c>
    </row>
    <row r="1673" spans="1:18" x14ac:dyDescent="0.25">
      <c r="A1673" s="163">
        <v>44468</v>
      </c>
      <c r="B1673" s="116">
        <v>2250.91</v>
      </c>
      <c r="C1673" s="116">
        <v>2238.9499999999998</v>
      </c>
      <c r="D1673" s="116">
        <v>2190</v>
      </c>
      <c r="E1673" s="116">
        <v>2210</v>
      </c>
      <c r="F1673" s="116">
        <v>11194.75</v>
      </c>
      <c r="G1673">
        <v>9143</v>
      </c>
      <c r="H1673" s="116"/>
      <c r="I1673" s="116"/>
      <c r="L1673" s="163">
        <v>44468</v>
      </c>
      <c r="M1673" s="116">
        <v>2239.09</v>
      </c>
      <c r="N1673" s="116">
        <v>2251</v>
      </c>
      <c r="O1673" s="116">
        <v>2176.0300000000002</v>
      </c>
      <c r="P1673" s="116">
        <v>2206</v>
      </c>
      <c r="Q1673" s="116">
        <v>11195.45</v>
      </c>
      <c r="R1673">
        <v>316140</v>
      </c>
    </row>
    <row r="1674" spans="1:18" x14ac:dyDescent="0.25">
      <c r="A1674" s="163">
        <v>44469</v>
      </c>
      <c r="B1674" s="116">
        <v>2267.08</v>
      </c>
      <c r="C1674" s="116">
        <v>2257.14</v>
      </c>
      <c r="D1674" s="116">
        <v>2207.8000000000002</v>
      </c>
      <c r="E1674" s="116">
        <v>2240.4</v>
      </c>
      <c r="F1674" s="116">
        <v>11285.7</v>
      </c>
      <c r="G1674">
        <v>8670</v>
      </c>
      <c r="H1674" s="116"/>
      <c r="I1674" s="116"/>
      <c r="L1674" s="163">
        <v>44469</v>
      </c>
      <c r="M1674" s="116">
        <v>2255.8200000000002</v>
      </c>
      <c r="N1674" s="116">
        <v>2267.38</v>
      </c>
      <c r="O1674" s="116">
        <v>2207.31</v>
      </c>
      <c r="P1674" s="116">
        <v>2250</v>
      </c>
      <c r="Q1674" s="116">
        <v>11279.1</v>
      </c>
      <c r="R1674">
        <v>330005</v>
      </c>
    </row>
    <row r="1675" spans="1:18" x14ac:dyDescent="0.25">
      <c r="A1675" s="163">
        <v>44470</v>
      </c>
      <c r="B1675" s="116">
        <v>2262.09</v>
      </c>
      <c r="C1675" s="116">
        <v>2218.2800000000002</v>
      </c>
      <c r="D1675" s="116">
        <v>2199.59</v>
      </c>
      <c r="E1675" s="116">
        <v>2260.6</v>
      </c>
      <c r="F1675" s="116">
        <v>11091.4</v>
      </c>
      <c r="G1675">
        <v>15070</v>
      </c>
      <c r="H1675" s="116"/>
      <c r="I1675" s="116"/>
      <c r="L1675" s="163">
        <v>44470</v>
      </c>
      <c r="M1675" s="116">
        <v>2217.94</v>
      </c>
      <c r="N1675" s="116">
        <v>2265</v>
      </c>
      <c r="O1675" s="116">
        <v>2200</v>
      </c>
      <c r="P1675" s="116">
        <v>2265</v>
      </c>
      <c r="Q1675" s="116">
        <v>11089.7</v>
      </c>
      <c r="R1675">
        <v>277347</v>
      </c>
    </row>
    <row r="1676" spans="1:18" x14ac:dyDescent="0.25">
      <c r="A1676" s="163">
        <v>44473</v>
      </c>
      <c r="B1676" s="116">
        <v>2324.1</v>
      </c>
      <c r="C1676" s="116">
        <v>2311.42</v>
      </c>
      <c r="D1676" s="116">
        <v>2224.0100000000002</v>
      </c>
      <c r="E1676" s="116">
        <v>2232</v>
      </c>
      <c r="F1676" s="116">
        <v>11557.1</v>
      </c>
      <c r="G1676">
        <v>12505</v>
      </c>
      <c r="H1676" s="116"/>
      <c r="I1676" s="116"/>
      <c r="L1676" s="163">
        <v>44473</v>
      </c>
      <c r="M1676" s="116">
        <v>2311.4</v>
      </c>
      <c r="N1676" s="116">
        <v>2324.02</v>
      </c>
      <c r="O1676" s="116">
        <v>2223.46</v>
      </c>
      <c r="P1676" s="116">
        <v>2226.7399999999998</v>
      </c>
      <c r="Q1676" s="116">
        <v>11557</v>
      </c>
      <c r="R1676">
        <v>468220</v>
      </c>
    </row>
    <row r="1677" spans="1:18" x14ac:dyDescent="0.25">
      <c r="A1677" s="163">
        <v>44474</v>
      </c>
      <c r="B1677" s="116">
        <v>2338</v>
      </c>
      <c r="C1677" s="116">
        <v>2297.2800000000002</v>
      </c>
      <c r="D1677" s="116">
        <v>2290</v>
      </c>
      <c r="E1677" s="116">
        <v>2310</v>
      </c>
      <c r="F1677" s="116">
        <v>11486.4</v>
      </c>
      <c r="G1677">
        <v>11506</v>
      </c>
      <c r="H1677" s="116"/>
      <c r="I1677" s="116"/>
      <c r="L1677" s="163">
        <v>44474</v>
      </c>
      <c r="M1677" s="116">
        <v>2297.63</v>
      </c>
      <c r="N1677" s="116">
        <v>2338.48</v>
      </c>
      <c r="O1677" s="116">
        <v>2291</v>
      </c>
      <c r="P1677" s="116">
        <v>2315.6</v>
      </c>
      <c r="Q1677" s="116">
        <v>11488.15</v>
      </c>
      <c r="R1677">
        <v>302761</v>
      </c>
    </row>
    <row r="1678" spans="1:18" x14ac:dyDescent="0.25">
      <c r="A1678" s="163">
        <v>44475</v>
      </c>
      <c r="B1678" s="116">
        <v>2334.2399999999998</v>
      </c>
      <c r="C1678" s="116">
        <v>2280.58</v>
      </c>
      <c r="D1678" s="116">
        <v>2273.86</v>
      </c>
      <c r="E1678" s="116">
        <v>2320</v>
      </c>
      <c r="F1678" s="116">
        <v>11402.9</v>
      </c>
      <c r="G1678">
        <v>10286</v>
      </c>
      <c r="H1678" s="116"/>
      <c r="I1678" s="116"/>
      <c r="L1678" s="163">
        <v>44475</v>
      </c>
      <c r="M1678" s="116">
        <v>2279.86</v>
      </c>
      <c r="N1678" s="116">
        <v>2334</v>
      </c>
      <c r="O1678" s="116">
        <v>2273.3000000000002</v>
      </c>
      <c r="P1678" s="116">
        <v>2304.27</v>
      </c>
      <c r="Q1678" s="116">
        <v>11399.3</v>
      </c>
      <c r="R1678">
        <v>361454</v>
      </c>
    </row>
    <row r="1679" spans="1:18" x14ac:dyDescent="0.25">
      <c r="A1679" s="163">
        <v>44476</v>
      </c>
      <c r="B1679" s="116">
        <v>2337</v>
      </c>
      <c r="C1679" s="116">
        <v>2317.06</v>
      </c>
      <c r="D1679" s="116">
        <v>2291.25</v>
      </c>
      <c r="E1679" s="116">
        <v>2317.75</v>
      </c>
      <c r="F1679" s="116">
        <v>11585.3</v>
      </c>
      <c r="G1679">
        <v>9831</v>
      </c>
      <c r="H1679" s="116"/>
      <c r="I1679" s="116"/>
      <c r="L1679" s="163">
        <v>44476</v>
      </c>
      <c r="M1679" s="116">
        <v>2315.34</v>
      </c>
      <c r="N1679" s="116">
        <v>2338</v>
      </c>
      <c r="O1679" s="116">
        <v>2290.66</v>
      </c>
      <c r="P1679" s="116">
        <v>2301.64</v>
      </c>
      <c r="Q1679" s="116">
        <v>11576.7</v>
      </c>
      <c r="R1679">
        <v>237315</v>
      </c>
    </row>
    <row r="1680" spans="1:18" x14ac:dyDescent="0.25">
      <c r="A1680" s="163">
        <v>44477</v>
      </c>
      <c r="B1680" s="116">
        <v>2410</v>
      </c>
      <c r="C1680" s="116">
        <v>2388.48</v>
      </c>
      <c r="D1680" s="116">
        <v>2316</v>
      </c>
      <c r="E1680" s="116">
        <v>2321.9699999999998</v>
      </c>
      <c r="F1680" s="116">
        <v>11942.4</v>
      </c>
      <c r="G1680">
        <v>17319</v>
      </c>
      <c r="H1680" s="116"/>
      <c r="I1680" s="116"/>
      <c r="L1680" s="163">
        <v>44477</v>
      </c>
      <c r="M1680" s="116">
        <v>2388.7800000000002</v>
      </c>
      <c r="N1680" s="116">
        <v>2410</v>
      </c>
      <c r="O1680" s="116">
        <v>2315.42</v>
      </c>
      <c r="P1680" s="116">
        <v>2327.6</v>
      </c>
      <c r="Q1680" s="116">
        <v>11943.9</v>
      </c>
      <c r="R1680">
        <v>600093</v>
      </c>
    </row>
    <row r="1681" spans="1:18" x14ac:dyDescent="0.25">
      <c r="A1681" s="163">
        <v>44480</v>
      </c>
      <c r="B1681" s="116">
        <v>2504.44</v>
      </c>
      <c r="C1681" s="116">
        <v>2407.9499999999998</v>
      </c>
      <c r="D1681" s="116">
        <v>2388.7800000000002</v>
      </c>
      <c r="E1681" s="116">
        <v>2436</v>
      </c>
      <c r="F1681" s="116">
        <v>12039.75</v>
      </c>
      <c r="G1681">
        <v>24565</v>
      </c>
      <c r="H1681" s="116"/>
      <c r="I1681" s="116"/>
      <c r="L1681" s="163">
        <v>44480</v>
      </c>
      <c r="M1681" s="116">
        <v>2408.8000000000002</v>
      </c>
      <c r="N1681" s="116">
        <v>2504.7800000000002</v>
      </c>
      <c r="O1681" s="116">
        <v>2388.12</v>
      </c>
      <c r="P1681" s="116">
        <v>2415.7600000000002</v>
      </c>
      <c r="Q1681" s="116">
        <v>12044</v>
      </c>
      <c r="R1681">
        <v>554406</v>
      </c>
    </row>
    <row r="1682" spans="1:18" x14ac:dyDescent="0.25">
      <c r="A1682" s="163">
        <v>44481</v>
      </c>
      <c r="B1682" s="116">
        <v>2519.9899999999998</v>
      </c>
      <c r="C1682" s="116">
        <v>2489.98</v>
      </c>
      <c r="D1682" s="116">
        <v>2422.66</v>
      </c>
      <c r="E1682" s="116">
        <v>2445.8000000000002</v>
      </c>
      <c r="F1682" s="116">
        <v>12449.9</v>
      </c>
      <c r="G1682">
        <v>23774</v>
      </c>
      <c r="H1682" s="116"/>
      <c r="I1682" s="116"/>
      <c r="L1682" s="163">
        <v>44481</v>
      </c>
      <c r="M1682" s="116">
        <v>2491.37</v>
      </c>
      <c r="N1682" s="116">
        <v>2520</v>
      </c>
      <c r="O1682" s="116">
        <v>2420</v>
      </c>
      <c r="P1682" s="116">
        <v>2428</v>
      </c>
      <c r="Q1682" s="116">
        <v>12456.85</v>
      </c>
      <c r="R1682">
        <v>672819</v>
      </c>
    </row>
    <row r="1683" spans="1:18" x14ac:dyDescent="0.25">
      <c r="A1683" s="163">
        <v>44482</v>
      </c>
      <c r="B1683" s="116">
        <v>2544</v>
      </c>
      <c r="C1683" s="116">
        <v>2406</v>
      </c>
      <c r="D1683" s="116">
        <v>2400</v>
      </c>
      <c r="E1683" s="116">
        <v>2544</v>
      </c>
      <c r="F1683" s="116">
        <v>2406</v>
      </c>
      <c r="G1683">
        <v>107146</v>
      </c>
      <c r="H1683" s="116"/>
      <c r="I1683" s="116"/>
      <c r="L1683" s="163">
        <v>44482</v>
      </c>
      <c r="M1683" s="116">
        <v>2405.6</v>
      </c>
      <c r="N1683" s="116">
        <v>2538</v>
      </c>
      <c r="O1683" s="116">
        <v>2401</v>
      </c>
      <c r="P1683" s="116">
        <v>2538</v>
      </c>
      <c r="Q1683" s="116">
        <v>2405.6</v>
      </c>
      <c r="R1683">
        <v>1731530</v>
      </c>
    </row>
    <row r="1684" spans="1:18" x14ac:dyDescent="0.25">
      <c r="A1684" s="163">
        <v>44483</v>
      </c>
      <c r="B1684" s="116">
        <v>2458</v>
      </c>
      <c r="C1684" s="116">
        <v>2411.75</v>
      </c>
      <c r="D1684" s="116">
        <v>2403.0500000000002</v>
      </c>
      <c r="E1684" s="116">
        <v>2411</v>
      </c>
      <c r="F1684" s="116">
        <v>2411.75</v>
      </c>
      <c r="G1684">
        <v>100582</v>
      </c>
      <c r="H1684" s="116"/>
      <c r="I1684" s="116"/>
      <c r="L1684" s="163">
        <v>44483</v>
      </c>
      <c r="M1684" s="116">
        <v>2410.9</v>
      </c>
      <c r="N1684" s="116">
        <v>2458</v>
      </c>
      <c r="O1684" s="116">
        <v>2404</v>
      </c>
      <c r="P1684" s="116">
        <v>2424</v>
      </c>
      <c r="Q1684" s="116">
        <v>2410.9</v>
      </c>
      <c r="R1684">
        <v>769502</v>
      </c>
    </row>
    <row r="1685" spans="1:18" x14ac:dyDescent="0.25">
      <c r="A1685" s="163">
        <v>44487</v>
      </c>
      <c r="B1685" s="116">
        <v>2448</v>
      </c>
      <c r="C1685" s="116">
        <v>2332.3000000000002</v>
      </c>
      <c r="D1685" s="116">
        <v>2316.3000000000002</v>
      </c>
      <c r="E1685" s="116">
        <v>2448</v>
      </c>
      <c r="F1685" s="116">
        <v>2332.3000000000002</v>
      </c>
      <c r="G1685">
        <v>87834</v>
      </c>
      <c r="H1685" s="116"/>
      <c r="I1685" s="116"/>
      <c r="L1685" s="163">
        <v>44487</v>
      </c>
      <c r="M1685" s="116">
        <v>2333.3000000000002</v>
      </c>
      <c r="N1685" s="116">
        <v>2444.9499999999998</v>
      </c>
      <c r="O1685" s="116">
        <v>2327.85</v>
      </c>
      <c r="P1685" s="116">
        <v>2439.65</v>
      </c>
      <c r="Q1685" s="116">
        <v>2333.3000000000002</v>
      </c>
      <c r="R1685">
        <v>1018333</v>
      </c>
    </row>
    <row r="1686" spans="1:18" x14ac:dyDescent="0.25">
      <c r="A1686" s="163">
        <v>44488</v>
      </c>
      <c r="B1686" s="116">
        <v>2374.35</v>
      </c>
      <c r="C1686" s="116">
        <v>2309.15</v>
      </c>
      <c r="D1686" s="116">
        <v>2297</v>
      </c>
      <c r="E1686" s="116">
        <v>2335</v>
      </c>
      <c r="F1686" s="116">
        <v>2309.15</v>
      </c>
      <c r="G1686">
        <v>36478</v>
      </c>
      <c r="H1686" s="116"/>
      <c r="I1686" s="116"/>
      <c r="L1686" s="163">
        <v>44488</v>
      </c>
      <c r="M1686" s="116">
        <v>2307.65</v>
      </c>
      <c r="N1686" s="116">
        <v>2374</v>
      </c>
      <c r="O1686" s="116">
        <v>2295</v>
      </c>
      <c r="P1686" s="116">
        <v>2337.8000000000002</v>
      </c>
      <c r="Q1686" s="116">
        <v>2307.65</v>
      </c>
      <c r="R1686">
        <v>825693</v>
      </c>
    </row>
    <row r="1687" spans="1:18" x14ac:dyDescent="0.25">
      <c r="A1687" s="163">
        <v>44489</v>
      </c>
      <c r="B1687" s="116">
        <v>2309.15</v>
      </c>
      <c r="C1687" s="116">
        <v>2209.0500000000002</v>
      </c>
      <c r="D1687" s="116">
        <v>2177</v>
      </c>
      <c r="E1687" s="116">
        <v>2309.15</v>
      </c>
      <c r="F1687" s="116">
        <v>2209.0500000000002</v>
      </c>
      <c r="G1687">
        <v>130815</v>
      </c>
      <c r="H1687" s="116"/>
      <c r="I1687" s="116"/>
      <c r="L1687" s="163">
        <v>44489</v>
      </c>
      <c r="M1687" s="116">
        <v>2209.1</v>
      </c>
      <c r="N1687" s="116">
        <v>2303</v>
      </c>
      <c r="O1687" s="116">
        <v>2175.65</v>
      </c>
      <c r="P1687" s="116">
        <v>2301</v>
      </c>
      <c r="Q1687" s="116">
        <v>2209.1</v>
      </c>
      <c r="R1687">
        <v>1691384</v>
      </c>
    </row>
    <row r="1688" spans="1:18" x14ac:dyDescent="0.25">
      <c r="A1688" s="163">
        <v>44490</v>
      </c>
      <c r="B1688" s="116">
        <v>2278.3000000000002</v>
      </c>
      <c r="C1688" s="116">
        <v>2270</v>
      </c>
      <c r="D1688" s="116">
        <v>2177.5</v>
      </c>
      <c r="E1688" s="116">
        <v>2210</v>
      </c>
      <c r="F1688" s="116">
        <v>2270</v>
      </c>
      <c r="G1688">
        <v>48367</v>
      </c>
      <c r="H1688" s="116"/>
      <c r="I1688" s="116"/>
      <c r="L1688" s="163">
        <v>44490</v>
      </c>
      <c r="M1688" s="116">
        <v>2268.85</v>
      </c>
      <c r="N1688" s="116">
        <v>2278</v>
      </c>
      <c r="O1688" s="116">
        <v>2176</v>
      </c>
      <c r="P1688" s="116">
        <v>2223</v>
      </c>
      <c r="Q1688" s="116">
        <v>2268.85</v>
      </c>
      <c r="R1688">
        <v>1309633</v>
      </c>
    </row>
    <row r="1689" spans="1:18" x14ac:dyDescent="0.25">
      <c r="A1689" s="163">
        <v>44491</v>
      </c>
      <c r="B1689" s="116">
        <v>2324.75</v>
      </c>
      <c r="C1689" s="116">
        <v>2219.15</v>
      </c>
      <c r="D1689" s="116">
        <v>2207</v>
      </c>
      <c r="E1689" s="116">
        <v>2290</v>
      </c>
      <c r="F1689" s="116">
        <v>2219.15</v>
      </c>
      <c r="G1689">
        <v>112423</v>
      </c>
      <c r="H1689" s="116"/>
      <c r="I1689" s="116"/>
      <c r="L1689" s="163">
        <v>44491</v>
      </c>
      <c r="M1689" s="116">
        <v>2217.5500000000002</v>
      </c>
      <c r="N1689" s="116">
        <v>2325</v>
      </c>
      <c r="O1689" s="116">
        <v>2206</v>
      </c>
      <c r="P1689" s="116">
        <v>2277.1</v>
      </c>
      <c r="Q1689" s="116">
        <v>2217.5500000000002</v>
      </c>
      <c r="R1689">
        <v>896101</v>
      </c>
    </row>
    <row r="1690" spans="1:18" x14ac:dyDescent="0.25">
      <c r="A1690" s="163">
        <v>44494</v>
      </c>
      <c r="B1690" s="116">
        <v>2254.0500000000002</v>
      </c>
      <c r="C1690" s="116">
        <v>2101.75</v>
      </c>
      <c r="D1690" s="116">
        <v>2090</v>
      </c>
      <c r="E1690" s="116">
        <v>2245</v>
      </c>
      <c r="F1690" s="116">
        <v>2101.75</v>
      </c>
      <c r="G1690">
        <v>130680</v>
      </c>
      <c r="H1690" s="116"/>
      <c r="I1690" s="116"/>
      <c r="L1690" s="163">
        <v>44494</v>
      </c>
      <c r="M1690" s="116">
        <v>2101.5</v>
      </c>
      <c r="N1690" s="116">
        <v>2257.6999999999998</v>
      </c>
      <c r="O1690" s="116">
        <v>2079.9499999999998</v>
      </c>
      <c r="P1690" s="116">
        <v>2230</v>
      </c>
      <c r="Q1690" s="116">
        <v>2101.5</v>
      </c>
      <c r="R1690">
        <v>2013324</v>
      </c>
    </row>
    <row r="1691" spans="1:18" x14ac:dyDescent="0.25">
      <c r="A1691" s="163">
        <v>44495</v>
      </c>
      <c r="B1691" s="116">
        <v>2170.5500000000002</v>
      </c>
      <c r="C1691" s="116">
        <v>2111.4</v>
      </c>
      <c r="D1691" s="116">
        <v>2060</v>
      </c>
      <c r="E1691" s="116">
        <v>2060</v>
      </c>
      <c r="F1691" s="116">
        <v>2111.4</v>
      </c>
      <c r="G1691">
        <v>93162</v>
      </c>
      <c r="H1691" s="116"/>
      <c r="I1691" s="116"/>
      <c r="L1691" s="163">
        <v>44495</v>
      </c>
      <c r="M1691" s="116">
        <v>2110.6</v>
      </c>
      <c r="N1691" s="116">
        <v>2171.9499999999998</v>
      </c>
      <c r="O1691" s="116">
        <v>2065</v>
      </c>
      <c r="P1691" s="116">
        <v>2069.4499999999998</v>
      </c>
      <c r="Q1691" s="116">
        <v>2110.6</v>
      </c>
      <c r="R1691">
        <v>1925640</v>
      </c>
    </row>
    <row r="1692" spans="1:18" x14ac:dyDescent="0.25">
      <c r="A1692" s="163">
        <v>44496</v>
      </c>
      <c r="B1692" s="116">
        <v>2159.9</v>
      </c>
      <c r="C1692" s="116">
        <v>2143.6999999999998</v>
      </c>
      <c r="D1692" s="116">
        <v>2101</v>
      </c>
      <c r="E1692" s="116">
        <v>2111.35</v>
      </c>
      <c r="F1692" s="116">
        <v>2143.6999999999998</v>
      </c>
      <c r="G1692">
        <v>48015</v>
      </c>
      <c r="H1692" s="116"/>
      <c r="I1692" s="116"/>
      <c r="L1692" s="163">
        <v>44496</v>
      </c>
      <c r="M1692" s="116">
        <v>2144.8000000000002</v>
      </c>
      <c r="N1692" s="116">
        <v>2160</v>
      </c>
      <c r="O1692" s="116">
        <v>2102.15</v>
      </c>
      <c r="P1692" s="116">
        <v>2115</v>
      </c>
      <c r="Q1692" s="116">
        <v>2144.8000000000002</v>
      </c>
      <c r="R1692">
        <v>1690899</v>
      </c>
    </row>
    <row r="1693" spans="1:18" x14ac:dyDescent="0.25">
      <c r="A1693" s="163">
        <v>44497</v>
      </c>
      <c r="B1693" s="116">
        <v>2166.25</v>
      </c>
      <c r="C1693" s="116">
        <v>2119.9499999999998</v>
      </c>
      <c r="D1693" s="116">
        <v>2110</v>
      </c>
      <c r="E1693" s="116">
        <v>2158</v>
      </c>
      <c r="F1693" s="116">
        <v>2119.9499999999998</v>
      </c>
      <c r="G1693">
        <v>25587</v>
      </c>
      <c r="H1693" s="116"/>
      <c r="I1693" s="116"/>
      <c r="L1693" s="163">
        <v>44497</v>
      </c>
      <c r="M1693" s="116">
        <v>2120.1999999999998</v>
      </c>
      <c r="N1693" s="116">
        <v>2170</v>
      </c>
      <c r="O1693" s="116">
        <v>2109.1999999999998</v>
      </c>
      <c r="P1693" s="116">
        <v>2155.5500000000002</v>
      </c>
      <c r="Q1693" s="116">
        <v>2120.1999999999998</v>
      </c>
      <c r="R1693">
        <v>1291921</v>
      </c>
    </row>
    <row r="1694" spans="1:18" x14ac:dyDescent="0.25">
      <c r="A1694" s="163">
        <v>44498</v>
      </c>
      <c r="B1694" s="116">
        <v>2167.5</v>
      </c>
      <c r="C1694" s="116">
        <v>2117.5500000000002</v>
      </c>
      <c r="D1694" s="116">
        <v>2088.1999999999998</v>
      </c>
      <c r="E1694" s="116">
        <v>2135</v>
      </c>
      <c r="F1694" s="116">
        <v>2117.5500000000002</v>
      </c>
      <c r="G1694">
        <v>138917</v>
      </c>
      <c r="H1694" s="116"/>
      <c r="I1694" s="116"/>
      <c r="L1694" s="163">
        <v>44498</v>
      </c>
      <c r="M1694" s="116">
        <v>2117.3000000000002</v>
      </c>
      <c r="N1694" s="116">
        <v>2169</v>
      </c>
      <c r="O1694" s="116">
        <v>2087.1</v>
      </c>
      <c r="P1694" s="116">
        <v>2120</v>
      </c>
      <c r="Q1694" s="116">
        <v>2117.3000000000002</v>
      </c>
      <c r="R1694">
        <v>1218461</v>
      </c>
    </row>
    <row r="1695" spans="1:18" x14ac:dyDescent="0.25">
      <c r="A1695" s="163">
        <v>44501</v>
      </c>
      <c r="B1695" s="116">
        <v>2143.6999999999998</v>
      </c>
      <c r="C1695" s="116">
        <v>2123.3000000000002</v>
      </c>
      <c r="D1695" s="116">
        <v>2079.3000000000002</v>
      </c>
      <c r="E1695" s="116">
        <v>2115.1</v>
      </c>
      <c r="F1695" s="116">
        <v>2123.3000000000002</v>
      </c>
      <c r="G1695">
        <v>35728</v>
      </c>
      <c r="H1695" s="116"/>
      <c r="I1695" s="116"/>
      <c r="L1695" s="163">
        <v>44501</v>
      </c>
      <c r="M1695" s="116">
        <v>2122.1</v>
      </c>
      <c r="N1695" s="116">
        <v>2142.65</v>
      </c>
      <c r="O1695" s="116">
        <v>2080</v>
      </c>
      <c r="P1695" s="116">
        <v>2130</v>
      </c>
      <c r="Q1695" s="116">
        <v>2122.1</v>
      </c>
      <c r="R1695">
        <v>953721</v>
      </c>
    </row>
    <row r="1696" spans="1:18" x14ac:dyDescent="0.25">
      <c r="A1696" s="163">
        <v>44502</v>
      </c>
      <c r="B1696" s="116">
        <v>2142</v>
      </c>
      <c r="C1696" s="116">
        <v>2109.6999999999998</v>
      </c>
      <c r="D1696" s="116">
        <v>2098.15</v>
      </c>
      <c r="E1696" s="116">
        <v>2142</v>
      </c>
      <c r="F1696" s="116">
        <v>2109.6999999999998</v>
      </c>
      <c r="G1696">
        <v>89918</v>
      </c>
      <c r="H1696" s="116"/>
      <c r="I1696" s="116"/>
      <c r="L1696" s="163">
        <v>44502</v>
      </c>
      <c r="M1696" s="116">
        <v>2110.65</v>
      </c>
      <c r="N1696" s="116">
        <v>2140.5</v>
      </c>
      <c r="O1696" s="116">
        <v>2097.0500000000002</v>
      </c>
      <c r="P1696" s="116">
        <v>2140.5</v>
      </c>
      <c r="Q1696" s="116">
        <v>2110.65</v>
      </c>
      <c r="R1696">
        <v>614345</v>
      </c>
    </row>
    <row r="1697" spans="1:18" x14ac:dyDescent="0.25">
      <c r="A1697" s="163">
        <v>44503</v>
      </c>
      <c r="B1697" s="116">
        <v>2128.9</v>
      </c>
      <c r="C1697" s="116">
        <v>2079</v>
      </c>
      <c r="D1697" s="116">
        <v>2056.35</v>
      </c>
      <c r="E1697" s="116">
        <v>2116.9499999999998</v>
      </c>
      <c r="F1697" s="116">
        <v>2079</v>
      </c>
      <c r="G1697">
        <v>17462</v>
      </c>
      <c r="H1697" s="116"/>
      <c r="I1697" s="116"/>
      <c r="L1697" s="163">
        <v>44503</v>
      </c>
      <c r="M1697" s="116">
        <v>2080.1</v>
      </c>
      <c r="N1697" s="116">
        <v>2128.4499999999998</v>
      </c>
      <c r="O1697" s="116">
        <v>2056</v>
      </c>
      <c r="P1697" s="116">
        <v>2118</v>
      </c>
      <c r="Q1697" s="116">
        <v>2080.1</v>
      </c>
      <c r="R1697">
        <v>791011</v>
      </c>
    </row>
    <row r="1698" spans="1:18" x14ac:dyDescent="0.25">
      <c r="A1698" s="163">
        <v>44504</v>
      </c>
      <c r="B1698" s="116">
        <v>2110</v>
      </c>
      <c r="C1698" s="116">
        <v>2100.15</v>
      </c>
      <c r="D1698" s="116">
        <v>2090</v>
      </c>
      <c r="E1698" s="116">
        <v>2110</v>
      </c>
      <c r="F1698" s="116">
        <v>2100.15</v>
      </c>
      <c r="G1698">
        <v>6707</v>
      </c>
      <c r="H1698" s="116"/>
      <c r="I1698" s="116"/>
      <c r="L1698" s="163">
        <v>44504</v>
      </c>
      <c r="M1698" s="116">
        <v>2099.25</v>
      </c>
      <c r="N1698" s="116">
        <v>2106.35</v>
      </c>
      <c r="O1698" s="116">
        <v>2087.65</v>
      </c>
      <c r="P1698" s="116">
        <v>2095</v>
      </c>
      <c r="Q1698" s="116">
        <v>2099.25</v>
      </c>
      <c r="R1698">
        <v>79875</v>
      </c>
    </row>
    <row r="1699" spans="1:18" x14ac:dyDescent="0.25">
      <c r="A1699" s="163">
        <v>44508</v>
      </c>
      <c r="B1699" s="116">
        <v>2140.4</v>
      </c>
      <c r="C1699" s="116">
        <v>2126.1999999999998</v>
      </c>
      <c r="D1699" s="116">
        <v>2073.65</v>
      </c>
      <c r="E1699" s="116">
        <v>2092</v>
      </c>
      <c r="F1699" s="116">
        <v>2126.1999999999998</v>
      </c>
      <c r="G1699">
        <v>33293</v>
      </c>
      <c r="H1699" s="116"/>
      <c r="I1699" s="116"/>
      <c r="L1699" s="163">
        <v>44508</v>
      </c>
      <c r="M1699" s="116">
        <v>2127.5500000000002</v>
      </c>
      <c r="N1699" s="116">
        <v>2142</v>
      </c>
      <c r="O1699" s="116">
        <v>2072.9</v>
      </c>
      <c r="P1699" s="116">
        <v>2100</v>
      </c>
      <c r="Q1699" s="116">
        <v>2127.5500000000002</v>
      </c>
      <c r="R1699">
        <v>1074704</v>
      </c>
    </row>
    <row r="1700" spans="1:18" x14ac:dyDescent="0.25">
      <c r="A1700" s="163">
        <v>44509</v>
      </c>
      <c r="B1700" s="116">
        <v>2228.3000000000002</v>
      </c>
      <c r="C1700" s="116">
        <v>2170.75</v>
      </c>
      <c r="D1700" s="116">
        <v>2149</v>
      </c>
      <c r="E1700" s="116">
        <v>2163.0500000000002</v>
      </c>
      <c r="F1700" s="116">
        <v>2170.75</v>
      </c>
      <c r="G1700">
        <v>73796</v>
      </c>
      <c r="H1700" s="116"/>
      <c r="I1700" s="116"/>
      <c r="L1700" s="163">
        <v>44509</v>
      </c>
      <c r="M1700" s="116">
        <v>2172.4499999999998</v>
      </c>
      <c r="N1700" s="116">
        <v>2227</v>
      </c>
      <c r="O1700" s="116">
        <v>2145.9499999999998</v>
      </c>
      <c r="P1700" s="116">
        <v>2148</v>
      </c>
      <c r="Q1700" s="116">
        <v>2172.4499999999998</v>
      </c>
      <c r="R1700">
        <v>1688961</v>
      </c>
    </row>
    <row r="1701" spans="1:18" x14ac:dyDescent="0.25">
      <c r="A1701" s="163">
        <v>44510</v>
      </c>
      <c r="B1701" s="116">
        <v>2171.8000000000002</v>
      </c>
      <c r="C1701" s="116">
        <v>2146.1999999999998</v>
      </c>
      <c r="D1701" s="116">
        <v>2126.1</v>
      </c>
      <c r="E1701" s="116">
        <v>2170.6999999999998</v>
      </c>
      <c r="F1701" s="116">
        <v>2146.1999999999998</v>
      </c>
      <c r="G1701">
        <v>16412</v>
      </c>
      <c r="H1701" s="116"/>
      <c r="I1701" s="116"/>
      <c r="L1701" s="163">
        <v>44510</v>
      </c>
      <c r="M1701" s="116">
        <v>2146.6</v>
      </c>
      <c r="N1701" s="116">
        <v>2175</v>
      </c>
      <c r="O1701" s="116">
        <v>2125.0500000000002</v>
      </c>
      <c r="P1701" s="116">
        <v>2175</v>
      </c>
      <c r="Q1701" s="116">
        <v>2146.6</v>
      </c>
      <c r="R1701">
        <v>629894</v>
      </c>
    </row>
    <row r="1702" spans="1:18" x14ac:dyDescent="0.25">
      <c r="A1702" s="163">
        <v>44511</v>
      </c>
      <c r="B1702" s="116">
        <v>2155</v>
      </c>
      <c r="C1702" s="116">
        <v>2123.25</v>
      </c>
      <c r="D1702" s="116">
        <v>2100.25</v>
      </c>
      <c r="E1702" s="116">
        <v>2146.1999999999998</v>
      </c>
      <c r="F1702" s="116">
        <v>2123.25</v>
      </c>
      <c r="G1702">
        <v>14144</v>
      </c>
      <c r="H1702" s="116"/>
      <c r="I1702" s="116"/>
      <c r="L1702" s="163">
        <v>44511</v>
      </c>
      <c r="M1702" s="116">
        <v>2125.6</v>
      </c>
      <c r="N1702" s="116">
        <v>2157</v>
      </c>
      <c r="O1702" s="116">
        <v>2100.1</v>
      </c>
      <c r="P1702" s="116">
        <v>2157</v>
      </c>
      <c r="Q1702" s="116">
        <v>2125.6</v>
      </c>
      <c r="R1702">
        <v>635400</v>
      </c>
    </row>
    <row r="1703" spans="1:18" x14ac:dyDescent="0.25">
      <c r="A1703" s="163">
        <v>44512</v>
      </c>
      <c r="B1703" s="116">
        <v>2204.3000000000002</v>
      </c>
      <c r="C1703" s="116">
        <v>2154.4499999999998</v>
      </c>
      <c r="D1703" s="116">
        <v>2125.85</v>
      </c>
      <c r="E1703" s="116">
        <v>2150</v>
      </c>
      <c r="F1703" s="116">
        <v>2154.4499999999998</v>
      </c>
      <c r="G1703">
        <v>52094</v>
      </c>
      <c r="H1703" s="116"/>
      <c r="I1703" s="116"/>
      <c r="L1703" s="163">
        <v>44512</v>
      </c>
      <c r="M1703" s="116">
        <v>2154.9</v>
      </c>
      <c r="N1703" s="116">
        <v>2207.4</v>
      </c>
      <c r="O1703" s="116">
        <v>2125.0500000000002</v>
      </c>
      <c r="P1703" s="116">
        <v>2159</v>
      </c>
      <c r="Q1703" s="116">
        <v>2154.9</v>
      </c>
      <c r="R1703">
        <v>1747671</v>
      </c>
    </row>
    <row r="1704" spans="1:18" x14ac:dyDescent="0.25">
      <c r="A1704" s="163">
        <v>44515</v>
      </c>
      <c r="B1704" s="116">
        <v>2203.9</v>
      </c>
      <c r="C1704" s="116">
        <v>2192.4499999999998</v>
      </c>
      <c r="D1704" s="116">
        <v>2159.8000000000002</v>
      </c>
      <c r="E1704" s="116">
        <v>2159.8000000000002</v>
      </c>
      <c r="F1704" s="116">
        <v>2192.4499999999998</v>
      </c>
      <c r="G1704">
        <v>27744</v>
      </c>
      <c r="H1704" s="116"/>
      <c r="I1704" s="116"/>
      <c r="L1704" s="163">
        <v>44515</v>
      </c>
      <c r="M1704" s="116">
        <v>2192.9</v>
      </c>
      <c r="N1704" s="116">
        <v>2204.65</v>
      </c>
      <c r="O1704" s="116">
        <v>2165.1999999999998</v>
      </c>
      <c r="P1704" s="116">
        <v>2174.9</v>
      </c>
      <c r="Q1704" s="116">
        <v>2192.9</v>
      </c>
      <c r="R1704">
        <v>1026161</v>
      </c>
    </row>
    <row r="1705" spans="1:18" x14ac:dyDescent="0.25">
      <c r="A1705" s="163">
        <v>44516</v>
      </c>
      <c r="B1705" s="116">
        <v>2217.4499999999998</v>
      </c>
      <c r="C1705" s="116">
        <v>2192.8000000000002</v>
      </c>
      <c r="D1705" s="116">
        <v>2177</v>
      </c>
      <c r="E1705" s="116">
        <v>2217.4499999999998</v>
      </c>
      <c r="F1705" s="116">
        <v>2192.8000000000002</v>
      </c>
      <c r="G1705">
        <v>24001</v>
      </c>
      <c r="H1705" s="116"/>
      <c r="I1705" s="116"/>
      <c r="L1705" s="163">
        <v>44516</v>
      </c>
      <c r="M1705" s="116">
        <v>2190</v>
      </c>
      <c r="N1705" s="116">
        <v>2213.85</v>
      </c>
      <c r="O1705" s="116">
        <v>2176.85</v>
      </c>
      <c r="P1705" s="116">
        <v>2204</v>
      </c>
      <c r="Q1705" s="116">
        <v>2190</v>
      </c>
      <c r="R1705">
        <v>986146</v>
      </c>
    </row>
    <row r="1706" spans="1:18" x14ac:dyDescent="0.25">
      <c r="A1706" s="163">
        <v>44517</v>
      </c>
      <c r="B1706" s="116">
        <v>2200.85</v>
      </c>
      <c r="C1706" s="116">
        <v>2158.9499999999998</v>
      </c>
      <c r="D1706" s="116">
        <v>2146.85</v>
      </c>
      <c r="E1706" s="116">
        <v>2184</v>
      </c>
      <c r="F1706" s="116">
        <v>2158.9499999999998</v>
      </c>
      <c r="G1706">
        <v>93968</v>
      </c>
      <c r="H1706" s="116"/>
      <c r="I1706" s="116"/>
      <c r="L1706" s="163">
        <v>44517</v>
      </c>
      <c r="M1706" s="116">
        <v>2157.5500000000002</v>
      </c>
      <c r="N1706" s="116">
        <v>2200.9499999999998</v>
      </c>
      <c r="O1706" s="116">
        <v>2144.25</v>
      </c>
      <c r="P1706" s="116">
        <v>2183</v>
      </c>
      <c r="Q1706" s="116">
        <v>2157.5500000000002</v>
      </c>
      <c r="R1706">
        <v>869570</v>
      </c>
    </row>
    <row r="1707" spans="1:18" x14ac:dyDescent="0.25">
      <c r="A1707" s="163">
        <v>44518</v>
      </c>
      <c r="B1707" s="116">
        <v>2244.15</v>
      </c>
      <c r="C1707" s="116">
        <v>2187.5</v>
      </c>
      <c r="D1707" s="116">
        <v>2157.5500000000002</v>
      </c>
      <c r="E1707" s="116">
        <v>2174</v>
      </c>
      <c r="F1707" s="116">
        <v>2187.5</v>
      </c>
      <c r="G1707">
        <v>134191</v>
      </c>
      <c r="H1707" s="116"/>
      <c r="I1707" s="116"/>
      <c r="L1707" s="163">
        <v>44518</v>
      </c>
      <c r="M1707" s="116">
        <v>2187.9</v>
      </c>
      <c r="N1707" s="116">
        <v>2244.6999999999998</v>
      </c>
      <c r="O1707" s="116">
        <v>2154.0500000000002</v>
      </c>
      <c r="P1707" s="116">
        <v>2159</v>
      </c>
      <c r="Q1707" s="116">
        <v>2187.9</v>
      </c>
      <c r="R1707">
        <v>1984968</v>
      </c>
    </row>
    <row r="1708" spans="1:18" x14ac:dyDescent="0.25">
      <c r="A1708" s="163">
        <v>44522</v>
      </c>
      <c r="B1708" s="116">
        <v>2215.0500000000002</v>
      </c>
      <c r="C1708" s="116">
        <v>2095.1</v>
      </c>
      <c r="D1708" s="116">
        <v>2045.7</v>
      </c>
      <c r="E1708" s="116">
        <v>2205.25</v>
      </c>
      <c r="F1708" s="116">
        <v>2095.1</v>
      </c>
      <c r="G1708">
        <v>95207</v>
      </c>
      <c r="H1708" s="116"/>
      <c r="I1708" s="116"/>
      <c r="L1708" s="163">
        <v>44522</v>
      </c>
      <c r="M1708" s="116">
        <v>2093.9</v>
      </c>
      <c r="N1708" s="116">
        <v>2215</v>
      </c>
      <c r="O1708" s="116">
        <v>2043.9</v>
      </c>
      <c r="P1708" s="116">
        <v>2215</v>
      </c>
      <c r="Q1708" s="116">
        <v>2093.9</v>
      </c>
      <c r="R1708">
        <v>2459397</v>
      </c>
    </row>
    <row r="1709" spans="1:18" x14ac:dyDescent="0.25">
      <c r="A1709" s="163">
        <v>44523</v>
      </c>
      <c r="B1709" s="116">
        <v>2216.75</v>
      </c>
      <c r="C1709" s="116">
        <v>2191.75</v>
      </c>
      <c r="D1709" s="116">
        <v>2045.8</v>
      </c>
      <c r="E1709" s="116">
        <v>2081</v>
      </c>
      <c r="F1709" s="116">
        <v>2191.75</v>
      </c>
      <c r="G1709">
        <v>105543</v>
      </c>
      <c r="H1709" s="116"/>
      <c r="I1709" s="116"/>
      <c r="L1709" s="163">
        <v>44523</v>
      </c>
      <c r="M1709" s="116">
        <v>2191.6999999999998</v>
      </c>
      <c r="N1709" s="116">
        <v>2217.15</v>
      </c>
      <c r="O1709" s="116">
        <v>2042.8</v>
      </c>
      <c r="P1709" s="116">
        <v>2090</v>
      </c>
      <c r="Q1709" s="116">
        <v>2191.6999999999998</v>
      </c>
      <c r="R1709">
        <v>2245983</v>
      </c>
    </row>
    <row r="1710" spans="1:18" x14ac:dyDescent="0.25">
      <c r="A1710" s="163">
        <v>44524</v>
      </c>
      <c r="B1710" s="116">
        <v>2250</v>
      </c>
      <c r="C1710" s="116">
        <v>2142.65</v>
      </c>
      <c r="D1710" s="116">
        <v>2112.9499999999998</v>
      </c>
      <c r="E1710" s="116">
        <v>2200</v>
      </c>
      <c r="F1710" s="116">
        <v>2142.65</v>
      </c>
      <c r="G1710">
        <v>93406</v>
      </c>
      <c r="H1710" s="116"/>
      <c r="I1710" s="116"/>
      <c r="L1710" s="163">
        <v>44524</v>
      </c>
      <c r="M1710" s="116">
        <v>2140.5500000000002</v>
      </c>
      <c r="N1710" s="116">
        <v>2249.9499999999998</v>
      </c>
      <c r="O1710" s="116">
        <v>2113.65</v>
      </c>
      <c r="P1710" s="116">
        <v>2209</v>
      </c>
      <c r="Q1710" s="116">
        <v>2140.5500000000002</v>
      </c>
      <c r="R1710">
        <v>1886355</v>
      </c>
    </row>
    <row r="1711" spans="1:18" x14ac:dyDescent="0.25">
      <c r="A1711" s="163">
        <v>44525</v>
      </c>
      <c r="B1711" s="116">
        <v>2198.1</v>
      </c>
      <c r="C1711" s="116">
        <v>2181.9</v>
      </c>
      <c r="D1711" s="116">
        <v>2131.8000000000002</v>
      </c>
      <c r="E1711" s="116">
        <v>2137.9</v>
      </c>
      <c r="F1711" s="116">
        <v>2181.9</v>
      </c>
      <c r="G1711">
        <v>107251</v>
      </c>
      <c r="H1711" s="116"/>
      <c r="I1711" s="116"/>
      <c r="L1711" s="163">
        <v>44525</v>
      </c>
      <c r="M1711" s="116">
        <v>2184.8000000000002</v>
      </c>
      <c r="N1711" s="116">
        <v>2198.25</v>
      </c>
      <c r="O1711" s="116">
        <v>2132.0500000000002</v>
      </c>
      <c r="P1711" s="116">
        <v>2140.5500000000002</v>
      </c>
      <c r="Q1711" s="116">
        <v>2184.8000000000002</v>
      </c>
      <c r="R1711">
        <v>1755041</v>
      </c>
    </row>
    <row r="1712" spans="1:18" x14ac:dyDescent="0.25">
      <c r="A1712" s="163">
        <v>44526</v>
      </c>
      <c r="B1712" s="116">
        <v>2175.1</v>
      </c>
      <c r="C1712" s="116">
        <v>2089.5</v>
      </c>
      <c r="D1712" s="116">
        <v>2080</v>
      </c>
      <c r="E1712" s="116">
        <v>2175.1</v>
      </c>
      <c r="F1712" s="116">
        <v>2089.5</v>
      </c>
      <c r="G1712">
        <v>56609</v>
      </c>
      <c r="H1712" s="116"/>
      <c r="I1712" s="116"/>
      <c r="L1712" s="163">
        <v>44526</v>
      </c>
      <c r="M1712" s="116">
        <v>2091.0500000000002</v>
      </c>
      <c r="N1712" s="116">
        <v>2160</v>
      </c>
      <c r="O1712" s="116">
        <v>2080.6</v>
      </c>
      <c r="P1712" s="116">
        <v>2160</v>
      </c>
      <c r="Q1712" s="116">
        <v>2091.0500000000002</v>
      </c>
      <c r="R1712">
        <v>855393</v>
      </c>
    </row>
    <row r="1713" spans="1:18" x14ac:dyDescent="0.25">
      <c r="A1713" s="163">
        <v>44529</v>
      </c>
      <c r="B1713" s="116">
        <v>2087.3000000000002</v>
      </c>
      <c r="C1713" s="116">
        <v>2053.6</v>
      </c>
      <c r="D1713" s="116">
        <v>1975</v>
      </c>
      <c r="E1713" s="116">
        <v>2080</v>
      </c>
      <c r="F1713" s="116">
        <v>2053.6</v>
      </c>
      <c r="G1713">
        <v>60007</v>
      </c>
      <c r="H1713" s="116"/>
      <c r="I1713" s="116"/>
      <c r="L1713" s="163">
        <v>44529</v>
      </c>
      <c r="M1713" s="116">
        <v>2056.1999999999998</v>
      </c>
      <c r="N1713" s="116">
        <v>2086.8000000000002</v>
      </c>
      <c r="O1713" s="116">
        <v>1973.1</v>
      </c>
      <c r="P1713" s="116">
        <v>2055</v>
      </c>
      <c r="Q1713" s="116">
        <v>2056.1999999999998</v>
      </c>
      <c r="R1713">
        <v>1362057</v>
      </c>
    </row>
    <row r="1714" spans="1:18" x14ac:dyDescent="0.25">
      <c r="A1714" s="163">
        <v>44530</v>
      </c>
      <c r="B1714" s="116">
        <v>2173.9499999999998</v>
      </c>
      <c r="C1714" s="116">
        <v>2017.4</v>
      </c>
      <c r="D1714" s="116">
        <v>1979.65</v>
      </c>
      <c r="E1714" s="116">
        <v>2065</v>
      </c>
      <c r="F1714" s="116">
        <v>2017.4</v>
      </c>
      <c r="G1714">
        <v>146969</v>
      </c>
      <c r="H1714" s="116"/>
      <c r="I1714" s="116"/>
      <c r="L1714" s="163">
        <v>44530</v>
      </c>
      <c r="M1714" s="116">
        <v>2005.85</v>
      </c>
      <c r="N1714" s="116">
        <v>2172.4499999999998</v>
      </c>
      <c r="O1714" s="116">
        <v>1977.45</v>
      </c>
      <c r="P1714" s="116">
        <v>2079</v>
      </c>
      <c r="Q1714" s="116">
        <v>2005.85</v>
      </c>
      <c r="R1714">
        <v>19073002</v>
      </c>
    </row>
    <row r="1715" spans="1:18" x14ac:dyDescent="0.25">
      <c r="A1715" s="163">
        <v>44531</v>
      </c>
      <c r="B1715" s="116">
        <v>2098.5</v>
      </c>
      <c r="C1715" s="116">
        <v>2015.9</v>
      </c>
      <c r="D1715" s="116">
        <v>1994.05</v>
      </c>
      <c r="E1715" s="116">
        <v>2050</v>
      </c>
      <c r="F1715" s="116">
        <v>2015.9</v>
      </c>
      <c r="G1715">
        <v>91848</v>
      </c>
      <c r="H1715" s="116"/>
      <c r="I1715" s="116"/>
      <c r="L1715" s="163">
        <v>44531</v>
      </c>
      <c r="M1715" s="116">
        <v>2016.7</v>
      </c>
      <c r="N1715" s="116">
        <v>2098.0500000000002</v>
      </c>
      <c r="O1715" s="116">
        <v>1994</v>
      </c>
      <c r="P1715" s="116">
        <v>2032.55</v>
      </c>
      <c r="Q1715" s="116">
        <v>2016.7</v>
      </c>
      <c r="R1715">
        <v>1502267</v>
      </c>
    </row>
    <row r="1716" spans="1:18" x14ac:dyDescent="0.25">
      <c r="A1716" s="163">
        <v>44532</v>
      </c>
      <c r="B1716" s="116">
        <v>2093.9499999999998</v>
      </c>
      <c r="C1716" s="116">
        <v>2089.0500000000002</v>
      </c>
      <c r="D1716" s="116">
        <v>2012.25</v>
      </c>
      <c r="E1716" s="116">
        <v>2038</v>
      </c>
      <c r="F1716" s="116">
        <v>2089.0500000000002</v>
      </c>
      <c r="G1716">
        <v>27966</v>
      </c>
      <c r="H1716" s="116"/>
      <c r="I1716" s="116"/>
      <c r="L1716" s="163">
        <v>44532</v>
      </c>
      <c r="M1716" s="116">
        <v>2089.6999999999998</v>
      </c>
      <c r="N1716" s="116">
        <v>2093</v>
      </c>
      <c r="O1716" s="116">
        <v>2012.25</v>
      </c>
      <c r="P1716" s="116">
        <v>2035.85</v>
      </c>
      <c r="Q1716" s="116">
        <v>2089.6999999999998</v>
      </c>
      <c r="R1716">
        <v>1161648</v>
      </c>
    </row>
    <row r="1717" spans="1:18" x14ac:dyDescent="0.25">
      <c r="A1717" s="163">
        <v>44533</v>
      </c>
      <c r="B1717" s="116">
        <v>2119</v>
      </c>
      <c r="C1717" s="116">
        <v>2083.8000000000002</v>
      </c>
      <c r="D1717" s="116">
        <v>2070.6999999999998</v>
      </c>
      <c r="E1717" s="116">
        <v>2095.5</v>
      </c>
      <c r="F1717" s="116">
        <v>2083.8000000000002</v>
      </c>
      <c r="G1717">
        <v>28631</v>
      </c>
      <c r="H1717" s="116"/>
      <c r="I1717" s="116"/>
      <c r="L1717" s="163">
        <v>44533</v>
      </c>
      <c r="M1717" s="116">
        <v>2084.1999999999998</v>
      </c>
      <c r="N1717" s="116">
        <v>2120</v>
      </c>
      <c r="O1717" s="116">
        <v>2070</v>
      </c>
      <c r="P1717" s="116">
        <v>2090</v>
      </c>
      <c r="Q1717" s="116">
        <v>2084.1999999999998</v>
      </c>
      <c r="R1717">
        <v>626496</v>
      </c>
    </row>
    <row r="1718" spans="1:18" x14ac:dyDescent="0.25">
      <c r="A1718" s="163">
        <v>44536</v>
      </c>
      <c r="B1718" s="116">
        <v>2105.65</v>
      </c>
      <c r="C1718" s="116">
        <v>2057.4</v>
      </c>
      <c r="D1718" s="116">
        <v>2051.25</v>
      </c>
      <c r="E1718" s="116">
        <v>2054</v>
      </c>
      <c r="F1718" s="116">
        <v>2057.4</v>
      </c>
      <c r="G1718">
        <v>23724</v>
      </c>
      <c r="H1718" s="116"/>
      <c r="I1718" s="116"/>
      <c r="L1718" s="163">
        <v>44536</v>
      </c>
      <c r="M1718" s="116">
        <v>2057.65</v>
      </c>
      <c r="N1718" s="116">
        <v>2107.6999999999998</v>
      </c>
      <c r="O1718" s="116">
        <v>2052.25</v>
      </c>
      <c r="P1718" s="116">
        <v>2080</v>
      </c>
      <c r="Q1718" s="116">
        <v>2057.65</v>
      </c>
      <c r="R1718">
        <v>360997</v>
      </c>
    </row>
    <row r="1719" spans="1:18" x14ac:dyDescent="0.25">
      <c r="A1719" s="163">
        <v>44537</v>
      </c>
      <c r="B1719" s="116">
        <v>2099.5500000000002</v>
      </c>
      <c r="C1719" s="116">
        <v>2087.0500000000002</v>
      </c>
      <c r="D1719" s="116">
        <v>2037.7</v>
      </c>
      <c r="E1719" s="116">
        <v>2061</v>
      </c>
      <c r="F1719" s="116">
        <v>2087.0500000000002</v>
      </c>
      <c r="G1719">
        <v>12218</v>
      </c>
      <c r="H1719" s="116"/>
      <c r="I1719" s="116"/>
      <c r="L1719" s="163">
        <v>44537</v>
      </c>
      <c r="M1719" s="116">
        <v>2088.85</v>
      </c>
      <c r="N1719" s="116">
        <v>2099.9499999999998</v>
      </c>
      <c r="O1719" s="116">
        <v>2036.8</v>
      </c>
      <c r="P1719" s="116">
        <v>2074</v>
      </c>
      <c r="Q1719" s="116">
        <v>2088.85</v>
      </c>
      <c r="R1719">
        <v>611232</v>
      </c>
    </row>
    <row r="1720" spans="1:18" x14ac:dyDescent="0.25">
      <c r="A1720" s="163">
        <v>44538</v>
      </c>
      <c r="B1720" s="116">
        <v>2139.5</v>
      </c>
      <c r="C1720" s="116">
        <v>2124.15</v>
      </c>
      <c r="D1720" s="116">
        <v>2105</v>
      </c>
      <c r="E1720" s="116">
        <v>2115</v>
      </c>
      <c r="F1720" s="116">
        <v>2124.15</v>
      </c>
      <c r="G1720">
        <v>17380</v>
      </c>
      <c r="H1720" s="116"/>
      <c r="I1720" s="116"/>
      <c r="L1720" s="163">
        <v>44538</v>
      </c>
      <c r="M1720" s="116">
        <v>2124.8000000000002</v>
      </c>
      <c r="N1720" s="116">
        <v>2139</v>
      </c>
      <c r="O1720" s="116">
        <v>2095.6999999999998</v>
      </c>
      <c r="P1720" s="116">
        <v>2104.5</v>
      </c>
      <c r="Q1720" s="116">
        <v>2124.8000000000002</v>
      </c>
      <c r="R1720">
        <v>549828</v>
      </c>
    </row>
    <row r="1721" spans="1:18" x14ac:dyDescent="0.25">
      <c r="A1721" s="163">
        <v>44539</v>
      </c>
      <c r="B1721" s="116">
        <v>2149</v>
      </c>
      <c r="C1721" s="116">
        <v>2132.9499999999998</v>
      </c>
      <c r="D1721" s="116">
        <v>2115.4</v>
      </c>
      <c r="E1721" s="116">
        <v>2149</v>
      </c>
      <c r="F1721" s="116">
        <v>2132.9499999999998</v>
      </c>
      <c r="G1721">
        <v>9703</v>
      </c>
      <c r="H1721" s="116"/>
      <c r="I1721" s="116"/>
      <c r="L1721" s="163">
        <v>44539</v>
      </c>
      <c r="M1721" s="116">
        <v>2133.4499999999998</v>
      </c>
      <c r="N1721" s="116">
        <v>2141</v>
      </c>
      <c r="O1721" s="116">
        <v>2115</v>
      </c>
      <c r="P1721" s="116">
        <v>2130</v>
      </c>
      <c r="Q1721" s="116">
        <v>2133.4499999999998</v>
      </c>
      <c r="R1721">
        <v>317527</v>
      </c>
    </row>
    <row r="1722" spans="1:18" x14ac:dyDescent="0.25">
      <c r="A1722" s="163">
        <v>44540</v>
      </c>
      <c r="B1722" s="116">
        <v>2155</v>
      </c>
      <c r="C1722" s="116">
        <v>2149.6999999999998</v>
      </c>
      <c r="D1722" s="116">
        <v>2123.4</v>
      </c>
      <c r="E1722" s="116">
        <v>2132</v>
      </c>
      <c r="F1722" s="116">
        <v>2149.6999999999998</v>
      </c>
      <c r="G1722">
        <v>13021</v>
      </c>
      <c r="H1722" s="116"/>
      <c r="I1722" s="116"/>
      <c r="L1722" s="163">
        <v>44540</v>
      </c>
      <c r="M1722" s="116">
        <v>2148.85</v>
      </c>
      <c r="N1722" s="116">
        <v>2156</v>
      </c>
      <c r="O1722" s="116">
        <v>2122.4499999999998</v>
      </c>
      <c r="P1722" s="116">
        <v>2133.4499999999998</v>
      </c>
      <c r="Q1722" s="116">
        <v>2148.85</v>
      </c>
      <c r="R1722">
        <v>397700</v>
      </c>
    </row>
    <row r="1723" spans="1:18" x14ac:dyDescent="0.25">
      <c r="A1723" s="163">
        <v>44543</v>
      </c>
      <c r="B1723" s="116">
        <v>2179</v>
      </c>
      <c r="C1723" s="116">
        <v>2149.4499999999998</v>
      </c>
      <c r="D1723" s="116">
        <v>2145</v>
      </c>
      <c r="E1723" s="116">
        <v>2145</v>
      </c>
      <c r="F1723" s="116">
        <v>2149.4499999999998</v>
      </c>
      <c r="G1723">
        <v>23264</v>
      </c>
      <c r="H1723" s="116"/>
      <c r="I1723" s="116"/>
      <c r="L1723" s="163">
        <v>44543</v>
      </c>
      <c r="M1723" s="116">
        <v>2149.4499999999998</v>
      </c>
      <c r="N1723" s="116">
        <v>2179.9</v>
      </c>
      <c r="O1723" s="116">
        <v>2145.5500000000002</v>
      </c>
      <c r="P1723" s="116">
        <v>2155</v>
      </c>
      <c r="Q1723" s="116">
        <v>2149.4499999999998</v>
      </c>
      <c r="R1723">
        <v>383648</v>
      </c>
    </row>
    <row r="1724" spans="1:18" x14ac:dyDescent="0.25">
      <c r="A1724" s="163">
        <v>44544</v>
      </c>
      <c r="B1724" s="116">
        <v>2175.4499999999998</v>
      </c>
      <c r="C1724" s="116">
        <v>2155.0500000000002</v>
      </c>
      <c r="D1724" s="116">
        <v>2140</v>
      </c>
      <c r="E1724" s="116">
        <v>2140</v>
      </c>
      <c r="F1724" s="116">
        <v>2155.0500000000002</v>
      </c>
      <c r="G1724">
        <v>18304</v>
      </c>
      <c r="H1724" s="116"/>
      <c r="I1724" s="116"/>
      <c r="L1724" s="163">
        <v>44544</v>
      </c>
      <c r="M1724" s="116">
        <v>2155.85</v>
      </c>
      <c r="N1724" s="116">
        <v>2174.65</v>
      </c>
      <c r="O1724" s="116">
        <v>2142.6999999999998</v>
      </c>
      <c r="P1724" s="116">
        <v>2154.4499999999998</v>
      </c>
      <c r="Q1724" s="116">
        <v>2155.85</v>
      </c>
      <c r="R1724">
        <v>368847</v>
      </c>
    </row>
    <row r="1725" spans="1:18" x14ac:dyDescent="0.25">
      <c r="A1725" s="163">
        <v>44545</v>
      </c>
      <c r="B1725" s="116">
        <v>2176.4</v>
      </c>
      <c r="C1725" s="116">
        <v>2161.1</v>
      </c>
      <c r="D1725" s="116">
        <v>2108.4499999999998</v>
      </c>
      <c r="E1725" s="116">
        <v>2150.5</v>
      </c>
      <c r="F1725" s="116">
        <v>2161.1</v>
      </c>
      <c r="G1725">
        <v>30546</v>
      </c>
      <c r="H1725" s="116"/>
      <c r="I1725" s="116"/>
      <c r="L1725" s="163">
        <v>44545</v>
      </c>
      <c r="M1725" s="116">
        <v>2159.1999999999998</v>
      </c>
      <c r="N1725" s="116">
        <v>2177.6999999999998</v>
      </c>
      <c r="O1725" s="116">
        <v>2107.0500000000002</v>
      </c>
      <c r="P1725" s="116">
        <v>2159</v>
      </c>
      <c r="Q1725" s="116">
        <v>2159.1999999999998</v>
      </c>
      <c r="R1725">
        <v>786329</v>
      </c>
    </row>
    <row r="1726" spans="1:18" x14ac:dyDescent="0.25">
      <c r="A1726" s="163">
        <v>44546</v>
      </c>
      <c r="B1726" s="116">
        <v>2234.9</v>
      </c>
      <c r="C1726" s="116">
        <v>2215.1</v>
      </c>
      <c r="D1726" s="116">
        <v>2162.35</v>
      </c>
      <c r="E1726" s="116">
        <v>2189</v>
      </c>
      <c r="F1726" s="116">
        <v>2215.1</v>
      </c>
      <c r="G1726">
        <v>49329</v>
      </c>
      <c r="H1726" s="116"/>
      <c r="I1726" s="116"/>
      <c r="L1726" s="163">
        <v>44546</v>
      </c>
      <c r="M1726" s="116">
        <v>2216.4</v>
      </c>
      <c r="N1726" s="116">
        <v>2235.6999999999998</v>
      </c>
      <c r="O1726" s="116">
        <v>2162</v>
      </c>
      <c r="P1726" s="116">
        <v>2184.8000000000002</v>
      </c>
      <c r="Q1726" s="116">
        <v>2216.4</v>
      </c>
      <c r="R1726">
        <v>872308</v>
      </c>
    </row>
    <row r="1727" spans="1:18" x14ac:dyDescent="0.25">
      <c r="A1727" s="163">
        <v>44547</v>
      </c>
      <c r="B1727" s="116">
        <v>2241</v>
      </c>
      <c r="C1727" s="116">
        <v>2167.4499999999998</v>
      </c>
      <c r="D1727" s="116">
        <v>2152.75</v>
      </c>
      <c r="E1727" s="116">
        <v>2239.9499999999998</v>
      </c>
      <c r="F1727" s="116">
        <v>2167.4499999999998</v>
      </c>
      <c r="G1727">
        <v>52063</v>
      </c>
      <c r="H1727" s="116"/>
      <c r="I1727" s="116"/>
      <c r="L1727" s="163">
        <v>44547</v>
      </c>
      <c r="M1727" s="116">
        <v>2164.5500000000002</v>
      </c>
      <c r="N1727" s="116">
        <v>2242</v>
      </c>
      <c r="O1727" s="116">
        <v>2153.3000000000002</v>
      </c>
      <c r="P1727" s="116">
        <v>2230</v>
      </c>
      <c r="Q1727" s="116">
        <v>2164.5500000000002</v>
      </c>
      <c r="R1727">
        <v>1548050</v>
      </c>
    </row>
    <row r="1728" spans="1:18" x14ac:dyDescent="0.25">
      <c r="A1728" s="163">
        <v>44550</v>
      </c>
      <c r="B1728" s="116">
        <v>2143</v>
      </c>
      <c r="C1728" s="116">
        <v>2074.6999999999998</v>
      </c>
      <c r="D1728" s="116">
        <v>2029.55</v>
      </c>
      <c r="E1728" s="116">
        <v>2143</v>
      </c>
      <c r="F1728" s="116">
        <v>2074.6999999999998</v>
      </c>
      <c r="G1728">
        <v>42774</v>
      </c>
      <c r="H1728" s="116"/>
      <c r="I1728" s="116"/>
      <c r="L1728" s="163">
        <v>44550</v>
      </c>
      <c r="M1728" s="116">
        <v>2074.65</v>
      </c>
      <c r="N1728" s="116">
        <v>2145</v>
      </c>
      <c r="O1728" s="116">
        <v>2029.55</v>
      </c>
      <c r="P1728" s="116">
        <v>2116</v>
      </c>
      <c r="Q1728" s="116">
        <v>2074.65</v>
      </c>
      <c r="R1728">
        <v>653629</v>
      </c>
    </row>
    <row r="1729" spans="1:18" x14ac:dyDescent="0.25">
      <c r="A1729" s="163">
        <v>44551</v>
      </c>
      <c r="B1729" s="116">
        <v>2189.4</v>
      </c>
      <c r="C1729" s="116">
        <v>2171.5</v>
      </c>
      <c r="D1729" s="116">
        <v>2082.3000000000002</v>
      </c>
      <c r="E1729" s="116">
        <v>2086</v>
      </c>
      <c r="F1729" s="116">
        <v>2171.5</v>
      </c>
      <c r="G1729">
        <v>37952</v>
      </c>
      <c r="H1729" s="116"/>
      <c r="I1729" s="116"/>
      <c r="L1729" s="163">
        <v>44551</v>
      </c>
      <c r="M1729" s="116">
        <v>2172.85</v>
      </c>
      <c r="N1729" s="116">
        <v>2190.85</v>
      </c>
      <c r="O1729" s="116">
        <v>2082.35</v>
      </c>
      <c r="P1729" s="116">
        <v>2093.4499999999998</v>
      </c>
      <c r="Q1729" s="116">
        <v>2172.85</v>
      </c>
      <c r="R1729">
        <v>752135</v>
      </c>
    </row>
    <row r="1730" spans="1:18" x14ac:dyDescent="0.25">
      <c r="A1730" s="163">
        <v>44552</v>
      </c>
      <c r="B1730" s="116">
        <v>2315</v>
      </c>
      <c r="C1730" s="116">
        <v>2306.75</v>
      </c>
      <c r="D1730" s="116">
        <v>2168.65</v>
      </c>
      <c r="E1730" s="116">
        <v>2172.85</v>
      </c>
      <c r="F1730" s="116">
        <v>2306.75</v>
      </c>
      <c r="G1730">
        <v>92536</v>
      </c>
      <c r="H1730" s="116"/>
      <c r="I1730" s="116"/>
      <c r="L1730" s="163">
        <v>44552</v>
      </c>
      <c r="M1730" s="116">
        <v>2306</v>
      </c>
      <c r="N1730" s="116">
        <v>2314</v>
      </c>
      <c r="O1730" s="116">
        <v>2170</v>
      </c>
      <c r="P1730" s="116">
        <v>2174</v>
      </c>
      <c r="Q1730" s="116">
        <v>2306</v>
      </c>
      <c r="R1730">
        <v>2460901</v>
      </c>
    </row>
    <row r="1731" spans="1:18" x14ac:dyDescent="0.25">
      <c r="A1731" s="163">
        <v>44553</v>
      </c>
      <c r="B1731" s="116">
        <v>2341.1999999999998</v>
      </c>
      <c r="C1731" s="116">
        <v>2321</v>
      </c>
      <c r="D1731" s="116">
        <v>2300</v>
      </c>
      <c r="E1731" s="116">
        <v>2327.9499999999998</v>
      </c>
      <c r="F1731" s="116">
        <v>2321</v>
      </c>
      <c r="G1731">
        <v>90669</v>
      </c>
      <c r="H1731" s="116"/>
      <c r="I1731" s="116"/>
      <c r="L1731" s="163">
        <v>44553</v>
      </c>
      <c r="M1731" s="116">
        <v>2322.4499999999998</v>
      </c>
      <c r="N1731" s="116">
        <v>2341.4499999999998</v>
      </c>
      <c r="O1731" s="116">
        <v>2301</v>
      </c>
      <c r="P1731" s="116">
        <v>2323.65</v>
      </c>
      <c r="Q1731" s="116">
        <v>2322.4499999999998</v>
      </c>
      <c r="R1731">
        <v>1336372</v>
      </c>
    </row>
    <row r="1732" spans="1:18" x14ac:dyDescent="0.25">
      <c r="A1732" s="163">
        <v>44554</v>
      </c>
      <c r="B1732" s="116">
        <v>2350.9499999999998</v>
      </c>
      <c r="C1732" s="116">
        <v>2318.5500000000002</v>
      </c>
      <c r="D1732" s="116">
        <v>2291.4</v>
      </c>
      <c r="E1732" s="116">
        <v>2329.5</v>
      </c>
      <c r="F1732" s="116">
        <v>2318.5500000000002</v>
      </c>
      <c r="G1732">
        <v>50061</v>
      </c>
      <c r="H1732" s="116"/>
      <c r="I1732" s="116"/>
      <c r="L1732" s="163">
        <v>44554</v>
      </c>
      <c r="M1732" s="116">
        <v>2315.9499999999998</v>
      </c>
      <c r="N1732" s="116">
        <v>2350.4</v>
      </c>
      <c r="O1732" s="116">
        <v>2291</v>
      </c>
      <c r="P1732" s="116">
        <v>2323.0500000000002</v>
      </c>
      <c r="Q1732" s="116">
        <v>2315.9499999999998</v>
      </c>
      <c r="R1732">
        <v>877618</v>
      </c>
    </row>
    <row r="1733" spans="1:18" x14ac:dyDescent="0.25">
      <c r="A1733" s="163">
        <v>44557</v>
      </c>
      <c r="B1733" s="116">
        <v>2368.6</v>
      </c>
      <c r="C1733" s="116">
        <v>2343.35</v>
      </c>
      <c r="D1733" s="116">
        <v>2294.75</v>
      </c>
      <c r="E1733" s="116">
        <v>2313.65</v>
      </c>
      <c r="F1733" s="116">
        <v>2343.35</v>
      </c>
      <c r="G1733">
        <v>62396</v>
      </c>
      <c r="H1733" s="116"/>
      <c r="I1733" s="116"/>
      <c r="L1733" s="163">
        <v>44557</v>
      </c>
      <c r="M1733" s="116">
        <v>2344</v>
      </c>
      <c r="N1733" s="116">
        <v>2369.9</v>
      </c>
      <c r="O1733" s="116">
        <v>2292.5</v>
      </c>
      <c r="P1733" s="116">
        <v>2321</v>
      </c>
      <c r="Q1733" s="116">
        <v>2344</v>
      </c>
      <c r="R1733">
        <v>940361</v>
      </c>
    </row>
    <row r="1734" spans="1:18" x14ac:dyDescent="0.25">
      <c r="A1734" s="163">
        <v>44558</v>
      </c>
      <c r="B1734" s="116">
        <v>2393</v>
      </c>
      <c r="C1734" s="116">
        <v>2388.6999999999998</v>
      </c>
      <c r="D1734" s="116">
        <v>2351.4499999999998</v>
      </c>
      <c r="E1734" s="116">
        <v>2360</v>
      </c>
      <c r="F1734" s="116">
        <v>2388.6999999999998</v>
      </c>
      <c r="G1734">
        <v>25032</v>
      </c>
      <c r="H1734" s="116"/>
      <c r="I1734" s="116"/>
      <c r="L1734" s="163">
        <v>44558</v>
      </c>
      <c r="M1734" s="116">
        <v>2389.15</v>
      </c>
      <c r="N1734" s="116">
        <v>2393.9499999999998</v>
      </c>
      <c r="O1734" s="116">
        <v>2350</v>
      </c>
      <c r="P1734" s="116">
        <v>2355.5</v>
      </c>
      <c r="Q1734" s="116">
        <v>2389.15</v>
      </c>
      <c r="R1734">
        <v>744414</v>
      </c>
    </row>
    <row r="1735" spans="1:18" x14ac:dyDescent="0.25">
      <c r="A1735" s="163">
        <v>44559</v>
      </c>
      <c r="B1735" s="116">
        <v>2409</v>
      </c>
      <c r="C1735" s="116">
        <v>2390.6</v>
      </c>
      <c r="D1735" s="116">
        <v>2377</v>
      </c>
      <c r="E1735" s="116">
        <v>2400</v>
      </c>
      <c r="F1735" s="116">
        <v>2390.6</v>
      </c>
      <c r="G1735">
        <v>18354</v>
      </c>
      <c r="H1735" s="116"/>
      <c r="I1735" s="116"/>
      <c r="L1735" s="163">
        <v>44559</v>
      </c>
      <c r="M1735" s="116">
        <v>2391.6999999999998</v>
      </c>
      <c r="N1735" s="116">
        <v>2409.9499999999998</v>
      </c>
      <c r="O1735" s="116">
        <v>2377</v>
      </c>
      <c r="P1735" s="116">
        <v>2393</v>
      </c>
      <c r="Q1735" s="116">
        <v>2391.6999999999998</v>
      </c>
      <c r="R1735">
        <v>516093</v>
      </c>
    </row>
    <row r="1736" spans="1:18" x14ac:dyDescent="0.25">
      <c r="A1736" s="163">
        <v>44560</v>
      </c>
      <c r="B1736" s="116">
        <v>2414</v>
      </c>
      <c r="C1736" s="116">
        <v>2402</v>
      </c>
      <c r="D1736" s="116">
        <v>2372.15</v>
      </c>
      <c r="E1736" s="116">
        <v>2390.8000000000002</v>
      </c>
      <c r="F1736" s="116">
        <v>2402</v>
      </c>
      <c r="G1736">
        <v>14041</v>
      </c>
      <c r="H1736" s="116"/>
      <c r="I1736" s="116"/>
      <c r="L1736" s="163">
        <v>44560</v>
      </c>
      <c r="M1736" s="116">
        <v>2403.5500000000002</v>
      </c>
      <c r="N1736" s="116">
        <v>2415</v>
      </c>
      <c r="O1736" s="116">
        <v>2371.6999999999998</v>
      </c>
      <c r="P1736" s="116">
        <v>2384</v>
      </c>
      <c r="Q1736" s="116">
        <v>2403.5500000000002</v>
      </c>
      <c r="R1736">
        <v>547990</v>
      </c>
    </row>
    <row r="1737" spans="1:18" x14ac:dyDescent="0.25">
      <c r="A1737" s="163">
        <v>44561</v>
      </c>
      <c r="B1737" s="116">
        <v>2427.25</v>
      </c>
      <c r="C1737" s="116">
        <v>2420.5500000000002</v>
      </c>
      <c r="D1737" s="116">
        <v>2390.5500000000002</v>
      </c>
      <c r="E1737" s="116">
        <v>2390.5500000000002</v>
      </c>
      <c r="F1737" s="116">
        <v>2420.5500000000002</v>
      </c>
      <c r="G1737">
        <v>10679</v>
      </c>
      <c r="H1737" s="116"/>
      <c r="I1737" s="116"/>
      <c r="L1737" s="163">
        <v>44561</v>
      </c>
      <c r="M1737" s="116">
        <v>2420.1</v>
      </c>
      <c r="N1737" s="116">
        <v>2428.15</v>
      </c>
      <c r="O1737" s="116">
        <v>2405.1999999999998</v>
      </c>
      <c r="P1737" s="116">
        <v>2408</v>
      </c>
      <c r="Q1737" s="116">
        <v>2420.1</v>
      </c>
      <c r="R1737">
        <v>348706</v>
      </c>
    </row>
    <row r="1738" spans="1:18" x14ac:dyDescent="0.25">
      <c r="A1738" s="163">
        <v>44564</v>
      </c>
      <c r="B1738" s="116">
        <v>2443.4499999999998</v>
      </c>
      <c r="C1738" s="116">
        <v>2411.15</v>
      </c>
      <c r="D1738" s="116">
        <v>2405.5500000000002</v>
      </c>
      <c r="E1738" s="116">
        <v>2420</v>
      </c>
      <c r="F1738" s="116">
        <v>2411.15</v>
      </c>
      <c r="G1738">
        <v>31624</v>
      </c>
      <c r="H1738" s="116"/>
      <c r="I1738" s="116"/>
      <c r="L1738" s="163">
        <v>44564</v>
      </c>
      <c r="M1738" s="116">
        <v>2412.5</v>
      </c>
      <c r="N1738" s="116">
        <v>2444</v>
      </c>
      <c r="O1738" s="116">
        <v>2406.0500000000002</v>
      </c>
      <c r="P1738" s="116">
        <v>2420.1</v>
      </c>
      <c r="Q1738" s="116">
        <v>2412.5</v>
      </c>
      <c r="R1738">
        <v>385132</v>
      </c>
    </row>
    <row r="1739" spans="1:18" x14ac:dyDescent="0.25">
      <c r="A1739" s="163">
        <v>44565</v>
      </c>
      <c r="B1739" s="116">
        <v>2447.25</v>
      </c>
      <c r="C1739" s="116">
        <v>2426.6</v>
      </c>
      <c r="D1739" s="116">
        <v>2369.3000000000002</v>
      </c>
      <c r="E1739" s="116">
        <v>2438</v>
      </c>
      <c r="F1739" s="116">
        <v>2426.6</v>
      </c>
      <c r="G1739">
        <v>25641</v>
      </c>
      <c r="H1739" s="116"/>
      <c r="I1739" s="116"/>
      <c r="L1739" s="163">
        <v>44565</v>
      </c>
      <c r="M1739" s="116">
        <v>2429.25</v>
      </c>
      <c r="N1739" s="116">
        <v>2437.9499999999998</v>
      </c>
      <c r="O1739" s="116">
        <v>2368</v>
      </c>
      <c r="P1739" s="116">
        <v>2412.5</v>
      </c>
      <c r="Q1739" s="116">
        <v>2429.25</v>
      </c>
      <c r="R1739">
        <v>423163</v>
      </c>
    </row>
    <row r="1740" spans="1:18" x14ac:dyDescent="0.25">
      <c r="A1740" s="163">
        <v>44566</v>
      </c>
      <c r="B1740" s="116">
        <v>2437.8000000000002</v>
      </c>
      <c r="C1740" s="116">
        <v>2414.85</v>
      </c>
      <c r="D1740" s="116">
        <v>2372</v>
      </c>
      <c r="E1740" s="116">
        <v>2436</v>
      </c>
      <c r="F1740" s="116">
        <v>2414.85</v>
      </c>
      <c r="G1740">
        <v>25828</v>
      </c>
      <c r="H1740" s="116"/>
      <c r="I1740" s="116"/>
      <c r="L1740" s="163">
        <v>44566</v>
      </c>
      <c r="M1740" s="116">
        <v>2416.6</v>
      </c>
      <c r="N1740" s="116">
        <v>2440</v>
      </c>
      <c r="O1740" s="116">
        <v>2371</v>
      </c>
      <c r="P1740" s="116">
        <v>2428</v>
      </c>
      <c r="Q1740" s="116">
        <v>2416.6</v>
      </c>
      <c r="R1740">
        <v>578855</v>
      </c>
    </row>
    <row r="1741" spans="1:18" x14ac:dyDescent="0.25">
      <c r="A1741" s="163">
        <v>44567</v>
      </c>
      <c r="B1741" s="116">
        <v>2450</v>
      </c>
      <c r="C1741" s="116">
        <v>2409.9499999999998</v>
      </c>
      <c r="D1741" s="116">
        <v>2385</v>
      </c>
      <c r="E1741" s="116">
        <v>2385</v>
      </c>
      <c r="F1741" s="116">
        <v>2409.9499999999998</v>
      </c>
      <c r="G1741">
        <v>36428</v>
      </c>
      <c r="H1741" s="116"/>
      <c r="I1741" s="116"/>
      <c r="L1741" s="163">
        <v>44567</v>
      </c>
      <c r="M1741" s="116">
        <v>2410.5</v>
      </c>
      <c r="N1741" s="116">
        <v>2450</v>
      </c>
      <c r="O1741" s="116">
        <v>2381</v>
      </c>
      <c r="P1741" s="116">
        <v>2385</v>
      </c>
      <c r="Q1741" s="116">
        <v>2410.5</v>
      </c>
      <c r="R1741">
        <v>594570</v>
      </c>
    </row>
    <row r="1742" spans="1:18" x14ac:dyDescent="0.25">
      <c r="A1742" s="163">
        <v>44568</v>
      </c>
      <c r="B1742" s="116">
        <v>2532.1999999999998</v>
      </c>
      <c r="C1742" s="116">
        <v>2506.5</v>
      </c>
      <c r="D1742" s="116">
        <v>2350</v>
      </c>
      <c r="E1742" s="116">
        <v>2425</v>
      </c>
      <c r="F1742" s="116">
        <v>2506.5</v>
      </c>
      <c r="G1742">
        <v>110204</v>
      </c>
      <c r="H1742" s="116"/>
      <c r="I1742" s="116"/>
      <c r="L1742" s="163">
        <v>44568</v>
      </c>
      <c r="M1742" s="116">
        <v>2504.9499999999998</v>
      </c>
      <c r="N1742" s="116">
        <v>2533.9499999999998</v>
      </c>
      <c r="O1742" s="116">
        <v>2350</v>
      </c>
      <c r="P1742" s="116">
        <v>2430.0500000000002</v>
      </c>
      <c r="Q1742" s="116">
        <v>2504.9499999999998</v>
      </c>
      <c r="R1742">
        <v>2348058</v>
      </c>
    </row>
    <row r="1743" spans="1:18" x14ac:dyDescent="0.25">
      <c r="A1743" s="163">
        <v>44571</v>
      </c>
      <c r="B1743" s="116">
        <v>2549.6999999999998</v>
      </c>
      <c r="C1743" s="116">
        <v>2528.15</v>
      </c>
      <c r="D1743" s="116">
        <v>2487.35</v>
      </c>
      <c r="E1743" s="116">
        <v>2530</v>
      </c>
      <c r="F1743" s="116">
        <v>2528.15</v>
      </c>
      <c r="G1743">
        <v>57858</v>
      </c>
      <c r="H1743" s="116"/>
      <c r="I1743" s="116"/>
      <c r="L1743" s="163">
        <v>44571</v>
      </c>
      <c r="M1743" s="116">
        <v>2530.25</v>
      </c>
      <c r="N1743" s="116">
        <v>2550.8000000000002</v>
      </c>
      <c r="O1743" s="116">
        <v>2485.6999999999998</v>
      </c>
      <c r="P1743" s="116">
        <v>2520</v>
      </c>
      <c r="Q1743" s="116">
        <v>2530.25</v>
      </c>
      <c r="R1743">
        <v>811329</v>
      </c>
    </row>
    <row r="1744" spans="1:18" x14ac:dyDescent="0.25">
      <c r="A1744" s="163">
        <v>44572</v>
      </c>
      <c r="B1744" s="116">
        <v>2564.6999999999998</v>
      </c>
      <c r="C1744" s="116">
        <v>2532.6999999999998</v>
      </c>
      <c r="D1744" s="116">
        <v>2523.9499999999998</v>
      </c>
      <c r="E1744" s="116">
        <v>2538</v>
      </c>
      <c r="F1744" s="116">
        <v>2532.6999999999998</v>
      </c>
      <c r="G1744">
        <v>24956</v>
      </c>
      <c r="H1744" s="116"/>
      <c r="I1744" s="116"/>
      <c r="L1744" s="163">
        <v>44572</v>
      </c>
      <c r="M1744" s="116">
        <v>2532.85</v>
      </c>
      <c r="N1744" s="116">
        <v>2565</v>
      </c>
      <c r="O1744" s="116">
        <v>2522.4499999999998</v>
      </c>
      <c r="P1744" s="116">
        <v>2530.25</v>
      </c>
      <c r="Q1744" s="116">
        <v>2532.85</v>
      </c>
      <c r="R1744">
        <v>573897</v>
      </c>
    </row>
    <row r="1745" spans="1:18" x14ac:dyDescent="0.25">
      <c r="A1745" s="163">
        <v>44573</v>
      </c>
      <c r="B1745" s="116">
        <v>2635.95</v>
      </c>
      <c r="C1745" s="116">
        <v>2627.4</v>
      </c>
      <c r="D1745" s="116">
        <v>2508.75</v>
      </c>
      <c r="E1745" s="116">
        <v>2557.8000000000002</v>
      </c>
      <c r="F1745" s="116">
        <v>2627.4</v>
      </c>
      <c r="G1745">
        <v>39182</v>
      </c>
      <c r="H1745" s="116"/>
      <c r="I1745" s="116"/>
      <c r="L1745" s="163">
        <v>44573</v>
      </c>
      <c r="M1745" s="116">
        <v>2626.1</v>
      </c>
      <c r="N1745" s="116">
        <v>2635.75</v>
      </c>
      <c r="O1745" s="116">
        <v>2507.6</v>
      </c>
      <c r="P1745" s="116">
        <v>2540.15</v>
      </c>
      <c r="Q1745" s="116">
        <v>2626.1</v>
      </c>
      <c r="R1745">
        <v>1090603</v>
      </c>
    </row>
    <row r="1746" spans="1:18" x14ac:dyDescent="0.25">
      <c r="A1746" s="163">
        <v>44574</v>
      </c>
      <c r="B1746" s="116">
        <v>2664.4</v>
      </c>
      <c r="C1746" s="116">
        <v>2654</v>
      </c>
      <c r="D1746" s="116">
        <v>2610.3000000000002</v>
      </c>
      <c r="E1746" s="116">
        <v>2643</v>
      </c>
      <c r="F1746" s="116">
        <v>2654</v>
      </c>
      <c r="G1746">
        <v>45357</v>
      </c>
      <c r="H1746" s="116"/>
      <c r="I1746" s="116"/>
      <c r="L1746" s="163">
        <v>44574</v>
      </c>
      <c r="M1746" s="116">
        <v>2656.8</v>
      </c>
      <c r="N1746" s="116">
        <v>2669.8</v>
      </c>
      <c r="O1746" s="116">
        <v>2610.5</v>
      </c>
      <c r="P1746" s="116">
        <v>2630</v>
      </c>
      <c r="Q1746" s="116">
        <v>2656.8</v>
      </c>
      <c r="R1746">
        <v>800652</v>
      </c>
    </row>
    <row r="1747" spans="1:18" x14ac:dyDescent="0.25">
      <c r="A1747" s="163">
        <v>44575</v>
      </c>
      <c r="B1747" s="116">
        <v>2679</v>
      </c>
      <c r="C1747" s="116">
        <v>2657.5</v>
      </c>
      <c r="D1747" s="116">
        <v>2642.55</v>
      </c>
      <c r="E1747" s="116">
        <v>2655</v>
      </c>
      <c r="F1747" s="116">
        <v>2657.5</v>
      </c>
      <c r="G1747">
        <v>27576</v>
      </c>
      <c r="H1747" s="116"/>
      <c r="I1747" s="116"/>
      <c r="L1747" s="163">
        <v>44575</v>
      </c>
      <c r="M1747" s="116">
        <v>2652.7</v>
      </c>
      <c r="N1747" s="116">
        <v>2680</v>
      </c>
      <c r="O1747" s="116">
        <v>2641.4</v>
      </c>
      <c r="P1747" s="116">
        <v>2654</v>
      </c>
      <c r="Q1747" s="116">
        <v>2652.7</v>
      </c>
      <c r="R1747">
        <v>452448</v>
      </c>
    </row>
    <row r="1748" spans="1:18" x14ac:dyDescent="0.25">
      <c r="A1748" s="163">
        <v>44578</v>
      </c>
      <c r="B1748" s="116">
        <v>2678</v>
      </c>
      <c r="C1748" s="116">
        <v>2639.8</v>
      </c>
      <c r="D1748" s="116">
        <v>2613</v>
      </c>
      <c r="E1748" s="116">
        <v>2653</v>
      </c>
      <c r="F1748" s="116">
        <v>2639.8</v>
      </c>
      <c r="G1748">
        <v>30908</v>
      </c>
      <c r="H1748" s="116"/>
      <c r="I1748" s="116"/>
      <c r="L1748" s="163">
        <v>44578</v>
      </c>
      <c r="M1748" s="116">
        <v>2640.45</v>
      </c>
      <c r="N1748" s="116">
        <v>2679.3</v>
      </c>
      <c r="O1748" s="116">
        <v>2612.6999999999998</v>
      </c>
      <c r="P1748" s="116">
        <v>2655</v>
      </c>
      <c r="Q1748" s="116">
        <v>2640.45</v>
      </c>
      <c r="R1748">
        <v>662580</v>
      </c>
    </row>
    <row r="1749" spans="1:18" x14ac:dyDescent="0.25">
      <c r="A1749" s="163">
        <v>44579</v>
      </c>
      <c r="B1749" s="116">
        <v>2669.45</v>
      </c>
      <c r="C1749" s="116">
        <v>2612.1999999999998</v>
      </c>
      <c r="D1749" s="116">
        <v>2594.1999999999998</v>
      </c>
      <c r="E1749" s="116">
        <v>2649</v>
      </c>
      <c r="F1749" s="116">
        <v>2612.1999999999998</v>
      </c>
      <c r="G1749">
        <v>19067</v>
      </c>
      <c r="H1749" s="116"/>
      <c r="I1749" s="116"/>
      <c r="L1749" s="163">
        <v>44579</v>
      </c>
      <c r="M1749" s="116">
        <v>2615.15</v>
      </c>
      <c r="N1749" s="116">
        <v>2669.6</v>
      </c>
      <c r="O1749" s="116">
        <v>2593.0500000000002</v>
      </c>
      <c r="P1749" s="116">
        <v>2655.7</v>
      </c>
      <c r="Q1749" s="116">
        <v>2615.15</v>
      </c>
      <c r="R1749">
        <v>616685</v>
      </c>
    </row>
    <row r="1750" spans="1:18" x14ac:dyDescent="0.25">
      <c r="A1750" s="163">
        <v>44580</v>
      </c>
      <c r="B1750" s="116">
        <v>2632</v>
      </c>
      <c r="C1750" s="116">
        <v>2555.4</v>
      </c>
      <c r="D1750" s="116">
        <v>2526.1999999999998</v>
      </c>
      <c r="E1750" s="116">
        <v>2632</v>
      </c>
      <c r="F1750" s="116">
        <v>2555.4</v>
      </c>
      <c r="G1750">
        <v>26456</v>
      </c>
      <c r="H1750" s="116"/>
      <c r="I1750" s="116"/>
      <c r="L1750" s="163">
        <v>44580</v>
      </c>
      <c r="M1750" s="116">
        <v>2556.9</v>
      </c>
      <c r="N1750" s="116">
        <v>2623.5</v>
      </c>
      <c r="O1750" s="116">
        <v>2525.1</v>
      </c>
      <c r="P1750" s="116">
        <v>2617</v>
      </c>
      <c r="Q1750" s="116">
        <v>2556.9</v>
      </c>
      <c r="R1750">
        <v>728794</v>
      </c>
    </row>
    <row r="1751" spans="1:18" x14ac:dyDescent="0.25">
      <c r="A1751" s="163">
        <v>44581</v>
      </c>
      <c r="B1751" s="116">
        <v>2575</v>
      </c>
      <c r="C1751" s="116">
        <v>2566.25</v>
      </c>
      <c r="D1751" s="116">
        <v>2537.3000000000002</v>
      </c>
      <c r="E1751" s="116">
        <v>2572.9499999999998</v>
      </c>
      <c r="F1751" s="116">
        <v>2566.25</v>
      </c>
      <c r="G1751">
        <v>7619</v>
      </c>
      <c r="H1751" s="116"/>
      <c r="I1751" s="116"/>
      <c r="L1751" s="163">
        <v>44581</v>
      </c>
      <c r="M1751" s="116">
        <v>2567.75</v>
      </c>
      <c r="N1751" s="116">
        <v>2575</v>
      </c>
      <c r="O1751" s="116">
        <v>2536</v>
      </c>
      <c r="P1751" s="116">
        <v>2550.5500000000002</v>
      </c>
      <c r="Q1751" s="116">
        <v>2567.75</v>
      </c>
      <c r="R1751">
        <v>289339</v>
      </c>
    </row>
    <row r="1752" spans="1:18" x14ac:dyDescent="0.25">
      <c r="A1752" s="163">
        <v>44582</v>
      </c>
      <c r="B1752" s="116">
        <v>2554.3000000000002</v>
      </c>
      <c r="C1752" s="116">
        <v>2478.5500000000002</v>
      </c>
      <c r="D1752" s="116">
        <v>2469.8000000000002</v>
      </c>
      <c r="E1752" s="116">
        <v>2550</v>
      </c>
      <c r="F1752" s="116">
        <v>2478.5500000000002</v>
      </c>
      <c r="G1752">
        <v>22368</v>
      </c>
      <c r="H1752" s="116"/>
      <c r="I1752" s="116"/>
      <c r="L1752" s="163">
        <v>44582</v>
      </c>
      <c r="M1752" s="116">
        <v>2476.8000000000002</v>
      </c>
      <c r="N1752" s="116">
        <v>2555.5500000000002</v>
      </c>
      <c r="O1752" s="116">
        <v>2468.0500000000002</v>
      </c>
      <c r="P1752" s="116">
        <v>2540</v>
      </c>
      <c r="Q1752" s="116">
        <v>2476.8000000000002</v>
      </c>
      <c r="R1752">
        <v>589520</v>
      </c>
    </row>
    <row r="1753" spans="1:18" x14ac:dyDescent="0.25">
      <c r="A1753" s="163">
        <v>44585</v>
      </c>
      <c r="B1753" s="116">
        <v>2485.4</v>
      </c>
      <c r="C1753" s="116">
        <v>2369.3000000000002</v>
      </c>
      <c r="D1753" s="116">
        <v>2350.1999999999998</v>
      </c>
      <c r="E1753" s="116">
        <v>2463.5500000000002</v>
      </c>
      <c r="F1753" s="116">
        <v>2369.3000000000002</v>
      </c>
      <c r="G1753">
        <v>55001</v>
      </c>
      <c r="H1753" s="116"/>
      <c r="I1753" s="116"/>
      <c r="L1753" s="163">
        <v>44585</v>
      </c>
      <c r="M1753" s="116">
        <v>2369.6999999999998</v>
      </c>
      <c r="N1753" s="116">
        <v>2484.9499999999998</v>
      </c>
      <c r="O1753" s="116">
        <v>2350</v>
      </c>
      <c r="P1753" s="116">
        <v>2478.5</v>
      </c>
      <c r="Q1753" s="116">
        <v>2369.6999999999998</v>
      </c>
      <c r="R1753">
        <v>1072181</v>
      </c>
    </row>
    <row r="1754" spans="1:18" x14ac:dyDescent="0.25">
      <c r="A1754" s="163">
        <v>44586</v>
      </c>
      <c r="B1754" s="116">
        <v>2524.4</v>
      </c>
      <c r="C1754" s="116">
        <v>2467.6999999999998</v>
      </c>
      <c r="D1754" s="116">
        <v>2293</v>
      </c>
      <c r="E1754" s="116">
        <v>2332</v>
      </c>
      <c r="F1754" s="116">
        <v>2467.6999999999998</v>
      </c>
      <c r="G1754">
        <v>71634</v>
      </c>
      <c r="H1754" s="116"/>
      <c r="I1754" s="116"/>
      <c r="L1754" s="163">
        <v>44586</v>
      </c>
      <c r="M1754" s="116">
        <v>2470.5</v>
      </c>
      <c r="N1754" s="116">
        <v>2523.8000000000002</v>
      </c>
      <c r="O1754" s="116">
        <v>2295</v>
      </c>
      <c r="P1754" s="116">
        <v>2330.65</v>
      </c>
      <c r="Q1754" s="116">
        <v>2470.5</v>
      </c>
      <c r="R1754">
        <v>2246592</v>
      </c>
    </row>
    <row r="1755" spans="1:18" x14ac:dyDescent="0.25">
      <c r="A1755" s="163">
        <v>44588</v>
      </c>
      <c r="B1755" s="116">
        <v>2425</v>
      </c>
      <c r="C1755" s="116">
        <v>2348.25</v>
      </c>
      <c r="D1755" s="116">
        <v>2271.4499999999998</v>
      </c>
      <c r="E1755" s="116">
        <v>2425</v>
      </c>
      <c r="F1755" s="116">
        <v>2348.25</v>
      </c>
      <c r="G1755">
        <v>87518</v>
      </c>
      <c r="H1755" s="116"/>
      <c r="I1755" s="116"/>
      <c r="L1755" s="163">
        <v>44588</v>
      </c>
      <c r="M1755" s="116">
        <v>2349.0500000000002</v>
      </c>
      <c r="N1755" s="116">
        <v>2425</v>
      </c>
      <c r="O1755" s="116">
        <v>2268.5500000000002</v>
      </c>
      <c r="P1755" s="116">
        <v>2415</v>
      </c>
      <c r="Q1755" s="116">
        <v>2349.0500000000002</v>
      </c>
      <c r="R1755">
        <v>1878619</v>
      </c>
    </row>
    <row r="1756" spans="1:18" x14ac:dyDescent="0.25">
      <c r="A1756" s="163">
        <v>44589</v>
      </c>
      <c r="B1756" s="116">
        <v>2483</v>
      </c>
      <c r="C1756" s="116">
        <v>2400.5</v>
      </c>
      <c r="D1756" s="116">
        <v>2386</v>
      </c>
      <c r="E1756" s="116">
        <v>2414</v>
      </c>
      <c r="F1756" s="116">
        <v>2400.5</v>
      </c>
      <c r="G1756">
        <v>36606</v>
      </c>
      <c r="H1756" s="116"/>
      <c r="I1756" s="116"/>
      <c r="L1756" s="163">
        <v>44589</v>
      </c>
      <c r="M1756" s="116">
        <v>2401.35</v>
      </c>
      <c r="N1756" s="116">
        <v>2484.15</v>
      </c>
      <c r="O1756" s="116">
        <v>2387.3000000000002</v>
      </c>
      <c r="P1756" s="116">
        <v>2390</v>
      </c>
      <c r="Q1756" s="116">
        <v>2401.35</v>
      </c>
      <c r="R1756">
        <v>1112061</v>
      </c>
    </row>
    <row r="1757" spans="1:18" x14ac:dyDescent="0.25">
      <c r="A1757" s="163">
        <v>44592</v>
      </c>
      <c r="B1757" s="116">
        <v>2455</v>
      </c>
      <c r="C1757" s="116">
        <v>2407.3000000000002</v>
      </c>
      <c r="D1757" s="116">
        <v>2362</v>
      </c>
      <c r="E1757" s="116">
        <v>2425</v>
      </c>
      <c r="F1757" s="116">
        <v>2407.3000000000002</v>
      </c>
      <c r="G1757">
        <v>26366</v>
      </c>
      <c r="H1757" s="116"/>
      <c r="I1757" s="116"/>
      <c r="L1757" s="163">
        <v>44592</v>
      </c>
      <c r="M1757" s="116">
        <v>2406.8000000000002</v>
      </c>
      <c r="N1757" s="116">
        <v>2455</v>
      </c>
      <c r="O1757" s="116">
        <v>2361</v>
      </c>
      <c r="P1757" s="116">
        <v>2415</v>
      </c>
      <c r="Q1757" s="116">
        <v>2406.8000000000002</v>
      </c>
      <c r="R1757">
        <v>758878</v>
      </c>
    </row>
    <row r="1758" spans="1:18" x14ac:dyDescent="0.25">
      <c r="A1758" s="163">
        <v>44593</v>
      </c>
      <c r="B1758" s="116">
        <v>2455</v>
      </c>
      <c r="C1758" s="116">
        <v>2445.0500000000002</v>
      </c>
      <c r="D1758" s="116">
        <v>2365.65</v>
      </c>
      <c r="E1758" s="116">
        <v>2443.1</v>
      </c>
      <c r="F1758" s="116">
        <v>2445.0500000000002</v>
      </c>
      <c r="G1758">
        <v>53026</v>
      </c>
      <c r="H1758" s="116"/>
      <c r="I1758" s="116"/>
      <c r="L1758" s="163">
        <v>44593</v>
      </c>
      <c r="M1758" s="116">
        <v>2447.1999999999998</v>
      </c>
      <c r="N1758" s="116">
        <v>2485</v>
      </c>
      <c r="O1758" s="116">
        <v>2366.1</v>
      </c>
      <c r="P1758" s="116">
        <v>2424.0500000000002</v>
      </c>
      <c r="Q1758" s="116">
        <v>2447.1999999999998</v>
      </c>
      <c r="R1758">
        <v>812910</v>
      </c>
    </row>
    <row r="1759" spans="1:18" x14ac:dyDescent="0.25">
      <c r="A1759" s="163">
        <v>44594</v>
      </c>
      <c r="B1759" s="116">
        <v>2492.9499999999998</v>
      </c>
      <c r="C1759" s="116">
        <v>2454.8000000000002</v>
      </c>
      <c r="D1759" s="116">
        <v>2441.1</v>
      </c>
      <c r="E1759" s="116">
        <v>2445.0500000000002</v>
      </c>
      <c r="F1759" s="116">
        <v>2454.8000000000002</v>
      </c>
      <c r="G1759">
        <v>23466</v>
      </c>
      <c r="H1759" s="116"/>
      <c r="I1759" s="116"/>
      <c r="L1759" s="163">
        <v>44594</v>
      </c>
      <c r="M1759" s="116">
        <v>2453.5</v>
      </c>
      <c r="N1759" s="116">
        <v>2494</v>
      </c>
      <c r="O1759" s="116">
        <v>2440.8000000000002</v>
      </c>
      <c r="P1759" s="116">
        <v>2460.6</v>
      </c>
      <c r="Q1759" s="116">
        <v>2453.5</v>
      </c>
      <c r="R1759">
        <v>498572</v>
      </c>
    </row>
    <row r="1760" spans="1:18" x14ac:dyDescent="0.25">
      <c r="A1760" s="163">
        <v>44595</v>
      </c>
      <c r="B1760" s="116">
        <v>2488.15</v>
      </c>
      <c r="C1760" s="116">
        <v>2438.1999999999998</v>
      </c>
      <c r="D1760" s="116">
        <v>2430.0500000000002</v>
      </c>
      <c r="E1760" s="116">
        <v>2470</v>
      </c>
      <c r="F1760" s="116">
        <v>2438.1999999999998</v>
      </c>
      <c r="G1760">
        <v>32507</v>
      </c>
      <c r="H1760" s="116"/>
      <c r="I1760" s="116"/>
      <c r="L1760" s="163">
        <v>44595</v>
      </c>
      <c r="M1760" s="116">
        <v>2439.8000000000002</v>
      </c>
      <c r="N1760" s="116">
        <v>2488.0500000000002</v>
      </c>
      <c r="O1760" s="116">
        <v>2425</v>
      </c>
      <c r="P1760" s="116">
        <v>2475</v>
      </c>
      <c r="Q1760" s="116">
        <v>2439.8000000000002</v>
      </c>
      <c r="R1760">
        <v>625410</v>
      </c>
    </row>
    <row r="1761" spans="1:18" x14ac:dyDescent="0.25">
      <c r="A1761" s="163">
        <v>44596</v>
      </c>
      <c r="B1761" s="116">
        <v>2474</v>
      </c>
      <c r="C1761" s="116">
        <v>2438.65</v>
      </c>
      <c r="D1761" s="116">
        <v>2430</v>
      </c>
      <c r="E1761" s="116">
        <v>2440</v>
      </c>
      <c r="F1761" s="116">
        <v>2438.65</v>
      </c>
      <c r="G1761">
        <v>13997</v>
      </c>
      <c r="H1761" s="116"/>
      <c r="I1761" s="116"/>
      <c r="L1761" s="163">
        <v>44596</v>
      </c>
      <c r="M1761" s="116">
        <v>2435.9</v>
      </c>
      <c r="N1761" s="116">
        <v>2474.8000000000002</v>
      </c>
      <c r="O1761" s="116">
        <v>2426</v>
      </c>
      <c r="P1761" s="116">
        <v>2426</v>
      </c>
      <c r="Q1761" s="116">
        <v>2435.9</v>
      </c>
      <c r="R1761">
        <v>348955</v>
      </c>
    </row>
    <row r="1762" spans="1:18" x14ac:dyDescent="0.25">
      <c r="A1762" s="163">
        <v>44599</v>
      </c>
      <c r="B1762" s="116">
        <v>2521.5</v>
      </c>
      <c r="C1762" s="116">
        <v>2453.1999999999998</v>
      </c>
      <c r="D1762" s="116">
        <v>2409.85</v>
      </c>
      <c r="E1762" s="116">
        <v>2424</v>
      </c>
      <c r="F1762" s="116">
        <v>2453.1999999999998</v>
      </c>
      <c r="G1762">
        <v>52734</v>
      </c>
      <c r="H1762" s="116"/>
      <c r="I1762" s="116"/>
      <c r="L1762" s="163">
        <v>44599</v>
      </c>
      <c r="M1762" s="116">
        <v>2450.8000000000002</v>
      </c>
      <c r="N1762" s="116">
        <v>2521.85</v>
      </c>
      <c r="O1762" s="116">
        <v>2410.15</v>
      </c>
      <c r="P1762" s="116">
        <v>2444.8000000000002</v>
      </c>
      <c r="Q1762" s="116">
        <v>2450.8000000000002</v>
      </c>
      <c r="R1762">
        <v>1243759</v>
      </c>
    </row>
    <row r="1763" spans="1:18" x14ac:dyDescent="0.25">
      <c r="A1763" s="163">
        <v>44600</v>
      </c>
      <c r="B1763" s="116">
        <v>2547.5500000000002</v>
      </c>
      <c r="C1763" s="116">
        <v>2532.4499999999998</v>
      </c>
      <c r="D1763" s="116">
        <v>2428.3000000000002</v>
      </c>
      <c r="E1763" s="116">
        <v>2450</v>
      </c>
      <c r="F1763" s="116">
        <v>2532.4499999999998</v>
      </c>
      <c r="G1763">
        <v>50530</v>
      </c>
      <c r="H1763" s="116"/>
      <c r="I1763" s="116"/>
      <c r="L1763" s="163">
        <v>44600</v>
      </c>
      <c r="M1763" s="116">
        <v>2531.3000000000002</v>
      </c>
      <c r="N1763" s="116">
        <v>2548</v>
      </c>
      <c r="O1763" s="116">
        <v>2429</v>
      </c>
      <c r="P1763" s="116">
        <v>2462.25</v>
      </c>
      <c r="Q1763" s="116">
        <v>2531.3000000000002</v>
      </c>
      <c r="R1763">
        <v>1232058</v>
      </c>
    </row>
    <row r="1764" spans="1:18" x14ac:dyDescent="0.25">
      <c r="A1764" s="163">
        <v>44601</v>
      </c>
      <c r="B1764" s="116">
        <v>2593.6</v>
      </c>
      <c r="C1764" s="116">
        <v>2582.75</v>
      </c>
      <c r="D1764" s="116">
        <v>2541.75</v>
      </c>
      <c r="E1764" s="116">
        <v>2560</v>
      </c>
      <c r="F1764" s="116">
        <v>2582.75</v>
      </c>
      <c r="G1764">
        <v>53926</v>
      </c>
      <c r="H1764" s="116"/>
      <c r="I1764" s="116"/>
      <c r="L1764" s="163">
        <v>44601</v>
      </c>
      <c r="M1764" s="116">
        <v>2583.8000000000002</v>
      </c>
      <c r="N1764" s="116">
        <v>2594</v>
      </c>
      <c r="O1764" s="116">
        <v>2543.4</v>
      </c>
      <c r="P1764" s="116">
        <v>2549.9</v>
      </c>
      <c r="Q1764" s="116">
        <v>2583.8000000000002</v>
      </c>
      <c r="R1764">
        <v>811882</v>
      </c>
    </row>
    <row r="1765" spans="1:18" x14ac:dyDescent="0.25">
      <c r="A1765" s="163">
        <v>44602</v>
      </c>
      <c r="B1765" s="116">
        <v>2610.5500000000002</v>
      </c>
      <c r="C1765" s="116">
        <v>2581.9499999999998</v>
      </c>
      <c r="D1765" s="116">
        <v>2549.5500000000002</v>
      </c>
      <c r="E1765" s="116">
        <v>2598</v>
      </c>
      <c r="F1765" s="116">
        <v>2581.9499999999998</v>
      </c>
      <c r="G1765">
        <v>21241</v>
      </c>
      <c r="H1765" s="116"/>
      <c r="I1765" s="116"/>
      <c r="L1765" s="163">
        <v>44602</v>
      </c>
      <c r="M1765" s="116">
        <v>2584.5500000000002</v>
      </c>
      <c r="N1765" s="116">
        <v>2611.85</v>
      </c>
      <c r="O1765" s="116">
        <v>2550.1</v>
      </c>
      <c r="P1765" s="116">
        <v>2598.8000000000002</v>
      </c>
      <c r="Q1765" s="116">
        <v>2584.5500000000002</v>
      </c>
      <c r="R1765">
        <v>698527</v>
      </c>
    </row>
    <row r="1766" spans="1:18" x14ac:dyDescent="0.25">
      <c r="A1766" s="163">
        <v>44603</v>
      </c>
      <c r="B1766" s="116">
        <v>2579.5</v>
      </c>
      <c r="C1766" s="116">
        <v>2476.8000000000002</v>
      </c>
      <c r="D1766" s="116">
        <v>2463.3000000000002</v>
      </c>
      <c r="E1766" s="116">
        <v>2577</v>
      </c>
      <c r="F1766" s="116">
        <v>2476.8000000000002</v>
      </c>
      <c r="G1766">
        <v>57818</v>
      </c>
      <c r="H1766" s="116"/>
      <c r="I1766" s="116"/>
      <c r="L1766" s="163">
        <v>44603</v>
      </c>
      <c r="M1766" s="116">
        <v>2476.5500000000002</v>
      </c>
      <c r="N1766" s="116">
        <v>2578.9499999999998</v>
      </c>
      <c r="O1766" s="116">
        <v>2460.6</v>
      </c>
      <c r="P1766" s="116">
        <v>2560</v>
      </c>
      <c r="Q1766" s="116">
        <v>2476.5500000000002</v>
      </c>
      <c r="R1766">
        <v>792095</v>
      </c>
    </row>
    <row r="1767" spans="1:18" x14ac:dyDescent="0.25">
      <c r="A1767" s="163">
        <v>44606</v>
      </c>
      <c r="B1767" s="116">
        <v>2456.8000000000002</v>
      </c>
      <c r="C1767" s="116">
        <v>2353.75</v>
      </c>
      <c r="D1767" s="116">
        <v>2335</v>
      </c>
      <c r="E1767" s="116">
        <v>2390</v>
      </c>
      <c r="F1767" s="116">
        <v>2353.75</v>
      </c>
      <c r="G1767">
        <v>108422</v>
      </c>
      <c r="H1767" s="116"/>
      <c r="I1767" s="116"/>
      <c r="L1767" s="163">
        <v>44606</v>
      </c>
      <c r="M1767" s="116">
        <v>2345.65</v>
      </c>
      <c r="N1767" s="116">
        <v>2460</v>
      </c>
      <c r="O1767" s="116">
        <v>2335.0500000000002</v>
      </c>
      <c r="P1767" s="116">
        <v>2410</v>
      </c>
      <c r="Q1767" s="116">
        <v>2345.65</v>
      </c>
      <c r="R1767">
        <v>556722</v>
      </c>
    </row>
    <row r="1768" spans="1:18" x14ac:dyDescent="0.25">
      <c r="A1768" s="163">
        <v>44607</v>
      </c>
      <c r="B1768" s="116">
        <v>2503.1</v>
      </c>
      <c r="C1768" s="116">
        <v>2495.4499999999998</v>
      </c>
      <c r="D1768" s="116">
        <v>2359.6999999999998</v>
      </c>
      <c r="E1768" s="116">
        <v>2390</v>
      </c>
      <c r="F1768" s="116">
        <v>2495.4499999999998</v>
      </c>
      <c r="G1768">
        <v>49134</v>
      </c>
      <c r="H1768" s="116"/>
      <c r="I1768" s="116"/>
      <c r="L1768" s="163">
        <v>44607</v>
      </c>
      <c r="M1768" s="116">
        <v>2493.75</v>
      </c>
      <c r="N1768" s="116">
        <v>2503.4499999999998</v>
      </c>
      <c r="O1768" s="116">
        <v>2357.9499999999998</v>
      </c>
      <c r="P1768" s="116">
        <v>2380</v>
      </c>
      <c r="Q1768" s="116">
        <v>2493.75</v>
      </c>
      <c r="R1768">
        <v>664010</v>
      </c>
    </row>
    <row r="1769" spans="1:18" x14ac:dyDescent="0.25">
      <c r="A1769" s="163">
        <v>44608</v>
      </c>
      <c r="B1769" s="116">
        <v>2519.4499999999998</v>
      </c>
      <c r="C1769" s="116">
        <v>2463.25</v>
      </c>
      <c r="D1769" s="116">
        <v>2451</v>
      </c>
      <c r="E1769" s="116">
        <v>2500</v>
      </c>
      <c r="F1769" s="116">
        <v>2463.25</v>
      </c>
      <c r="G1769">
        <v>28046</v>
      </c>
      <c r="H1769" s="116"/>
      <c r="I1769" s="116"/>
      <c r="L1769" s="163">
        <v>44608</v>
      </c>
      <c r="M1769" s="116">
        <v>2462.65</v>
      </c>
      <c r="N1769" s="116">
        <v>2520</v>
      </c>
      <c r="O1769" s="116">
        <v>2447.3000000000002</v>
      </c>
      <c r="P1769" s="116">
        <v>2518</v>
      </c>
      <c r="Q1769" s="116">
        <v>2462.65</v>
      </c>
      <c r="R1769">
        <v>358576</v>
      </c>
    </row>
    <row r="1770" spans="1:18" x14ac:dyDescent="0.25">
      <c r="A1770" s="163">
        <v>44609</v>
      </c>
      <c r="B1770" s="116">
        <v>2494.65</v>
      </c>
      <c r="C1770" s="116">
        <v>2431.35</v>
      </c>
      <c r="D1770" s="116">
        <v>2425</v>
      </c>
      <c r="E1770" s="116">
        <v>2480</v>
      </c>
      <c r="F1770" s="116">
        <v>2431.35</v>
      </c>
      <c r="G1770">
        <v>17105</v>
      </c>
      <c r="H1770" s="116"/>
      <c r="I1770" s="116"/>
      <c r="L1770" s="163">
        <v>44609</v>
      </c>
      <c r="M1770" s="116">
        <v>2432.8000000000002</v>
      </c>
      <c r="N1770" s="116">
        <v>2495.9</v>
      </c>
      <c r="O1770" s="116">
        <v>2424.6999999999998</v>
      </c>
      <c r="P1770" s="116">
        <v>2478</v>
      </c>
      <c r="Q1770" s="116">
        <v>2432.8000000000002</v>
      </c>
      <c r="R1770">
        <v>446606</v>
      </c>
    </row>
    <row r="1771" spans="1:18" x14ac:dyDescent="0.25">
      <c r="A1771" s="163">
        <v>44610</v>
      </c>
      <c r="B1771" s="116">
        <v>2447.6999999999998</v>
      </c>
      <c r="C1771" s="116">
        <v>2383.0500000000002</v>
      </c>
      <c r="D1771" s="116">
        <v>2375</v>
      </c>
      <c r="E1771" s="116">
        <v>2420</v>
      </c>
      <c r="F1771" s="116">
        <v>2383.0500000000002</v>
      </c>
      <c r="G1771">
        <v>14811</v>
      </c>
      <c r="H1771" s="116"/>
      <c r="I1771" s="116"/>
      <c r="L1771" s="163">
        <v>44610</v>
      </c>
      <c r="M1771" s="116">
        <v>2382.9499999999998</v>
      </c>
      <c r="N1771" s="116">
        <v>2447.9499999999998</v>
      </c>
      <c r="O1771" s="116">
        <v>2375</v>
      </c>
      <c r="P1771" s="116">
        <v>2406.5</v>
      </c>
      <c r="Q1771" s="116">
        <v>2382.9499999999998</v>
      </c>
      <c r="R1771">
        <v>386111</v>
      </c>
    </row>
    <row r="1772" spans="1:18" x14ac:dyDescent="0.25">
      <c r="A1772" s="163">
        <v>44613</v>
      </c>
      <c r="B1772" s="116">
        <v>2406</v>
      </c>
      <c r="C1772" s="116">
        <v>2375.5</v>
      </c>
      <c r="D1772" s="116">
        <v>2327.1999999999998</v>
      </c>
      <c r="E1772" s="116">
        <v>2327.1999999999998</v>
      </c>
      <c r="F1772" s="116">
        <v>2375.5</v>
      </c>
      <c r="G1772">
        <v>30119</v>
      </c>
      <c r="H1772" s="116"/>
      <c r="I1772" s="116"/>
      <c r="L1772" s="163">
        <v>44613</v>
      </c>
      <c r="M1772" s="116">
        <v>2375.4</v>
      </c>
      <c r="N1772" s="116">
        <v>2406.9499999999998</v>
      </c>
      <c r="O1772" s="116">
        <v>2334</v>
      </c>
      <c r="P1772" s="116">
        <v>2350</v>
      </c>
      <c r="Q1772" s="116">
        <v>2375.4</v>
      </c>
      <c r="R1772">
        <v>394657</v>
      </c>
    </row>
    <row r="1773" spans="1:18" x14ac:dyDescent="0.25">
      <c r="A1773" s="163">
        <v>44614</v>
      </c>
      <c r="B1773" s="116">
        <v>2383.85</v>
      </c>
      <c r="C1773" s="116">
        <v>2374.75</v>
      </c>
      <c r="D1773" s="116">
        <v>2292.75</v>
      </c>
      <c r="E1773" s="116">
        <v>2303.5500000000002</v>
      </c>
      <c r="F1773" s="116">
        <v>2374.75</v>
      </c>
      <c r="G1773">
        <v>33842</v>
      </c>
      <c r="H1773" s="116"/>
      <c r="I1773" s="116"/>
      <c r="L1773" s="163">
        <v>44614</v>
      </c>
      <c r="M1773" s="116">
        <v>2375.5500000000002</v>
      </c>
      <c r="N1773" s="116">
        <v>2383.15</v>
      </c>
      <c r="O1773" s="116">
        <v>2300.1</v>
      </c>
      <c r="P1773" s="116">
        <v>2300.1</v>
      </c>
      <c r="Q1773" s="116">
        <v>2375.5500000000002</v>
      </c>
      <c r="R1773">
        <v>548655</v>
      </c>
    </row>
    <row r="1774" spans="1:18" x14ac:dyDescent="0.25">
      <c r="A1774" s="163">
        <v>44615</v>
      </c>
      <c r="B1774" s="116">
        <v>2431.1</v>
      </c>
      <c r="C1774" s="116">
        <v>2394.5</v>
      </c>
      <c r="D1774" s="116">
        <v>2377</v>
      </c>
      <c r="E1774" s="116">
        <v>2377</v>
      </c>
      <c r="F1774" s="116">
        <v>2394.5</v>
      </c>
      <c r="G1774">
        <v>22348</v>
      </c>
      <c r="H1774" s="116"/>
      <c r="I1774" s="116"/>
      <c r="L1774" s="163">
        <v>44615</v>
      </c>
      <c r="M1774" s="116">
        <v>2396.4</v>
      </c>
      <c r="N1774" s="116">
        <v>2434</v>
      </c>
      <c r="O1774" s="116">
        <v>2381</v>
      </c>
      <c r="P1774" s="116">
        <v>2400</v>
      </c>
      <c r="Q1774" s="116">
        <v>2396.4</v>
      </c>
      <c r="R1774">
        <v>448332</v>
      </c>
    </row>
    <row r="1775" spans="1:18" x14ac:dyDescent="0.25">
      <c r="A1775" s="163">
        <v>44616</v>
      </c>
      <c r="B1775" s="116">
        <v>2367</v>
      </c>
      <c r="C1775" s="116">
        <v>2268.75</v>
      </c>
      <c r="D1775" s="116">
        <v>2258.8000000000002</v>
      </c>
      <c r="E1775" s="116">
        <v>2365.8000000000002</v>
      </c>
      <c r="F1775" s="116">
        <v>2268.75</v>
      </c>
      <c r="G1775">
        <v>38522</v>
      </c>
      <c r="H1775" s="116"/>
      <c r="I1775" s="116"/>
      <c r="L1775" s="163">
        <v>44616</v>
      </c>
      <c r="M1775" s="116">
        <v>2271.4</v>
      </c>
      <c r="N1775" s="116">
        <v>2370.4</v>
      </c>
      <c r="O1775" s="116">
        <v>2259.25</v>
      </c>
      <c r="P1775" s="116">
        <v>2302</v>
      </c>
      <c r="Q1775" s="116">
        <v>2271.4</v>
      </c>
      <c r="R1775">
        <v>736393</v>
      </c>
    </row>
    <row r="1776" spans="1:18" x14ac:dyDescent="0.25">
      <c r="A1776" s="163">
        <v>44617</v>
      </c>
      <c r="B1776" s="116">
        <v>2435.5500000000002</v>
      </c>
      <c r="C1776" s="116">
        <v>2423.0500000000002</v>
      </c>
      <c r="D1776" s="116">
        <v>2333.3000000000002</v>
      </c>
      <c r="E1776" s="116">
        <v>2380</v>
      </c>
      <c r="F1776" s="116">
        <v>2423.0500000000002</v>
      </c>
      <c r="G1776">
        <v>31235</v>
      </c>
      <c r="H1776" s="116"/>
      <c r="I1776" s="116"/>
      <c r="L1776" s="163">
        <v>44617</v>
      </c>
      <c r="M1776" s="116">
        <v>2424.9</v>
      </c>
      <c r="N1776" s="116">
        <v>2435.9</v>
      </c>
      <c r="O1776" s="116">
        <v>2332.5500000000002</v>
      </c>
      <c r="P1776" s="116">
        <v>2355</v>
      </c>
      <c r="Q1776" s="116">
        <v>2424.9</v>
      </c>
      <c r="R1776">
        <v>949775</v>
      </c>
    </row>
    <row r="1777" spans="1:18" x14ac:dyDescent="0.25">
      <c r="A1777" s="163">
        <v>44620</v>
      </c>
      <c r="B1777" s="116">
        <v>2407.6</v>
      </c>
      <c r="C1777" s="116">
        <v>2383.35</v>
      </c>
      <c r="D1777" s="116">
        <v>2336.4</v>
      </c>
      <c r="E1777" s="116">
        <v>2375</v>
      </c>
      <c r="F1777" s="116">
        <v>2383.35</v>
      </c>
      <c r="G1777">
        <v>29534</v>
      </c>
      <c r="H1777" s="116"/>
      <c r="I1777" s="116"/>
      <c r="L1777" s="163">
        <v>44620</v>
      </c>
      <c r="M1777" s="116">
        <v>2383.65</v>
      </c>
      <c r="N1777" s="116">
        <v>2408</v>
      </c>
      <c r="O1777" s="116">
        <v>2335.35</v>
      </c>
      <c r="P1777" s="116">
        <v>2408</v>
      </c>
      <c r="Q1777" s="116">
        <v>2383.65</v>
      </c>
      <c r="R1777">
        <v>1157729</v>
      </c>
    </row>
    <row r="1778" spans="1:18" x14ac:dyDescent="0.25">
      <c r="A1778" s="163">
        <v>44622</v>
      </c>
      <c r="B1778" s="116">
        <v>2418.25</v>
      </c>
      <c r="C1778" s="116">
        <v>2350.6</v>
      </c>
      <c r="D1778" s="116">
        <v>2329.4</v>
      </c>
      <c r="E1778" s="116">
        <v>2368.4499999999998</v>
      </c>
      <c r="F1778" s="116">
        <v>2350.6</v>
      </c>
      <c r="G1778">
        <v>23265</v>
      </c>
      <c r="H1778" s="116"/>
      <c r="I1778" s="116"/>
      <c r="L1778" s="163">
        <v>44622</v>
      </c>
      <c r="M1778" s="116">
        <v>2349.5500000000002</v>
      </c>
      <c r="N1778" s="116">
        <v>2419</v>
      </c>
      <c r="O1778" s="116">
        <v>2330.1</v>
      </c>
      <c r="P1778" s="116">
        <v>2379</v>
      </c>
      <c r="Q1778" s="116">
        <v>2349.5500000000002</v>
      </c>
      <c r="R1778">
        <v>710813</v>
      </c>
    </row>
    <row r="1779" spans="1:18" x14ac:dyDescent="0.25">
      <c r="A1779" s="163">
        <v>44623</v>
      </c>
      <c r="B1779" s="116">
        <v>2391.65</v>
      </c>
      <c r="C1779" s="116">
        <v>2343.4499999999998</v>
      </c>
      <c r="D1779" s="116">
        <v>2326.15</v>
      </c>
      <c r="E1779" s="116">
        <v>2385</v>
      </c>
      <c r="F1779" s="116">
        <v>2343.4499999999998</v>
      </c>
      <c r="G1779">
        <v>22454</v>
      </c>
      <c r="H1779" s="116"/>
      <c r="I1779" s="116"/>
      <c r="L1779" s="163">
        <v>44623</v>
      </c>
      <c r="M1779" s="116">
        <v>2343.75</v>
      </c>
      <c r="N1779" s="116">
        <v>2392.6</v>
      </c>
      <c r="O1779" s="116">
        <v>2326.3000000000002</v>
      </c>
      <c r="P1779" s="116">
        <v>2380</v>
      </c>
      <c r="Q1779" s="116">
        <v>2343.75</v>
      </c>
      <c r="R1779">
        <v>376606</v>
      </c>
    </row>
    <row r="1780" spans="1:18" x14ac:dyDescent="0.25">
      <c r="A1780" s="163">
        <v>44624</v>
      </c>
      <c r="B1780" s="116">
        <v>2337.35</v>
      </c>
      <c r="C1780" s="116">
        <v>2237.4</v>
      </c>
      <c r="D1780" s="116">
        <v>2226.25</v>
      </c>
      <c r="E1780" s="116">
        <v>2337</v>
      </c>
      <c r="F1780" s="116">
        <v>2237.4</v>
      </c>
      <c r="G1780">
        <v>33846</v>
      </c>
      <c r="H1780" s="116"/>
      <c r="I1780" s="116"/>
      <c r="L1780" s="163">
        <v>44624</v>
      </c>
      <c r="M1780" s="116">
        <v>2234.35</v>
      </c>
      <c r="N1780" s="116">
        <v>2339</v>
      </c>
      <c r="O1780" s="116">
        <v>2225</v>
      </c>
      <c r="P1780" s="116">
        <v>2316</v>
      </c>
      <c r="Q1780" s="116">
        <v>2234.35</v>
      </c>
      <c r="R1780">
        <v>636562</v>
      </c>
    </row>
    <row r="1781" spans="1:18" x14ac:dyDescent="0.25">
      <c r="A1781" s="163">
        <v>44627</v>
      </c>
      <c r="B1781" s="116">
        <v>2210</v>
      </c>
      <c r="C1781" s="116">
        <v>2157.0500000000002</v>
      </c>
      <c r="D1781" s="116">
        <v>2106.35</v>
      </c>
      <c r="E1781" s="116">
        <v>2200.1999999999998</v>
      </c>
      <c r="F1781" s="116">
        <v>2157.0500000000002</v>
      </c>
      <c r="G1781">
        <v>75833</v>
      </c>
      <c r="H1781" s="116"/>
      <c r="I1781" s="116"/>
      <c r="L1781" s="163">
        <v>44627</v>
      </c>
      <c r="M1781" s="116">
        <v>2153.3000000000002</v>
      </c>
      <c r="N1781" s="116">
        <v>2190</v>
      </c>
      <c r="O1781" s="116">
        <v>2106</v>
      </c>
      <c r="P1781" s="116">
        <v>2190</v>
      </c>
      <c r="Q1781" s="116">
        <v>2153.3000000000002</v>
      </c>
      <c r="R1781">
        <v>721602</v>
      </c>
    </row>
    <row r="1782" spans="1:18" x14ac:dyDescent="0.25">
      <c r="A1782" s="163">
        <v>44628</v>
      </c>
      <c r="B1782" s="116">
        <v>2195</v>
      </c>
      <c r="C1782" s="116">
        <v>2188.4499999999998</v>
      </c>
      <c r="D1782" s="116">
        <v>2114.0500000000002</v>
      </c>
      <c r="E1782" s="116">
        <v>2150</v>
      </c>
      <c r="F1782" s="116">
        <v>2188.4499999999998</v>
      </c>
      <c r="G1782">
        <v>67240</v>
      </c>
      <c r="H1782" s="116"/>
      <c r="I1782" s="116"/>
      <c r="L1782" s="163">
        <v>44628</v>
      </c>
      <c r="M1782" s="116">
        <v>2189.75</v>
      </c>
      <c r="N1782" s="116">
        <v>2195</v>
      </c>
      <c r="O1782" s="116">
        <v>2114.1</v>
      </c>
      <c r="P1782" s="116">
        <v>2149</v>
      </c>
      <c r="Q1782" s="116">
        <v>2189.75</v>
      </c>
      <c r="R1782">
        <v>747807</v>
      </c>
    </row>
    <row r="1783" spans="1:18" x14ac:dyDescent="0.25">
      <c r="A1783" s="163">
        <v>44629</v>
      </c>
      <c r="B1783" s="116">
        <v>2249</v>
      </c>
      <c r="C1783" s="116">
        <v>2223.9</v>
      </c>
      <c r="D1783" s="116">
        <v>2192.4499999999998</v>
      </c>
      <c r="E1783" s="116">
        <v>2249</v>
      </c>
      <c r="F1783" s="116">
        <v>2223.9</v>
      </c>
      <c r="G1783">
        <v>23195</v>
      </c>
      <c r="H1783" s="116"/>
      <c r="I1783" s="116"/>
      <c r="L1783" s="163">
        <v>44629</v>
      </c>
      <c r="M1783" s="116">
        <v>2223.8000000000002</v>
      </c>
      <c r="N1783" s="116">
        <v>2243.9499999999998</v>
      </c>
      <c r="O1783" s="116">
        <v>2191</v>
      </c>
      <c r="P1783" s="116">
        <v>2220</v>
      </c>
      <c r="Q1783" s="116">
        <v>2223.8000000000002</v>
      </c>
      <c r="R1783">
        <v>716268</v>
      </c>
    </row>
    <row r="1784" spans="1:18" x14ac:dyDescent="0.25">
      <c r="A1784" s="163">
        <v>44630</v>
      </c>
      <c r="B1784" s="116">
        <v>2330</v>
      </c>
      <c r="C1784" s="116">
        <v>2281.6</v>
      </c>
      <c r="D1784" s="116">
        <v>2231</v>
      </c>
      <c r="E1784" s="116">
        <v>2318</v>
      </c>
      <c r="F1784" s="116">
        <v>2281.6</v>
      </c>
      <c r="G1784">
        <v>29210</v>
      </c>
      <c r="H1784" s="116"/>
      <c r="I1784" s="116"/>
      <c r="L1784" s="163">
        <v>44630</v>
      </c>
      <c r="M1784" s="116">
        <v>2284.6999999999998</v>
      </c>
      <c r="N1784" s="116">
        <v>2304</v>
      </c>
      <c r="O1784" s="116">
        <v>2247</v>
      </c>
      <c r="P1784" s="116">
        <v>2300</v>
      </c>
      <c r="Q1784" s="116">
        <v>2284.6999999999998</v>
      </c>
      <c r="R1784">
        <v>631055</v>
      </c>
    </row>
    <row r="1785" spans="1:18" x14ac:dyDescent="0.25">
      <c r="A1785" s="163">
        <v>44631</v>
      </c>
      <c r="B1785" s="116">
        <v>2285.9</v>
      </c>
      <c r="C1785" s="116">
        <v>2248.35</v>
      </c>
      <c r="D1785" s="116">
        <v>2236</v>
      </c>
      <c r="E1785" s="116">
        <v>2285.9</v>
      </c>
      <c r="F1785" s="116">
        <v>2248.35</v>
      </c>
      <c r="G1785">
        <v>15136</v>
      </c>
      <c r="H1785" s="116"/>
      <c r="I1785" s="116"/>
      <c r="L1785" s="163">
        <v>44631</v>
      </c>
      <c r="M1785" s="116">
        <v>2250.75</v>
      </c>
      <c r="N1785" s="116">
        <v>2279</v>
      </c>
      <c r="O1785" s="116">
        <v>2234.35</v>
      </c>
      <c r="P1785" s="116">
        <v>2278</v>
      </c>
      <c r="Q1785" s="116">
        <v>2250.75</v>
      </c>
      <c r="R1785">
        <v>802073</v>
      </c>
    </row>
    <row r="1786" spans="1:18" x14ac:dyDescent="0.25">
      <c r="A1786" s="163">
        <v>44634</v>
      </c>
      <c r="B1786" s="116">
        <v>2460.75</v>
      </c>
      <c r="C1786" s="116">
        <v>2354.5</v>
      </c>
      <c r="D1786" s="116">
        <v>2239.9499999999998</v>
      </c>
      <c r="E1786" s="116">
        <v>2239.9499999999998</v>
      </c>
      <c r="F1786" s="116">
        <v>2354.5</v>
      </c>
      <c r="G1786">
        <v>22748</v>
      </c>
      <c r="H1786" s="116"/>
      <c r="I1786" s="116"/>
      <c r="L1786" s="163">
        <v>44634</v>
      </c>
      <c r="M1786" s="116">
        <v>2355.4</v>
      </c>
      <c r="N1786" s="116">
        <v>2475</v>
      </c>
      <c r="O1786" s="116">
        <v>2240.1999999999998</v>
      </c>
      <c r="P1786" s="116">
        <v>2242</v>
      </c>
      <c r="Q1786" s="116">
        <v>2355.4</v>
      </c>
      <c r="R1786">
        <v>839106</v>
      </c>
    </row>
    <row r="1787" spans="1:18" x14ac:dyDescent="0.25">
      <c r="A1787" s="163">
        <v>44635</v>
      </c>
      <c r="B1787" s="116">
        <v>2435.9499999999998</v>
      </c>
      <c r="C1787" s="116">
        <v>2418</v>
      </c>
      <c r="D1787" s="116">
        <v>2360</v>
      </c>
      <c r="E1787" s="116">
        <v>2360</v>
      </c>
      <c r="F1787" s="116">
        <v>2418</v>
      </c>
      <c r="G1787">
        <v>35290</v>
      </c>
      <c r="H1787" s="116"/>
      <c r="I1787" s="116"/>
      <c r="L1787" s="163">
        <v>44635</v>
      </c>
      <c r="M1787" s="116">
        <v>2420</v>
      </c>
      <c r="N1787" s="116">
        <v>2436.65</v>
      </c>
      <c r="O1787" s="116">
        <v>2360.0500000000002</v>
      </c>
      <c r="P1787" s="116">
        <v>2368</v>
      </c>
      <c r="Q1787" s="116">
        <v>2420</v>
      </c>
      <c r="R1787">
        <v>1467575</v>
      </c>
    </row>
    <row r="1788" spans="1:18" x14ac:dyDescent="0.25">
      <c r="A1788" s="163">
        <v>44636</v>
      </c>
      <c r="B1788" s="116">
        <v>2477</v>
      </c>
      <c r="C1788" s="116">
        <v>2468.5</v>
      </c>
      <c r="D1788" s="116">
        <v>2421.6999999999998</v>
      </c>
      <c r="E1788" s="116">
        <v>2477</v>
      </c>
      <c r="F1788" s="116">
        <v>2468.5</v>
      </c>
      <c r="G1788">
        <v>18812</v>
      </c>
      <c r="H1788" s="116"/>
      <c r="I1788" s="116"/>
      <c r="L1788" s="163">
        <v>44636</v>
      </c>
      <c r="M1788" s="116">
        <v>2469.1999999999998</v>
      </c>
      <c r="N1788" s="116">
        <v>2477.3000000000002</v>
      </c>
      <c r="O1788" s="116">
        <v>2421</v>
      </c>
      <c r="P1788" s="116">
        <v>2477.3000000000002</v>
      </c>
      <c r="Q1788" s="116">
        <v>2469.1999999999998</v>
      </c>
      <c r="R1788">
        <v>781770</v>
      </c>
    </row>
    <row r="1789" spans="1:18" x14ac:dyDescent="0.25">
      <c r="A1789" s="163">
        <v>44637</v>
      </c>
      <c r="B1789" s="116">
        <v>2595.35</v>
      </c>
      <c r="C1789" s="116">
        <v>2586.3000000000002</v>
      </c>
      <c r="D1789" s="116">
        <v>2476.8000000000002</v>
      </c>
      <c r="E1789" s="116">
        <v>2476.8000000000002</v>
      </c>
      <c r="F1789" s="116">
        <v>2586.3000000000002</v>
      </c>
      <c r="G1789">
        <v>32990</v>
      </c>
      <c r="H1789" s="116"/>
      <c r="I1789" s="116"/>
      <c r="L1789" s="163">
        <v>44637</v>
      </c>
      <c r="M1789" s="116">
        <v>2588.1999999999998</v>
      </c>
      <c r="N1789" s="116">
        <v>2596.3000000000002</v>
      </c>
      <c r="O1789" s="116">
        <v>2485.1</v>
      </c>
      <c r="P1789" s="116">
        <v>2488</v>
      </c>
      <c r="Q1789" s="116">
        <v>2588.1999999999998</v>
      </c>
      <c r="R1789">
        <v>1593596</v>
      </c>
    </row>
    <row r="1790" spans="1:18" x14ac:dyDescent="0.25">
      <c r="A1790" s="163">
        <v>44641</v>
      </c>
      <c r="B1790" s="116">
        <v>2657.95</v>
      </c>
      <c r="C1790" s="116">
        <v>2605.1</v>
      </c>
      <c r="D1790" s="116">
        <v>2582</v>
      </c>
      <c r="E1790" s="116">
        <v>2630</v>
      </c>
      <c r="F1790" s="116">
        <v>2605.1</v>
      </c>
      <c r="G1790">
        <v>32470</v>
      </c>
      <c r="H1790" s="116"/>
      <c r="I1790" s="116"/>
      <c r="L1790" s="163">
        <v>44641</v>
      </c>
      <c r="M1790" s="116">
        <v>2605.4499999999998</v>
      </c>
      <c r="N1790" s="116">
        <v>2658.95</v>
      </c>
      <c r="O1790" s="116">
        <v>2582.15</v>
      </c>
      <c r="P1790" s="116">
        <v>2615.4</v>
      </c>
      <c r="Q1790" s="116">
        <v>2605.4499999999998</v>
      </c>
      <c r="R1790">
        <v>1055088</v>
      </c>
    </row>
    <row r="1791" spans="1:18" x14ac:dyDescent="0.25">
      <c r="A1791" s="163">
        <v>44642</v>
      </c>
      <c r="B1791" s="116">
        <v>2653</v>
      </c>
      <c r="C1791" s="116">
        <v>2631.2</v>
      </c>
      <c r="D1791" s="116">
        <v>2561.3000000000002</v>
      </c>
      <c r="E1791" s="116">
        <v>2620</v>
      </c>
      <c r="F1791" s="116">
        <v>2631.2</v>
      </c>
      <c r="G1791">
        <v>23312</v>
      </c>
      <c r="H1791" s="116"/>
      <c r="I1791" s="116"/>
      <c r="L1791" s="163">
        <v>44642</v>
      </c>
      <c r="M1791" s="116">
        <v>2630.45</v>
      </c>
      <c r="N1791" s="116">
        <v>2653.95</v>
      </c>
      <c r="O1791" s="116">
        <v>2560.4</v>
      </c>
      <c r="P1791" s="116">
        <v>2613.9499999999998</v>
      </c>
      <c r="Q1791" s="116">
        <v>2630.45</v>
      </c>
      <c r="R1791">
        <v>729721</v>
      </c>
    </row>
    <row r="1792" spans="1:18" x14ac:dyDescent="0.25">
      <c r="A1792" s="163">
        <v>44643</v>
      </c>
      <c r="B1792" s="116">
        <v>2674</v>
      </c>
      <c r="C1792" s="116">
        <v>2596.6</v>
      </c>
      <c r="D1792" s="116">
        <v>2550</v>
      </c>
      <c r="E1792" s="116">
        <v>2639.35</v>
      </c>
      <c r="F1792" s="116">
        <v>2596.6</v>
      </c>
      <c r="G1792">
        <v>31446</v>
      </c>
      <c r="H1792" s="116"/>
      <c r="I1792" s="116"/>
      <c r="L1792" s="163">
        <v>44643</v>
      </c>
      <c r="M1792" s="116">
        <v>2595.1999999999998</v>
      </c>
      <c r="N1792" s="116">
        <v>2673.5</v>
      </c>
      <c r="O1792" s="116">
        <v>2553</v>
      </c>
      <c r="P1792" s="116">
        <v>2658</v>
      </c>
      <c r="Q1792" s="116">
        <v>2595.1999999999998</v>
      </c>
      <c r="R1792">
        <v>588552</v>
      </c>
    </row>
    <row r="1793" spans="1:18" x14ac:dyDescent="0.25">
      <c r="A1793" s="163">
        <v>44644</v>
      </c>
      <c r="B1793" s="116">
        <v>2624.65</v>
      </c>
      <c r="C1793" s="116">
        <v>2609.15</v>
      </c>
      <c r="D1793" s="116">
        <v>2528.35</v>
      </c>
      <c r="E1793" s="116">
        <v>2547.4</v>
      </c>
      <c r="F1793" s="116">
        <v>2609.15</v>
      </c>
      <c r="G1793">
        <v>25648</v>
      </c>
      <c r="H1793" s="116"/>
      <c r="I1793" s="116"/>
      <c r="L1793" s="163">
        <v>44644</v>
      </c>
      <c r="M1793" s="116">
        <v>2608.1</v>
      </c>
      <c r="N1793" s="116">
        <v>2623.95</v>
      </c>
      <c r="O1793" s="116">
        <v>2530</v>
      </c>
      <c r="P1793" s="116">
        <v>2533</v>
      </c>
      <c r="Q1793" s="116">
        <v>2608.1</v>
      </c>
      <c r="R1793">
        <v>834422</v>
      </c>
    </row>
    <row r="1794" spans="1:18" x14ac:dyDescent="0.25">
      <c r="A1794" s="163">
        <v>44645</v>
      </c>
      <c r="B1794" s="116">
        <v>2627.55</v>
      </c>
      <c r="C1794" s="116">
        <v>2615.4</v>
      </c>
      <c r="D1794" s="116">
        <v>2599.5</v>
      </c>
      <c r="E1794" s="116">
        <v>2624</v>
      </c>
      <c r="F1794" s="116">
        <v>2615.4</v>
      </c>
      <c r="G1794">
        <v>18092</v>
      </c>
      <c r="H1794" s="116"/>
      <c r="I1794" s="116"/>
      <c r="L1794" s="163">
        <v>44645</v>
      </c>
      <c r="M1794" s="116">
        <v>2614.5500000000002</v>
      </c>
      <c r="N1794" s="116">
        <v>2627.6</v>
      </c>
      <c r="O1794" s="116">
        <v>2600</v>
      </c>
      <c r="P1794" s="116">
        <v>2620</v>
      </c>
      <c r="Q1794" s="116">
        <v>2614.5500000000002</v>
      </c>
      <c r="R1794">
        <v>251144</v>
      </c>
    </row>
    <row r="1795" spans="1:18" x14ac:dyDescent="0.25">
      <c r="A1795" s="163">
        <v>44648</v>
      </c>
      <c r="B1795" s="116">
        <v>2635</v>
      </c>
      <c r="C1795" s="116">
        <v>2604.35</v>
      </c>
      <c r="D1795" s="116">
        <v>2565.1</v>
      </c>
      <c r="E1795" s="116">
        <v>2615.4</v>
      </c>
      <c r="F1795" s="116">
        <v>2604.35</v>
      </c>
      <c r="G1795">
        <v>14618</v>
      </c>
      <c r="H1795" s="116"/>
      <c r="I1795" s="116"/>
      <c r="L1795" s="163">
        <v>44648</v>
      </c>
      <c r="M1795" s="116">
        <v>2605.75</v>
      </c>
      <c r="N1795" s="116">
        <v>2637.6</v>
      </c>
      <c r="O1795" s="116">
        <v>2565.0500000000002</v>
      </c>
      <c r="P1795" s="116">
        <v>2616</v>
      </c>
      <c r="Q1795" s="116">
        <v>2605.75</v>
      </c>
      <c r="R1795">
        <v>443424</v>
      </c>
    </row>
    <row r="1796" spans="1:18" x14ac:dyDescent="0.25">
      <c r="A1796" s="163">
        <v>44649</v>
      </c>
      <c r="B1796" s="116">
        <v>2679.15</v>
      </c>
      <c r="C1796" s="116">
        <v>2622.3</v>
      </c>
      <c r="D1796" s="116">
        <v>2602.25</v>
      </c>
      <c r="E1796" s="116">
        <v>2612.25</v>
      </c>
      <c r="F1796" s="116">
        <v>2622.3</v>
      </c>
      <c r="G1796">
        <v>20161</v>
      </c>
      <c r="H1796" s="116"/>
      <c r="I1796" s="116"/>
      <c r="L1796" s="163">
        <v>44649</v>
      </c>
      <c r="M1796" s="116">
        <v>2621.25</v>
      </c>
      <c r="N1796" s="116">
        <v>2679.95</v>
      </c>
      <c r="O1796" s="116">
        <v>2602.1</v>
      </c>
      <c r="P1796" s="116">
        <v>2607.1999999999998</v>
      </c>
      <c r="Q1796" s="116">
        <v>2621.25</v>
      </c>
      <c r="R1796">
        <v>837632</v>
      </c>
    </row>
    <row r="1797" spans="1:18" x14ac:dyDescent="0.25">
      <c r="A1797" s="163">
        <v>44650</v>
      </c>
      <c r="B1797" s="116">
        <v>2734</v>
      </c>
      <c r="C1797" s="116">
        <v>2708.7</v>
      </c>
      <c r="D1797" s="116">
        <v>2626.85</v>
      </c>
      <c r="E1797" s="116">
        <v>2662</v>
      </c>
      <c r="F1797" s="116">
        <v>2708.7</v>
      </c>
      <c r="G1797">
        <v>54378</v>
      </c>
      <c r="H1797" s="116"/>
      <c r="I1797" s="116"/>
      <c r="L1797" s="163">
        <v>44650</v>
      </c>
      <c r="M1797" s="116">
        <v>2705.85</v>
      </c>
      <c r="N1797" s="116">
        <v>2734.6</v>
      </c>
      <c r="O1797" s="116">
        <v>2626.8</v>
      </c>
      <c r="P1797" s="116">
        <v>2650</v>
      </c>
      <c r="Q1797" s="116">
        <v>2705.85</v>
      </c>
      <c r="R1797">
        <v>2954341</v>
      </c>
    </row>
    <row r="1798" spans="1:18" x14ac:dyDescent="0.25">
      <c r="A1798" s="163">
        <v>44651</v>
      </c>
      <c r="B1798" s="116">
        <v>2729.15</v>
      </c>
      <c r="C1798" s="116">
        <v>2678.45</v>
      </c>
      <c r="D1798" s="116">
        <v>2645</v>
      </c>
      <c r="E1798" s="116">
        <v>2720</v>
      </c>
      <c r="F1798" s="116">
        <v>2678.45</v>
      </c>
      <c r="G1798">
        <v>46318</v>
      </c>
      <c r="H1798" s="116"/>
      <c r="I1798" s="116"/>
      <c r="L1798" s="163">
        <v>44651</v>
      </c>
      <c r="M1798" s="116">
        <v>2679.35</v>
      </c>
      <c r="N1798" s="116">
        <v>2732.85</v>
      </c>
      <c r="O1798" s="116">
        <v>2645.25</v>
      </c>
      <c r="P1798" s="116">
        <v>2732.85</v>
      </c>
      <c r="Q1798" s="116">
        <v>2679.35</v>
      </c>
      <c r="R1798">
        <v>918574</v>
      </c>
    </row>
    <row r="1799" spans="1:18" x14ac:dyDescent="0.25">
      <c r="A1799" s="163">
        <v>44652</v>
      </c>
      <c r="B1799" s="116">
        <v>2713.45</v>
      </c>
      <c r="C1799" s="116">
        <v>2621.95</v>
      </c>
      <c r="D1799" s="116">
        <v>2614.15</v>
      </c>
      <c r="E1799" s="116">
        <v>2694</v>
      </c>
      <c r="F1799" s="116">
        <v>2621.95</v>
      </c>
      <c r="G1799">
        <v>35210</v>
      </c>
      <c r="H1799" s="116"/>
      <c r="I1799" s="116"/>
      <c r="L1799" s="163">
        <v>44652</v>
      </c>
      <c r="M1799" s="116">
        <v>2621.85</v>
      </c>
      <c r="N1799" s="116">
        <v>2715</v>
      </c>
      <c r="O1799" s="116">
        <v>2612.85</v>
      </c>
      <c r="P1799" s="116">
        <v>2690</v>
      </c>
      <c r="Q1799" s="116">
        <v>2621.85</v>
      </c>
      <c r="R1799">
        <v>1104351</v>
      </c>
    </row>
    <row r="1800" spans="1:18" x14ac:dyDescent="0.25">
      <c r="A1800" s="163">
        <v>44655</v>
      </c>
      <c r="B1800" s="116">
        <v>2667.6</v>
      </c>
      <c r="C1800" s="116">
        <v>2634.5</v>
      </c>
      <c r="D1800" s="116">
        <v>2621.1</v>
      </c>
      <c r="E1800" s="116">
        <v>2661</v>
      </c>
      <c r="F1800" s="116">
        <v>2634.5</v>
      </c>
      <c r="G1800">
        <v>29991</v>
      </c>
      <c r="H1800" s="116"/>
      <c r="I1800" s="116"/>
      <c r="L1800" s="163">
        <v>44655</v>
      </c>
      <c r="M1800" s="116">
        <v>2636.3</v>
      </c>
      <c r="N1800" s="116">
        <v>2667.5</v>
      </c>
      <c r="O1800" s="116">
        <v>2620.15</v>
      </c>
      <c r="P1800" s="116">
        <v>2650</v>
      </c>
      <c r="Q1800" s="116">
        <v>2636.3</v>
      </c>
      <c r="R1800">
        <v>502552</v>
      </c>
    </row>
    <row r="1801" spans="1:18" x14ac:dyDescent="0.25">
      <c r="A1801" s="163">
        <v>44656</v>
      </c>
      <c r="B1801" s="116">
        <v>2756.2</v>
      </c>
      <c r="C1801" s="116">
        <v>2709.55</v>
      </c>
      <c r="D1801" s="116">
        <v>2636.85</v>
      </c>
      <c r="E1801" s="116">
        <v>2665.5</v>
      </c>
      <c r="F1801" s="116">
        <v>2709.55</v>
      </c>
      <c r="G1801">
        <v>72497</v>
      </c>
      <c r="H1801" s="116"/>
      <c r="I1801" s="116"/>
      <c r="L1801" s="163">
        <v>44656</v>
      </c>
      <c r="M1801" s="116">
        <v>2709.5</v>
      </c>
      <c r="N1801" s="116">
        <v>2755.65</v>
      </c>
      <c r="O1801" s="116">
        <v>2633.05</v>
      </c>
      <c r="P1801" s="116">
        <v>2651</v>
      </c>
      <c r="Q1801" s="116">
        <v>2709.5</v>
      </c>
      <c r="R1801">
        <v>1116588</v>
      </c>
    </row>
    <row r="1802" spans="1:18" x14ac:dyDescent="0.25">
      <c r="A1802" s="163">
        <v>44657</v>
      </c>
      <c r="B1802" s="116">
        <v>2710.5</v>
      </c>
      <c r="C1802" s="116">
        <v>2685.45</v>
      </c>
      <c r="D1802" s="116">
        <v>2660</v>
      </c>
      <c r="E1802" s="116">
        <v>2708</v>
      </c>
      <c r="F1802" s="116">
        <v>2685.45</v>
      </c>
      <c r="G1802">
        <v>28165</v>
      </c>
      <c r="H1802" s="116"/>
      <c r="I1802" s="116"/>
      <c r="L1802" s="163">
        <v>44657</v>
      </c>
      <c r="M1802" s="116">
        <v>2684.7</v>
      </c>
      <c r="N1802" s="116">
        <v>2712</v>
      </c>
      <c r="O1802" s="116">
        <v>2660</v>
      </c>
      <c r="P1802" s="116">
        <v>2700</v>
      </c>
      <c r="Q1802" s="116">
        <v>2684.7</v>
      </c>
      <c r="R1802">
        <v>636435</v>
      </c>
    </row>
    <row r="1803" spans="1:18" x14ac:dyDescent="0.25">
      <c r="A1803" s="163">
        <v>44658</v>
      </c>
      <c r="B1803" s="116">
        <v>2735.3</v>
      </c>
      <c r="C1803" s="116">
        <v>2686.2</v>
      </c>
      <c r="D1803" s="116">
        <v>2661.1</v>
      </c>
      <c r="E1803" s="116">
        <v>2687</v>
      </c>
      <c r="F1803" s="116">
        <v>2686.2</v>
      </c>
      <c r="G1803">
        <v>42058</v>
      </c>
      <c r="H1803" s="116"/>
      <c r="I1803" s="116"/>
      <c r="L1803" s="163">
        <v>44658</v>
      </c>
      <c r="M1803" s="116">
        <v>2688.6</v>
      </c>
      <c r="N1803" s="116">
        <v>2735.9</v>
      </c>
      <c r="O1803" s="116">
        <v>2662</v>
      </c>
      <c r="P1803" s="116">
        <v>2680</v>
      </c>
      <c r="Q1803" s="116">
        <v>2688.6</v>
      </c>
      <c r="R1803">
        <v>655014</v>
      </c>
    </row>
    <row r="1804" spans="1:18" x14ac:dyDescent="0.25">
      <c r="A1804" s="163">
        <v>44659</v>
      </c>
      <c r="B1804" s="116">
        <v>2773</v>
      </c>
      <c r="C1804" s="116">
        <v>2747.8</v>
      </c>
      <c r="D1804" s="116">
        <v>2677.15</v>
      </c>
      <c r="E1804" s="116">
        <v>2677.15</v>
      </c>
      <c r="F1804" s="116">
        <v>2747.8</v>
      </c>
      <c r="G1804">
        <v>27033</v>
      </c>
      <c r="H1804" s="116"/>
      <c r="I1804" s="116"/>
      <c r="L1804" s="163">
        <v>44659</v>
      </c>
      <c r="M1804" s="116">
        <v>2747.6</v>
      </c>
      <c r="N1804" s="116">
        <v>2773.35</v>
      </c>
      <c r="O1804" s="116">
        <v>2686.2</v>
      </c>
      <c r="P1804" s="116">
        <v>2697</v>
      </c>
      <c r="Q1804" s="116">
        <v>2747.6</v>
      </c>
      <c r="R1804">
        <v>1579463</v>
      </c>
    </row>
    <row r="1805" spans="1:18" x14ac:dyDescent="0.25">
      <c r="A1805" s="163">
        <v>44662</v>
      </c>
      <c r="B1805" s="116">
        <v>2766.45</v>
      </c>
      <c r="C1805" s="116">
        <v>2698.95</v>
      </c>
      <c r="D1805" s="116">
        <v>2692</v>
      </c>
      <c r="E1805" s="116">
        <v>2765</v>
      </c>
      <c r="F1805" s="116">
        <v>2698.95</v>
      </c>
      <c r="G1805">
        <v>21736</v>
      </c>
      <c r="H1805" s="116"/>
      <c r="I1805" s="116"/>
      <c r="L1805" s="163">
        <v>44662</v>
      </c>
      <c r="M1805" s="116">
        <v>2698.9</v>
      </c>
      <c r="N1805" s="116">
        <v>2763.6</v>
      </c>
      <c r="O1805" s="116">
        <v>2690.3</v>
      </c>
      <c r="P1805" s="116">
        <v>2759.95</v>
      </c>
      <c r="Q1805" s="116">
        <v>2698.9</v>
      </c>
      <c r="R1805">
        <v>463269</v>
      </c>
    </row>
    <row r="1806" spans="1:18" x14ac:dyDescent="0.25">
      <c r="A1806" s="163">
        <v>44663</v>
      </c>
      <c r="B1806" s="116">
        <v>2709.3</v>
      </c>
      <c r="C1806" s="116">
        <v>2635.75</v>
      </c>
      <c r="D1806" s="116">
        <v>2595</v>
      </c>
      <c r="E1806" s="116">
        <v>2705</v>
      </c>
      <c r="F1806" s="116">
        <v>2635.75</v>
      </c>
      <c r="G1806">
        <v>45413</v>
      </c>
      <c r="H1806" s="116"/>
      <c r="I1806" s="116"/>
      <c r="L1806" s="163">
        <v>44663</v>
      </c>
      <c r="M1806" s="116">
        <v>2635.75</v>
      </c>
      <c r="N1806" s="116">
        <v>2710</v>
      </c>
      <c r="O1806" s="116">
        <v>2595.0500000000002</v>
      </c>
      <c r="P1806" s="116">
        <v>2700</v>
      </c>
      <c r="Q1806" s="116">
        <v>2635.75</v>
      </c>
      <c r="R1806">
        <v>893233</v>
      </c>
    </row>
    <row r="1807" spans="1:18" x14ac:dyDescent="0.25">
      <c r="A1807" s="163">
        <v>44664</v>
      </c>
      <c r="B1807" s="116">
        <v>2676.85</v>
      </c>
      <c r="C1807" s="116">
        <v>2612.5</v>
      </c>
      <c r="D1807" s="116">
        <v>2599.4</v>
      </c>
      <c r="E1807" s="116">
        <v>2658</v>
      </c>
      <c r="F1807" s="116">
        <v>2612.5</v>
      </c>
      <c r="G1807">
        <v>22301</v>
      </c>
      <c r="H1807" s="116"/>
      <c r="I1807" s="116"/>
      <c r="L1807" s="163">
        <v>44664</v>
      </c>
      <c r="M1807" s="116">
        <v>2611.0500000000002</v>
      </c>
      <c r="N1807" s="116">
        <v>2677.5</v>
      </c>
      <c r="O1807" s="116">
        <v>2597.4499999999998</v>
      </c>
      <c r="P1807" s="116">
        <v>2648</v>
      </c>
      <c r="Q1807" s="116">
        <v>2611.0500000000002</v>
      </c>
      <c r="R1807">
        <v>491749</v>
      </c>
    </row>
    <row r="1808" spans="1:18" x14ac:dyDescent="0.25">
      <c r="A1808" s="163">
        <v>44669</v>
      </c>
      <c r="B1808" s="116">
        <v>2643</v>
      </c>
      <c r="C1808" s="116">
        <v>2616.5</v>
      </c>
      <c r="D1808" s="116">
        <v>2520.9</v>
      </c>
      <c r="E1808" s="116">
        <v>2580</v>
      </c>
      <c r="F1808" s="116">
        <v>2616.5</v>
      </c>
      <c r="G1808">
        <v>42635</v>
      </c>
      <c r="H1808" s="116"/>
      <c r="I1808" s="116"/>
      <c r="L1808" s="163">
        <v>44669</v>
      </c>
      <c r="M1808" s="116">
        <v>2615.75</v>
      </c>
      <c r="N1808" s="116">
        <v>2643.6</v>
      </c>
      <c r="O1808" s="116">
        <v>2519.6</v>
      </c>
      <c r="P1808" s="116">
        <v>2595</v>
      </c>
      <c r="Q1808" s="116">
        <v>2615.75</v>
      </c>
      <c r="R1808">
        <v>955240</v>
      </c>
    </row>
    <row r="1809" spans="1:18" x14ac:dyDescent="0.25">
      <c r="A1809" s="163">
        <v>44670</v>
      </c>
      <c r="B1809" s="116">
        <v>2656.05</v>
      </c>
      <c r="C1809" s="116">
        <v>2526.0500000000002</v>
      </c>
      <c r="D1809" s="116">
        <v>2475</v>
      </c>
      <c r="E1809" s="116">
        <v>2650</v>
      </c>
      <c r="F1809" s="116">
        <v>2526.0500000000002</v>
      </c>
      <c r="G1809">
        <v>19630</v>
      </c>
      <c r="H1809" s="116"/>
      <c r="I1809" s="116"/>
      <c r="L1809" s="163">
        <v>44670</v>
      </c>
      <c r="M1809" s="116">
        <v>2528.9499999999998</v>
      </c>
      <c r="N1809" s="116">
        <v>2656.45</v>
      </c>
      <c r="O1809" s="116">
        <v>2480</v>
      </c>
      <c r="P1809" s="116">
        <v>2634</v>
      </c>
      <c r="Q1809" s="116">
        <v>2528.9499999999998</v>
      </c>
      <c r="R1809">
        <v>552389</v>
      </c>
    </row>
    <row r="1810" spans="1:18" x14ac:dyDescent="0.25">
      <c r="A1810" s="163">
        <v>44671</v>
      </c>
      <c r="B1810" s="116">
        <v>2616.8000000000002</v>
      </c>
      <c r="C1810" s="116">
        <v>2540.25</v>
      </c>
      <c r="D1810" s="116">
        <v>2503.1</v>
      </c>
      <c r="E1810" s="116">
        <v>2521</v>
      </c>
      <c r="F1810" s="116">
        <v>2540.25</v>
      </c>
      <c r="G1810">
        <v>17112</v>
      </c>
      <c r="H1810" s="116"/>
      <c r="I1810" s="116"/>
      <c r="L1810" s="163">
        <v>44671</v>
      </c>
      <c r="M1810" s="116">
        <v>2542.65</v>
      </c>
      <c r="N1810" s="116">
        <v>2617.65</v>
      </c>
      <c r="O1810" s="116">
        <v>2501.65</v>
      </c>
      <c r="P1810" s="116">
        <v>2520</v>
      </c>
      <c r="Q1810" s="116">
        <v>2542.65</v>
      </c>
      <c r="R1810">
        <v>929202</v>
      </c>
    </row>
    <row r="1811" spans="1:18" x14ac:dyDescent="0.25">
      <c r="A1811" s="163">
        <v>44672</v>
      </c>
      <c r="B1811" s="116">
        <v>2583.9499999999998</v>
      </c>
      <c r="C1811" s="116">
        <v>2546.35</v>
      </c>
      <c r="D1811" s="116">
        <v>2532.5500000000002</v>
      </c>
      <c r="E1811" s="116">
        <v>2570</v>
      </c>
      <c r="F1811" s="116">
        <v>2546.35</v>
      </c>
      <c r="G1811">
        <v>7335</v>
      </c>
      <c r="H1811" s="116"/>
      <c r="I1811" s="116"/>
      <c r="L1811" s="163">
        <v>44672</v>
      </c>
      <c r="M1811" s="116">
        <v>2547.4</v>
      </c>
      <c r="N1811" s="116">
        <v>2584.3000000000002</v>
      </c>
      <c r="O1811" s="116">
        <v>2531.3000000000002</v>
      </c>
      <c r="P1811" s="116">
        <v>2560.4499999999998</v>
      </c>
      <c r="Q1811" s="116">
        <v>2547.4</v>
      </c>
      <c r="R1811">
        <v>531946</v>
      </c>
    </row>
    <row r="1812" spans="1:18" x14ac:dyDescent="0.25">
      <c r="A1812" s="163">
        <v>44673</v>
      </c>
      <c r="B1812" s="116">
        <v>2535</v>
      </c>
      <c r="C1812" s="116">
        <v>2490.35</v>
      </c>
      <c r="D1812" s="116">
        <v>2475.1</v>
      </c>
      <c r="E1812" s="116">
        <v>2535</v>
      </c>
      <c r="F1812" s="116">
        <v>2490.35</v>
      </c>
      <c r="G1812">
        <v>11764</v>
      </c>
      <c r="H1812" s="116"/>
      <c r="I1812" s="116"/>
      <c r="L1812" s="163">
        <v>44673</v>
      </c>
      <c r="M1812" s="116">
        <v>2489.35</v>
      </c>
      <c r="N1812" s="116">
        <v>2534.9</v>
      </c>
      <c r="O1812" s="116">
        <v>2475</v>
      </c>
      <c r="P1812" s="116">
        <v>2510</v>
      </c>
      <c r="Q1812" s="116">
        <v>2489.35</v>
      </c>
      <c r="R1812">
        <v>614298</v>
      </c>
    </row>
    <row r="1813" spans="1:18" x14ac:dyDescent="0.25">
      <c r="A1813" s="163">
        <v>44676</v>
      </c>
      <c r="B1813" s="116">
        <v>2487.35</v>
      </c>
      <c r="C1813" s="116">
        <v>2434.4</v>
      </c>
      <c r="D1813" s="116">
        <v>2425</v>
      </c>
      <c r="E1813" s="116">
        <v>2450</v>
      </c>
      <c r="F1813" s="116">
        <v>2434.4</v>
      </c>
      <c r="G1813">
        <v>26006</v>
      </c>
      <c r="H1813" s="116"/>
      <c r="I1813" s="116"/>
      <c r="L1813" s="163">
        <v>44676</v>
      </c>
      <c r="M1813" s="116">
        <v>2434.75</v>
      </c>
      <c r="N1813" s="116">
        <v>2488</v>
      </c>
      <c r="O1813" s="116">
        <v>2424</v>
      </c>
      <c r="P1813" s="116">
        <v>2468</v>
      </c>
      <c r="Q1813" s="116">
        <v>2434.75</v>
      </c>
      <c r="R1813">
        <v>641367</v>
      </c>
    </row>
    <row r="1814" spans="1:18" x14ac:dyDescent="0.25">
      <c r="A1814" s="163">
        <v>44677</v>
      </c>
      <c r="B1814" s="116">
        <v>2541</v>
      </c>
      <c r="C1814" s="116">
        <v>2513.8000000000002</v>
      </c>
      <c r="D1814" s="116">
        <v>2465</v>
      </c>
      <c r="E1814" s="116">
        <v>2465</v>
      </c>
      <c r="F1814" s="116">
        <v>2513.8000000000002</v>
      </c>
      <c r="G1814">
        <v>21051</v>
      </c>
      <c r="H1814" s="116"/>
      <c r="I1814" s="116"/>
      <c r="L1814" s="163">
        <v>44677</v>
      </c>
      <c r="M1814" s="116">
        <v>2514.5500000000002</v>
      </c>
      <c r="N1814" s="116">
        <v>2542.4499999999998</v>
      </c>
      <c r="O1814" s="116">
        <v>2463.6</v>
      </c>
      <c r="P1814" s="116">
        <v>2474</v>
      </c>
      <c r="Q1814" s="116">
        <v>2514.5500000000002</v>
      </c>
      <c r="R1814">
        <v>631406</v>
      </c>
    </row>
    <row r="1815" spans="1:18" x14ac:dyDescent="0.25">
      <c r="A1815" s="163">
        <v>44678</v>
      </c>
      <c r="B1815" s="116">
        <v>2518.1</v>
      </c>
      <c r="C1815" s="116">
        <v>2481.6999999999998</v>
      </c>
      <c r="D1815" s="116">
        <v>2451.6</v>
      </c>
      <c r="E1815" s="116">
        <v>2497.6999999999998</v>
      </c>
      <c r="F1815" s="116">
        <v>2481.6999999999998</v>
      </c>
      <c r="G1815">
        <v>8401</v>
      </c>
      <c r="H1815" s="116"/>
      <c r="I1815" s="116"/>
      <c r="L1815" s="163">
        <v>44678</v>
      </c>
      <c r="M1815" s="116">
        <v>2483.6</v>
      </c>
      <c r="N1815" s="116">
        <v>2520</v>
      </c>
      <c r="O1815" s="116">
        <v>2451</v>
      </c>
      <c r="P1815" s="116">
        <v>2500</v>
      </c>
      <c r="Q1815" s="116">
        <v>2483.6</v>
      </c>
      <c r="R1815">
        <v>309632</v>
      </c>
    </row>
    <row r="1816" spans="1:18" x14ac:dyDescent="0.25">
      <c r="A1816" s="163">
        <v>44679</v>
      </c>
      <c r="B1816" s="116">
        <v>2531</v>
      </c>
      <c r="C1816" s="116">
        <v>2513.6999999999998</v>
      </c>
      <c r="D1816" s="116">
        <v>2468.5500000000002</v>
      </c>
      <c r="E1816" s="116">
        <v>2493.9499999999998</v>
      </c>
      <c r="F1816" s="116">
        <v>2513.6999999999998</v>
      </c>
      <c r="G1816">
        <v>9840</v>
      </c>
      <c r="H1816" s="116"/>
      <c r="I1816" s="116"/>
      <c r="L1816" s="163">
        <v>44679</v>
      </c>
      <c r="M1816" s="116">
        <v>2511.9499999999998</v>
      </c>
      <c r="N1816" s="116">
        <v>2531.9499999999998</v>
      </c>
      <c r="O1816" s="116">
        <v>2466.5500000000002</v>
      </c>
      <c r="P1816" s="116">
        <v>2510</v>
      </c>
      <c r="Q1816" s="116">
        <v>2511.9499999999998</v>
      </c>
      <c r="R1816">
        <v>373688</v>
      </c>
    </row>
    <row r="1817" spans="1:18" x14ac:dyDescent="0.25">
      <c r="A1817" s="163">
        <v>44680</v>
      </c>
      <c r="B1817" s="116">
        <v>2555</v>
      </c>
      <c r="C1817" s="116">
        <v>2511.75</v>
      </c>
      <c r="D1817" s="116">
        <v>2495.5</v>
      </c>
      <c r="E1817" s="116">
        <v>2555</v>
      </c>
      <c r="F1817" s="116">
        <v>2511.75</v>
      </c>
      <c r="G1817">
        <v>19585</v>
      </c>
      <c r="H1817" s="116"/>
      <c r="I1817" s="116"/>
      <c r="L1817" s="163">
        <v>44680</v>
      </c>
      <c r="M1817" s="116">
        <v>2512.6999999999998</v>
      </c>
      <c r="N1817" s="116">
        <v>2550.9499999999998</v>
      </c>
      <c r="O1817" s="116">
        <v>2497.1</v>
      </c>
      <c r="P1817" s="116">
        <v>2545</v>
      </c>
      <c r="Q1817" s="116">
        <v>2512.6999999999998</v>
      </c>
      <c r="R1817">
        <v>388136</v>
      </c>
    </row>
    <row r="1818" spans="1:18" x14ac:dyDescent="0.25">
      <c r="A1818" s="163">
        <v>44683</v>
      </c>
      <c r="B1818" s="116">
        <v>2511.9</v>
      </c>
      <c r="C1818" s="116">
        <v>2504.25</v>
      </c>
      <c r="D1818" s="116">
        <v>2470</v>
      </c>
      <c r="E1818" s="116">
        <v>2470</v>
      </c>
      <c r="F1818" s="116">
        <v>2504.25</v>
      </c>
      <c r="G1818">
        <v>8013</v>
      </c>
      <c r="H1818" s="116"/>
      <c r="I1818" s="116"/>
      <c r="L1818" s="163">
        <v>44683</v>
      </c>
      <c r="M1818" s="116">
        <v>2504.8000000000002</v>
      </c>
      <c r="N1818" s="116">
        <v>2512.65</v>
      </c>
      <c r="O1818" s="116">
        <v>2467.0500000000002</v>
      </c>
      <c r="P1818" s="116">
        <v>2484.9499999999998</v>
      </c>
      <c r="Q1818" s="116">
        <v>2504.8000000000002</v>
      </c>
      <c r="R1818">
        <v>222731</v>
      </c>
    </row>
    <row r="1819" spans="1:18" x14ac:dyDescent="0.25">
      <c r="A1819" s="163">
        <v>44685</v>
      </c>
      <c r="B1819" s="116">
        <v>2523.9499999999998</v>
      </c>
      <c r="C1819" s="116">
        <v>2403.5</v>
      </c>
      <c r="D1819" s="116">
        <v>2395.0500000000002</v>
      </c>
      <c r="E1819" s="116">
        <v>2495</v>
      </c>
      <c r="F1819" s="116">
        <v>2403.5</v>
      </c>
      <c r="G1819">
        <v>207461</v>
      </c>
      <c r="H1819" s="116"/>
      <c r="I1819" s="116"/>
      <c r="L1819" s="163">
        <v>44685</v>
      </c>
      <c r="M1819" s="116">
        <v>2403</v>
      </c>
      <c r="N1819" s="116">
        <v>2521.9</v>
      </c>
      <c r="O1819" s="116">
        <v>2395</v>
      </c>
      <c r="P1819" s="116">
        <v>2505.0500000000002</v>
      </c>
      <c r="Q1819" s="116">
        <v>2403</v>
      </c>
      <c r="R1819">
        <v>347557</v>
      </c>
    </row>
    <row r="1820" spans="1:18" x14ac:dyDescent="0.25">
      <c r="A1820" s="163">
        <v>44686</v>
      </c>
      <c r="B1820" s="116">
        <v>2483.1</v>
      </c>
      <c r="C1820" s="116">
        <v>2396.0500000000002</v>
      </c>
      <c r="D1820" s="116">
        <v>2385.0500000000002</v>
      </c>
      <c r="E1820" s="116">
        <v>2429.9499999999998</v>
      </c>
      <c r="F1820" s="116">
        <v>2396.0500000000002</v>
      </c>
      <c r="G1820">
        <v>25551</v>
      </c>
      <c r="H1820" s="116"/>
      <c r="I1820" s="116"/>
      <c r="L1820" s="163">
        <v>44686</v>
      </c>
      <c r="M1820" s="116">
        <v>2394.3000000000002</v>
      </c>
      <c r="N1820" s="116">
        <v>2482.9499999999998</v>
      </c>
      <c r="O1820" s="116">
        <v>2386.0500000000002</v>
      </c>
      <c r="P1820" s="116">
        <v>2411.3000000000002</v>
      </c>
      <c r="Q1820" s="116">
        <v>2394.3000000000002</v>
      </c>
      <c r="R1820">
        <v>425837</v>
      </c>
    </row>
    <row r="1821" spans="1:18" x14ac:dyDescent="0.25">
      <c r="A1821" s="163">
        <v>44687</v>
      </c>
      <c r="B1821" s="116">
        <v>2363.4499999999998</v>
      </c>
      <c r="C1821" s="116">
        <v>2298.85</v>
      </c>
      <c r="D1821" s="116">
        <v>2288.25</v>
      </c>
      <c r="E1821" s="116">
        <v>2350</v>
      </c>
      <c r="F1821" s="116">
        <v>2298.85</v>
      </c>
      <c r="G1821">
        <v>29962</v>
      </c>
      <c r="H1821" s="116"/>
      <c r="I1821" s="116"/>
      <c r="L1821" s="163">
        <v>44687</v>
      </c>
      <c r="M1821" s="116">
        <v>2301.0500000000002</v>
      </c>
      <c r="N1821" s="116">
        <v>2384.35</v>
      </c>
      <c r="O1821" s="116">
        <v>2286.8000000000002</v>
      </c>
      <c r="P1821" s="116">
        <v>2345</v>
      </c>
      <c r="Q1821" s="116">
        <v>2301.0500000000002</v>
      </c>
      <c r="R1821">
        <v>527997</v>
      </c>
    </row>
    <row r="1822" spans="1:18" x14ac:dyDescent="0.25">
      <c r="A1822" s="163">
        <v>44690</v>
      </c>
      <c r="B1822" s="116">
        <v>2298.4</v>
      </c>
      <c r="C1822" s="116">
        <v>2222.15</v>
      </c>
      <c r="D1822" s="116">
        <v>2213</v>
      </c>
      <c r="E1822" s="116">
        <v>2298.4</v>
      </c>
      <c r="F1822" s="116">
        <v>2222.15</v>
      </c>
      <c r="G1822">
        <v>20678</v>
      </c>
      <c r="H1822" s="116"/>
      <c r="I1822" s="116"/>
      <c r="L1822" s="163">
        <v>44690</v>
      </c>
      <c r="M1822" s="116">
        <v>2224.3000000000002</v>
      </c>
      <c r="N1822" s="116">
        <v>2276.75</v>
      </c>
      <c r="O1822" s="116">
        <v>2212.1</v>
      </c>
      <c r="P1822" s="116">
        <v>2275</v>
      </c>
      <c r="Q1822" s="116">
        <v>2224.3000000000002</v>
      </c>
      <c r="R1822">
        <v>1144796</v>
      </c>
    </row>
    <row r="1823" spans="1:18" x14ac:dyDescent="0.25">
      <c r="A1823" s="163">
        <v>44691</v>
      </c>
      <c r="B1823" s="116">
        <v>2307</v>
      </c>
      <c r="C1823" s="116">
        <v>2111.9</v>
      </c>
      <c r="D1823" s="116">
        <v>2100.15</v>
      </c>
      <c r="E1823" s="116">
        <v>2307</v>
      </c>
      <c r="F1823" s="116">
        <v>2111.9</v>
      </c>
      <c r="G1823">
        <v>54780</v>
      </c>
      <c r="H1823" s="116"/>
      <c r="I1823" s="116"/>
      <c r="L1823" s="163">
        <v>44691</v>
      </c>
      <c r="M1823" s="116">
        <v>2113.15</v>
      </c>
      <c r="N1823" s="116">
        <v>2295.0500000000002</v>
      </c>
      <c r="O1823" s="116">
        <v>2100</v>
      </c>
      <c r="P1823" s="116">
        <v>2280</v>
      </c>
      <c r="Q1823" s="116">
        <v>2113.15</v>
      </c>
      <c r="R1823">
        <v>2412934</v>
      </c>
    </row>
    <row r="1824" spans="1:18" x14ac:dyDescent="0.25">
      <c r="A1824" s="163">
        <v>44692</v>
      </c>
      <c r="B1824" s="116">
        <v>2274.4499999999998</v>
      </c>
      <c r="C1824" s="116">
        <v>2233.65</v>
      </c>
      <c r="D1824" s="116">
        <v>2150.75</v>
      </c>
      <c r="E1824" s="116">
        <v>2150.75</v>
      </c>
      <c r="F1824" s="116">
        <v>2233.65</v>
      </c>
      <c r="G1824">
        <v>74463</v>
      </c>
      <c r="H1824" s="116"/>
      <c r="I1824" s="116"/>
      <c r="L1824" s="163">
        <v>44692</v>
      </c>
      <c r="M1824" s="116">
        <v>2234.25</v>
      </c>
      <c r="N1824" s="116">
        <v>2275</v>
      </c>
      <c r="O1824" s="116">
        <v>2149.9</v>
      </c>
      <c r="P1824" s="116">
        <v>2162</v>
      </c>
      <c r="Q1824" s="116">
        <v>2234.25</v>
      </c>
      <c r="R1824">
        <v>3174932</v>
      </c>
    </row>
    <row r="1825" spans="1:18" x14ac:dyDescent="0.25">
      <c r="A1825" s="163">
        <v>44693</v>
      </c>
      <c r="B1825" s="116">
        <v>2234</v>
      </c>
      <c r="C1825" s="116">
        <v>2195.1</v>
      </c>
      <c r="D1825" s="116">
        <v>2167.9499999999998</v>
      </c>
      <c r="E1825" s="116">
        <v>2231.65</v>
      </c>
      <c r="F1825" s="116">
        <v>2195.1</v>
      </c>
      <c r="G1825">
        <v>29092</v>
      </c>
      <c r="H1825" s="116"/>
      <c r="I1825" s="116"/>
      <c r="L1825" s="163">
        <v>44693</v>
      </c>
      <c r="M1825" s="116">
        <v>2194.35</v>
      </c>
      <c r="N1825" s="116">
        <v>2234.1999999999998</v>
      </c>
      <c r="O1825" s="116">
        <v>2166.1</v>
      </c>
      <c r="P1825" s="116">
        <v>2230</v>
      </c>
      <c r="Q1825" s="116">
        <v>2194.35</v>
      </c>
      <c r="R1825">
        <v>1100400</v>
      </c>
    </row>
    <row r="1826" spans="1:18" x14ac:dyDescent="0.25">
      <c r="A1826" s="163">
        <v>44694</v>
      </c>
      <c r="B1826" s="116">
        <v>2294</v>
      </c>
      <c r="C1826" s="116">
        <v>2227.5</v>
      </c>
      <c r="D1826" s="116">
        <v>2213.25</v>
      </c>
      <c r="E1826" s="116">
        <v>2235</v>
      </c>
      <c r="F1826" s="116">
        <v>2227.5</v>
      </c>
      <c r="G1826">
        <v>58427</v>
      </c>
      <c r="H1826" s="116"/>
      <c r="I1826" s="116"/>
      <c r="L1826" s="163">
        <v>44694</v>
      </c>
      <c r="M1826" s="116">
        <v>2231.6</v>
      </c>
      <c r="N1826" s="116">
        <v>2294.75</v>
      </c>
      <c r="O1826" s="116">
        <v>2217.5</v>
      </c>
      <c r="P1826" s="116">
        <v>2228</v>
      </c>
      <c r="Q1826" s="116">
        <v>2231.6</v>
      </c>
      <c r="R1826">
        <v>1293512</v>
      </c>
    </row>
    <row r="1827" spans="1:18" x14ac:dyDescent="0.25">
      <c r="A1827" s="163">
        <v>44697</v>
      </c>
      <c r="B1827" s="116">
        <v>2269</v>
      </c>
      <c r="C1827" s="116">
        <v>2240.5</v>
      </c>
      <c r="D1827" s="116">
        <v>2201.9499999999998</v>
      </c>
      <c r="E1827" s="116">
        <v>2269</v>
      </c>
      <c r="F1827" s="116">
        <v>2240.5</v>
      </c>
      <c r="G1827">
        <v>15315</v>
      </c>
      <c r="H1827" s="116"/>
      <c r="I1827" s="116"/>
      <c r="L1827" s="163">
        <v>44697</v>
      </c>
      <c r="M1827" s="116">
        <v>2243.4</v>
      </c>
      <c r="N1827" s="116">
        <v>2265.35</v>
      </c>
      <c r="O1827" s="116">
        <v>2200</v>
      </c>
      <c r="P1827" s="116">
        <v>2249.9499999999998</v>
      </c>
      <c r="Q1827" s="116">
        <v>2243.4</v>
      </c>
      <c r="R1827">
        <v>704383</v>
      </c>
    </row>
    <row r="1828" spans="1:18" x14ac:dyDescent="0.25">
      <c r="A1828" s="163">
        <v>44698</v>
      </c>
      <c r="B1828" s="116">
        <v>2347</v>
      </c>
      <c r="C1828" s="116">
        <v>2330.1999999999998</v>
      </c>
      <c r="D1828" s="116">
        <v>2263.35</v>
      </c>
      <c r="E1828" s="116">
        <v>2300</v>
      </c>
      <c r="F1828" s="116">
        <v>2330.1999999999998</v>
      </c>
      <c r="G1828">
        <v>20352</v>
      </c>
      <c r="H1828" s="116"/>
      <c r="I1828" s="116"/>
      <c r="L1828" s="163">
        <v>44698</v>
      </c>
      <c r="M1828" s="116">
        <v>2334.3000000000002</v>
      </c>
      <c r="N1828" s="116">
        <v>2347.6</v>
      </c>
      <c r="O1828" s="116">
        <v>2260.0500000000002</v>
      </c>
      <c r="P1828" s="116">
        <v>2290</v>
      </c>
      <c r="Q1828" s="116">
        <v>2334.3000000000002</v>
      </c>
      <c r="R1828">
        <v>807853</v>
      </c>
    </row>
    <row r="1829" spans="1:18" x14ac:dyDescent="0.25">
      <c r="A1829" s="163">
        <v>44699</v>
      </c>
      <c r="B1829" s="116">
        <v>2441.1</v>
      </c>
      <c r="C1829" s="116">
        <v>2349.15</v>
      </c>
      <c r="D1829" s="116">
        <v>2333.25</v>
      </c>
      <c r="E1829" s="116">
        <v>2441.1</v>
      </c>
      <c r="F1829" s="116">
        <v>2349.15</v>
      </c>
      <c r="G1829">
        <v>13807</v>
      </c>
      <c r="H1829" s="116"/>
      <c r="I1829" s="116"/>
      <c r="L1829" s="163">
        <v>44699</v>
      </c>
      <c r="M1829" s="116">
        <v>2348.15</v>
      </c>
      <c r="N1829" s="116">
        <v>2385.85</v>
      </c>
      <c r="O1829" s="116">
        <v>2333</v>
      </c>
      <c r="P1829" s="116">
        <v>2349.5</v>
      </c>
      <c r="Q1829" s="116">
        <v>2348.15</v>
      </c>
      <c r="R1829">
        <v>601249</v>
      </c>
    </row>
    <row r="1830" spans="1:18" x14ac:dyDescent="0.25">
      <c r="A1830" s="163">
        <v>44700</v>
      </c>
      <c r="B1830" s="116">
        <v>2343.9499999999998</v>
      </c>
      <c r="C1830" s="116">
        <v>2329.4</v>
      </c>
      <c r="D1830" s="116">
        <v>2275</v>
      </c>
      <c r="E1830" s="116">
        <v>2275</v>
      </c>
      <c r="F1830" s="116">
        <v>2329.4</v>
      </c>
      <c r="G1830">
        <v>27488</v>
      </c>
      <c r="H1830" s="116"/>
      <c r="I1830" s="116"/>
      <c r="L1830" s="163">
        <v>44700</v>
      </c>
      <c r="M1830" s="116">
        <v>2331.8000000000002</v>
      </c>
      <c r="N1830" s="116">
        <v>2343.4499999999998</v>
      </c>
      <c r="O1830" s="116">
        <v>2275</v>
      </c>
      <c r="P1830" s="116">
        <v>2300</v>
      </c>
      <c r="Q1830" s="116">
        <v>2331.8000000000002</v>
      </c>
      <c r="R1830">
        <v>578956</v>
      </c>
    </row>
    <row r="1831" spans="1:18" x14ac:dyDescent="0.25">
      <c r="A1831" s="163">
        <v>44701</v>
      </c>
      <c r="B1831" s="116">
        <v>2394.85</v>
      </c>
      <c r="C1831" s="116">
        <v>2338.15</v>
      </c>
      <c r="D1831" s="116">
        <v>2312.6</v>
      </c>
      <c r="E1831" s="116">
        <v>2394.85</v>
      </c>
      <c r="F1831" s="116">
        <v>2338.15</v>
      </c>
      <c r="G1831">
        <v>12961</v>
      </c>
      <c r="H1831" s="116"/>
      <c r="I1831" s="116"/>
      <c r="L1831" s="163">
        <v>44701</v>
      </c>
      <c r="M1831" s="116">
        <v>2337.6999999999998</v>
      </c>
      <c r="N1831" s="116">
        <v>2383.8000000000002</v>
      </c>
      <c r="O1831" s="116">
        <v>2313</v>
      </c>
      <c r="P1831" s="116">
        <v>2379.9499999999998</v>
      </c>
      <c r="Q1831" s="116">
        <v>2337.6999999999998</v>
      </c>
      <c r="R1831">
        <v>462403</v>
      </c>
    </row>
    <row r="1832" spans="1:18" x14ac:dyDescent="0.25">
      <c r="A1832" s="163">
        <v>44704</v>
      </c>
      <c r="B1832" s="116">
        <v>2397</v>
      </c>
      <c r="C1832" s="116">
        <v>2304.75</v>
      </c>
      <c r="D1832" s="116">
        <v>2296</v>
      </c>
      <c r="E1832" s="116">
        <v>2356</v>
      </c>
      <c r="F1832" s="116">
        <v>2304.75</v>
      </c>
      <c r="G1832">
        <v>21726</v>
      </c>
      <c r="H1832" s="116"/>
      <c r="I1832" s="116"/>
      <c r="L1832" s="163">
        <v>44704</v>
      </c>
      <c r="M1832" s="116">
        <v>2306.0500000000002</v>
      </c>
      <c r="N1832" s="116">
        <v>2398</v>
      </c>
      <c r="O1832" s="116">
        <v>2296.8000000000002</v>
      </c>
      <c r="P1832" s="116">
        <v>2355</v>
      </c>
      <c r="Q1832" s="116">
        <v>2306.0500000000002</v>
      </c>
      <c r="R1832">
        <v>689093</v>
      </c>
    </row>
    <row r="1833" spans="1:18" x14ac:dyDescent="0.25">
      <c r="A1833" s="163">
        <v>44705</v>
      </c>
      <c r="B1833" s="116">
        <v>2370</v>
      </c>
      <c r="C1833" s="116">
        <v>2339.6999999999998</v>
      </c>
      <c r="D1833" s="116">
        <v>2300</v>
      </c>
      <c r="E1833" s="116">
        <v>2370</v>
      </c>
      <c r="F1833" s="116">
        <v>2339.6999999999998</v>
      </c>
      <c r="G1833">
        <v>12085</v>
      </c>
      <c r="H1833" s="116"/>
      <c r="I1833" s="116"/>
      <c r="L1833" s="163">
        <v>44705</v>
      </c>
      <c r="M1833" s="116">
        <v>2339.9</v>
      </c>
      <c r="N1833" s="116">
        <v>2360.9499999999998</v>
      </c>
      <c r="O1833" s="116">
        <v>2300</v>
      </c>
      <c r="P1833" s="116">
        <v>2358</v>
      </c>
      <c r="Q1833" s="116">
        <v>2339.9</v>
      </c>
      <c r="R1833">
        <v>720316</v>
      </c>
    </row>
    <row r="1834" spans="1:18" x14ac:dyDescent="0.25">
      <c r="A1834" s="163">
        <v>44706</v>
      </c>
      <c r="B1834" s="116">
        <v>2352</v>
      </c>
      <c r="C1834" s="116">
        <v>2235.5</v>
      </c>
      <c r="D1834" s="116">
        <v>2222</v>
      </c>
      <c r="E1834" s="116">
        <v>2349</v>
      </c>
      <c r="F1834" s="116">
        <v>2235.5</v>
      </c>
      <c r="G1834">
        <v>21910</v>
      </c>
      <c r="H1834" s="116"/>
      <c r="I1834" s="116"/>
      <c r="L1834" s="163">
        <v>44706</v>
      </c>
      <c r="M1834" s="116">
        <v>2235.9499999999998</v>
      </c>
      <c r="N1834" s="116">
        <v>2354</v>
      </c>
      <c r="O1834" s="116">
        <v>2222</v>
      </c>
      <c r="P1834" s="116">
        <v>2349.8000000000002</v>
      </c>
      <c r="Q1834" s="116">
        <v>2235.9499999999998</v>
      </c>
      <c r="R1834">
        <v>898715</v>
      </c>
    </row>
    <row r="1835" spans="1:18" x14ac:dyDescent="0.25">
      <c r="A1835" s="163">
        <v>44707</v>
      </c>
      <c r="B1835" s="116">
        <v>2286.65</v>
      </c>
      <c r="C1835" s="116">
        <v>2273.4499999999998</v>
      </c>
      <c r="D1835" s="116">
        <v>2189.8000000000002</v>
      </c>
      <c r="E1835" s="116">
        <v>2235.5</v>
      </c>
      <c r="F1835" s="116">
        <v>2273.4499999999998</v>
      </c>
      <c r="G1835">
        <v>17984</v>
      </c>
      <c r="H1835" s="116"/>
      <c r="I1835" s="116"/>
      <c r="L1835" s="163">
        <v>44707</v>
      </c>
      <c r="M1835" s="116">
        <v>2270.6999999999998</v>
      </c>
      <c r="N1835" s="116">
        <v>2285.8000000000002</v>
      </c>
      <c r="O1835" s="116">
        <v>2187.15</v>
      </c>
      <c r="P1835" s="116">
        <v>2240</v>
      </c>
      <c r="Q1835" s="116">
        <v>2270.6999999999998</v>
      </c>
      <c r="R1835">
        <v>791107</v>
      </c>
    </row>
    <row r="1836" spans="1:18" x14ac:dyDescent="0.25">
      <c r="A1836" s="163">
        <v>44708</v>
      </c>
      <c r="B1836" s="116">
        <v>2374</v>
      </c>
      <c r="C1836" s="116">
        <v>2363.15</v>
      </c>
      <c r="D1836" s="116">
        <v>2294.1999999999998</v>
      </c>
      <c r="E1836" s="116">
        <v>2300</v>
      </c>
      <c r="F1836" s="116">
        <v>2363.15</v>
      </c>
      <c r="G1836">
        <v>30895</v>
      </c>
      <c r="H1836" s="116"/>
      <c r="I1836" s="116"/>
      <c r="L1836" s="163">
        <v>44708</v>
      </c>
      <c r="M1836" s="116">
        <v>2362</v>
      </c>
      <c r="N1836" s="116">
        <v>2374.85</v>
      </c>
      <c r="O1836" s="116">
        <v>2285</v>
      </c>
      <c r="P1836" s="116">
        <v>2285.0500000000002</v>
      </c>
      <c r="Q1836" s="116">
        <v>2362</v>
      </c>
      <c r="R1836">
        <v>609138</v>
      </c>
    </row>
    <row r="1837" spans="1:18" x14ac:dyDescent="0.25">
      <c r="A1837" s="163">
        <v>44711</v>
      </c>
      <c r="B1837" s="116">
        <v>2474.4499999999998</v>
      </c>
      <c r="C1837" s="116">
        <v>2452</v>
      </c>
      <c r="D1837" s="116">
        <v>2375.0500000000002</v>
      </c>
      <c r="E1837" s="116">
        <v>2375.0500000000002</v>
      </c>
      <c r="F1837" s="116">
        <v>2452</v>
      </c>
      <c r="G1837">
        <v>40914</v>
      </c>
      <c r="H1837" s="116"/>
      <c r="I1837" s="116"/>
      <c r="L1837" s="163">
        <v>44711</v>
      </c>
      <c r="M1837" s="116">
        <v>2450.0500000000002</v>
      </c>
      <c r="N1837" s="116">
        <v>2475</v>
      </c>
      <c r="O1837" s="116">
        <v>2380.0500000000002</v>
      </c>
      <c r="P1837" s="116">
        <v>2385.65</v>
      </c>
      <c r="Q1837" s="116">
        <v>2450.0500000000002</v>
      </c>
      <c r="R1837">
        <v>679917</v>
      </c>
    </row>
    <row r="1838" spans="1:18" x14ac:dyDescent="0.25">
      <c r="A1838" s="163">
        <v>44712</v>
      </c>
      <c r="B1838" s="116">
        <v>2496.6</v>
      </c>
      <c r="C1838" s="116">
        <v>2462.9</v>
      </c>
      <c r="D1838" s="116">
        <v>2437</v>
      </c>
      <c r="E1838" s="116">
        <v>2460</v>
      </c>
      <c r="F1838" s="116">
        <v>2462.9</v>
      </c>
      <c r="G1838">
        <v>24996</v>
      </c>
      <c r="H1838" s="116"/>
      <c r="I1838" s="116"/>
      <c r="L1838" s="163">
        <v>44712</v>
      </c>
      <c r="M1838" s="116">
        <v>2464.0500000000002</v>
      </c>
      <c r="N1838" s="116">
        <v>2495.9499999999998</v>
      </c>
      <c r="O1838" s="116">
        <v>2437.65</v>
      </c>
      <c r="P1838" s="116">
        <v>2455</v>
      </c>
      <c r="Q1838" s="116">
        <v>2464.0500000000002</v>
      </c>
      <c r="R1838">
        <v>896763</v>
      </c>
    </row>
    <row r="1839" spans="1:18" x14ac:dyDescent="0.25">
      <c r="A1839" s="163">
        <v>44713</v>
      </c>
      <c r="B1839" s="116">
        <v>2492.65</v>
      </c>
      <c r="C1839" s="116">
        <v>2398.1</v>
      </c>
      <c r="D1839" s="116">
        <v>2381.8000000000002</v>
      </c>
      <c r="E1839" s="116">
        <v>2480</v>
      </c>
      <c r="F1839" s="116">
        <v>2398.1</v>
      </c>
      <c r="G1839">
        <v>11267</v>
      </c>
      <c r="H1839" s="116"/>
      <c r="I1839" s="116"/>
      <c r="L1839" s="163">
        <v>44713</v>
      </c>
      <c r="M1839" s="116">
        <v>2397.4499999999998</v>
      </c>
      <c r="N1839" s="116">
        <v>2493</v>
      </c>
      <c r="O1839" s="116">
        <v>2381.1</v>
      </c>
      <c r="P1839" s="116">
        <v>2457</v>
      </c>
      <c r="Q1839" s="116">
        <v>2397.4499999999998</v>
      </c>
      <c r="R1839">
        <v>465902</v>
      </c>
    </row>
    <row r="1840" spans="1:18" x14ac:dyDescent="0.25">
      <c r="A1840" s="163">
        <v>44714</v>
      </c>
      <c r="B1840" s="116">
        <v>2407.9499999999998</v>
      </c>
      <c r="C1840" s="116">
        <v>2387.1999999999998</v>
      </c>
      <c r="D1840" s="116">
        <v>2350.1999999999998</v>
      </c>
      <c r="E1840" s="116">
        <v>2395</v>
      </c>
      <c r="F1840" s="116">
        <v>2387.1999999999998</v>
      </c>
      <c r="G1840">
        <v>20757</v>
      </c>
      <c r="H1840" s="116"/>
      <c r="I1840" s="116"/>
      <c r="L1840" s="163">
        <v>44714</v>
      </c>
      <c r="M1840" s="116">
        <v>2387.1999999999998</v>
      </c>
      <c r="N1840" s="116">
        <v>2408</v>
      </c>
      <c r="O1840" s="116">
        <v>2350</v>
      </c>
      <c r="P1840" s="116">
        <v>2397</v>
      </c>
      <c r="Q1840" s="116">
        <v>2387.1999999999998</v>
      </c>
      <c r="R1840">
        <v>387619</v>
      </c>
    </row>
    <row r="1841" spans="1:18" x14ac:dyDescent="0.25">
      <c r="A1841" s="163">
        <v>44715</v>
      </c>
      <c r="B1841" s="116">
        <v>2439.9499999999998</v>
      </c>
      <c r="C1841" s="116">
        <v>2373.25</v>
      </c>
      <c r="D1841" s="116">
        <v>2365.65</v>
      </c>
      <c r="E1841" s="116">
        <v>2420</v>
      </c>
      <c r="F1841" s="116">
        <v>2373.25</v>
      </c>
      <c r="G1841">
        <v>22447</v>
      </c>
      <c r="H1841" s="116"/>
      <c r="I1841" s="116"/>
      <c r="L1841" s="163">
        <v>44715</v>
      </c>
      <c r="M1841" s="116">
        <v>2373.9499999999998</v>
      </c>
      <c r="N1841" s="116">
        <v>2440</v>
      </c>
      <c r="O1841" s="116">
        <v>2365.1</v>
      </c>
      <c r="P1841" s="116">
        <v>2401</v>
      </c>
      <c r="Q1841" s="116">
        <v>2373.9499999999998</v>
      </c>
      <c r="R1841">
        <v>527296</v>
      </c>
    </row>
    <row r="1842" spans="1:18" x14ac:dyDescent="0.25">
      <c r="A1842" s="163">
        <v>44718</v>
      </c>
      <c r="B1842" s="116">
        <v>2389.9499999999998</v>
      </c>
      <c r="C1842" s="116">
        <v>2382.6999999999998</v>
      </c>
      <c r="D1842" s="116">
        <v>2333</v>
      </c>
      <c r="E1842" s="116">
        <v>2372</v>
      </c>
      <c r="F1842" s="116">
        <v>2382.6999999999998</v>
      </c>
      <c r="G1842">
        <v>7268</v>
      </c>
      <c r="H1842" s="116"/>
      <c r="I1842" s="116"/>
      <c r="L1842" s="163">
        <v>44718</v>
      </c>
      <c r="M1842" s="116">
        <v>2381.65</v>
      </c>
      <c r="N1842" s="116">
        <v>2393.9499999999998</v>
      </c>
      <c r="O1842" s="116">
        <v>2331</v>
      </c>
      <c r="P1842" s="116">
        <v>2375</v>
      </c>
      <c r="Q1842" s="116">
        <v>2381.65</v>
      </c>
      <c r="R1842">
        <v>211388</v>
      </c>
    </row>
    <row r="1843" spans="1:18" x14ac:dyDescent="0.25">
      <c r="A1843" s="163">
        <v>44719</v>
      </c>
      <c r="B1843" s="116">
        <v>2381.65</v>
      </c>
      <c r="C1843" s="116">
        <v>2332.85</v>
      </c>
      <c r="D1843" s="116">
        <v>2313.4</v>
      </c>
      <c r="E1843" s="116">
        <v>2381.65</v>
      </c>
      <c r="F1843" s="116">
        <v>2332.85</v>
      </c>
      <c r="G1843">
        <v>15153</v>
      </c>
      <c r="H1843" s="116"/>
      <c r="I1843" s="116"/>
      <c r="L1843" s="163">
        <v>44719</v>
      </c>
      <c r="M1843" s="116">
        <v>2332.1</v>
      </c>
      <c r="N1843" s="116">
        <v>2377.9</v>
      </c>
      <c r="O1843" s="116">
        <v>2313</v>
      </c>
      <c r="P1843" s="116">
        <v>2372</v>
      </c>
      <c r="Q1843" s="116">
        <v>2332.1</v>
      </c>
      <c r="R1843">
        <v>324522</v>
      </c>
    </row>
    <row r="1844" spans="1:18" x14ac:dyDescent="0.25">
      <c r="A1844" s="163">
        <v>44720</v>
      </c>
      <c r="B1844" s="116">
        <v>2349.25</v>
      </c>
      <c r="C1844" s="116">
        <v>2260.65</v>
      </c>
      <c r="D1844" s="116">
        <v>2247.25</v>
      </c>
      <c r="E1844" s="116">
        <v>2336</v>
      </c>
      <c r="F1844" s="116">
        <v>2260.65</v>
      </c>
      <c r="G1844">
        <v>21896</v>
      </c>
      <c r="H1844" s="116"/>
      <c r="I1844" s="116"/>
      <c r="L1844" s="163">
        <v>44720</v>
      </c>
      <c r="M1844" s="116">
        <v>2260.6999999999998</v>
      </c>
      <c r="N1844" s="116">
        <v>2350</v>
      </c>
      <c r="O1844" s="116">
        <v>2246</v>
      </c>
      <c r="P1844" s="116">
        <v>2336.6999999999998</v>
      </c>
      <c r="Q1844" s="116">
        <v>2260.6999999999998</v>
      </c>
      <c r="R1844">
        <v>645154</v>
      </c>
    </row>
    <row r="1845" spans="1:18" x14ac:dyDescent="0.25">
      <c r="A1845" s="163">
        <v>44721</v>
      </c>
      <c r="B1845" s="116">
        <v>2308.5</v>
      </c>
      <c r="C1845" s="116">
        <v>2299.5</v>
      </c>
      <c r="D1845" s="116">
        <v>2208.4</v>
      </c>
      <c r="E1845" s="116">
        <v>2232</v>
      </c>
      <c r="F1845" s="116">
        <v>2299.5</v>
      </c>
      <c r="G1845">
        <v>12918</v>
      </c>
      <c r="H1845" s="116"/>
      <c r="I1845" s="116"/>
      <c r="L1845" s="163">
        <v>44721</v>
      </c>
      <c r="M1845" s="116">
        <v>2298.5</v>
      </c>
      <c r="N1845" s="116">
        <v>2306.3000000000002</v>
      </c>
      <c r="O1845" s="116">
        <v>2201.65</v>
      </c>
      <c r="P1845" s="116">
        <v>2233</v>
      </c>
      <c r="Q1845" s="116">
        <v>2298.5</v>
      </c>
      <c r="R1845">
        <v>790621</v>
      </c>
    </row>
    <row r="1846" spans="1:18" x14ac:dyDescent="0.25">
      <c r="A1846" s="163">
        <v>44722</v>
      </c>
      <c r="B1846" s="116">
        <v>2315.5500000000002</v>
      </c>
      <c r="C1846" s="116">
        <v>2304.8000000000002</v>
      </c>
      <c r="D1846" s="116">
        <v>2232.8000000000002</v>
      </c>
      <c r="E1846" s="116">
        <v>2280</v>
      </c>
      <c r="F1846" s="116">
        <v>2304.8000000000002</v>
      </c>
      <c r="G1846">
        <v>20323</v>
      </c>
      <c r="H1846" s="116"/>
      <c r="I1846" s="116"/>
      <c r="L1846" s="163">
        <v>44722</v>
      </c>
      <c r="M1846" s="116">
        <v>2304.5500000000002</v>
      </c>
      <c r="N1846" s="116">
        <v>2316.4499999999998</v>
      </c>
      <c r="O1846" s="116">
        <v>2233.35</v>
      </c>
      <c r="P1846" s="116">
        <v>2289</v>
      </c>
      <c r="Q1846" s="116">
        <v>2304.5500000000002</v>
      </c>
      <c r="R1846">
        <v>523250</v>
      </c>
    </row>
    <row r="1847" spans="1:18" x14ac:dyDescent="0.25">
      <c r="A1847" s="163">
        <v>44725</v>
      </c>
      <c r="B1847" s="116">
        <v>2287.9</v>
      </c>
      <c r="C1847" s="116">
        <v>2262</v>
      </c>
      <c r="D1847" s="116">
        <v>2235</v>
      </c>
      <c r="E1847" s="116">
        <v>2235</v>
      </c>
      <c r="F1847" s="116">
        <v>2262</v>
      </c>
      <c r="G1847">
        <v>26087</v>
      </c>
      <c r="H1847" s="116"/>
      <c r="I1847" s="116"/>
      <c r="L1847" s="163">
        <v>44725</v>
      </c>
      <c r="M1847" s="116">
        <v>2263.25</v>
      </c>
      <c r="N1847" s="116">
        <v>2287.75</v>
      </c>
      <c r="O1847" s="116">
        <v>2236.9499999999998</v>
      </c>
      <c r="P1847" s="116">
        <v>2241.5</v>
      </c>
      <c r="Q1847" s="116">
        <v>2263.25</v>
      </c>
      <c r="R1847">
        <v>448704</v>
      </c>
    </row>
    <row r="1848" spans="1:18" x14ac:dyDescent="0.25">
      <c r="A1848" s="163">
        <v>44726</v>
      </c>
      <c r="B1848" s="116">
        <v>2318</v>
      </c>
      <c r="C1848" s="116">
        <v>2266.4499999999998</v>
      </c>
      <c r="D1848" s="116">
        <v>2249.8000000000002</v>
      </c>
      <c r="E1848" s="116">
        <v>2274.9</v>
      </c>
      <c r="F1848" s="116">
        <v>2266.4499999999998</v>
      </c>
      <c r="G1848">
        <v>10619</v>
      </c>
      <c r="H1848" s="116"/>
      <c r="I1848" s="116"/>
      <c r="L1848" s="163">
        <v>44726</v>
      </c>
      <c r="M1848" s="116">
        <v>2267.9499999999998</v>
      </c>
      <c r="N1848" s="116">
        <v>2318.65</v>
      </c>
      <c r="O1848" s="116">
        <v>2248.0500000000002</v>
      </c>
      <c r="P1848" s="116">
        <v>2255</v>
      </c>
      <c r="Q1848" s="116">
        <v>2267.9499999999998</v>
      </c>
      <c r="R1848">
        <v>364548</v>
      </c>
    </row>
    <row r="1849" spans="1:18" x14ac:dyDescent="0.25">
      <c r="A1849" s="163">
        <v>44727</v>
      </c>
      <c r="B1849" s="116">
        <v>2307.75</v>
      </c>
      <c r="C1849" s="116">
        <v>2287.15</v>
      </c>
      <c r="D1849" s="116">
        <v>2272.5500000000002</v>
      </c>
      <c r="E1849" s="116">
        <v>2286.4</v>
      </c>
      <c r="F1849" s="116">
        <v>2287.15</v>
      </c>
      <c r="G1849">
        <v>8190</v>
      </c>
      <c r="H1849" s="116"/>
      <c r="I1849" s="116"/>
      <c r="L1849" s="163">
        <v>44727</v>
      </c>
      <c r="M1849" s="116">
        <v>2292.15</v>
      </c>
      <c r="N1849" s="116">
        <v>2308.9499999999998</v>
      </c>
      <c r="O1849" s="116">
        <v>2265.5500000000002</v>
      </c>
      <c r="P1849" s="116">
        <v>2294</v>
      </c>
      <c r="Q1849" s="116">
        <v>2292.15</v>
      </c>
      <c r="R1849">
        <v>283024</v>
      </c>
    </row>
    <row r="1850" spans="1:18" x14ac:dyDescent="0.25">
      <c r="A1850" s="163">
        <v>44728</v>
      </c>
      <c r="B1850" s="116">
        <v>2338.6</v>
      </c>
      <c r="C1850" s="116">
        <v>2187.6999999999998</v>
      </c>
      <c r="D1850" s="116">
        <v>2172.4</v>
      </c>
      <c r="E1850" s="116">
        <v>2310</v>
      </c>
      <c r="F1850" s="116">
        <v>2187.6999999999998</v>
      </c>
      <c r="G1850">
        <v>14515</v>
      </c>
      <c r="H1850" s="116"/>
      <c r="I1850" s="116"/>
      <c r="L1850" s="163">
        <v>44728</v>
      </c>
      <c r="M1850" s="116">
        <v>2188.15</v>
      </c>
      <c r="N1850" s="116">
        <v>2343</v>
      </c>
      <c r="O1850" s="116">
        <v>2170.4</v>
      </c>
      <c r="P1850" s="116">
        <v>2327.9499999999998</v>
      </c>
      <c r="Q1850" s="116">
        <v>2188.15</v>
      </c>
      <c r="R1850">
        <v>591420</v>
      </c>
    </row>
    <row r="1851" spans="1:18" x14ac:dyDescent="0.25">
      <c r="A1851" s="163">
        <v>44729</v>
      </c>
      <c r="B1851" s="116">
        <v>2206</v>
      </c>
      <c r="C1851" s="116">
        <v>2178.1</v>
      </c>
      <c r="D1851" s="116">
        <v>2138.65</v>
      </c>
      <c r="E1851" s="116">
        <v>2187.6999999999998</v>
      </c>
      <c r="F1851" s="116">
        <v>2178.1</v>
      </c>
      <c r="G1851">
        <v>15843</v>
      </c>
      <c r="H1851" s="116"/>
      <c r="I1851" s="116"/>
      <c r="L1851" s="163">
        <v>44729</v>
      </c>
      <c r="M1851" s="116">
        <v>2181.85</v>
      </c>
      <c r="N1851" s="116">
        <v>2206.4499999999998</v>
      </c>
      <c r="O1851" s="116">
        <v>2128.5500000000002</v>
      </c>
      <c r="P1851" s="116">
        <v>2165</v>
      </c>
      <c r="Q1851" s="116">
        <v>2181.85</v>
      </c>
      <c r="R1851">
        <v>805720</v>
      </c>
    </row>
    <row r="1852" spans="1:18" x14ac:dyDescent="0.25">
      <c r="A1852" s="163">
        <v>44732</v>
      </c>
      <c r="B1852" s="116">
        <v>2207</v>
      </c>
      <c r="C1852" s="116">
        <v>2136.1999999999998</v>
      </c>
      <c r="D1852" s="116">
        <v>2081</v>
      </c>
      <c r="E1852" s="116">
        <v>2200</v>
      </c>
      <c r="F1852" s="116">
        <v>2136.1999999999998</v>
      </c>
      <c r="G1852">
        <v>19361</v>
      </c>
      <c r="H1852" s="116"/>
      <c r="I1852" s="116"/>
      <c r="L1852" s="163">
        <v>44732</v>
      </c>
      <c r="M1852" s="116">
        <v>2135.6</v>
      </c>
      <c r="N1852" s="116">
        <v>2206.9499999999998</v>
      </c>
      <c r="O1852" s="116">
        <v>2080.6999999999998</v>
      </c>
      <c r="P1852" s="116">
        <v>2181.1</v>
      </c>
      <c r="Q1852" s="116">
        <v>2135.6</v>
      </c>
      <c r="R1852">
        <v>855567</v>
      </c>
    </row>
    <row r="1853" spans="1:18" x14ac:dyDescent="0.25">
      <c r="A1853" s="163">
        <v>44733</v>
      </c>
      <c r="B1853" s="116">
        <v>2238</v>
      </c>
      <c r="C1853" s="116">
        <v>2226.8000000000002</v>
      </c>
      <c r="D1853" s="116">
        <v>2150</v>
      </c>
      <c r="E1853" s="116">
        <v>2150</v>
      </c>
      <c r="F1853" s="116">
        <v>2226.8000000000002</v>
      </c>
      <c r="G1853">
        <v>18437</v>
      </c>
      <c r="H1853" s="116"/>
      <c r="I1853" s="116"/>
      <c r="L1853" s="163">
        <v>44733</v>
      </c>
      <c r="M1853" s="116">
        <v>2226.25</v>
      </c>
      <c r="N1853" s="116">
        <v>2239</v>
      </c>
      <c r="O1853" s="116">
        <v>2160</v>
      </c>
      <c r="P1853" s="116">
        <v>2160</v>
      </c>
      <c r="Q1853" s="116">
        <v>2226.25</v>
      </c>
      <c r="R1853">
        <v>389446</v>
      </c>
    </row>
    <row r="1854" spans="1:18" x14ac:dyDescent="0.25">
      <c r="A1854" s="163">
        <v>44734</v>
      </c>
      <c r="B1854" s="116">
        <v>2225</v>
      </c>
      <c r="C1854" s="116">
        <v>2166.1999999999998</v>
      </c>
      <c r="D1854" s="116">
        <v>2158.0500000000002</v>
      </c>
      <c r="E1854" s="116">
        <v>2225</v>
      </c>
      <c r="F1854" s="116">
        <v>2166.1999999999998</v>
      </c>
      <c r="G1854">
        <v>15008</v>
      </c>
      <c r="H1854" s="116"/>
      <c r="I1854" s="116"/>
      <c r="L1854" s="163">
        <v>44734</v>
      </c>
      <c r="M1854" s="116">
        <v>2168.3000000000002</v>
      </c>
      <c r="N1854" s="116">
        <v>2219.9499999999998</v>
      </c>
      <c r="O1854" s="116">
        <v>2158</v>
      </c>
      <c r="P1854" s="116">
        <v>2219.9499999999998</v>
      </c>
      <c r="Q1854" s="116">
        <v>2168.3000000000002</v>
      </c>
      <c r="R1854">
        <v>396618</v>
      </c>
    </row>
    <row r="1855" spans="1:18" x14ac:dyDescent="0.25">
      <c r="A1855" s="163">
        <v>44735</v>
      </c>
      <c r="B1855" s="116">
        <v>2210.25</v>
      </c>
      <c r="C1855" s="116">
        <v>2207.65</v>
      </c>
      <c r="D1855" s="116">
        <v>2160</v>
      </c>
      <c r="E1855" s="116">
        <v>2166.4499999999998</v>
      </c>
      <c r="F1855" s="116">
        <v>2207.65</v>
      </c>
      <c r="G1855">
        <v>22270</v>
      </c>
      <c r="H1855" s="116"/>
      <c r="I1855" s="116"/>
      <c r="L1855" s="163">
        <v>44735</v>
      </c>
      <c r="M1855" s="116">
        <v>2207</v>
      </c>
      <c r="N1855" s="116">
        <v>2212</v>
      </c>
      <c r="O1855" s="116">
        <v>2158.4</v>
      </c>
      <c r="P1855" s="116">
        <v>2168.3000000000002</v>
      </c>
      <c r="Q1855" s="116">
        <v>2207</v>
      </c>
      <c r="R1855">
        <v>355541</v>
      </c>
    </row>
    <row r="1856" spans="1:18" x14ac:dyDescent="0.25">
      <c r="A1856" s="163">
        <v>44736</v>
      </c>
      <c r="B1856" s="116">
        <v>2282.8000000000002</v>
      </c>
      <c r="C1856" s="116">
        <v>2276.3000000000002</v>
      </c>
      <c r="D1856" s="116">
        <v>2213.0500000000002</v>
      </c>
      <c r="E1856" s="116">
        <v>2214</v>
      </c>
      <c r="F1856" s="116">
        <v>2276.3000000000002</v>
      </c>
      <c r="G1856">
        <v>13653</v>
      </c>
      <c r="H1856" s="116"/>
      <c r="I1856" s="116"/>
      <c r="L1856" s="163">
        <v>44736</v>
      </c>
      <c r="M1856" s="116">
        <v>2277.9499999999998</v>
      </c>
      <c r="N1856" s="116">
        <v>2283.9499999999998</v>
      </c>
      <c r="O1856" s="116">
        <v>2211</v>
      </c>
      <c r="P1856" s="116">
        <v>2220</v>
      </c>
      <c r="Q1856" s="116">
        <v>2277.9499999999998</v>
      </c>
      <c r="R1856">
        <v>344118</v>
      </c>
    </row>
    <row r="1857" spans="1:18" x14ac:dyDescent="0.25">
      <c r="A1857" s="163">
        <v>44739</v>
      </c>
      <c r="B1857" s="116">
        <v>2311.1999999999998</v>
      </c>
      <c r="C1857" s="116">
        <v>2299.25</v>
      </c>
      <c r="D1857" s="116">
        <v>2285</v>
      </c>
      <c r="E1857" s="116">
        <v>2306</v>
      </c>
      <c r="F1857" s="116">
        <v>2299.25</v>
      </c>
      <c r="G1857">
        <v>5985</v>
      </c>
      <c r="H1857" s="116"/>
      <c r="I1857" s="116"/>
      <c r="L1857" s="163">
        <v>44739</v>
      </c>
      <c r="M1857" s="116">
        <v>2302.25</v>
      </c>
      <c r="N1857" s="116">
        <v>2315.9499999999998</v>
      </c>
      <c r="O1857" s="116">
        <v>2283.85</v>
      </c>
      <c r="P1857" s="116">
        <v>2310</v>
      </c>
      <c r="Q1857" s="116">
        <v>2302.25</v>
      </c>
      <c r="R1857">
        <v>295880</v>
      </c>
    </row>
    <row r="1858" spans="1:18" x14ac:dyDescent="0.25">
      <c r="A1858" s="163">
        <v>44740</v>
      </c>
      <c r="B1858" s="116">
        <v>2311.6999999999998</v>
      </c>
      <c r="C1858" s="116">
        <v>2297.65</v>
      </c>
      <c r="D1858" s="116">
        <v>2275.75</v>
      </c>
      <c r="E1858" s="116">
        <v>2289.5</v>
      </c>
      <c r="F1858" s="116">
        <v>2297.65</v>
      </c>
      <c r="G1858">
        <v>11189</v>
      </c>
      <c r="H1858" s="116"/>
      <c r="I1858" s="116"/>
      <c r="L1858" s="163">
        <v>44740</v>
      </c>
      <c r="M1858" s="116">
        <v>2298.5</v>
      </c>
      <c r="N1858" s="116">
        <v>2311.15</v>
      </c>
      <c r="O1858" s="116">
        <v>2273.6999999999998</v>
      </c>
      <c r="P1858" s="116">
        <v>2296.6</v>
      </c>
      <c r="Q1858" s="116">
        <v>2298.5</v>
      </c>
      <c r="R1858">
        <v>256337</v>
      </c>
    </row>
    <row r="1859" spans="1:18" x14ac:dyDescent="0.25">
      <c r="A1859" s="163">
        <v>44741</v>
      </c>
      <c r="B1859" s="116">
        <v>2297</v>
      </c>
      <c r="C1859" s="116">
        <v>2287.15</v>
      </c>
      <c r="D1859" s="116">
        <v>2265.35</v>
      </c>
      <c r="E1859" s="116">
        <v>2265.4</v>
      </c>
      <c r="F1859" s="116">
        <v>2287.15</v>
      </c>
      <c r="G1859">
        <v>3897</v>
      </c>
      <c r="H1859" s="116"/>
      <c r="I1859" s="116"/>
      <c r="L1859" s="163">
        <v>44741</v>
      </c>
      <c r="M1859" s="116">
        <v>2286.65</v>
      </c>
      <c r="N1859" s="116">
        <v>2297.8000000000002</v>
      </c>
      <c r="O1859" s="116">
        <v>2262</v>
      </c>
      <c r="P1859" s="116">
        <v>2262</v>
      </c>
      <c r="Q1859" s="116">
        <v>2286.65</v>
      </c>
      <c r="R1859">
        <v>369665</v>
      </c>
    </row>
    <row r="1860" spans="1:18" x14ac:dyDescent="0.25">
      <c r="A1860" s="163">
        <v>44742</v>
      </c>
      <c r="B1860" s="116">
        <v>2305</v>
      </c>
      <c r="C1860" s="116">
        <v>2249.35</v>
      </c>
      <c r="D1860" s="116">
        <v>2237.75</v>
      </c>
      <c r="E1860" s="116">
        <v>2295</v>
      </c>
      <c r="F1860" s="116">
        <v>2249.35</v>
      </c>
      <c r="G1860">
        <v>13391</v>
      </c>
      <c r="H1860" s="116"/>
      <c r="I1860" s="116"/>
      <c r="L1860" s="163">
        <v>44742</v>
      </c>
      <c r="M1860" s="116">
        <v>2252.1999999999998</v>
      </c>
      <c r="N1860" s="116">
        <v>2306.15</v>
      </c>
      <c r="O1860" s="116">
        <v>2237.1999999999998</v>
      </c>
      <c r="P1860" s="116">
        <v>2286.65</v>
      </c>
      <c r="Q1860" s="116">
        <v>2252.1999999999998</v>
      </c>
      <c r="R1860">
        <v>524573</v>
      </c>
    </row>
    <row r="1861" spans="1:18" x14ac:dyDescent="0.25">
      <c r="A1861" s="163">
        <v>44743</v>
      </c>
      <c r="B1861" s="116">
        <v>2240.0500000000002</v>
      </c>
      <c r="C1861" s="116">
        <v>2161.65</v>
      </c>
      <c r="D1861" s="116">
        <v>2132.1</v>
      </c>
      <c r="E1861" s="116">
        <v>2240</v>
      </c>
      <c r="F1861" s="116">
        <v>2161.65</v>
      </c>
      <c r="G1861">
        <v>20891</v>
      </c>
      <c r="H1861" s="116"/>
      <c r="I1861" s="116"/>
      <c r="L1861" s="163">
        <v>44743</v>
      </c>
      <c r="M1861" s="116">
        <v>2161.65</v>
      </c>
      <c r="N1861" s="116">
        <v>2239.75</v>
      </c>
      <c r="O1861" s="116">
        <v>2133.0500000000002</v>
      </c>
      <c r="P1861" s="116">
        <v>2230</v>
      </c>
      <c r="Q1861" s="116">
        <v>2161.65</v>
      </c>
      <c r="R1861">
        <v>809031</v>
      </c>
    </row>
    <row r="1862" spans="1:18" x14ac:dyDescent="0.25">
      <c r="A1862" s="163">
        <v>44746</v>
      </c>
      <c r="B1862" s="116">
        <v>2189.5500000000002</v>
      </c>
      <c r="C1862" s="116">
        <v>2183.0500000000002</v>
      </c>
      <c r="D1862" s="116">
        <v>2114.15</v>
      </c>
      <c r="E1862" s="116">
        <v>2145.65</v>
      </c>
      <c r="F1862" s="116">
        <v>2183.0500000000002</v>
      </c>
      <c r="G1862">
        <v>17441</v>
      </c>
      <c r="H1862" s="116"/>
      <c r="I1862" s="116"/>
      <c r="L1862" s="163">
        <v>44746</v>
      </c>
      <c r="M1862" s="116">
        <v>2180.25</v>
      </c>
      <c r="N1862" s="116">
        <v>2189</v>
      </c>
      <c r="O1862" s="116">
        <v>2115</v>
      </c>
      <c r="P1862" s="116">
        <v>2136.0500000000002</v>
      </c>
      <c r="Q1862" s="116">
        <v>2180.25</v>
      </c>
      <c r="R1862">
        <v>750456</v>
      </c>
    </row>
    <row r="1863" spans="1:18" x14ac:dyDescent="0.25">
      <c r="A1863" s="163">
        <v>44747</v>
      </c>
      <c r="B1863" s="116">
        <v>2185.9</v>
      </c>
      <c r="C1863" s="116">
        <v>2052.5</v>
      </c>
      <c r="D1863" s="116">
        <v>2042</v>
      </c>
      <c r="E1863" s="116">
        <v>2181</v>
      </c>
      <c r="F1863" s="116">
        <v>2052.5</v>
      </c>
      <c r="G1863">
        <v>60787</v>
      </c>
      <c r="H1863" s="116"/>
      <c r="I1863" s="116"/>
      <c r="L1863" s="163">
        <v>44747</v>
      </c>
      <c r="M1863" s="116">
        <v>2052.6999999999998</v>
      </c>
      <c r="N1863" s="116">
        <v>2188</v>
      </c>
      <c r="O1863" s="116">
        <v>2042.1</v>
      </c>
      <c r="P1863" s="116">
        <v>2184</v>
      </c>
      <c r="Q1863" s="116">
        <v>2052.6999999999998</v>
      </c>
      <c r="R1863">
        <v>1574839</v>
      </c>
    </row>
    <row r="1864" spans="1:18" x14ac:dyDescent="0.25">
      <c r="A1864" s="163">
        <v>44748</v>
      </c>
      <c r="B1864" s="116">
        <v>2066.65</v>
      </c>
      <c r="C1864" s="116">
        <v>2058.6</v>
      </c>
      <c r="D1864" s="116">
        <v>2002.5</v>
      </c>
      <c r="E1864" s="116">
        <v>2048.4</v>
      </c>
      <c r="F1864" s="116">
        <v>2058.6</v>
      </c>
      <c r="G1864">
        <v>40393</v>
      </c>
      <c r="H1864" s="116"/>
      <c r="I1864" s="116"/>
      <c r="L1864" s="163">
        <v>44748</v>
      </c>
      <c r="M1864" s="116">
        <v>2059.1999999999998</v>
      </c>
      <c r="N1864" s="116">
        <v>2067</v>
      </c>
      <c r="O1864" s="116">
        <v>2002.2</v>
      </c>
      <c r="P1864" s="116">
        <v>2041</v>
      </c>
      <c r="Q1864" s="116">
        <v>2059.1999999999998</v>
      </c>
      <c r="R1864">
        <v>1972692</v>
      </c>
    </row>
    <row r="1865" spans="1:18" x14ac:dyDescent="0.25">
      <c r="A1865" s="163">
        <v>44749</v>
      </c>
      <c r="B1865" s="116">
        <v>2109</v>
      </c>
      <c r="C1865" s="116">
        <v>2072.1999999999998</v>
      </c>
      <c r="D1865" s="116">
        <v>2044.8</v>
      </c>
      <c r="E1865" s="116">
        <v>2099</v>
      </c>
      <c r="F1865" s="116">
        <v>2072.1999999999998</v>
      </c>
      <c r="G1865">
        <v>29615</v>
      </c>
      <c r="H1865" s="116"/>
      <c r="I1865" s="116"/>
      <c r="L1865" s="163">
        <v>44749</v>
      </c>
      <c r="M1865" s="116">
        <v>2072.85</v>
      </c>
      <c r="N1865" s="116">
        <v>2110.1999999999998</v>
      </c>
      <c r="O1865" s="116">
        <v>2044.1</v>
      </c>
      <c r="P1865" s="116">
        <v>2084.9</v>
      </c>
      <c r="Q1865" s="116">
        <v>2072.85</v>
      </c>
      <c r="R1865">
        <v>883128</v>
      </c>
    </row>
    <row r="1866" spans="1:18" x14ac:dyDescent="0.25">
      <c r="A1866" s="163">
        <v>44750</v>
      </c>
      <c r="B1866" s="116">
        <v>2182.1999999999998</v>
      </c>
      <c r="C1866" s="116">
        <v>2175.75</v>
      </c>
      <c r="D1866" s="116">
        <v>2056.6999999999998</v>
      </c>
      <c r="E1866" s="116">
        <v>2098.85</v>
      </c>
      <c r="F1866" s="116">
        <v>2175.75</v>
      </c>
      <c r="G1866">
        <v>51852</v>
      </c>
      <c r="H1866" s="116"/>
      <c r="I1866" s="116"/>
      <c r="L1866" s="163">
        <v>44750</v>
      </c>
      <c r="M1866" s="116">
        <v>2175.5</v>
      </c>
      <c r="N1866" s="116">
        <v>2183</v>
      </c>
      <c r="O1866" s="116">
        <v>2055</v>
      </c>
      <c r="P1866" s="116">
        <v>2098</v>
      </c>
      <c r="Q1866" s="116">
        <v>2175.5</v>
      </c>
      <c r="R1866">
        <v>2001690</v>
      </c>
    </row>
    <row r="1867" spans="1:18" x14ac:dyDescent="0.25">
      <c r="A1867" s="163">
        <v>44753</v>
      </c>
      <c r="B1867" s="116">
        <v>2207.8000000000002</v>
      </c>
      <c r="C1867" s="116">
        <v>2184.25</v>
      </c>
      <c r="D1867" s="116">
        <v>2146.1999999999998</v>
      </c>
      <c r="E1867" s="116">
        <v>2155</v>
      </c>
      <c r="F1867" s="116">
        <v>2184.25</v>
      </c>
      <c r="G1867">
        <v>36925</v>
      </c>
      <c r="H1867" s="116"/>
      <c r="I1867" s="116"/>
      <c r="L1867" s="163">
        <v>44753</v>
      </c>
      <c r="M1867" s="116">
        <v>2186.1999999999998</v>
      </c>
      <c r="N1867" s="116">
        <v>2208.6</v>
      </c>
      <c r="O1867" s="116">
        <v>2145.5500000000002</v>
      </c>
      <c r="P1867" s="116">
        <v>2168.9499999999998</v>
      </c>
      <c r="Q1867" s="116">
        <v>2186.1999999999998</v>
      </c>
      <c r="R1867">
        <v>885089</v>
      </c>
    </row>
    <row r="1868" spans="1:18" x14ac:dyDescent="0.25">
      <c r="A1868" s="163">
        <v>44754</v>
      </c>
      <c r="B1868" s="116">
        <v>2219.6</v>
      </c>
      <c r="C1868" s="116">
        <v>2198.75</v>
      </c>
      <c r="D1868" s="116">
        <v>2160</v>
      </c>
      <c r="E1868" s="116">
        <v>2190.8000000000002</v>
      </c>
      <c r="F1868" s="116">
        <v>2198.75</v>
      </c>
      <c r="G1868">
        <v>20430</v>
      </c>
      <c r="H1868" s="116"/>
      <c r="I1868" s="116"/>
      <c r="L1868" s="163">
        <v>44754</v>
      </c>
      <c r="M1868" s="116">
        <v>2199.75</v>
      </c>
      <c r="N1868" s="116">
        <v>2219.4</v>
      </c>
      <c r="O1868" s="116">
        <v>2160</v>
      </c>
      <c r="P1868" s="116">
        <v>2178</v>
      </c>
      <c r="Q1868" s="116">
        <v>2199.75</v>
      </c>
      <c r="R1868">
        <v>654145</v>
      </c>
    </row>
    <row r="1869" spans="1:18" x14ac:dyDescent="0.25">
      <c r="A1869" s="163">
        <v>44755</v>
      </c>
      <c r="B1869" s="116">
        <v>2240</v>
      </c>
      <c r="C1869" s="116">
        <v>2222.6</v>
      </c>
      <c r="D1869" s="116">
        <v>2205</v>
      </c>
      <c r="E1869" s="116">
        <v>2233.35</v>
      </c>
      <c r="F1869" s="116">
        <v>2222.6</v>
      </c>
      <c r="G1869">
        <v>13234</v>
      </c>
      <c r="H1869" s="116"/>
      <c r="I1869" s="116"/>
      <c r="L1869" s="163">
        <v>44755</v>
      </c>
      <c r="M1869" s="116">
        <v>2224.3000000000002</v>
      </c>
      <c r="N1869" s="116">
        <v>2239</v>
      </c>
      <c r="O1869" s="116">
        <v>2201.9</v>
      </c>
      <c r="P1869" s="116">
        <v>2210</v>
      </c>
      <c r="Q1869" s="116">
        <v>2224.3000000000002</v>
      </c>
      <c r="R1869">
        <v>731366</v>
      </c>
    </row>
    <row r="1870" spans="1:18" x14ac:dyDescent="0.25">
      <c r="A1870" s="163">
        <v>44756</v>
      </c>
      <c r="B1870" s="116">
        <v>2246</v>
      </c>
      <c r="C1870" s="116">
        <v>2206.9</v>
      </c>
      <c r="D1870" s="116">
        <v>2186.4499999999998</v>
      </c>
      <c r="E1870" s="116">
        <v>2246</v>
      </c>
      <c r="F1870" s="116">
        <v>2206.9</v>
      </c>
      <c r="G1870">
        <v>10279</v>
      </c>
      <c r="H1870" s="116"/>
      <c r="I1870" s="116"/>
      <c r="L1870" s="163">
        <v>44756</v>
      </c>
      <c r="M1870" s="116">
        <v>2209.15</v>
      </c>
      <c r="N1870" s="116">
        <v>2246</v>
      </c>
      <c r="O1870" s="116">
        <v>2186</v>
      </c>
      <c r="P1870" s="116">
        <v>2231.5</v>
      </c>
      <c r="Q1870" s="116">
        <v>2209.15</v>
      </c>
      <c r="R1870">
        <v>394815</v>
      </c>
    </row>
    <row r="1871" spans="1:18" x14ac:dyDescent="0.25">
      <c r="A1871" s="163">
        <v>44757</v>
      </c>
      <c r="B1871" s="116">
        <v>2267.9499999999998</v>
      </c>
      <c r="C1871" s="116">
        <v>2260</v>
      </c>
      <c r="D1871" s="116">
        <v>2207</v>
      </c>
      <c r="E1871" s="116">
        <v>2207</v>
      </c>
      <c r="F1871" s="116">
        <v>2260</v>
      </c>
      <c r="G1871">
        <v>12542</v>
      </c>
      <c r="H1871" s="116"/>
      <c r="I1871" s="116"/>
      <c r="L1871" s="163">
        <v>44757</v>
      </c>
      <c r="M1871" s="116">
        <v>2261.4499999999998</v>
      </c>
      <c r="N1871" s="116">
        <v>2267.9499999999998</v>
      </c>
      <c r="O1871" s="116">
        <v>2215</v>
      </c>
      <c r="P1871" s="116">
        <v>2215</v>
      </c>
      <c r="Q1871" s="116">
        <v>2261.4499999999998</v>
      </c>
      <c r="R1871">
        <v>457591</v>
      </c>
    </row>
    <row r="1872" spans="1:18" x14ac:dyDescent="0.25">
      <c r="A1872" s="163">
        <v>44760</v>
      </c>
      <c r="B1872" s="116">
        <v>2319.4499999999998</v>
      </c>
      <c r="C1872" s="116">
        <v>2306.65</v>
      </c>
      <c r="D1872" s="116">
        <v>2263.5500000000002</v>
      </c>
      <c r="E1872" s="116">
        <v>2275.5500000000002</v>
      </c>
      <c r="F1872" s="116">
        <v>2306.65</v>
      </c>
      <c r="G1872">
        <v>188236</v>
      </c>
      <c r="H1872" s="116"/>
      <c r="I1872" s="116"/>
      <c r="L1872" s="163">
        <v>44760</v>
      </c>
      <c r="M1872" s="116">
        <v>2308.5</v>
      </c>
      <c r="N1872" s="116">
        <v>2319.5</v>
      </c>
      <c r="O1872" s="116">
        <v>2262</v>
      </c>
      <c r="P1872" s="116">
        <v>2278.4</v>
      </c>
      <c r="Q1872" s="116">
        <v>2308.5</v>
      </c>
      <c r="R1872">
        <v>401934</v>
      </c>
    </row>
    <row r="1873" spans="1:18" x14ac:dyDescent="0.25">
      <c r="A1873" s="163">
        <v>44761</v>
      </c>
      <c r="B1873" s="116">
        <v>2339</v>
      </c>
      <c r="C1873" s="116">
        <v>2324.1999999999998</v>
      </c>
      <c r="D1873" s="116">
        <v>2292.15</v>
      </c>
      <c r="E1873" s="116">
        <v>2315</v>
      </c>
      <c r="F1873" s="116">
        <v>2324.1999999999998</v>
      </c>
      <c r="G1873">
        <v>11043</v>
      </c>
      <c r="H1873" s="116"/>
      <c r="I1873" s="116"/>
      <c r="L1873" s="163">
        <v>44761</v>
      </c>
      <c r="M1873" s="116">
        <v>2331.9499999999998</v>
      </c>
      <c r="N1873" s="116">
        <v>2340</v>
      </c>
      <c r="O1873" s="116">
        <v>2291.0500000000002</v>
      </c>
      <c r="P1873" s="116">
        <v>2303</v>
      </c>
      <c r="Q1873" s="116">
        <v>2331.9499999999998</v>
      </c>
      <c r="R1873">
        <v>388188</v>
      </c>
    </row>
    <row r="1874" spans="1:18" x14ac:dyDescent="0.25">
      <c r="A1874" s="163">
        <v>44762</v>
      </c>
      <c r="B1874" s="116">
        <v>2356</v>
      </c>
      <c r="C1874" s="116">
        <v>2286.15</v>
      </c>
      <c r="D1874" s="116">
        <v>2276.0500000000002</v>
      </c>
      <c r="E1874" s="116">
        <v>2356</v>
      </c>
      <c r="F1874" s="116">
        <v>2286.15</v>
      </c>
      <c r="G1874">
        <v>44366</v>
      </c>
      <c r="H1874" s="116"/>
      <c r="I1874" s="116"/>
      <c r="L1874" s="163">
        <v>44762</v>
      </c>
      <c r="M1874" s="116">
        <v>2286.5</v>
      </c>
      <c r="N1874" s="116">
        <v>2353.1999999999998</v>
      </c>
      <c r="O1874" s="116">
        <v>2275</v>
      </c>
      <c r="P1874" s="116">
        <v>2350</v>
      </c>
      <c r="Q1874" s="116">
        <v>2286.5</v>
      </c>
      <c r="R1874">
        <v>445676</v>
      </c>
    </row>
    <row r="1875" spans="1:18" x14ac:dyDescent="0.25">
      <c r="A1875" s="163">
        <v>44763</v>
      </c>
      <c r="B1875" s="116">
        <v>2350</v>
      </c>
      <c r="C1875" s="116">
        <v>2344.6</v>
      </c>
      <c r="D1875" s="116">
        <v>2289.0500000000002</v>
      </c>
      <c r="E1875" s="116">
        <v>2319</v>
      </c>
      <c r="F1875" s="116">
        <v>2344.6</v>
      </c>
      <c r="G1875">
        <v>10403</v>
      </c>
      <c r="H1875" s="116"/>
      <c r="I1875" s="116"/>
      <c r="L1875" s="163">
        <v>44763</v>
      </c>
      <c r="M1875" s="116">
        <v>2343.5</v>
      </c>
      <c r="N1875" s="116">
        <v>2350</v>
      </c>
      <c r="O1875" s="116">
        <v>2279.5500000000002</v>
      </c>
      <c r="P1875" s="116">
        <v>2300.9499999999998</v>
      </c>
      <c r="Q1875" s="116">
        <v>2343.5</v>
      </c>
      <c r="R1875">
        <v>537382</v>
      </c>
    </row>
    <row r="1876" spans="1:18" x14ac:dyDescent="0.25">
      <c r="A1876" s="163">
        <v>44764</v>
      </c>
      <c r="B1876" s="116">
        <v>2409</v>
      </c>
      <c r="C1876" s="116">
        <v>2290.4499999999998</v>
      </c>
      <c r="D1876" s="116">
        <v>2274.15</v>
      </c>
      <c r="E1876" s="116">
        <v>2395</v>
      </c>
      <c r="F1876" s="116">
        <v>2290.4499999999998</v>
      </c>
      <c r="G1876">
        <v>81660</v>
      </c>
      <c r="H1876" s="116"/>
      <c r="I1876" s="116"/>
      <c r="L1876" s="163">
        <v>44764</v>
      </c>
      <c r="M1876" s="116">
        <v>2290.5500000000002</v>
      </c>
      <c r="N1876" s="116">
        <v>2410</v>
      </c>
      <c r="O1876" s="116">
        <v>2272.5500000000002</v>
      </c>
      <c r="P1876" s="116">
        <v>2381</v>
      </c>
      <c r="Q1876" s="116">
        <v>2290.5500000000002</v>
      </c>
      <c r="R1876">
        <v>2315918</v>
      </c>
    </row>
    <row r="1877" spans="1:18" x14ac:dyDescent="0.25">
      <c r="A1877" s="163">
        <v>44767</v>
      </c>
      <c r="B1877" s="116">
        <v>2405.1999999999998</v>
      </c>
      <c r="C1877" s="116">
        <v>2384.6999999999998</v>
      </c>
      <c r="D1877" s="116">
        <v>2304.3000000000002</v>
      </c>
      <c r="E1877" s="116">
        <v>2313</v>
      </c>
      <c r="F1877" s="116">
        <v>2384.6999999999998</v>
      </c>
      <c r="G1877">
        <v>50419</v>
      </c>
      <c r="H1877" s="116"/>
      <c r="I1877" s="116"/>
      <c r="L1877" s="163">
        <v>44767</v>
      </c>
      <c r="M1877" s="116">
        <v>2383.4499999999998</v>
      </c>
      <c r="N1877" s="116">
        <v>2405</v>
      </c>
      <c r="O1877" s="116">
        <v>2299.85</v>
      </c>
      <c r="P1877" s="116">
        <v>2302.6999999999998</v>
      </c>
      <c r="Q1877" s="116">
        <v>2383.4499999999998</v>
      </c>
      <c r="R1877">
        <v>1918499</v>
      </c>
    </row>
    <row r="1878" spans="1:18" x14ac:dyDescent="0.25">
      <c r="A1878" s="163">
        <v>44768</v>
      </c>
      <c r="B1878" s="116">
        <v>2442.15</v>
      </c>
      <c r="C1878" s="116">
        <v>2364.6</v>
      </c>
      <c r="D1878" s="116">
        <v>2347.1</v>
      </c>
      <c r="E1878" s="116">
        <v>2390</v>
      </c>
      <c r="F1878" s="116">
        <v>2364.6</v>
      </c>
      <c r="G1878">
        <v>68142</v>
      </c>
      <c r="H1878" s="116"/>
      <c r="I1878" s="116"/>
      <c r="L1878" s="163">
        <v>44768</v>
      </c>
      <c r="M1878" s="116">
        <v>2366.35</v>
      </c>
      <c r="N1878" s="116">
        <v>2443.1999999999998</v>
      </c>
      <c r="O1878" s="116">
        <v>2347</v>
      </c>
      <c r="P1878" s="116">
        <v>2400.1</v>
      </c>
      <c r="Q1878" s="116">
        <v>2366.35</v>
      </c>
      <c r="R1878">
        <v>1680465</v>
      </c>
    </row>
    <row r="1879" spans="1:18" x14ac:dyDescent="0.25">
      <c r="A1879" s="163">
        <v>44769</v>
      </c>
      <c r="B1879" s="116">
        <v>2410</v>
      </c>
      <c r="C1879" s="116">
        <v>2405.25</v>
      </c>
      <c r="D1879" s="116">
        <v>2344.85</v>
      </c>
      <c r="E1879" s="116">
        <v>2380</v>
      </c>
      <c r="F1879" s="116">
        <v>2405.25</v>
      </c>
      <c r="G1879">
        <v>18834</v>
      </c>
      <c r="H1879" s="116"/>
      <c r="I1879" s="116"/>
      <c r="L1879" s="163">
        <v>44769</v>
      </c>
      <c r="M1879" s="116">
        <v>2405.25</v>
      </c>
      <c r="N1879" s="116">
        <v>2414</v>
      </c>
      <c r="O1879" s="116">
        <v>2342.6999999999998</v>
      </c>
      <c r="P1879" s="116">
        <v>2376.9499999999998</v>
      </c>
      <c r="Q1879" s="116">
        <v>2405.25</v>
      </c>
      <c r="R1879">
        <v>717439</v>
      </c>
    </row>
    <row r="1880" spans="1:18" x14ac:dyDescent="0.25">
      <c r="A1880" s="163">
        <v>44770</v>
      </c>
      <c r="B1880" s="116">
        <v>2429.1</v>
      </c>
      <c r="C1880" s="116">
        <v>2419.8000000000002</v>
      </c>
      <c r="D1880" s="116">
        <v>2396.8000000000002</v>
      </c>
      <c r="E1880" s="116">
        <v>2429</v>
      </c>
      <c r="F1880" s="116">
        <v>2419.8000000000002</v>
      </c>
      <c r="G1880">
        <v>24734</v>
      </c>
      <c r="H1880" s="116"/>
      <c r="I1880" s="116"/>
      <c r="L1880" s="163">
        <v>44770</v>
      </c>
      <c r="M1880" s="116">
        <v>2420.8000000000002</v>
      </c>
      <c r="N1880" s="116">
        <v>2429.75</v>
      </c>
      <c r="O1880" s="116">
        <v>2396.4499999999998</v>
      </c>
      <c r="P1880" s="116">
        <v>2425</v>
      </c>
      <c r="Q1880" s="116">
        <v>2420.8000000000002</v>
      </c>
      <c r="R1880">
        <v>476366</v>
      </c>
    </row>
    <row r="1881" spans="1:18" x14ac:dyDescent="0.25">
      <c r="A1881" s="163">
        <v>44771</v>
      </c>
      <c r="B1881" s="116">
        <v>2448.9499999999998</v>
      </c>
      <c r="C1881" s="116">
        <v>2428</v>
      </c>
      <c r="D1881" s="116">
        <v>2408.8000000000002</v>
      </c>
      <c r="E1881" s="116">
        <v>2448.9499999999998</v>
      </c>
      <c r="F1881" s="116">
        <v>2428</v>
      </c>
      <c r="G1881">
        <v>10337</v>
      </c>
      <c r="H1881" s="116"/>
      <c r="I1881" s="116"/>
      <c r="L1881" s="163">
        <v>44771</v>
      </c>
      <c r="M1881" s="116">
        <v>2428.3000000000002</v>
      </c>
      <c r="N1881" s="116">
        <v>2448.9</v>
      </c>
      <c r="O1881" s="116">
        <v>2406.35</v>
      </c>
      <c r="P1881" s="116">
        <v>2435</v>
      </c>
      <c r="Q1881" s="116">
        <v>2428.3000000000002</v>
      </c>
      <c r="R1881">
        <v>419953</v>
      </c>
    </row>
    <row r="1882" spans="1:18" x14ac:dyDescent="0.25">
      <c r="A1882" s="163">
        <v>44774</v>
      </c>
      <c r="B1882" s="116">
        <v>2457</v>
      </c>
      <c r="C1882" s="116">
        <v>2453.1999999999998</v>
      </c>
      <c r="D1882" s="116">
        <v>2424.35</v>
      </c>
      <c r="E1882" s="116">
        <v>2430</v>
      </c>
      <c r="F1882" s="116">
        <v>2453.1999999999998</v>
      </c>
      <c r="G1882">
        <v>184819</v>
      </c>
      <c r="H1882" s="116"/>
      <c r="I1882" s="116"/>
      <c r="L1882" s="163">
        <v>44774</v>
      </c>
      <c r="M1882" s="116">
        <v>2453.5</v>
      </c>
      <c r="N1882" s="116">
        <v>2457.8000000000002</v>
      </c>
      <c r="O1882" s="116">
        <v>2422.15</v>
      </c>
      <c r="P1882" s="116">
        <v>2439</v>
      </c>
      <c r="Q1882" s="116">
        <v>2453.5</v>
      </c>
      <c r="R1882">
        <v>336004</v>
      </c>
    </row>
    <row r="1883" spans="1:18" x14ac:dyDescent="0.25">
      <c r="A1883" s="163">
        <v>44775</v>
      </c>
      <c r="B1883" s="116">
        <v>2478.1</v>
      </c>
      <c r="C1883" s="116">
        <v>2454.3000000000002</v>
      </c>
      <c r="D1883" s="116">
        <v>2441.65</v>
      </c>
      <c r="E1883" s="116">
        <v>2466</v>
      </c>
      <c r="F1883" s="116">
        <v>2454.3000000000002</v>
      </c>
      <c r="G1883">
        <v>10405</v>
      </c>
      <c r="H1883" s="116"/>
      <c r="I1883" s="116"/>
      <c r="L1883" s="163">
        <v>44775</v>
      </c>
      <c r="M1883" s="116">
        <v>2453.9499999999998</v>
      </c>
      <c r="N1883" s="116">
        <v>2476.9499999999998</v>
      </c>
      <c r="O1883" s="116">
        <v>2440</v>
      </c>
      <c r="P1883" s="116">
        <v>2469.9</v>
      </c>
      <c r="Q1883" s="116">
        <v>2453.9499999999998</v>
      </c>
      <c r="R1883">
        <v>514318</v>
      </c>
    </row>
    <row r="1884" spans="1:18" x14ac:dyDescent="0.25">
      <c r="A1884" s="163">
        <v>44776</v>
      </c>
      <c r="B1884" s="116">
        <v>2465.4499999999998</v>
      </c>
      <c r="C1884" s="116">
        <v>2449.4499999999998</v>
      </c>
      <c r="D1884" s="116">
        <v>2421.75</v>
      </c>
      <c r="E1884" s="116">
        <v>2432.0500000000002</v>
      </c>
      <c r="F1884" s="116">
        <v>2449.4499999999998</v>
      </c>
      <c r="G1884">
        <v>17597</v>
      </c>
      <c r="H1884" s="116"/>
      <c r="I1884" s="116"/>
      <c r="L1884" s="163">
        <v>44776</v>
      </c>
      <c r="M1884" s="116">
        <v>2450.4</v>
      </c>
      <c r="N1884" s="116">
        <v>2466.1</v>
      </c>
      <c r="O1884" s="116">
        <v>2422.15</v>
      </c>
      <c r="P1884" s="116">
        <v>2450</v>
      </c>
      <c r="Q1884" s="116">
        <v>2450.4</v>
      </c>
      <c r="R1884">
        <v>262699</v>
      </c>
    </row>
    <row r="1885" spans="1:18" x14ac:dyDescent="0.25">
      <c r="A1885" s="163">
        <v>44777</v>
      </c>
      <c r="B1885" s="116">
        <v>2480</v>
      </c>
      <c r="C1885" s="116">
        <v>2457.1999999999998</v>
      </c>
      <c r="D1885" s="116">
        <v>2403.3000000000002</v>
      </c>
      <c r="E1885" s="116">
        <v>2480</v>
      </c>
      <c r="F1885" s="116">
        <v>2457.1999999999998</v>
      </c>
      <c r="G1885">
        <v>12507</v>
      </c>
      <c r="H1885" s="116"/>
      <c r="I1885" s="116"/>
      <c r="L1885" s="163">
        <v>44777</v>
      </c>
      <c r="M1885" s="116">
        <v>2453.9</v>
      </c>
      <c r="N1885" s="116">
        <v>2473.9</v>
      </c>
      <c r="O1885" s="116">
        <v>2403</v>
      </c>
      <c r="P1885" s="116">
        <v>2453.15</v>
      </c>
      <c r="Q1885" s="116">
        <v>2453.9</v>
      </c>
      <c r="R1885">
        <v>572891</v>
      </c>
    </row>
    <row r="1886" spans="1:18" x14ac:dyDescent="0.25">
      <c r="A1886" s="163">
        <v>44778</v>
      </c>
      <c r="B1886" s="116">
        <v>2514.85</v>
      </c>
      <c r="C1886" s="116">
        <v>2497.6999999999998</v>
      </c>
      <c r="D1886" s="116">
        <v>2434</v>
      </c>
      <c r="E1886" s="116">
        <v>2461</v>
      </c>
      <c r="F1886" s="116">
        <v>2497.6999999999998</v>
      </c>
      <c r="G1886">
        <v>31528</v>
      </c>
      <c r="H1886" s="116"/>
      <c r="I1886" s="116"/>
      <c r="L1886" s="163">
        <v>44778</v>
      </c>
      <c r="M1886" s="116">
        <v>2498.5500000000002</v>
      </c>
      <c r="N1886" s="116">
        <v>2514.6999999999998</v>
      </c>
      <c r="O1886" s="116">
        <v>2435</v>
      </c>
      <c r="P1886" s="116">
        <v>2458.6999999999998</v>
      </c>
      <c r="Q1886" s="116">
        <v>2498.5500000000002</v>
      </c>
      <c r="R1886">
        <v>624730</v>
      </c>
    </row>
    <row r="1887" spans="1:18" x14ac:dyDescent="0.25">
      <c r="A1887" s="163">
        <v>44781</v>
      </c>
      <c r="B1887" s="116">
        <v>2514.9</v>
      </c>
      <c r="C1887" s="116">
        <v>2480.9</v>
      </c>
      <c r="D1887" s="116">
        <v>2463.1999999999998</v>
      </c>
      <c r="E1887" s="116">
        <v>2502</v>
      </c>
      <c r="F1887" s="116">
        <v>2480.9</v>
      </c>
      <c r="G1887">
        <v>10120</v>
      </c>
      <c r="H1887" s="116"/>
      <c r="I1887" s="116"/>
      <c r="L1887" s="163">
        <v>44781</v>
      </c>
      <c r="M1887" s="116">
        <v>2480.9</v>
      </c>
      <c r="N1887" s="116">
        <v>2516.15</v>
      </c>
      <c r="O1887" s="116">
        <v>2463.8000000000002</v>
      </c>
      <c r="P1887" s="116">
        <v>2511.85</v>
      </c>
      <c r="Q1887" s="116">
        <v>2480.9</v>
      </c>
      <c r="R1887">
        <v>344476</v>
      </c>
    </row>
    <row r="1888" spans="1:18" x14ac:dyDescent="0.25">
      <c r="A1888" s="163">
        <v>44783</v>
      </c>
      <c r="B1888" s="116">
        <v>2506.1999999999998</v>
      </c>
      <c r="C1888" s="116">
        <v>2435</v>
      </c>
      <c r="D1888" s="116">
        <v>2413.65</v>
      </c>
      <c r="E1888" s="116">
        <v>2479</v>
      </c>
      <c r="F1888" s="116">
        <v>2435</v>
      </c>
      <c r="G1888">
        <v>30613</v>
      </c>
      <c r="H1888" s="116"/>
      <c r="I1888" s="116"/>
      <c r="L1888" s="163">
        <v>44783</v>
      </c>
      <c r="M1888" s="116">
        <v>2436.8000000000002</v>
      </c>
      <c r="N1888" s="116">
        <v>2508</v>
      </c>
      <c r="O1888" s="116">
        <v>2414.0500000000002</v>
      </c>
      <c r="P1888" s="116">
        <v>2487.5</v>
      </c>
      <c r="Q1888" s="116">
        <v>2436.8000000000002</v>
      </c>
      <c r="R1888">
        <v>538054</v>
      </c>
    </row>
    <row r="1889" spans="1:18" x14ac:dyDescent="0.25">
      <c r="A1889" s="163">
        <v>44784</v>
      </c>
      <c r="B1889" s="116">
        <v>2461.9</v>
      </c>
      <c r="C1889" s="116">
        <v>2427.6999999999998</v>
      </c>
      <c r="D1889" s="116">
        <v>2411.0500000000002</v>
      </c>
      <c r="E1889" s="116">
        <v>2454.4499999999998</v>
      </c>
      <c r="F1889" s="116">
        <v>2427.6999999999998</v>
      </c>
      <c r="G1889">
        <v>8427</v>
      </c>
      <c r="H1889" s="116"/>
      <c r="I1889" s="116"/>
      <c r="L1889" s="163">
        <v>44784</v>
      </c>
      <c r="M1889" s="116">
        <v>2429.6</v>
      </c>
      <c r="N1889" s="116">
        <v>2463.3000000000002</v>
      </c>
      <c r="O1889" s="116">
        <v>2410.5500000000002</v>
      </c>
      <c r="P1889" s="116">
        <v>2460</v>
      </c>
      <c r="Q1889" s="116">
        <v>2429.6</v>
      </c>
      <c r="R1889">
        <v>388083</v>
      </c>
    </row>
    <row r="1890" spans="1:18" x14ac:dyDescent="0.25">
      <c r="A1890" s="163">
        <v>44785</v>
      </c>
      <c r="B1890" s="116">
        <v>2460</v>
      </c>
      <c r="C1890" s="116">
        <v>2438.3000000000002</v>
      </c>
      <c r="D1890" s="116">
        <v>2414.9</v>
      </c>
      <c r="E1890" s="116">
        <v>2426.4499999999998</v>
      </c>
      <c r="F1890" s="116">
        <v>2438.3000000000002</v>
      </c>
      <c r="G1890">
        <v>8336</v>
      </c>
      <c r="H1890" s="116"/>
      <c r="I1890" s="116"/>
      <c r="L1890" s="163">
        <v>44785</v>
      </c>
      <c r="M1890" s="116">
        <v>2438.4499999999998</v>
      </c>
      <c r="N1890" s="116">
        <v>2460</v>
      </c>
      <c r="O1890" s="116">
        <v>2412.1999999999998</v>
      </c>
      <c r="P1890" s="116">
        <v>2418</v>
      </c>
      <c r="Q1890" s="116">
        <v>2438.4499999999998</v>
      </c>
      <c r="R1890">
        <v>374776</v>
      </c>
    </row>
    <row r="1891" spans="1:18" x14ac:dyDescent="0.25">
      <c r="A1891" s="163">
        <v>44789</v>
      </c>
      <c r="B1891" s="116">
        <v>2524.8000000000002</v>
      </c>
      <c r="C1891" s="116">
        <v>2493.1</v>
      </c>
      <c r="D1891" s="116">
        <v>2454.4499999999998</v>
      </c>
      <c r="E1891" s="116">
        <v>2455</v>
      </c>
      <c r="F1891" s="116">
        <v>2493.1</v>
      </c>
      <c r="G1891">
        <v>14690</v>
      </c>
      <c r="H1891" s="116"/>
      <c r="I1891" s="116"/>
      <c r="L1891" s="163">
        <v>44789</v>
      </c>
      <c r="M1891" s="116">
        <v>2493.85</v>
      </c>
      <c r="N1891" s="116">
        <v>2525</v>
      </c>
      <c r="O1891" s="116">
        <v>2450</v>
      </c>
      <c r="P1891" s="116">
        <v>2450</v>
      </c>
      <c r="Q1891" s="116">
        <v>2493.85</v>
      </c>
      <c r="R1891">
        <v>746824</v>
      </c>
    </row>
    <row r="1892" spans="1:18" x14ac:dyDescent="0.25">
      <c r="A1892" s="163">
        <v>44790</v>
      </c>
      <c r="B1892" s="116">
        <v>2508.4499999999998</v>
      </c>
      <c r="C1892" s="116">
        <v>2486.5</v>
      </c>
      <c r="D1892" s="116">
        <v>2464.25</v>
      </c>
      <c r="E1892" s="116">
        <v>2493</v>
      </c>
      <c r="F1892" s="116">
        <v>2486.5</v>
      </c>
      <c r="G1892">
        <v>9908</v>
      </c>
      <c r="H1892" s="116"/>
      <c r="I1892" s="116"/>
      <c r="L1892" s="163">
        <v>44790</v>
      </c>
      <c r="M1892" s="116">
        <v>2486.65</v>
      </c>
      <c r="N1892" s="116">
        <v>2505.6999999999998</v>
      </c>
      <c r="O1892" s="116">
        <v>2462.35</v>
      </c>
      <c r="P1892" s="116">
        <v>2501.25</v>
      </c>
      <c r="Q1892" s="116">
        <v>2486.65</v>
      </c>
      <c r="R1892">
        <v>471778</v>
      </c>
    </row>
    <row r="1893" spans="1:18" x14ac:dyDescent="0.25">
      <c r="A1893" s="163">
        <v>44791</v>
      </c>
      <c r="B1893" s="116">
        <v>2540</v>
      </c>
      <c r="C1893" s="116">
        <v>2518.85</v>
      </c>
      <c r="D1893" s="116">
        <v>2471.35</v>
      </c>
      <c r="E1893" s="116">
        <v>2488</v>
      </c>
      <c r="F1893" s="116">
        <v>2518.85</v>
      </c>
      <c r="G1893">
        <v>14109</v>
      </c>
      <c r="H1893" s="116"/>
      <c r="I1893" s="116"/>
      <c r="L1893" s="163">
        <v>44791</v>
      </c>
      <c r="M1893" s="116">
        <v>2519.3000000000002</v>
      </c>
      <c r="N1893" s="116">
        <v>2539.8000000000002</v>
      </c>
      <c r="O1893" s="116">
        <v>2471</v>
      </c>
      <c r="P1893" s="116">
        <v>2479.9</v>
      </c>
      <c r="Q1893" s="116">
        <v>2519.3000000000002</v>
      </c>
      <c r="R1893">
        <v>761670</v>
      </c>
    </row>
    <row r="1894" spans="1:18" x14ac:dyDescent="0.25">
      <c r="A1894" s="163">
        <v>44792</v>
      </c>
      <c r="B1894" s="116">
        <v>2534</v>
      </c>
      <c r="C1894" s="116">
        <v>2457.3000000000002</v>
      </c>
      <c r="D1894" s="116">
        <v>2443</v>
      </c>
      <c r="E1894" s="116">
        <v>2521.25</v>
      </c>
      <c r="F1894" s="116">
        <v>2457.3000000000002</v>
      </c>
      <c r="G1894">
        <v>12231</v>
      </c>
      <c r="H1894" s="116"/>
      <c r="I1894" s="116"/>
      <c r="L1894" s="163">
        <v>44792</v>
      </c>
      <c r="M1894" s="116">
        <v>2455.1</v>
      </c>
      <c r="N1894" s="116">
        <v>2535.25</v>
      </c>
      <c r="O1894" s="116">
        <v>2440</v>
      </c>
      <c r="P1894" s="116">
        <v>2525</v>
      </c>
      <c r="Q1894" s="116">
        <v>2455.1</v>
      </c>
      <c r="R1894">
        <v>414275</v>
      </c>
    </row>
    <row r="1895" spans="1:18" x14ac:dyDescent="0.25">
      <c r="A1895" s="163">
        <v>44795</v>
      </c>
      <c r="B1895" s="116">
        <v>2457.3000000000002</v>
      </c>
      <c r="C1895" s="116">
        <v>2393.1999999999998</v>
      </c>
      <c r="D1895" s="116">
        <v>2364.1</v>
      </c>
      <c r="E1895" s="116">
        <v>2457.3000000000002</v>
      </c>
      <c r="F1895" s="116">
        <v>2393.1999999999998</v>
      </c>
      <c r="G1895">
        <v>27281</v>
      </c>
      <c r="H1895" s="116"/>
      <c r="I1895" s="116"/>
      <c r="L1895" s="163">
        <v>44795</v>
      </c>
      <c r="M1895" s="116">
        <v>2393.4499999999998</v>
      </c>
      <c r="N1895" s="116">
        <v>2454</v>
      </c>
      <c r="O1895" s="116">
        <v>2359.4499999999998</v>
      </c>
      <c r="P1895" s="116">
        <v>2454</v>
      </c>
      <c r="Q1895" s="116">
        <v>2393.4499999999998</v>
      </c>
      <c r="R1895">
        <v>436531</v>
      </c>
    </row>
    <row r="1896" spans="1:18" x14ac:dyDescent="0.25">
      <c r="A1896" s="163">
        <v>44796</v>
      </c>
      <c r="B1896" s="116">
        <v>2443.35</v>
      </c>
      <c r="C1896" s="116">
        <v>2417.4499999999998</v>
      </c>
      <c r="D1896" s="116">
        <v>2330</v>
      </c>
      <c r="E1896" s="116">
        <v>2330</v>
      </c>
      <c r="F1896" s="116">
        <v>2417.4499999999998</v>
      </c>
      <c r="G1896">
        <v>8628</v>
      </c>
      <c r="H1896" s="116"/>
      <c r="I1896" s="116"/>
      <c r="L1896" s="163">
        <v>44796</v>
      </c>
      <c r="M1896" s="116">
        <v>2415.65</v>
      </c>
      <c r="N1896" s="116">
        <v>2443.4499999999998</v>
      </c>
      <c r="O1896" s="116">
        <v>2338.65</v>
      </c>
      <c r="P1896" s="116">
        <v>2345</v>
      </c>
      <c r="Q1896" s="116">
        <v>2415.65</v>
      </c>
      <c r="R1896">
        <v>375652</v>
      </c>
    </row>
    <row r="1897" spans="1:18" x14ac:dyDescent="0.25">
      <c r="A1897" s="163">
        <v>44797</v>
      </c>
      <c r="B1897" s="116">
        <v>2424.9499999999998</v>
      </c>
      <c r="C1897" s="116">
        <v>2381.9499999999998</v>
      </c>
      <c r="D1897" s="116">
        <v>2362.65</v>
      </c>
      <c r="E1897" s="116">
        <v>2411.4499999999998</v>
      </c>
      <c r="F1897" s="116">
        <v>2381.9499999999998</v>
      </c>
      <c r="G1897">
        <v>11186</v>
      </c>
      <c r="H1897" s="116"/>
      <c r="I1897" s="116"/>
      <c r="L1897" s="163">
        <v>44797</v>
      </c>
      <c r="M1897" s="116">
        <v>2381.5</v>
      </c>
      <c r="N1897" s="116">
        <v>2423.6</v>
      </c>
      <c r="O1897" s="116">
        <v>2362</v>
      </c>
      <c r="P1897" s="116">
        <v>2415</v>
      </c>
      <c r="Q1897" s="116">
        <v>2381.5</v>
      </c>
      <c r="R1897">
        <v>329163</v>
      </c>
    </row>
    <row r="1898" spans="1:18" x14ac:dyDescent="0.25">
      <c r="A1898" s="163">
        <v>44798</v>
      </c>
      <c r="B1898" s="116">
        <v>2415</v>
      </c>
      <c r="C1898" s="116">
        <v>2369.85</v>
      </c>
      <c r="D1898" s="116">
        <v>2362.65</v>
      </c>
      <c r="E1898" s="116">
        <v>2415</v>
      </c>
      <c r="F1898" s="116">
        <v>2369.85</v>
      </c>
      <c r="G1898">
        <v>14290</v>
      </c>
      <c r="H1898" s="116"/>
      <c r="I1898" s="116"/>
      <c r="L1898" s="163">
        <v>44798</v>
      </c>
      <c r="M1898" s="116">
        <v>2371.5</v>
      </c>
      <c r="N1898" s="116">
        <v>2414.1999999999998</v>
      </c>
      <c r="O1898" s="116">
        <v>2363.1999999999998</v>
      </c>
      <c r="P1898" s="116">
        <v>2400</v>
      </c>
      <c r="Q1898" s="116">
        <v>2371.5</v>
      </c>
      <c r="R1898">
        <v>330710</v>
      </c>
    </row>
    <row r="1899" spans="1:18" x14ac:dyDescent="0.25">
      <c r="A1899" s="163">
        <v>44799</v>
      </c>
      <c r="B1899" s="116">
        <v>2427.0500000000002</v>
      </c>
      <c r="C1899" s="116">
        <v>2400.75</v>
      </c>
      <c r="D1899" s="116">
        <v>2379.5</v>
      </c>
      <c r="E1899" s="116">
        <v>2379.5</v>
      </c>
      <c r="F1899" s="116">
        <v>2400.75</v>
      </c>
      <c r="G1899">
        <v>10550</v>
      </c>
      <c r="H1899" s="116"/>
      <c r="I1899" s="116"/>
      <c r="L1899" s="163">
        <v>44799</v>
      </c>
      <c r="M1899" s="116">
        <v>2401.5500000000002</v>
      </c>
      <c r="N1899" s="116">
        <v>2427.25</v>
      </c>
      <c r="O1899" s="116">
        <v>2380.0500000000002</v>
      </c>
      <c r="P1899" s="116">
        <v>2395</v>
      </c>
      <c r="Q1899" s="116">
        <v>2401.5500000000002</v>
      </c>
      <c r="R1899">
        <v>363251</v>
      </c>
    </row>
    <row r="1900" spans="1:18" x14ac:dyDescent="0.25">
      <c r="A1900" s="163">
        <v>44802</v>
      </c>
      <c r="B1900" s="116">
        <v>2434.5</v>
      </c>
      <c r="C1900" s="116">
        <v>2418.3000000000002</v>
      </c>
      <c r="D1900" s="116">
        <v>2320.0500000000002</v>
      </c>
      <c r="E1900" s="116">
        <v>2320.0500000000002</v>
      </c>
      <c r="F1900" s="116">
        <v>2418.3000000000002</v>
      </c>
      <c r="G1900">
        <v>10473</v>
      </c>
      <c r="H1900" s="116"/>
      <c r="I1900" s="116"/>
      <c r="L1900" s="163">
        <v>44802</v>
      </c>
      <c r="M1900" s="116">
        <v>2419.4</v>
      </c>
      <c r="N1900" s="116">
        <v>2434.85</v>
      </c>
      <c r="O1900" s="116">
        <v>2325.1</v>
      </c>
      <c r="P1900" s="116">
        <v>2350</v>
      </c>
      <c r="Q1900" s="116">
        <v>2419.4</v>
      </c>
      <c r="R1900">
        <v>448403</v>
      </c>
    </row>
    <row r="1901" spans="1:18" x14ac:dyDescent="0.25">
      <c r="A1901" s="163">
        <v>44803</v>
      </c>
      <c r="B1901" s="116">
        <v>2556.3000000000002</v>
      </c>
      <c r="C1901" s="116">
        <v>2544.6</v>
      </c>
      <c r="D1901" s="116">
        <v>2438</v>
      </c>
      <c r="E1901" s="116">
        <v>2438</v>
      </c>
      <c r="F1901" s="116">
        <v>2544.6</v>
      </c>
      <c r="G1901">
        <v>38764</v>
      </c>
      <c r="H1901" s="116"/>
      <c r="I1901" s="116"/>
      <c r="L1901" s="163">
        <v>44803</v>
      </c>
      <c r="M1901" s="116">
        <v>2543.4</v>
      </c>
      <c r="N1901" s="116">
        <v>2555</v>
      </c>
      <c r="O1901" s="116">
        <v>2435.15</v>
      </c>
      <c r="P1901" s="116">
        <v>2444.9499999999998</v>
      </c>
      <c r="Q1901" s="116">
        <v>2543.4</v>
      </c>
      <c r="R1901">
        <v>1348808</v>
      </c>
    </row>
    <row r="1902" spans="1:18" x14ac:dyDescent="0.25">
      <c r="A1902" s="163">
        <v>44805</v>
      </c>
      <c r="B1902" s="116">
        <v>2683.45</v>
      </c>
      <c r="C1902" s="116">
        <v>2665.75</v>
      </c>
      <c r="D1902" s="116">
        <v>2523.4</v>
      </c>
      <c r="E1902" s="116">
        <v>2531.4</v>
      </c>
      <c r="F1902" s="116">
        <v>2665.75</v>
      </c>
      <c r="G1902">
        <v>78688</v>
      </c>
      <c r="H1902" s="116"/>
      <c r="I1902" s="116"/>
      <c r="L1902" s="163">
        <v>44805</v>
      </c>
      <c r="M1902" s="116">
        <v>2666.35</v>
      </c>
      <c r="N1902" s="116">
        <v>2683</v>
      </c>
      <c r="O1902" s="116">
        <v>2511.4</v>
      </c>
      <c r="P1902" s="116">
        <v>2514.65</v>
      </c>
      <c r="Q1902" s="116">
        <v>2666.35</v>
      </c>
      <c r="R1902">
        <v>2165693</v>
      </c>
    </row>
    <row r="1903" spans="1:18" x14ac:dyDescent="0.25">
      <c r="A1903" s="163">
        <v>44806</v>
      </c>
      <c r="B1903" s="116">
        <v>2688</v>
      </c>
      <c r="C1903" s="116">
        <v>2603</v>
      </c>
      <c r="D1903" s="116">
        <v>2594.35</v>
      </c>
      <c r="E1903" s="116">
        <v>2679.9</v>
      </c>
      <c r="F1903" s="116">
        <v>2603</v>
      </c>
      <c r="G1903">
        <v>18443</v>
      </c>
      <c r="H1903" s="116"/>
      <c r="I1903" s="116"/>
      <c r="L1903" s="163">
        <v>44806</v>
      </c>
      <c r="M1903" s="116">
        <v>2603.4</v>
      </c>
      <c r="N1903" s="116">
        <v>2690.5</v>
      </c>
      <c r="O1903" s="116">
        <v>2591.15</v>
      </c>
      <c r="P1903" s="116">
        <v>2687</v>
      </c>
      <c r="Q1903" s="116">
        <v>2603.4</v>
      </c>
      <c r="R1903">
        <v>613538</v>
      </c>
    </row>
    <row r="1904" spans="1:18" x14ac:dyDescent="0.25">
      <c r="A1904" s="163">
        <v>44809</v>
      </c>
      <c r="B1904" s="116">
        <v>2628.1</v>
      </c>
      <c r="C1904" s="116">
        <v>2599.85</v>
      </c>
      <c r="D1904" s="116">
        <v>2574.6</v>
      </c>
      <c r="E1904" s="116">
        <v>2605.5</v>
      </c>
      <c r="F1904" s="116">
        <v>2599.85</v>
      </c>
      <c r="G1904">
        <v>13400</v>
      </c>
      <c r="H1904" s="116"/>
      <c r="I1904" s="116"/>
      <c r="L1904" s="163">
        <v>44809</v>
      </c>
      <c r="M1904" s="116">
        <v>2601.1999999999998</v>
      </c>
      <c r="N1904" s="116">
        <v>2627.15</v>
      </c>
      <c r="O1904" s="116">
        <v>2575</v>
      </c>
      <c r="P1904" s="116">
        <v>2618</v>
      </c>
      <c r="Q1904" s="116">
        <v>2601.1999999999998</v>
      </c>
      <c r="R1904">
        <v>345524</v>
      </c>
    </row>
    <row r="1905" spans="1:18" x14ac:dyDescent="0.25">
      <c r="A1905" s="163">
        <v>44810</v>
      </c>
      <c r="B1905" s="116">
        <v>2657.8</v>
      </c>
      <c r="C1905" s="116">
        <v>2621.15</v>
      </c>
      <c r="D1905" s="116">
        <v>2608.0500000000002</v>
      </c>
      <c r="E1905" s="116">
        <v>2624</v>
      </c>
      <c r="F1905" s="116">
        <v>2621.15</v>
      </c>
      <c r="G1905">
        <v>16658</v>
      </c>
      <c r="H1905" s="116"/>
      <c r="I1905" s="116"/>
      <c r="L1905" s="163">
        <v>44810</v>
      </c>
      <c r="M1905" s="116">
        <v>2621</v>
      </c>
      <c r="N1905" s="116">
        <v>2657.9</v>
      </c>
      <c r="O1905" s="116">
        <v>2606.8000000000002</v>
      </c>
      <c r="P1905" s="116">
        <v>2613</v>
      </c>
      <c r="Q1905" s="116">
        <v>2621</v>
      </c>
      <c r="R1905">
        <v>641014</v>
      </c>
    </row>
    <row r="1906" spans="1:18" x14ac:dyDescent="0.25">
      <c r="A1906" s="163">
        <v>44811</v>
      </c>
      <c r="B1906" s="116">
        <v>2635.95</v>
      </c>
      <c r="C1906" s="116">
        <v>2622.2</v>
      </c>
      <c r="D1906" s="116">
        <v>2587.35</v>
      </c>
      <c r="E1906" s="116">
        <v>2610</v>
      </c>
      <c r="F1906" s="116">
        <v>2622.2</v>
      </c>
      <c r="G1906">
        <v>13966</v>
      </c>
      <c r="H1906" s="116"/>
      <c r="I1906" s="116"/>
      <c r="L1906" s="163">
        <v>44811</v>
      </c>
      <c r="M1906" s="116">
        <v>2620.5</v>
      </c>
      <c r="N1906" s="116">
        <v>2636.75</v>
      </c>
      <c r="O1906" s="116">
        <v>2588</v>
      </c>
      <c r="P1906" s="116">
        <v>2614</v>
      </c>
      <c r="Q1906" s="116">
        <v>2620.5</v>
      </c>
      <c r="R1906">
        <v>695991</v>
      </c>
    </row>
    <row r="1907" spans="1:18" x14ac:dyDescent="0.25">
      <c r="A1907" s="163">
        <v>44812</v>
      </c>
      <c r="B1907" s="116">
        <v>2665</v>
      </c>
      <c r="C1907" s="116">
        <v>2647.95</v>
      </c>
      <c r="D1907" s="116">
        <v>2625.65</v>
      </c>
      <c r="E1907" s="116">
        <v>2653</v>
      </c>
      <c r="F1907" s="116">
        <v>2647.95</v>
      </c>
      <c r="G1907">
        <v>18041</v>
      </c>
      <c r="H1907" s="116"/>
      <c r="I1907" s="116"/>
      <c r="L1907" s="163">
        <v>44812</v>
      </c>
      <c r="M1907" s="116">
        <v>2648.45</v>
      </c>
      <c r="N1907" s="116">
        <v>2666</v>
      </c>
      <c r="O1907" s="116">
        <v>2622</v>
      </c>
      <c r="P1907" s="116">
        <v>2648</v>
      </c>
      <c r="Q1907" s="116">
        <v>2648.45</v>
      </c>
      <c r="R1907">
        <v>469966</v>
      </c>
    </row>
    <row r="1908" spans="1:18" x14ac:dyDescent="0.25">
      <c r="A1908" s="163">
        <v>44813</v>
      </c>
      <c r="B1908" s="116">
        <v>2662.8</v>
      </c>
      <c r="C1908" s="116">
        <v>2639.85</v>
      </c>
      <c r="D1908" s="116">
        <v>2620.0500000000002</v>
      </c>
      <c r="E1908" s="116">
        <v>2645.05</v>
      </c>
      <c r="F1908" s="116">
        <v>2639.85</v>
      </c>
      <c r="G1908">
        <v>8597</v>
      </c>
      <c r="H1908" s="116"/>
      <c r="I1908" s="116"/>
      <c r="L1908" s="163">
        <v>44813</v>
      </c>
      <c r="M1908" s="116">
        <v>2639.25</v>
      </c>
      <c r="N1908" s="116">
        <v>2666</v>
      </c>
      <c r="O1908" s="116">
        <v>2620.1</v>
      </c>
      <c r="P1908" s="116">
        <v>2659.8</v>
      </c>
      <c r="Q1908" s="116">
        <v>2639.25</v>
      </c>
      <c r="R1908">
        <v>310925</v>
      </c>
    </row>
    <row r="1909" spans="1:18" x14ac:dyDescent="0.25">
      <c r="A1909" s="163">
        <v>44816</v>
      </c>
      <c r="B1909" s="116">
        <v>2738.8</v>
      </c>
      <c r="C1909" s="116">
        <v>2727.3</v>
      </c>
      <c r="D1909" s="116">
        <v>2646.95</v>
      </c>
      <c r="E1909" s="116">
        <v>2660</v>
      </c>
      <c r="F1909" s="116">
        <v>2727.3</v>
      </c>
      <c r="G1909">
        <v>57858</v>
      </c>
      <c r="H1909" s="116"/>
      <c r="I1909" s="116"/>
      <c r="L1909" s="163">
        <v>44816</v>
      </c>
      <c r="M1909" s="116">
        <v>2727.2</v>
      </c>
      <c r="N1909" s="116">
        <v>2739.6</v>
      </c>
      <c r="O1909" s="116">
        <v>2647</v>
      </c>
      <c r="P1909" s="116">
        <v>2658.8</v>
      </c>
      <c r="Q1909" s="116">
        <v>2727.2</v>
      </c>
      <c r="R1909">
        <v>1056499</v>
      </c>
    </row>
    <row r="1910" spans="1:18" x14ac:dyDescent="0.25">
      <c r="A1910" s="163">
        <v>44817</v>
      </c>
      <c r="B1910" s="116">
        <v>2848.8</v>
      </c>
      <c r="C1910" s="116">
        <v>2826.3</v>
      </c>
      <c r="D1910" s="116">
        <v>2729.4</v>
      </c>
      <c r="E1910" s="116">
        <v>2745</v>
      </c>
      <c r="F1910" s="116">
        <v>2826.3</v>
      </c>
      <c r="G1910">
        <v>92702</v>
      </c>
      <c r="H1910" s="116"/>
      <c r="I1910" s="116"/>
      <c r="L1910" s="163">
        <v>44817</v>
      </c>
      <c r="M1910" s="116">
        <v>2826.05</v>
      </c>
      <c r="N1910" s="116">
        <v>2848.9</v>
      </c>
      <c r="O1910" s="116">
        <v>2728.1</v>
      </c>
      <c r="P1910" s="116">
        <v>2744.05</v>
      </c>
      <c r="Q1910" s="116">
        <v>2826.05</v>
      </c>
      <c r="R1910">
        <v>1716707</v>
      </c>
    </row>
    <row r="1911" spans="1:18" x14ac:dyDescent="0.25">
      <c r="A1911" s="163">
        <v>44818</v>
      </c>
      <c r="B1911" s="116">
        <v>2864.35</v>
      </c>
      <c r="C1911" s="116">
        <v>2821.9</v>
      </c>
      <c r="D1911" s="116">
        <v>2770.5</v>
      </c>
      <c r="E1911" s="116">
        <v>2775</v>
      </c>
      <c r="F1911" s="116">
        <v>2821.9</v>
      </c>
      <c r="G1911">
        <v>51796</v>
      </c>
      <c r="H1911" s="116"/>
      <c r="I1911" s="116"/>
      <c r="L1911" s="163">
        <v>44818</v>
      </c>
      <c r="M1911" s="116">
        <v>2822.4</v>
      </c>
      <c r="N1911" s="116">
        <v>2865</v>
      </c>
      <c r="O1911" s="116">
        <v>2772.25</v>
      </c>
      <c r="P1911" s="116">
        <v>2789.85</v>
      </c>
      <c r="Q1911" s="116">
        <v>2822.4</v>
      </c>
      <c r="R1911">
        <v>1159487</v>
      </c>
    </row>
    <row r="1912" spans="1:18" x14ac:dyDescent="0.25">
      <c r="A1912" s="163">
        <v>44819</v>
      </c>
      <c r="B1912" s="116">
        <v>2844.65</v>
      </c>
      <c r="C1912" s="116">
        <v>2820.45</v>
      </c>
      <c r="D1912" s="116">
        <v>2788.15</v>
      </c>
      <c r="E1912" s="116">
        <v>2840</v>
      </c>
      <c r="F1912" s="116">
        <v>2820.45</v>
      </c>
      <c r="G1912">
        <v>24539</v>
      </c>
      <c r="H1912" s="116"/>
      <c r="I1912" s="116"/>
      <c r="L1912" s="163">
        <v>44819</v>
      </c>
      <c r="M1912" s="116">
        <v>2820.75</v>
      </c>
      <c r="N1912" s="116">
        <v>2844.9</v>
      </c>
      <c r="O1912" s="116">
        <v>2787.05</v>
      </c>
      <c r="P1912" s="116">
        <v>2838</v>
      </c>
      <c r="Q1912" s="116">
        <v>2820.75</v>
      </c>
      <c r="R1912">
        <v>550290</v>
      </c>
    </row>
    <row r="1913" spans="1:18" x14ac:dyDescent="0.25">
      <c r="A1913" s="163">
        <v>44820</v>
      </c>
      <c r="B1913" s="116">
        <v>2839.55</v>
      </c>
      <c r="C1913" s="116">
        <v>2706.25</v>
      </c>
      <c r="D1913" s="116">
        <v>2656.7</v>
      </c>
      <c r="E1913" s="116">
        <v>2819</v>
      </c>
      <c r="F1913" s="116">
        <v>2706.25</v>
      </c>
      <c r="G1913">
        <v>22543</v>
      </c>
      <c r="H1913" s="116"/>
      <c r="I1913" s="116"/>
      <c r="L1913" s="163">
        <v>44820</v>
      </c>
      <c r="M1913" s="116">
        <v>2703.95</v>
      </c>
      <c r="N1913" s="116">
        <v>2840.8</v>
      </c>
      <c r="O1913" s="116">
        <v>2656.45</v>
      </c>
      <c r="P1913" s="116">
        <v>2817.1</v>
      </c>
      <c r="Q1913" s="116">
        <v>2703.95</v>
      </c>
      <c r="R1913">
        <v>1013229</v>
      </c>
    </row>
    <row r="1914" spans="1:18" x14ac:dyDescent="0.25">
      <c r="A1914" s="163">
        <v>44823</v>
      </c>
      <c r="B1914" s="116">
        <v>2736.2</v>
      </c>
      <c r="C1914" s="116">
        <v>2682.05</v>
      </c>
      <c r="D1914" s="116">
        <v>2648</v>
      </c>
      <c r="E1914" s="116">
        <v>2700</v>
      </c>
      <c r="F1914" s="116">
        <v>2682.05</v>
      </c>
      <c r="G1914">
        <v>163930</v>
      </c>
      <c r="H1914" s="116"/>
      <c r="I1914" s="116"/>
      <c r="L1914" s="163">
        <v>44823</v>
      </c>
      <c r="M1914" s="116">
        <v>2682.45</v>
      </c>
      <c r="N1914" s="116">
        <v>2736</v>
      </c>
      <c r="O1914" s="116">
        <v>2647.2</v>
      </c>
      <c r="P1914" s="116">
        <v>2710.1</v>
      </c>
      <c r="Q1914" s="116">
        <v>2682.45</v>
      </c>
      <c r="R1914">
        <v>638431</v>
      </c>
    </row>
    <row r="1915" spans="1:18" x14ac:dyDescent="0.25">
      <c r="A1915" s="163">
        <v>44824</v>
      </c>
      <c r="B1915" s="116">
        <v>2734</v>
      </c>
      <c r="C1915" s="116">
        <v>2681.65</v>
      </c>
      <c r="D1915" s="116">
        <v>2675</v>
      </c>
      <c r="E1915" s="116">
        <v>2692</v>
      </c>
      <c r="F1915" s="116">
        <v>2681.65</v>
      </c>
      <c r="G1915">
        <v>12191</v>
      </c>
      <c r="H1915" s="116"/>
      <c r="I1915" s="116"/>
      <c r="L1915" s="163">
        <v>44824</v>
      </c>
      <c r="M1915" s="116">
        <v>2682.4</v>
      </c>
      <c r="N1915" s="116">
        <v>2734.95</v>
      </c>
      <c r="O1915" s="116">
        <v>2672.65</v>
      </c>
      <c r="P1915" s="116">
        <v>2705</v>
      </c>
      <c r="Q1915" s="116">
        <v>2682.4</v>
      </c>
      <c r="R1915">
        <v>559328</v>
      </c>
    </row>
    <row r="1916" spans="1:18" x14ac:dyDescent="0.25">
      <c r="A1916" s="163">
        <v>44825</v>
      </c>
      <c r="B1916" s="116">
        <v>2732.3</v>
      </c>
      <c r="C1916" s="116">
        <v>2625.25</v>
      </c>
      <c r="D1916" s="116">
        <v>2617.1999999999998</v>
      </c>
      <c r="E1916" s="116">
        <v>2680</v>
      </c>
      <c r="F1916" s="116">
        <v>2625.25</v>
      </c>
      <c r="G1916">
        <v>16696</v>
      </c>
      <c r="H1916" s="116"/>
      <c r="I1916" s="116"/>
      <c r="L1916" s="163">
        <v>44825</v>
      </c>
      <c r="M1916" s="116">
        <v>2627.3</v>
      </c>
      <c r="N1916" s="116">
        <v>2733.15</v>
      </c>
      <c r="O1916" s="116">
        <v>2615.15</v>
      </c>
      <c r="P1916" s="116">
        <v>2679.95</v>
      </c>
      <c r="Q1916" s="116">
        <v>2627.3</v>
      </c>
      <c r="R1916">
        <v>846724</v>
      </c>
    </row>
    <row r="1917" spans="1:18" x14ac:dyDescent="0.25">
      <c r="A1917" s="163">
        <v>44826</v>
      </c>
      <c r="B1917" s="116">
        <v>2643.25</v>
      </c>
      <c r="C1917" s="116">
        <v>2623</v>
      </c>
      <c r="D1917" s="116">
        <v>2556.6</v>
      </c>
      <c r="E1917" s="116">
        <v>2613.85</v>
      </c>
      <c r="F1917" s="116">
        <v>2623</v>
      </c>
      <c r="G1917">
        <v>16312</v>
      </c>
      <c r="H1917" s="116"/>
      <c r="I1917" s="116"/>
      <c r="L1917" s="163">
        <v>44826</v>
      </c>
      <c r="M1917" s="116">
        <v>2622.3</v>
      </c>
      <c r="N1917" s="116">
        <v>2642.4</v>
      </c>
      <c r="O1917" s="116">
        <v>2556</v>
      </c>
      <c r="P1917" s="116">
        <v>2620</v>
      </c>
      <c r="Q1917" s="116">
        <v>2622.3</v>
      </c>
      <c r="R1917">
        <v>649145</v>
      </c>
    </row>
    <row r="1918" spans="1:18" x14ac:dyDescent="0.25">
      <c r="A1918" s="163">
        <v>44827</v>
      </c>
      <c r="B1918" s="116">
        <v>2638.3</v>
      </c>
      <c r="C1918" s="116">
        <v>2573.1</v>
      </c>
      <c r="D1918" s="116">
        <v>2560.4</v>
      </c>
      <c r="E1918" s="116">
        <v>2638.3</v>
      </c>
      <c r="F1918" s="116">
        <v>2573.1</v>
      </c>
      <c r="G1918">
        <v>24709</v>
      </c>
      <c r="H1918" s="116"/>
      <c r="I1918" s="116"/>
      <c r="L1918" s="163">
        <v>44827</v>
      </c>
      <c r="M1918" s="116">
        <v>2572.35</v>
      </c>
      <c r="N1918" s="116">
        <v>2630.35</v>
      </c>
      <c r="O1918" s="116">
        <v>2564.0500000000002</v>
      </c>
      <c r="P1918" s="116">
        <v>2620</v>
      </c>
      <c r="Q1918" s="116">
        <v>2572.35</v>
      </c>
      <c r="R1918">
        <v>488174</v>
      </c>
    </row>
    <row r="1919" spans="1:18" x14ac:dyDescent="0.25">
      <c r="A1919" s="163">
        <v>44830</v>
      </c>
      <c r="B1919" s="116">
        <v>2554.4499999999998</v>
      </c>
      <c r="C1919" s="116">
        <v>2511.4</v>
      </c>
      <c r="D1919" s="116">
        <v>2470</v>
      </c>
      <c r="E1919" s="116">
        <v>2550</v>
      </c>
      <c r="F1919" s="116">
        <v>2511.4</v>
      </c>
      <c r="G1919">
        <v>39174</v>
      </c>
      <c r="H1919" s="116"/>
      <c r="I1919" s="116"/>
      <c r="L1919" s="163">
        <v>44830</v>
      </c>
      <c r="M1919" s="116">
        <v>2514.15</v>
      </c>
      <c r="N1919" s="116">
        <v>2555</v>
      </c>
      <c r="O1919" s="116">
        <v>2470.1999999999998</v>
      </c>
      <c r="P1919" s="116">
        <v>2550.1</v>
      </c>
      <c r="Q1919" s="116">
        <v>2514.15</v>
      </c>
      <c r="R1919">
        <v>709395</v>
      </c>
    </row>
    <row r="1920" spans="1:18" x14ac:dyDescent="0.25">
      <c r="A1920" s="163">
        <v>44831</v>
      </c>
      <c r="B1920" s="116">
        <v>2555.9499999999998</v>
      </c>
      <c r="C1920" s="116">
        <v>2485.3000000000002</v>
      </c>
      <c r="D1920" s="116">
        <v>2475</v>
      </c>
      <c r="E1920" s="116">
        <v>2534</v>
      </c>
      <c r="F1920" s="116">
        <v>2485.3000000000002</v>
      </c>
      <c r="G1920">
        <v>12460</v>
      </c>
      <c r="H1920" s="116"/>
      <c r="I1920" s="116"/>
      <c r="L1920" s="163">
        <v>44831</v>
      </c>
      <c r="M1920" s="116">
        <v>2487.8000000000002</v>
      </c>
      <c r="N1920" s="116">
        <v>2557.1</v>
      </c>
      <c r="O1920" s="116">
        <v>2474</v>
      </c>
      <c r="P1920" s="116">
        <v>2533</v>
      </c>
      <c r="Q1920" s="116">
        <v>2487.8000000000002</v>
      </c>
      <c r="R1920">
        <v>523698</v>
      </c>
    </row>
    <row r="1921" spans="1:18" x14ac:dyDescent="0.25">
      <c r="A1921" s="163">
        <v>44832</v>
      </c>
      <c r="B1921" s="116">
        <v>2512.0500000000002</v>
      </c>
      <c r="C1921" s="116">
        <v>2485.35</v>
      </c>
      <c r="D1921" s="116">
        <v>2468</v>
      </c>
      <c r="E1921" s="116">
        <v>2474.4</v>
      </c>
      <c r="F1921" s="116">
        <v>2485.35</v>
      </c>
      <c r="G1921">
        <v>14334</v>
      </c>
      <c r="H1921" s="116"/>
      <c r="I1921" s="116"/>
      <c r="L1921" s="163">
        <v>44832</v>
      </c>
      <c r="M1921" s="116">
        <v>2480.75</v>
      </c>
      <c r="N1921" s="116">
        <v>2512.9499999999998</v>
      </c>
      <c r="O1921" s="116">
        <v>2463.6</v>
      </c>
      <c r="P1921" s="116">
        <v>2465</v>
      </c>
      <c r="Q1921" s="116">
        <v>2480.75</v>
      </c>
      <c r="R1921">
        <v>424207</v>
      </c>
    </row>
    <row r="1922" spans="1:18" x14ac:dyDescent="0.25">
      <c r="A1922" s="163">
        <v>44833</v>
      </c>
      <c r="B1922" s="116">
        <v>2594.65</v>
      </c>
      <c r="C1922" s="116">
        <v>2546.35</v>
      </c>
      <c r="D1922" s="116">
        <v>2494</v>
      </c>
      <c r="E1922" s="116">
        <v>2524.9</v>
      </c>
      <c r="F1922" s="116">
        <v>2546.35</v>
      </c>
      <c r="G1922">
        <v>42709</v>
      </c>
      <c r="H1922" s="116"/>
      <c r="I1922" s="116"/>
      <c r="L1922" s="163">
        <v>44833</v>
      </c>
      <c r="M1922" s="116">
        <v>2543.85</v>
      </c>
      <c r="N1922" s="116">
        <v>2595</v>
      </c>
      <c r="O1922" s="116">
        <v>2493.3000000000002</v>
      </c>
      <c r="P1922" s="116">
        <v>2520</v>
      </c>
      <c r="Q1922" s="116">
        <v>2543.85</v>
      </c>
      <c r="R1922">
        <v>1169528</v>
      </c>
    </row>
    <row r="1923" spans="1:18" x14ac:dyDescent="0.25">
      <c r="A1923" s="163">
        <v>44834</v>
      </c>
      <c r="B1923" s="116">
        <v>2554</v>
      </c>
      <c r="C1923" s="116">
        <v>2503.9</v>
      </c>
      <c r="D1923" s="116">
        <v>2412.5500000000002</v>
      </c>
      <c r="E1923" s="116">
        <v>2545.0500000000002</v>
      </c>
      <c r="F1923" s="116">
        <v>2503.9</v>
      </c>
      <c r="G1923">
        <v>780470</v>
      </c>
      <c r="H1923" s="116"/>
      <c r="I1923" s="116"/>
      <c r="L1923" s="163">
        <v>44834</v>
      </c>
      <c r="M1923" s="116">
        <v>2503.4499999999998</v>
      </c>
      <c r="N1923" s="116">
        <v>2555</v>
      </c>
      <c r="O1923" s="116">
        <v>2411.4499999999998</v>
      </c>
      <c r="P1923" s="116">
        <v>2555</v>
      </c>
      <c r="Q1923" s="116">
        <v>2503.4499999999998</v>
      </c>
      <c r="R1923">
        <v>1724728</v>
      </c>
    </row>
    <row r="1924" spans="1:18" x14ac:dyDescent="0.25">
      <c r="A1924" s="163">
        <v>44837</v>
      </c>
      <c r="B1924" s="116">
        <v>2563.6</v>
      </c>
      <c r="C1924" s="116">
        <v>2478.65</v>
      </c>
      <c r="D1924" s="116">
        <v>2462.9</v>
      </c>
      <c r="E1924" s="116">
        <v>2511.35</v>
      </c>
      <c r="F1924" s="116">
        <v>2478.65</v>
      </c>
      <c r="G1924">
        <v>43011</v>
      </c>
      <c r="H1924" s="116"/>
      <c r="I1924" s="116"/>
      <c r="L1924" s="163">
        <v>44837</v>
      </c>
      <c r="M1924" s="116">
        <v>2478.9</v>
      </c>
      <c r="N1924" s="116">
        <v>2563.5</v>
      </c>
      <c r="O1924" s="116">
        <v>2462.1999999999998</v>
      </c>
      <c r="P1924" s="116">
        <v>2505</v>
      </c>
      <c r="Q1924" s="116">
        <v>2478.9</v>
      </c>
      <c r="R1924">
        <v>646784</v>
      </c>
    </row>
    <row r="1925" spans="1:18" x14ac:dyDescent="0.25">
      <c r="A1925" s="163">
        <v>44838</v>
      </c>
      <c r="B1925" s="116">
        <v>2553.6</v>
      </c>
      <c r="C1925" s="116">
        <v>2544.0500000000002</v>
      </c>
      <c r="D1925" s="116">
        <v>2484.3000000000002</v>
      </c>
      <c r="E1925" s="116">
        <v>2524</v>
      </c>
      <c r="F1925" s="116">
        <v>2544.0500000000002</v>
      </c>
      <c r="G1925">
        <v>15139</v>
      </c>
      <c r="H1925" s="116"/>
      <c r="I1925" s="116"/>
      <c r="L1925" s="163">
        <v>44838</v>
      </c>
      <c r="M1925" s="116">
        <v>2545.65</v>
      </c>
      <c r="N1925" s="116">
        <v>2555</v>
      </c>
      <c r="O1925" s="116">
        <v>2485</v>
      </c>
      <c r="P1925" s="116">
        <v>2520</v>
      </c>
      <c r="Q1925" s="116">
        <v>2545.65</v>
      </c>
      <c r="R1925">
        <v>690454</v>
      </c>
    </row>
    <row r="1926" spans="1:18" x14ac:dyDescent="0.25">
      <c r="A1926" s="163">
        <v>44840</v>
      </c>
      <c r="B1926" s="116">
        <v>2597.85</v>
      </c>
      <c r="C1926" s="116">
        <v>2574.85</v>
      </c>
      <c r="D1926" s="116">
        <v>2534.9499999999998</v>
      </c>
      <c r="E1926" s="116">
        <v>2564.8000000000002</v>
      </c>
      <c r="F1926" s="116">
        <v>2574.85</v>
      </c>
      <c r="G1926">
        <v>12227</v>
      </c>
      <c r="H1926" s="116"/>
      <c r="I1926" s="116"/>
      <c r="L1926" s="163">
        <v>44840</v>
      </c>
      <c r="M1926" s="116">
        <v>2575.0500000000002</v>
      </c>
      <c r="N1926" s="116">
        <v>2598</v>
      </c>
      <c r="O1926" s="116">
        <v>2533.25</v>
      </c>
      <c r="P1926" s="116">
        <v>2547</v>
      </c>
      <c r="Q1926" s="116">
        <v>2575.0500000000002</v>
      </c>
      <c r="R1926">
        <v>656151</v>
      </c>
    </row>
    <row r="1927" spans="1:18" x14ac:dyDescent="0.25">
      <c r="A1927" s="163">
        <v>44841</v>
      </c>
      <c r="B1927" s="116">
        <v>2598.9</v>
      </c>
      <c r="C1927" s="116">
        <v>2558.9</v>
      </c>
      <c r="D1927" s="116">
        <v>2551</v>
      </c>
      <c r="E1927" s="116">
        <v>2575.0500000000002</v>
      </c>
      <c r="F1927" s="116">
        <v>2558.9</v>
      </c>
      <c r="G1927">
        <v>11011</v>
      </c>
      <c r="H1927" s="116"/>
      <c r="I1927" s="116"/>
      <c r="L1927" s="163">
        <v>44841</v>
      </c>
      <c r="M1927" s="116">
        <v>2560.4</v>
      </c>
      <c r="N1927" s="116">
        <v>2599.9</v>
      </c>
      <c r="O1927" s="116">
        <v>2550.4</v>
      </c>
      <c r="P1927" s="116">
        <v>2584</v>
      </c>
      <c r="Q1927" s="116">
        <v>2560.4</v>
      </c>
      <c r="R1927">
        <v>477073</v>
      </c>
    </row>
    <row r="1928" spans="1:18" x14ac:dyDescent="0.25">
      <c r="A1928" s="163">
        <v>44844</v>
      </c>
      <c r="B1928" s="116">
        <v>2550</v>
      </c>
      <c r="C1928" s="116">
        <v>2539.9</v>
      </c>
      <c r="D1928" s="116">
        <v>2511.75</v>
      </c>
      <c r="E1928" s="116">
        <v>2530.8000000000002</v>
      </c>
      <c r="F1928" s="116">
        <v>2539.9</v>
      </c>
      <c r="G1928">
        <v>10502</v>
      </c>
      <c r="H1928" s="116"/>
      <c r="I1928" s="116"/>
      <c r="L1928" s="163">
        <v>44844</v>
      </c>
      <c r="M1928" s="116">
        <v>2540.9</v>
      </c>
      <c r="N1928" s="116">
        <v>2550</v>
      </c>
      <c r="O1928" s="116">
        <v>2511.1999999999998</v>
      </c>
      <c r="P1928" s="116">
        <v>2539.1999999999998</v>
      </c>
      <c r="Q1928" s="116">
        <v>2540.9</v>
      </c>
      <c r="R1928">
        <v>305852</v>
      </c>
    </row>
    <row r="1929" spans="1:18" x14ac:dyDescent="0.25">
      <c r="A1929" s="163">
        <v>44845</v>
      </c>
      <c r="B1929" s="116">
        <v>2564.9499999999998</v>
      </c>
      <c r="C1929" s="116">
        <v>2501.5500000000002</v>
      </c>
      <c r="D1929" s="116">
        <v>2490</v>
      </c>
      <c r="E1929" s="116">
        <v>2549.5</v>
      </c>
      <c r="F1929" s="116">
        <v>2501.5500000000002</v>
      </c>
      <c r="G1929">
        <v>214040</v>
      </c>
      <c r="H1929" s="116"/>
      <c r="I1929" s="116"/>
      <c r="L1929" s="163">
        <v>44845</v>
      </c>
      <c r="M1929" s="116">
        <v>2501.6999999999998</v>
      </c>
      <c r="N1929" s="116">
        <v>2569.5</v>
      </c>
      <c r="O1929" s="116">
        <v>2485</v>
      </c>
      <c r="P1929" s="116">
        <v>2561.25</v>
      </c>
      <c r="Q1929" s="116">
        <v>2501.6999999999998</v>
      </c>
      <c r="R1929">
        <v>477697</v>
      </c>
    </row>
    <row r="1930" spans="1:18" x14ac:dyDescent="0.25">
      <c r="A1930" s="163">
        <v>44846</v>
      </c>
      <c r="B1930" s="116">
        <v>2538.65</v>
      </c>
      <c r="C1930" s="116">
        <v>2529.1999999999998</v>
      </c>
      <c r="D1930" s="116">
        <v>2481.25</v>
      </c>
      <c r="E1930" s="116">
        <v>2518</v>
      </c>
      <c r="F1930" s="116">
        <v>2529.1999999999998</v>
      </c>
      <c r="G1930">
        <v>6716</v>
      </c>
      <c r="H1930" s="116"/>
      <c r="I1930" s="116"/>
      <c r="L1930" s="163">
        <v>44846</v>
      </c>
      <c r="M1930" s="116">
        <v>2529.1999999999998</v>
      </c>
      <c r="N1930" s="116">
        <v>2539.85</v>
      </c>
      <c r="O1930" s="116">
        <v>2480.0500000000002</v>
      </c>
      <c r="P1930" s="116">
        <v>2519.15</v>
      </c>
      <c r="Q1930" s="116">
        <v>2529.1999999999998</v>
      </c>
      <c r="R1930">
        <v>442504</v>
      </c>
    </row>
    <row r="1931" spans="1:18" x14ac:dyDescent="0.25">
      <c r="A1931" s="163">
        <v>44847</v>
      </c>
      <c r="B1931" s="116">
        <v>2526</v>
      </c>
      <c r="C1931" s="116">
        <v>2496.1999999999998</v>
      </c>
      <c r="D1931" s="116">
        <v>2465.6</v>
      </c>
      <c r="E1931" s="116">
        <v>2520</v>
      </c>
      <c r="F1931" s="116">
        <v>2496.1999999999998</v>
      </c>
      <c r="G1931">
        <v>14422</v>
      </c>
      <c r="H1931" s="116"/>
      <c r="I1931" s="116"/>
      <c r="L1931" s="163">
        <v>44847</v>
      </c>
      <c r="M1931" s="116">
        <v>2496.85</v>
      </c>
      <c r="N1931" s="116">
        <v>2529.9499999999998</v>
      </c>
      <c r="O1931" s="116">
        <v>2464.1999999999998</v>
      </c>
      <c r="P1931" s="116">
        <v>2526</v>
      </c>
      <c r="Q1931" s="116">
        <v>2496.85</v>
      </c>
      <c r="R1931">
        <v>418090</v>
      </c>
    </row>
    <row r="1932" spans="1:18" x14ac:dyDescent="0.25">
      <c r="A1932" s="163">
        <v>44848</v>
      </c>
      <c r="B1932" s="116">
        <v>2550.25</v>
      </c>
      <c r="C1932" s="116">
        <v>2495.6</v>
      </c>
      <c r="D1932" s="116">
        <v>2492</v>
      </c>
      <c r="E1932" s="116">
        <v>2536.8000000000002</v>
      </c>
      <c r="F1932" s="116">
        <v>2495.6</v>
      </c>
      <c r="G1932">
        <v>7464</v>
      </c>
      <c r="H1932" s="116"/>
      <c r="I1932" s="116"/>
      <c r="L1932" s="163">
        <v>44848</v>
      </c>
      <c r="M1932" s="116">
        <v>2496.6</v>
      </c>
      <c r="N1932" s="116">
        <v>2551.35</v>
      </c>
      <c r="O1932" s="116">
        <v>2491.0500000000002</v>
      </c>
      <c r="P1932" s="116">
        <v>2549</v>
      </c>
      <c r="Q1932" s="116">
        <v>2496.6</v>
      </c>
      <c r="R1932">
        <v>281480</v>
      </c>
    </row>
    <row r="1933" spans="1:18" x14ac:dyDescent="0.25">
      <c r="A1933" s="163">
        <v>44851</v>
      </c>
      <c r="B1933" s="116">
        <v>2570.1</v>
      </c>
      <c r="C1933" s="116">
        <v>2551.4</v>
      </c>
      <c r="D1933" s="116">
        <v>2480.3000000000002</v>
      </c>
      <c r="E1933" s="116">
        <v>2485.85</v>
      </c>
      <c r="F1933" s="116">
        <v>2551.4</v>
      </c>
      <c r="G1933">
        <v>215424</v>
      </c>
      <c r="H1933" s="116"/>
      <c r="I1933" s="116"/>
      <c r="L1933" s="163">
        <v>44851</v>
      </c>
      <c r="M1933" s="116">
        <v>2550.9499999999998</v>
      </c>
      <c r="N1933" s="116">
        <v>2571.5</v>
      </c>
      <c r="O1933" s="116">
        <v>2480.0500000000002</v>
      </c>
      <c r="P1933" s="116">
        <v>2496.6</v>
      </c>
      <c r="Q1933" s="116">
        <v>2550.9499999999998</v>
      </c>
      <c r="R1933">
        <v>477988</v>
      </c>
    </row>
    <row r="1934" spans="1:18" x14ac:dyDescent="0.25">
      <c r="A1934" s="163">
        <v>44852</v>
      </c>
      <c r="B1934" s="116">
        <v>2584.5</v>
      </c>
      <c r="C1934" s="116">
        <v>2564.3000000000002</v>
      </c>
      <c r="D1934" s="116">
        <v>2556</v>
      </c>
      <c r="E1934" s="116">
        <v>2556</v>
      </c>
      <c r="F1934" s="116">
        <v>2564.3000000000002</v>
      </c>
      <c r="G1934">
        <v>11724</v>
      </c>
      <c r="H1934" s="116"/>
      <c r="I1934" s="116"/>
      <c r="L1934" s="163">
        <v>44852</v>
      </c>
      <c r="M1934" s="116">
        <v>2564.1999999999998</v>
      </c>
      <c r="N1934" s="116">
        <v>2584.85</v>
      </c>
      <c r="O1934" s="116">
        <v>2558.15</v>
      </c>
      <c r="P1934" s="116">
        <v>2565</v>
      </c>
      <c r="Q1934" s="116">
        <v>2564.1999999999998</v>
      </c>
      <c r="R1934">
        <v>448673</v>
      </c>
    </row>
    <row r="1935" spans="1:18" x14ac:dyDescent="0.25">
      <c r="A1935" s="163">
        <v>44853</v>
      </c>
      <c r="B1935" s="116">
        <v>2592.9499999999998</v>
      </c>
      <c r="C1935" s="116">
        <v>2580.85</v>
      </c>
      <c r="D1935" s="116">
        <v>2535.6</v>
      </c>
      <c r="E1935" s="116">
        <v>2566.0500000000002</v>
      </c>
      <c r="F1935" s="116">
        <v>2580.85</v>
      </c>
      <c r="G1935">
        <v>19227</v>
      </c>
      <c r="H1935" s="116"/>
      <c r="I1935" s="116"/>
      <c r="L1935" s="163">
        <v>44853</v>
      </c>
      <c r="M1935" s="116">
        <v>2580.6</v>
      </c>
      <c r="N1935" s="116">
        <v>2594.6999999999998</v>
      </c>
      <c r="O1935" s="116">
        <v>2535</v>
      </c>
      <c r="P1935" s="116">
        <v>2577</v>
      </c>
      <c r="Q1935" s="116">
        <v>2580.6</v>
      </c>
      <c r="R1935">
        <v>479569</v>
      </c>
    </row>
    <row r="1936" spans="1:18" x14ac:dyDescent="0.25">
      <c r="A1936" s="163">
        <v>44854</v>
      </c>
      <c r="B1936" s="116">
        <v>2583.6999999999998</v>
      </c>
      <c r="C1936" s="116">
        <v>2575.3000000000002</v>
      </c>
      <c r="D1936" s="116">
        <v>2548.5500000000002</v>
      </c>
      <c r="E1936" s="116">
        <v>2580</v>
      </c>
      <c r="F1936" s="116">
        <v>2575.3000000000002</v>
      </c>
      <c r="G1936">
        <v>15407</v>
      </c>
      <c r="H1936" s="116"/>
      <c r="I1936" s="116"/>
      <c r="L1936" s="163">
        <v>44854</v>
      </c>
      <c r="M1936" s="116">
        <v>2576.1</v>
      </c>
      <c r="N1936" s="116">
        <v>2585</v>
      </c>
      <c r="O1936" s="116">
        <v>2548.0500000000002</v>
      </c>
      <c r="P1936" s="116">
        <v>2575</v>
      </c>
      <c r="Q1936" s="116">
        <v>2576.1</v>
      </c>
      <c r="R1936">
        <v>369894</v>
      </c>
    </row>
    <row r="1937" spans="1:18" x14ac:dyDescent="0.25">
      <c r="A1937" s="163">
        <v>44855</v>
      </c>
      <c r="B1937" s="116">
        <v>2612.6</v>
      </c>
      <c r="C1937" s="116">
        <v>2537.65</v>
      </c>
      <c r="D1937" s="116">
        <v>2526.15</v>
      </c>
      <c r="E1937" s="116">
        <v>2600</v>
      </c>
      <c r="F1937" s="116">
        <v>2537.65</v>
      </c>
      <c r="G1937">
        <v>11012</v>
      </c>
      <c r="H1937" s="116"/>
      <c r="I1937" s="116"/>
      <c r="L1937" s="163">
        <v>44855</v>
      </c>
      <c r="M1937" s="116">
        <v>2540.5</v>
      </c>
      <c r="N1937" s="116">
        <v>2613</v>
      </c>
      <c r="O1937" s="116">
        <v>2524.1999999999998</v>
      </c>
      <c r="P1937" s="116">
        <v>2595</v>
      </c>
      <c r="Q1937" s="116">
        <v>2540.5</v>
      </c>
      <c r="R1937">
        <v>489326</v>
      </c>
    </row>
    <row r="1938" spans="1:18" x14ac:dyDescent="0.25">
      <c r="A1938" s="163">
        <v>44858</v>
      </c>
      <c r="B1938" s="116">
        <v>2580</v>
      </c>
      <c r="C1938" s="116">
        <v>2548.15</v>
      </c>
      <c r="D1938" s="116">
        <v>2540</v>
      </c>
      <c r="E1938" s="116">
        <v>2580</v>
      </c>
      <c r="F1938" s="116">
        <v>2548.15</v>
      </c>
      <c r="G1938">
        <v>2106</v>
      </c>
      <c r="H1938" s="116"/>
      <c r="I1938" s="116"/>
      <c r="L1938" s="163">
        <v>44858</v>
      </c>
      <c r="M1938" s="116">
        <v>2547.5</v>
      </c>
      <c r="N1938" s="116">
        <v>2588</v>
      </c>
      <c r="O1938" s="116">
        <v>2535.1999999999998</v>
      </c>
      <c r="P1938" s="116">
        <v>2588</v>
      </c>
      <c r="Q1938" s="116">
        <v>2547.5</v>
      </c>
      <c r="R1938">
        <v>62203</v>
      </c>
    </row>
    <row r="1939" spans="1:18" x14ac:dyDescent="0.25">
      <c r="A1939" s="163">
        <v>44859</v>
      </c>
      <c r="B1939" s="116">
        <v>2550.15</v>
      </c>
      <c r="C1939" s="116">
        <v>2503.15</v>
      </c>
      <c r="D1939" s="116">
        <v>2495.4499999999998</v>
      </c>
      <c r="E1939" s="116">
        <v>2542.9</v>
      </c>
      <c r="F1939" s="116">
        <v>2503.15</v>
      </c>
      <c r="G1939">
        <v>146546</v>
      </c>
      <c r="H1939" s="116"/>
      <c r="I1939" s="116"/>
      <c r="L1939" s="163">
        <v>44859</v>
      </c>
      <c r="M1939" s="116">
        <v>2500.35</v>
      </c>
      <c r="N1939" s="116">
        <v>2567</v>
      </c>
      <c r="O1939" s="116">
        <v>2495</v>
      </c>
      <c r="P1939" s="116">
        <v>2567</v>
      </c>
      <c r="Q1939" s="116">
        <v>2500.35</v>
      </c>
      <c r="R1939">
        <v>680152</v>
      </c>
    </row>
    <row r="1940" spans="1:18" x14ac:dyDescent="0.25">
      <c r="A1940" s="163">
        <v>44861</v>
      </c>
      <c r="B1940" s="116">
        <v>2530</v>
      </c>
      <c r="C1940" s="116">
        <v>2500.65</v>
      </c>
      <c r="D1940" s="116">
        <v>2483.65</v>
      </c>
      <c r="E1940" s="116">
        <v>2521.85</v>
      </c>
      <c r="F1940" s="116">
        <v>2500.65</v>
      </c>
      <c r="G1940">
        <v>12948</v>
      </c>
      <c r="H1940" s="116"/>
      <c r="I1940" s="116"/>
      <c r="L1940" s="163">
        <v>44861</v>
      </c>
      <c r="M1940" s="116">
        <v>2499.4499999999998</v>
      </c>
      <c r="N1940" s="116">
        <v>2533.4499999999998</v>
      </c>
      <c r="O1940" s="116">
        <v>2483.9499999999998</v>
      </c>
      <c r="P1940" s="116">
        <v>2525.9499999999998</v>
      </c>
      <c r="Q1940" s="116">
        <v>2499.4499999999998</v>
      </c>
      <c r="R1940">
        <v>530868</v>
      </c>
    </row>
    <row r="1941" spans="1:18" x14ac:dyDescent="0.25">
      <c r="A1941" s="163">
        <v>44862</v>
      </c>
      <c r="B1941" s="116">
        <v>2515</v>
      </c>
      <c r="C1941" s="116">
        <v>2492.5500000000002</v>
      </c>
      <c r="D1941" s="116">
        <v>2473.4499999999998</v>
      </c>
      <c r="E1941" s="116">
        <v>2502</v>
      </c>
      <c r="F1941" s="116">
        <v>2492.5500000000002</v>
      </c>
      <c r="G1941">
        <v>14393</v>
      </c>
      <c r="H1941" s="116"/>
      <c r="I1941" s="116"/>
      <c r="L1941" s="163">
        <v>44862</v>
      </c>
      <c r="M1941" s="116">
        <v>2494.4499999999998</v>
      </c>
      <c r="N1941" s="116">
        <v>2519</v>
      </c>
      <c r="O1941" s="116">
        <v>2472.65</v>
      </c>
      <c r="P1941" s="116">
        <v>2513</v>
      </c>
      <c r="Q1941" s="116">
        <v>2494.4499999999998</v>
      </c>
      <c r="R1941">
        <v>385655</v>
      </c>
    </row>
    <row r="1942" spans="1:18" x14ac:dyDescent="0.25">
      <c r="A1942" s="163">
        <v>44865</v>
      </c>
      <c r="B1942" s="116">
        <v>2563.9499999999998</v>
      </c>
      <c r="C1942" s="116">
        <v>2557.6</v>
      </c>
      <c r="D1942" s="116">
        <v>2500.15</v>
      </c>
      <c r="E1942" s="116">
        <v>2500.15</v>
      </c>
      <c r="F1942" s="116">
        <v>2557.6</v>
      </c>
      <c r="G1942">
        <v>10045</v>
      </c>
      <c r="H1942" s="116"/>
      <c r="I1942" s="116"/>
      <c r="L1942" s="163">
        <v>44865</v>
      </c>
      <c r="M1942" s="116">
        <v>2558.65</v>
      </c>
      <c r="N1942" s="116">
        <v>2565</v>
      </c>
      <c r="O1942" s="116">
        <v>2505</v>
      </c>
      <c r="P1942" s="116">
        <v>2506</v>
      </c>
      <c r="Q1942" s="116">
        <v>2558.65</v>
      </c>
      <c r="R1942">
        <v>493490</v>
      </c>
    </row>
    <row r="1943" spans="1:18" x14ac:dyDescent="0.25">
      <c r="A1943" s="163">
        <v>44866</v>
      </c>
      <c r="B1943" s="116">
        <v>2639.8</v>
      </c>
      <c r="C1943" s="116">
        <v>2616.9</v>
      </c>
      <c r="D1943" s="116">
        <v>2550.8000000000002</v>
      </c>
      <c r="E1943" s="116">
        <v>2578.9499999999998</v>
      </c>
      <c r="F1943" s="116">
        <v>2616.9</v>
      </c>
      <c r="G1943">
        <v>12578</v>
      </c>
      <c r="H1943" s="116"/>
      <c r="I1943" s="116"/>
      <c r="L1943" s="163">
        <v>44866</v>
      </c>
      <c r="M1943" s="116">
        <v>2620.4499999999998</v>
      </c>
      <c r="N1943" s="116">
        <v>2639.7</v>
      </c>
      <c r="O1943" s="116">
        <v>2547.0500000000002</v>
      </c>
      <c r="P1943" s="116">
        <v>2565</v>
      </c>
      <c r="Q1943" s="116">
        <v>2620.4499999999998</v>
      </c>
      <c r="R1943">
        <v>595570</v>
      </c>
    </row>
    <row r="1944" spans="1:18" x14ac:dyDescent="0.25">
      <c r="A1944" s="163">
        <v>44867</v>
      </c>
      <c r="B1944" s="116">
        <v>2625.8</v>
      </c>
      <c r="C1944" s="116">
        <v>2549.0500000000002</v>
      </c>
      <c r="D1944" s="116">
        <v>2534.75</v>
      </c>
      <c r="E1944" s="116">
        <v>2611.9</v>
      </c>
      <c r="F1944" s="116">
        <v>2549.0500000000002</v>
      </c>
      <c r="G1944">
        <v>24787</v>
      </c>
      <c r="H1944" s="116"/>
      <c r="I1944" s="116"/>
      <c r="L1944" s="163">
        <v>44867</v>
      </c>
      <c r="M1944" s="116">
        <v>2547.9</v>
      </c>
      <c r="N1944" s="116">
        <v>2625</v>
      </c>
      <c r="O1944" s="116">
        <v>2533</v>
      </c>
      <c r="P1944" s="116">
        <v>2624</v>
      </c>
      <c r="Q1944" s="116">
        <v>2547.9</v>
      </c>
      <c r="R1944">
        <v>826027</v>
      </c>
    </row>
    <row r="1945" spans="1:18" x14ac:dyDescent="0.25">
      <c r="A1945" s="163">
        <v>44868</v>
      </c>
      <c r="B1945" s="116">
        <v>2586.1</v>
      </c>
      <c r="C1945" s="116">
        <v>2560.25</v>
      </c>
      <c r="D1945" s="116">
        <v>2512.85</v>
      </c>
      <c r="E1945" s="116">
        <v>2564.35</v>
      </c>
      <c r="F1945" s="116">
        <v>2560.25</v>
      </c>
      <c r="G1945">
        <v>39179</v>
      </c>
      <c r="H1945" s="116"/>
      <c r="I1945" s="116"/>
      <c r="L1945" s="163">
        <v>44868</v>
      </c>
      <c r="M1945" s="116">
        <v>2554.1</v>
      </c>
      <c r="N1945" s="116">
        <v>2587.9499999999998</v>
      </c>
      <c r="O1945" s="116">
        <v>2513</v>
      </c>
      <c r="P1945" s="116">
        <v>2547</v>
      </c>
      <c r="Q1945" s="116">
        <v>2554.1</v>
      </c>
      <c r="R1945">
        <v>1101948</v>
      </c>
    </row>
    <row r="1946" spans="1:18" x14ac:dyDescent="0.25">
      <c r="A1946" s="163">
        <v>44869</v>
      </c>
      <c r="B1946" s="116">
        <v>2549</v>
      </c>
      <c r="C1946" s="116">
        <v>2482.6</v>
      </c>
      <c r="D1946" s="116">
        <v>2442.1999999999998</v>
      </c>
      <c r="E1946" s="116">
        <v>2549</v>
      </c>
      <c r="F1946" s="116">
        <v>2482.6</v>
      </c>
      <c r="G1946">
        <v>66226</v>
      </c>
      <c r="H1946" s="116"/>
      <c r="I1946" s="116"/>
      <c r="L1946" s="163">
        <v>44869</v>
      </c>
      <c r="M1946" s="116">
        <v>2482.1999999999998</v>
      </c>
      <c r="N1946" s="116">
        <v>2540.75</v>
      </c>
      <c r="O1946" s="116">
        <v>2442</v>
      </c>
      <c r="P1946" s="116">
        <v>2540</v>
      </c>
      <c r="Q1946" s="116">
        <v>2482.1999999999998</v>
      </c>
      <c r="R1946">
        <v>1557123</v>
      </c>
    </row>
    <row r="1947" spans="1:18" x14ac:dyDescent="0.25">
      <c r="A1947" s="163">
        <v>44872</v>
      </c>
      <c r="B1947" s="116">
        <v>2505.8000000000002</v>
      </c>
      <c r="C1947" s="116">
        <v>2425.6999999999998</v>
      </c>
      <c r="D1947" s="116">
        <v>2409</v>
      </c>
      <c r="E1947" s="116">
        <v>2491</v>
      </c>
      <c r="F1947" s="116">
        <v>2425.6999999999998</v>
      </c>
      <c r="G1947">
        <v>44552</v>
      </c>
      <c r="H1947" s="116"/>
      <c r="I1947" s="116"/>
      <c r="L1947" s="163">
        <v>44872</v>
      </c>
      <c r="M1947" s="116">
        <v>2425.9</v>
      </c>
      <c r="N1947" s="116">
        <v>2506.5500000000002</v>
      </c>
      <c r="O1947" s="116">
        <v>2407.4</v>
      </c>
      <c r="P1947" s="116">
        <v>2493</v>
      </c>
      <c r="Q1947" s="116">
        <v>2425.9</v>
      </c>
      <c r="R1947">
        <v>857058</v>
      </c>
    </row>
    <row r="1948" spans="1:18" x14ac:dyDescent="0.25">
      <c r="A1948" s="163">
        <v>44874</v>
      </c>
      <c r="B1948" s="116">
        <v>2443.3000000000002</v>
      </c>
      <c r="C1948" s="116">
        <v>2390.85</v>
      </c>
      <c r="D1948" s="116">
        <v>2375.9</v>
      </c>
      <c r="E1948" s="116">
        <v>2436.0500000000002</v>
      </c>
      <c r="F1948" s="116">
        <v>2390.85</v>
      </c>
      <c r="G1948">
        <v>18327</v>
      </c>
      <c r="H1948" s="116"/>
      <c r="I1948" s="116"/>
      <c r="L1948" s="163">
        <v>44874</v>
      </c>
      <c r="M1948" s="116">
        <v>2391.15</v>
      </c>
      <c r="N1948" s="116">
        <v>2445</v>
      </c>
      <c r="O1948" s="116">
        <v>2375</v>
      </c>
      <c r="P1948" s="116">
        <v>2445</v>
      </c>
      <c r="Q1948" s="116">
        <v>2391.15</v>
      </c>
      <c r="R1948">
        <v>751239</v>
      </c>
    </row>
    <row r="1949" spans="1:18" x14ac:dyDescent="0.25">
      <c r="A1949" s="163">
        <v>44875</v>
      </c>
      <c r="B1949" s="116">
        <v>2379.1999999999998</v>
      </c>
      <c r="C1949" s="116">
        <v>2338.4499999999998</v>
      </c>
      <c r="D1949" s="116">
        <v>2321</v>
      </c>
      <c r="E1949" s="116">
        <v>2368</v>
      </c>
      <c r="F1949" s="116">
        <v>2338.4499999999998</v>
      </c>
      <c r="G1949">
        <v>15067</v>
      </c>
      <c r="H1949" s="116"/>
      <c r="I1949" s="116"/>
      <c r="L1949" s="163">
        <v>44875</v>
      </c>
      <c r="M1949" s="116">
        <v>2338.4499999999998</v>
      </c>
      <c r="N1949" s="116">
        <v>2378.65</v>
      </c>
      <c r="O1949" s="116">
        <v>2320.25</v>
      </c>
      <c r="P1949" s="116">
        <v>2376</v>
      </c>
      <c r="Q1949" s="116">
        <v>2338.4499999999998</v>
      </c>
      <c r="R1949">
        <v>673674</v>
      </c>
    </row>
    <row r="1950" spans="1:18" x14ac:dyDescent="0.25">
      <c r="A1950" s="163">
        <v>44876</v>
      </c>
      <c r="B1950" s="116">
        <v>2411</v>
      </c>
      <c r="C1950" s="116">
        <v>2388.75</v>
      </c>
      <c r="D1950" s="116">
        <v>2360.4499999999998</v>
      </c>
      <c r="E1950" s="116">
        <v>2384.9499999999998</v>
      </c>
      <c r="F1950" s="116">
        <v>2388.75</v>
      </c>
      <c r="G1950">
        <v>29976</v>
      </c>
      <c r="H1950" s="116"/>
      <c r="I1950" s="116"/>
      <c r="L1950" s="163">
        <v>44876</v>
      </c>
      <c r="M1950" s="116">
        <v>2388.6999999999998</v>
      </c>
      <c r="N1950" s="116">
        <v>2412.0500000000002</v>
      </c>
      <c r="O1950" s="116">
        <v>2361</v>
      </c>
      <c r="P1950" s="116">
        <v>2370</v>
      </c>
      <c r="Q1950" s="116">
        <v>2388.6999999999998</v>
      </c>
      <c r="R1950">
        <v>504629</v>
      </c>
    </row>
    <row r="1951" spans="1:18" x14ac:dyDescent="0.25">
      <c r="A1951" s="163">
        <v>44879</v>
      </c>
      <c r="B1951" s="116">
        <v>2404.3000000000002</v>
      </c>
      <c r="C1951" s="116">
        <v>2379.25</v>
      </c>
      <c r="D1951" s="116">
        <v>2372.4499999999998</v>
      </c>
      <c r="E1951" s="116">
        <v>2389.0500000000002</v>
      </c>
      <c r="F1951" s="116">
        <v>2379.25</v>
      </c>
      <c r="G1951">
        <v>15553</v>
      </c>
      <c r="H1951" s="116"/>
      <c r="I1951" s="116"/>
      <c r="L1951" s="163">
        <v>44879</v>
      </c>
      <c r="M1951" s="116">
        <v>2378.25</v>
      </c>
      <c r="N1951" s="116">
        <v>2405</v>
      </c>
      <c r="O1951" s="116">
        <v>2372</v>
      </c>
      <c r="P1951" s="116">
        <v>2400</v>
      </c>
      <c r="Q1951" s="116">
        <v>2378.25</v>
      </c>
      <c r="R1951">
        <v>572225</v>
      </c>
    </row>
    <row r="1952" spans="1:18" x14ac:dyDescent="0.25">
      <c r="A1952" s="163">
        <v>44880</v>
      </c>
      <c r="B1952" s="116">
        <v>2409.35</v>
      </c>
      <c r="C1952" s="116">
        <v>2402.4</v>
      </c>
      <c r="D1952" s="116">
        <v>2345.6999999999998</v>
      </c>
      <c r="E1952" s="116">
        <v>2390</v>
      </c>
      <c r="F1952" s="116">
        <v>2402.4</v>
      </c>
      <c r="G1952">
        <v>25708</v>
      </c>
      <c r="H1952" s="116"/>
      <c r="I1952" s="116"/>
      <c r="L1952" s="163">
        <v>44880</v>
      </c>
      <c r="M1952" s="116">
        <v>2403.4</v>
      </c>
      <c r="N1952" s="116">
        <v>2409</v>
      </c>
      <c r="O1952" s="116">
        <v>2345.8000000000002</v>
      </c>
      <c r="P1952" s="116">
        <v>2394.4499999999998</v>
      </c>
      <c r="Q1952" s="116">
        <v>2403.4</v>
      </c>
      <c r="R1952">
        <v>495265</v>
      </c>
    </row>
    <row r="1953" spans="1:18" x14ac:dyDescent="0.25">
      <c r="A1953" s="163">
        <v>44881</v>
      </c>
      <c r="B1953" s="116">
        <v>2398.65</v>
      </c>
      <c r="C1953" s="116">
        <v>2369.8000000000002</v>
      </c>
      <c r="D1953" s="116">
        <v>2353.5</v>
      </c>
      <c r="E1953" s="116">
        <v>2389.0500000000002</v>
      </c>
      <c r="F1953" s="116">
        <v>2369.8000000000002</v>
      </c>
      <c r="G1953">
        <v>14391</v>
      </c>
      <c r="H1953" s="116"/>
      <c r="I1953" s="116"/>
      <c r="L1953" s="163">
        <v>44881</v>
      </c>
      <c r="M1953" s="116">
        <v>2369.4499999999998</v>
      </c>
      <c r="N1953" s="116">
        <v>2399</v>
      </c>
      <c r="O1953" s="116">
        <v>2352.0500000000002</v>
      </c>
      <c r="P1953" s="116">
        <v>2399</v>
      </c>
      <c r="Q1953" s="116">
        <v>2369.4499999999998</v>
      </c>
      <c r="R1953">
        <v>674045</v>
      </c>
    </row>
    <row r="1954" spans="1:18" x14ac:dyDescent="0.25">
      <c r="A1954" s="163">
        <v>44882</v>
      </c>
      <c r="B1954" s="116">
        <v>2373.9499999999998</v>
      </c>
      <c r="C1954" s="116">
        <v>2337.35</v>
      </c>
      <c r="D1954" s="116">
        <v>2332.5</v>
      </c>
      <c r="E1954" s="116">
        <v>2373.9499999999998</v>
      </c>
      <c r="F1954" s="116">
        <v>2337.35</v>
      </c>
      <c r="G1954">
        <v>28539</v>
      </c>
      <c r="H1954" s="116"/>
      <c r="I1954" s="116"/>
      <c r="L1954" s="163">
        <v>44882</v>
      </c>
      <c r="M1954" s="116">
        <v>2339.0500000000002</v>
      </c>
      <c r="N1954" s="116">
        <v>2363</v>
      </c>
      <c r="O1954" s="116">
        <v>2333</v>
      </c>
      <c r="P1954" s="116">
        <v>2363</v>
      </c>
      <c r="Q1954" s="116">
        <v>2339.0500000000002</v>
      </c>
      <c r="R1954">
        <v>530480</v>
      </c>
    </row>
    <row r="1955" spans="1:18" x14ac:dyDescent="0.25">
      <c r="A1955" s="163">
        <v>44883</v>
      </c>
      <c r="B1955" s="116">
        <v>2347.9499999999998</v>
      </c>
      <c r="C1955" s="116">
        <v>2274.75</v>
      </c>
      <c r="D1955" s="116">
        <v>2250.3000000000002</v>
      </c>
      <c r="E1955" s="116">
        <v>2335.0500000000002</v>
      </c>
      <c r="F1955" s="116">
        <v>2274.75</v>
      </c>
      <c r="G1955">
        <v>22488</v>
      </c>
      <c r="H1955" s="116"/>
      <c r="I1955" s="116"/>
      <c r="L1955" s="163">
        <v>44883</v>
      </c>
      <c r="M1955" s="116">
        <v>2275.25</v>
      </c>
      <c r="N1955" s="116">
        <v>2348.4</v>
      </c>
      <c r="O1955" s="116">
        <v>2250.25</v>
      </c>
      <c r="P1955" s="116">
        <v>2342.35</v>
      </c>
      <c r="Q1955" s="116">
        <v>2275.25</v>
      </c>
      <c r="R1955">
        <v>1161638</v>
      </c>
    </row>
    <row r="1956" spans="1:18" x14ac:dyDescent="0.25">
      <c r="A1956" s="163">
        <v>44886</v>
      </c>
      <c r="B1956" s="116">
        <v>2285.0500000000002</v>
      </c>
      <c r="C1956" s="116">
        <v>2246.35</v>
      </c>
      <c r="D1956" s="116">
        <v>2239.25</v>
      </c>
      <c r="E1956" s="116">
        <v>2275</v>
      </c>
      <c r="F1956" s="116">
        <v>2246.35</v>
      </c>
      <c r="G1956">
        <v>14671</v>
      </c>
      <c r="H1956" s="116"/>
      <c r="I1956" s="116"/>
      <c r="L1956" s="163">
        <v>44886</v>
      </c>
      <c r="M1956" s="116">
        <v>2246.35</v>
      </c>
      <c r="N1956" s="116">
        <v>2287</v>
      </c>
      <c r="O1956" s="116">
        <v>2237.6999999999998</v>
      </c>
      <c r="P1956" s="116">
        <v>2266</v>
      </c>
      <c r="Q1956" s="116">
        <v>2246.35</v>
      </c>
      <c r="R1956">
        <v>871972</v>
      </c>
    </row>
    <row r="1957" spans="1:18" x14ac:dyDescent="0.25">
      <c r="A1957" s="163">
        <v>44887</v>
      </c>
      <c r="B1957" s="116">
        <v>2296</v>
      </c>
      <c r="C1957" s="116">
        <v>2288.75</v>
      </c>
      <c r="D1957" s="116">
        <v>2241.85</v>
      </c>
      <c r="E1957" s="116">
        <v>2252</v>
      </c>
      <c r="F1957" s="116">
        <v>2288.75</v>
      </c>
      <c r="G1957">
        <v>23035</v>
      </c>
      <c r="H1957" s="116"/>
      <c r="I1957" s="116"/>
      <c r="L1957" s="163">
        <v>44887</v>
      </c>
      <c r="M1957" s="116">
        <v>2288.8000000000002</v>
      </c>
      <c r="N1957" s="116">
        <v>2295</v>
      </c>
      <c r="O1957" s="116">
        <v>2240.0500000000002</v>
      </c>
      <c r="P1957" s="116">
        <v>2243</v>
      </c>
      <c r="Q1957" s="116">
        <v>2288.8000000000002</v>
      </c>
      <c r="R1957">
        <v>471061</v>
      </c>
    </row>
    <row r="1958" spans="1:18" x14ac:dyDescent="0.25">
      <c r="A1958" s="163">
        <v>44888</v>
      </c>
      <c r="B1958" s="116">
        <v>2303.0500000000002</v>
      </c>
      <c r="C1958" s="116">
        <v>2277.3000000000002</v>
      </c>
      <c r="D1958" s="116">
        <v>2273.1</v>
      </c>
      <c r="E1958" s="116">
        <v>2291.6</v>
      </c>
      <c r="F1958" s="116">
        <v>2277.3000000000002</v>
      </c>
      <c r="G1958">
        <v>9674</v>
      </c>
      <c r="H1958" s="116"/>
      <c r="I1958" s="116"/>
      <c r="L1958" s="163">
        <v>44888</v>
      </c>
      <c r="M1958" s="116">
        <v>2280.75</v>
      </c>
      <c r="N1958" s="116">
        <v>2305.4</v>
      </c>
      <c r="O1958" s="116">
        <v>2270.5</v>
      </c>
      <c r="P1958" s="116">
        <v>2305.4</v>
      </c>
      <c r="Q1958" s="116">
        <v>2280.75</v>
      </c>
      <c r="R1958">
        <v>425775</v>
      </c>
    </row>
    <row r="1959" spans="1:18" x14ac:dyDescent="0.25">
      <c r="A1959" s="163">
        <v>44889</v>
      </c>
      <c r="B1959" s="116">
        <v>2290</v>
      </c>
      <c r="C1959" s="116">
        <v>2260.15</v>
      </c>
      <c r="D1959" s="116">
        <v>2250.4499999999998</v>
      </c>
      <c r="E1959" s="116">
        <v>2287.0500000000002</v>
      </c>
      <c r="F1959" s="116">
        <v>2260.15</v>
      </c>
      <c r="G1959">
        <v>9422</v>
      </c>
      <c r="H1959" s="116"/>
      <c r="I1959" s="116"/>
      <c r="L1959" s="163">
        <v>44889</v>
      </c>
      <c r="M1959" s="116">
        <v>2259.4499999999998</v>
      </c>
      <c r="N1959" s="116">
        <v>2295</v>
      </c>
      <c r="O1959" s="116">
        <v>2250.1</v>
      </c>
      <c r="P1959" s="116">
        <v>2295</v>
      </c>
      <c r="Q1959" s="116">
        <v>2259.4499999999998</v>
      </c>
      <c r="R1959">
        <v>442467</v>
      </c>
    </row>
    <row r="1960" spans="1:18" x14ac:dyDescent="0.25">
      <c r="A1960" s="163">
        <v>44890</v>
      </c>
      <c r="B1960" s="116">
        <v>2291</v>
      </c>
      <c r="C1960" s="116">
        <v>2278.8000000000002</v>
      </c>
      <c r="D1960" s="116">
        <v>2243</v>
      </c>
      <c r="E1960" s="116">
        <v>2270</v>
      </c>
      <c r="F1960" s="116">
        <v>2278.8000000000002</v>
      </c>
      <c r="G1960">
        <v>17972</v>
      </c>
      <c r="H1960" s="116"/>
      <c r="I1960" s="116"/>
      <c r="L1960" s="163">
        <v>44890</v>
      </c>
      <c r="M1960" s="116">
        <v>2278.6999999999998</v>
      </c>
      <c r="N1960" s="116">
        <v>2291.3000000000002</v>
      </c>
      <c r="O1960" s="116">
        <v>2242.35</v>
      </c>
      <c r="P1960" s="116">
        <v>2278</v>
      </c>
      <c r="Q1960" s="116">
        <v>2278.6999999999998</v>
      </c>
      <c r="R1960">
        <v>326915</v>
      </c>
    </row>
    <row r="1961" spans="1:18" x14ac:dyDescent="0.25">
      <c r="A1961" s="163">
        <v>44893</v>
      </c>
      <c r="B1961" s="116">
        <v>2336.1</v>
      </c>
      <c r="C1961" s="116">
        <v>2324.5500000000002</v>
      </c>
      <c r="D1961" s="116">
        <v>2279.3000000000002</v>
      </c>
      <c r="E1961" s="116">
        <v>2280.0500000000002</v>
      </c>
      <c r="F1961" s="116">
        <v>2324.5500000000002</v>
      </c>
      <c r="G1961">
        <v>26123</v>
      </c>
      <c r="H1961" s="116"/>
      <c r="I1961" s="116"/>
      <c r="L1961" s="163">
        <v>44893</v>
      </c>
      <c r="M1961" s="116">
        <v>2325.5500000000002</v>
      </c>
      <c r="N1961" s="116">
        <v>2335.5500000000002</v>
      </c>
      <c r="O1961" s="116">
        <v>2280.1</v>
      </c>
      <c r="P1961" s="116">
        <v>2288</v>
      </c>
      <c r="Q1961" s="116">
        <v>2325.5500000000002</v>
      </c>
      <c r="R1961">
        <v>492455</v>
      </c>
    </row>
    <row r="1962" spans="1:18" x14ac:dyDescent="0.25">
      <c r="A1962" s="163">
        <v>44894</v>
      </c>
      <c r="B1962" s="116">
        <v>2337.9499999999998</v>
      </c>
      <c r="C1962" s="116">
        <v>2320.65</v>
      </c>
      <c r="D1962" s="116">
        <v>2315</v>
      </c>
      <c r="E1962" s="116">
        <v>2324</v>
      </c>
      <c r="F1962" s="116">
        <v>2320.65</v>
      </c>
      <c r="G1962">
        <v>10780</v>
      </c>
      <c r="H1962" s="116"/>
      <c r="I1962" s="116"/>
      <c r="L1962" s="163">
        <v>44894</v>
      </c>
      <c r="M1962" s="116">
        <v>2320.9499999999998</v>
      </c>
      <c r="N1962" s="116">
        <v>2338.25</v>
      </c>
      <c r="O1962" s="116">
        <v>2313.35</v>
      </c>
      <c r="P1962" s="116">
        <v>2327</v>
      </c>
      <c r="Q1962" s="116">
        <v>2320.9499999999998</v>
      </c>
      <c r="R1962">
        <v>357100</v>
      </c>
    </row>
    <row r="1963" spans="1:18" x14ac:dyDescent="0.25">
      <c r="A1963" s="163">
        <v>44895</v>
      </c>
      <c r="B1963" s="116">
        <v>2374.75</v>
      </c>
      <c r="C1963" s="116">
        <v>2363.25</v>
      </c>
      <c r="D1963" s="116">
        <v>2320</v>
      </c>
      <c r="E1963" s="116">
        <v>2320.35</v>
      </c>
      <c r="F1963" s="116">
        <v>2363.25</v>
      </c>
      <c r="G1963">
        <v>14043</v>
      </c>
      <c r="H1963" s="116"/>
      <c r="I1963" s="116"/>
      <c r="L1963" s="163">
        <v>44895</v>
      </c>
      <c r="M1963" s="116">
        <v>2365.6999999999998</v>
      </c>
      <c r="N1963" s="116">
        <v>2378</v>
      </c>
      <c r="O1963" s="116">
        <v>2319.1999999999998</v>
      </c>
      <c r="P1963" s="116">
        <v>2320.4</v>
      </c>
      <c r="Q1963" s="116">
        <v>2365.6999999999998</v>
      </c>
      <c r="R1963">
        <v>821107</v>
      </c>
    </row>
    <row r="1964" spans="1:18" x14ac:dyDescent="0.25">
      <c r="A1964" s="163">
        <v>44896</v>
      </c>
      <c r="B1964" s="116">
        <v>2409.5</v>
      </c>
      <c r="C1964" s="116">
        <v>2395.9499999999998</v>
      </c>
      <c r="D1964" s="116">
        <v>2349</v>
      </c>
      <c r="E1964" s="116">
        <v>2367.0500000000002</v>
      </c>
      <c r="F1964" s="116">
        <v>2395.9499999999998</v>
      </c>
      <c r="G1964">
        <v>12879</v>
      </c>
      <c r="H1964" s="116"/>
      <c r="I1964" s="116"/>
      <c r="L1964" s="163">
        <v>44896</v>
      </c>
      <c r="M1964" s="116">
        <v>2398.5500000000002</v>
      </c>
      <c r="N1964" s="116">
        <v>2410</v>
      </c>
      <c r="O1964" s="116">
        <v>2349</v>
      </c>
      <c r="P1964" s="116">
        <v>2370.9499999999998</v>
      </c>
      <c r="Q1964" s="116">
        <v>2398.5500000000002</v>
      </c>
      <c r="R1964">
        <v>742826</v>
      </c>
    </row>
    <row r="1965" spans="1:18" x14ac:dyDescent="0.25">
      <c r="A1965" s="163">
        <v>44897</v>
      </c>
      <c r="B1965" s="116">
        <v>2405.15</v>
      </c>
      <c r="C1965" s="116">
        <v>2398.3000000000002</v>
      </c>
      <c r="D1965" s="116">
        <v>2360.15</v>
      </c>
      <c r="E1965" s="116">
        <v>2394</v>
      </c>
      <c r="F1965" s="116">
        <v>2398.3000000000002</v>
      </c>
      <c r="G1965">
        <v>12170</v>
      </c>
      <c r="H1965" s="116"/>
      <c r="I1965" s="116"/>
      <c r="L1965" s="163">
        <v>44897</v>
      </c>
      <c r="M1965" s="116">
        <v>2398.6</v>
      </c>
      <c r="N1965" s="116">
        <v>2405</v>
      </c>
      <c r="O1965" s="116">
        <v>2360</v>
      </c>
      <c r="P1965" s="116">
        <v>2398.5</v>
      </c>
      <c r="Q1965" s="116">
        <v>2398.6</v>
      </c>
      <c r="R1965">
        <v>486483</v>
      </c>
    </row>
    <row r="1966" spans="1:18" x14ac:dyDescent="0.25">
      <c r="A1966" s="163">
        <v>44900</v>
      </c>
      <c r="B1966" s="116">
        <v>2413.6</v>
      </c>
      <c r="C1966" s="116">
        <v>2399.25</v>
      </c>
      <c r="D1966" s="116">
        <v>2374</v>
      </c>
      <c r="E1966" s="116">
        <v>2405</v>
      </c>
      <c r="F1966" s="116">
        <v>2399.25</v>
      </c>
      <c r="G1966">
        <v>7445</v>
      </c>
      <c r="H1966" s="116"/>
      <c r="I1966" s="116"/>
      <c r="L1966" s="163">
        <v>44900</v>
      </c>
      <c r="M1966" s="116">
        <v>2399.0500000000002</v>
      </c>
      <c r="N1966" s="116">
        <v>2416</v>
      </c>
      <c r="O1966" s="116">
        <v>2373.1999999999998</v>
      </c>
      <c r="P1966" s="116">
        <v>2413.4</v>
      </c>
      <c r="Q1966" s="116">
        <v>2399.0500000000002</v>
      </c>
      <c r="R1966">
        <v>542347</v>
      </c>
    </row>
    <row r="1967" spans="1:18" x14ac:dyDescent="0.25">
      <c r="A1967" s="163">
        <v>44901</v>
      </c>
      <c r="B1967" s="116">
        <v>2412.5500000000002</v>
      </c>
      <c r="C1967" s="116">
        <v>2385.1999999999998</v>
      </c>
      <c r="D1967" s="116">
        <v>2365</v>
      </c>
      <c r="E1967" s="116">
        <v>2396</v>
      </c>
      <c r="F1967" s="116">
        <v>2385.1999999999998</v>
      </c>
      <c r="G1967">
        <v>15522</v>
      </c>
      <c r="H1967" s="116"/>
      <c r="I1967" s="116"/>
      <c r="L1967" s="163">
        <v>44901</v>
      </c>
      <c r="M1967" s="116">
        <v>2385.6</v>
      </c>
      <c r="N1967" s="116">
        <v>2412.5500000000002</v>
      </c>
      <c r="O1967" s="116">
        <v>2365</v>
      </c>
      <c r="P1967" s="116">
        <v>2400</v>
      </c>
      <c r="Q1967" s="116">
        <v>2385.6</v>
      </c>
      <c r="R1967">
        <v>361751</v>
      </c>
    </row>
    <row r="1968" spans="1:18" x14ac:dyDescent="0.25">
      <c r="A1968" s="163">
        <v>44902</v>
      </c>
      <c r="B1968" s="116">
        <v>2398.15</v>
      </c>
      <c r="C1968" s="116">
        <v>2373.4499999999998</v>
      </c>
      <c r="D1968" s="116">
        <v>2365</v>
      </c>
      <c r="E1968" s="116">
        <v>2384.0500000000002</v>
      </c>
      <c r="F1968" s="116">
        <v>2373.4499999999998</v>
      </c>
      <c r="G1968">
        <v>5121</v>
      </c>
      <c r="H1968" s="116"/>
      <c r="I1968" s="116"/>
      <c r="L1968" s="163">
        <v>44902</v>
      </c>
      <c r="M1968" s="116">
        <v>2373.1999999999998</v>
      </c>
      <c r="N1968" s="116">
        <v>2398.8000000000002</v>
      </c>
      <c r="O1968" s="116">
        <v>2365</v>
      </c>
      <c r="P1968" s="116">
        <v>2395.9499999999998</v>
      </c>
      <c r="Q1968" s="116">
        <v>2373.1999999999998</v>
      </c>
      <c r="R1968">
        <v>248230</v>
      </c>
    </row>
    <row r="1969" spans="1:18" x14ac:dyDescent="0.25">
      <c r="A1969" s="163">
        <v>44903</v>
      </c>
      <c r="B1969" s="116">
        <v>2394.5</v>
      </c>
      <c r="C1969" s="116">
        <v>2384.35</v>
      </c>
      <c r="D1969" s="116">
        <v>2367.4499999999998</v>
      </c>
      <c r="E1969" s="116">
        <v>2370.1</v>
      </c>
      <c r="F1969" s="116">
        <v>2384.35</v>
      </c>
      <c r="G1969">
        <v>12686</v>
      </c>
      <c r="H1969" s="116"/>
      <c r="I1969" s="116"/>
      <c r="L1969" s="163">
        <v>44903</v>
      </c>
      <c r="M1969" s="116">
        <v>2384.6</v>
      </c>
      <c r="N1969" s="116">
        <v>2394.9499999999998</v>
      </c>
      <c r="O1969" s="116">
        <v>2368</v>
      </c>
      <c r="P1969" s="116">
        <v>2385</v>
      </c>
      <c r="Q1969" s="116">
        <v>2384.6</v>
      </c>
      <c r="R1969">
        <v>256931</v>
      </c>
    </row>
    <row r="1970" spans="1:18" x14ac:dyDescent="0.25">
      <c r="A1970" s="163">
        <v>44904</v>
      </c>
      <c r="B1970" s="116">
        <v>2407.3000000000002</v>
      </c>
      <c r="C1970" s="116">
        <v>2364.1999999999998</v>
      </c>
      <c r="D1970" s="116">
        <v>2340.65</v>
      </c>
      <c r="E1970" s="116">
        <v>2399.9499999999998</v>
      </c>
      <c r="F1970" s="116">
        <v>2364.1999999999998</v>
      </c>
      <c r="G1970">
        <v>11584</v>
      </c>
      <c r="H1970" s="116"/>
      <c r="I1970" s="116"/>
      <c r="L1970" s="163">
        <v>44904</v>
      </c>
      <c r="M1970" s="116">
        <v>2365.5</v>
      </c>
      <c r="N1970" s="116">
        <v>2408.9499999999998</v>
      </c>
      <c r="O1970" s="116">
        <v>2339</v>
      </c>
      <c r="P1970" s="116">
        <v>2392</v>
      </c>
      <c r="Q1970" s="116">
        <v>2365.5</v>
      </c>
      <c r="R1970">
        <v>432919</v>
      </c>
    </row>
    <row r="1971" spans="1:18" x14ac:dyDescent="0.25">
      <c r="A1971" s="163">
        <v>44907</v>
      </c>
      <c r="B1971" s="116">
        <v>2368.35</v>
      </c>
      <c r="C1971" s="116">
        <v>2340.6</v>
      </c>
      <c r="D1971" s="116">
        <v>2328</v>
      </c>
      <c r="E1971" s="116">
        <v>2365</v>
      </c>
      <c r="F1971" s="116">
        <v>2340.6</v>
      </c>
      <c r="G1971">
        <v>13972</v>
      </c>
      <c r="H1971" s="116"/>
      <c r="I1971" s="116"/>
      <c r="L1971" s="163">
        <v>44907</v>
      </c>
      <c r="M1971" s="116">
        <v>2336.1</v>
      </c>
      <c r="N1971" s="116">
        <v>2370</v>
      </c>
      <c r="O1971" s="116">
        <v>2326.35</v>
      </c>
      <c r="P1971" s="116">
        <v>2363.8000000000002</v>
      </c>
      <c r="Q1971" s="116">
        <v>2336.1</v>
      </c>
      <c r="R1971">
        <v>395435</v>
      </c>
    </row>
    <row r="1972" spans="1:18" x14ac:dyDescent="0.25">
      <c r="A1972" s="163">
        <v>44908</v>
      </c>
      <c r="B1972" s="116">
        <v>2352.15</v>
      </c>
      <c r="C1972" s="116">
        <v>2328.4</v>
      </c>
      <c r="D1972" s="116">
        <v>2315</v>
      </c>
      <c r="E1972" s="116">
        <v>2345</v>
      </c>
      <c r="F1972" s="116">
        <v>2328.4</v>
      </c>
      <c r="G1972">
        <v>11090</v>
      </c>
      <c r="H1972" s="116"/>
      <c r="I1972" s="116"/>
      <c r="L1972" s="163">
        <v>44908</v>
      </c>
      <c r="M1972" s="116">
        <v>2330.8000000000002</v>
      </c>
      <c r="N1972" s="116">
        <v>2355</v>
      </c>
      <c r="O1972" s="116">
        <v>2315</v>
      </c>
      <c r="P1972" s="116">
        <v>2354</v>
      </c>
      <c r="Q1972" s="116">
        <v>2330.8000000000002</v>
      </c>
      <c r="R1972">
        <v>381931</v>
      </c>
    </row>
    <row r="1973" spans="1:18" x14ac:dyDescent="0.25">
      <c r="A1973" s="163">
        <v>44909</v>
      </c>
      <c r="B1973" s="116">
        <v>2404.5500000000002</v>
      </c>
      <c r="C1973" s="116">
        <v>2401.15</v>
      </c>
      <c r="D1973" s="116">
        <v>2339.25</v>
      </c>
      <c r="E1973" s="116">
        <v>2345</v>
      </c>
      <c r="F1973" s="116">
        <v>2401.15</v>
      </c>
      <c r="G1973">
        <v>15077</v>
      </c>
      <c r="H1973" s="116"/>
      <c r="I1973" s="116"/>
      <c r="L1973" s="163">
        <v>44909</v>
      </c>
      <c r="M1973" s="116">
        <v>2399.9499999999998</v>
      </c>
      <c r="N1973" s="116">
        <v>2405</v>
      </c>
      <c r="O1973" s="116">
        <v>2336.4</v>
      </c>
      <c r="P1973" s="116">
        <v>2342.5</v>
      </c>
      <c r="Q1973" s="116">
        <v>2399.9499999999998</v>
      </c>
      <c r="R1973">
        <v>722113</v>
      </c>
    </row>
    <row r="1974" spans="1:18" x14ac:dyDescent="0.25">
      <c r="A1974" s="163">
        <v>44910</v>
      </c>
      <c r="B1974" s="116">
        <v>2460</v>
      </c>
      <c r="C1974" s="116">
        <v>2399.15</v>
      </c>
      <c r="D1974" s="116">
        <v>2378.65</v>
      </c>
      <c r="E1974" s="116">
        <v>2417.4</v>
      </c>
      <c r="F1974" s="116">
        <v>2399.15</v>
      </c>
      <c r="G1974">
        <v>44745</v>
      </c>
      <c r="H1974" s="116"/>
      <c r="I1974" s="116"/>
      <c r="L1974" s="163">
        <v>44910</v>
      </c>
      <c r="M1974" s="116">
        <v>2400.6999999999998</v>
      </c>
      <c r="N1974" s="116">
        <v>2460</v>
      </c>
      <c r="O1974" s="116">
        <v>2376.5500000000002</v>
      </c>
      <c r="P1974" s="116">
        <v>2410</v>
      </c>
      <c r="Q1974" s="116">
        <v>2400.6999999999998</v>
      </c>
      <c r="R1974">
        <v>1131869</v>
      </c>
    </row>
    <row r="1975" spans="1:18" x14ac:dyDescent="0.25">
      <c r="A1975" s="163">
        <v>44911</v>
      </c>
      <c r="B1975" s="116">
        <v>2380.0500000000002</v>
      </c>
      <c r="C1975" s="116">
        <v>2324.35</v>
      </c>
      <c r="D1975" s="116">
        <v>2311.15</v>
      </c>
      <c r="E1975" s="116">
        <v>2380</v>
      </c>
      <c r="F1975" s="116">
        <v>2324.35</v>
      </c>
      <c r="G1975">
        <v>17345</v>
      </c>
      <c r="H1975" s="116"/>
      <c r="I1975" s="116"/>
      <c r="L1975" s="163">
        <v>44911</v>
      </c>
      <c r="M1975" s="116">
        <v>2324.3000000000002</v>
      </c>
      <c r="N1975" s="116">
        <v>2382</v>
      </c>
      <c r="O1975" s="116">
        <v>2310</v>
      </c>
      <c r="P1975" s="116">
        <v>2382</v>
      </c>
      <c r="Q1975" s="116">
        <v>2324.3000000000002</v>
      </c>
      <c r="R1975">
        <v>980557</v>
      </c>
    </row>
    <row r="1976" spans="1:18" x14ac:dyDescent="0.25">
      <c r="A1976" s="163">
        <v>44914</v>
      </c>
      <c r="B1976" s="116">
        <v>2325</v>
      </c>
      <c r="C1976" s="116">
        <v>2322.75</v>
      </c>
      <c r="D1976" s="116">
        <v>2262.6</v>
      </c>
      <c r="E1976" s="116">
        <v>2314.8000000000002</v>
      </c>
      <c r="F1976" s="116">
        <v>2322.75</v>
      </c>
      <c r="G1976">
        <v>26015</v>
      </c>
      <c r="H1976" s="116"/>
      <c r="I1976" s="116"/>
      <c r="L1976" s="163">
        <v>44914</v>
      </c>
      <c r="M1976" s="116">
        <v>2322.85</v>
      </c>
      <c r="N1976" s="116">
        <v>2325</v>
      </c>
      <c r="O1976" s="116">
        <v>2261.35</v>
      </c>
      <c r="P1976" s="116">
        <v>2324.3000000000002</v>
      </c>
      <c r="Q1976" s="116">
        <v>2322.85</v>
      </c>
      <c r="R1976">
        <v>629091</v>
      </c>
    </row>
    <row r="1977" spans="1:18" x14ac:dyDescent="0.25">
      <c r="A1977" s="163">
        <v>44915</v>
      </c>
      <c r="B1977" s="116">
        <v>2325</v>
      </c>
      <c r="C1977" s="116">
        <v>2319.6</v>
      </c>
      <c r="D1977" s="116">
        <v>2280.9499999999998</v>
      </c>
      <c r="E1977" s="116">
        <v>2324.9499999999998</v>
      </c>
      <c r="F1977" s="116">
        <v>2319.6</v>
      </c>
      <c r="G1977">
        <v>11180</v>
      </c>
      <c r="H1977" s="116"/>
      <c r="I1977" s="116"/>
      <c r="L1977" s="163">
        <v>44915</v>
      </c>
      <c r="M1977" s="116">
        <v>2319.8000000000002</v>
      </c>
      <c r="N1977" s="116">
        <v>2325</v>
      </c>
      <c r="O1977" s="116">
        <v>2280</v>
      </c>
      <c r="P1977" s="116">
        <v>2320</v>
      </c>
      <c r="Q1977" s="116">
        <v>2319.8000000000002</v>
      </c>
      <c r="R1977">
        <v>386920</v>
      </c>
    </row>
    <row r="1978" spans="1:18" x14ac:dyDescent="0.25">
      <c r="A1978" s="163">
        <v>44916</v>
      </c>
      <c r="B1978" s="116">
        <v>2347.8000000000002</v>
      </c>
      <c r="C1978" s="116">
        <v>2298</v>
      </c>
      <c r="D1978" s="116">
        <v>2293.5500000000002</v>
      </c>
      <c r="E1978" s="116">
        <v>2315.0500000000002</v>
      </c>
      <c r="F1978" s="116">
        <v>2298</v>
      </c>
      <c r="G1978">
        <v>9628</v>
      </c>
      <c r="H1978" s="116"/>
      <c r="I1978" s="116"/>
      <c r="L1978" s="163">
        <v>44916</v>
      </c>
      <c r="M1978" s="116">
        <v>2298.6999999999998</v>
      </c>
      <c r="N1978" s="116">
        <v>2348.9499999999998</v>
      </c>
      <c r="O1978" s="116">
        <v>2293</v>
      </c>
      <c r="P1978" s="116">
        <v>2332</v>
      </c>
      <c r="Q1978" s="116">
        <v>2298.6999999999998</v>
      </c>
      <c r="R1978">
        <v>375875</v>
      </c>
    </row>
    <row r="1979" spans="1:18" x14ac:dyDescent="0.25">
      <c r="A1979" s="163">
        <v>44917</v>
      </c>
      <c r="B1979" s="116">
        <v>2324.15</v>
      </c>
      <c r="C1979" s="116">
        <v>2296.25</v>
      </c>
      <c r="D1979" s="116">
        <v>2267.6999999999998</v>
      </c>
      <c r="E1979" s="116">
        <v>2303.0500000000002</v>
      </c>
      <c r="F1979" s="116">
        <v>2296.25</v>
      </c>
      <c r="G1979">
        <v>11119</v>
      </c>
      <c r="H1979" s="116"/>
      <c r="I1979" s="116"/>
      <c r="L1979" s="163">
        <v>44917</v>
      </c>
      <c r="M1979" s="116">
        <v>2297.4499999999998</v>
      </c>
      <c r="N1979" s="116">
        <v>2324.75</v>
      </c>
      <c r="O1979" s="116">
        <v>2267.1</v>
      </c>
      <c r="P1979" s="116">
        <v>2314.8000000000002</v>
      </c>
      <c r="Q1979" s="116">
        <v>2297.4499999999998</v>
      </c>
      <c r="R1979">
        <v>631488</v>
      </c>
    </row>
    <row r="1980" spans="1:18" x14ac:dyDescent="0.25">
      <c r="A1980" s="163">
        <v>44918</v>
      </c>
      <c r="B1980" s="116">
        <v>2296.4499999999998</v>
      </c>
      <c r="C1980" s="116">
        <v>2219.9499999999998</v>
      </c>
      <c r="D1980" s="116">
        <v>2211.75</v>
      </c>
      <c r="E1980" s="116">
        <v>2279.9</v>
      </c>
      <c r="F1980" s="116">
        <v>2219.9499999999998</v>
      </c>
      <c r="G1980">
        <v>21894</v>
      </c>
      <c r="H1980" s="116"/>
      <c r="I1980" s="116"/>
      <c r="L1980" s="163">
        <v>44918</v>
      </c>
      <c r="M1980" s="116">
        <v>2219.35</v>
      </c>
      <c r="N1980" s="116">
        <v>2296.9499999999998</v>
      </c>
      <c r="O1980" s="116">
        <v>2211.1</v>
      </c>
      <c r="P1980" s="116">
        <v>2265.1</v>
      </c>
      <c r="Q1980" s="116">
        <v>2219.35</v>
      </c>
      <c r="R1980">
        <v>651176</v>
      </c>
    </row>
    <row r="1981" spans="1:18" x14ac:dyDescent="0.25">
      <c r="A1981" s="163">
        <v>44921</v>
      </c>
      <c r="B1981" s="116">
        <v>2322</v>
      </c>
      <c r="C1981" s="116">
        <v>2296.6999999999998</v>
      </c>
      <c r="D1981" s="116">
        <v>2209</v>
      </c>
      <c r="E1981" s="116">
        <v>2210</v>
      </c>
      <c r="F1981" s="116">
        <v>2296.6999999999998</v>
      </c>
      <c r="G1981">
        <v>20655</v>
      </c>
      <c r="H1981" s="116"/>
      <c r="I1981" s="116"/>
      <c r="L1981" s="163">
        <v>44921</v>
      </c>
      <c r="M1981" s="116">
        <v>2293.3000000000002</v>
      </c>
      <c r="N1981" s="116">
        <v>2322.8000000000002</v>
      </c>
      <c r="O1981" s="116">
        <v>2206.0500000000002</v>
      </c>
      <c r="P1981" s="116">
        <v>2220</v>
      </c>
      <c r="Q1981" s="116">
        <v>2293.3000000000002</v>
      </c>
      <c r="R1981">
        <v>500570</v>
      </c>
    </row>
    <row r="1982" spans="1:18" x14ac:dyDescent="0.25">
      <c r="A1982" s="163">
        <v>44922</v>
      </c>
      <c r="B1982" s="116">
        <v>2347.6999999999998</v>
      </c>
      <c r="C1982" s="116">
        <v>2325</v>
      </c>
      <c r="D1982" s="116">
        <v>2303.9499999999998</v>
      </c>
      <c r="E1982" s="116">
        <v>2305</v>
      </c>
      <c r="F1982" s="116">
        <v>2325</v>
      </c>
      <c r="G1982">
        <v>14405</v>
      </c>
      <c r="H1982" s="116"/>
      <c r="I1982" s="116"/>
      <c r="L1982" s="163">
        <v>44922</v>
      </c>
      <c r="M1982" s="116">
        <v>2325</v>
      </c>
      <c r="N1982" s="116">
        <v>2348</v>
      </c>
      <c r="O1982" s="116">
        <v>2302.6</v>
      </c>
      <c r="P1982" s="116">
        <v>2305</v>
      </c>
      <c r="Q1982" s="116">
        <v>2325</v>
      </c>
      <c r="R1982">
        <v>583509</v>
      </c>
    </row>
    <row r="1983" spans="1:18" x14ac:dyDescent="0.25">
      <c r="A1983" s="163">
        <v>44923</v>
      </c>
      <c r="B1983" s="116">
        <v>2336.5</v>
      </c>
      <c r="C1983" s="116">
        <v>2309.3000000000002</v>
      </c>
      <c r="D1983" s="116">
        <v>2301</v>
      </c>
      <c r="E1983" s="116">
        <v>2325.0500000000002</v>
      </c>
      <c r="F1983" s="116">
        <v>2309.3000000000002</v>
      </c>
      <c r="G1983">
        <v>10008</v>
      </c>
      <c r="H1983" s="116"/>
      <c r="I1983" s="116"/>
      <c r="L1983" s="163">
        <v>44923</v>
      </c>
      <c r="M1983" s="116">
        <v>2307.25</v>
      </c>
      <c r="N1983" s="116">
        <v>2337.3000000000002</v>
      </c>
      <c r="O1983" s="116">
        <v>2300</v>
      </c>
      <c r="P1983" s="116">
        <v>2332.85</v>
      </c>
      <c r="Q1983" s="116">
        <v>2307.25</v>
      </c>
      <c r="R1983">
        <v>323750</v>
      </c>
    </row>
    <row r="1984" spans="1:18" x14ac:dyDescent="0.25">
      <c r="A1984" s="163">
        <v>44924</v>
      </c>
      <c r="B1984" s="116">
        <v>2317.75</v>
      </c>
      <c r="C1984" s="116">
        <v>2277.4</v>
      </c>
      <c r="D1984" s="116">
        <v>2270</v>
      </c>
      <c r="E1984" s="116">
        <v>2300</v>
      </c>
      <c r="F1984" s="116">
        <v>2277.4</v>
      </c>
      <c r="G1984">
        <v>37614</v>
      </c>
      <c r="H1984" s="116"/>
      <c r="I1984" s="116"/>
      <c r="L1984" s="163">
        <v>44924</v>
      </c>
      <c r="M1984" s="116">
        <v>2275.9499999999998</v>
      </c>
      <c r="N1984" s="116">
        <v>2319.4499999999998</v>
      </c>
      <c r="O1984" s="116">
        <v>2268.8000000000002</v>
      </c>
      <c r="P1984" s="116">
        <v>2297.0500000000002</v>
      </c>
      <c r="Q1984" s="116">
        <v>2275.9499999999998</v>
      </c>
      <c r="R1984">
        <v>987064</v>
      </c>
    </row>
    <row r="1985" spans="1:18" x14ac:dyDescent="0.25">
      <c r="A1985" s="163">
        <v>44925</v>
      </c>
      <c r="B1985" s="116">
        <v>2313.85</v>
      </c>
      <c r="C1985" s="116">
        <v>2291.6</v>
      </c>
      <c r="D1985" s="116">
        <v>2283.9499999999998</v>
      </c>
      <c r="E1985" s="116">
        <v>2299.9499999999998</v>
      </c>
      <c r="F1985" s="116">
        <v>2291.6</v>
      </c>
      <c r="G1985">
        <v>10246</v>
      </c>
      <c r="H1985" s="116"/>
      <c r="I1985" s="116"/>
      <c r="L1985" s="163">
        <v>44925</v>
      </c>
      <c r="M1985" s="116">
        <v>2290.35</v>
      </c>
      <c r="N1985" s="116">
        <v>2314.35</v>
      </c>
      <c r="O1985" s="116">
        <v>2284</v>
      </c>
      <c r="P1985" s="116">
        <v>2294.9</v>
      </c>
      <c r="Q1985" s="116">
        <v>2290.35</v>
      </c>
      <c r="R1985">
        <v>232119</v>
      </c>
    </row>
    <row r="1986" spans="1:18" x14ac:dyDescent="0.25">
      <c r="A1986" s="163">
        <v>44928</v>
      </c>
      <c r="B1986" s="116">
        <v>2308.25</v>
      </c>
      <c r="C1986" s="116">
        <v>2293.0500000000002</v>
      </c>
      <c r="D1986" s="116">
        <v>2276.0500000000002</v>
      </c>
      <c r="E1986" s="116">
        <v>2299.9499999999998</v>
      </c>
      <c r="F1986" s="116">
        <v>2293.0500000000002</v>
      </c>
      <c r="G1986">
        <v>11997</v>
      </c>
      <c r="H1986" s="116"/>
      <c r="I1986" s="116"/>
      <c r="L1986" s="163">
        <v>44928</v>
      </c>
      <c r="M1986" s="116">
        <v>2292.4499999999998</v>
      </c>
      <c r="N1986" s="116">
        <v>2308</v>
      </c>
      <c r="O1986" s="116">
        <v>2276.15</v>
      </c>
      <c r="P1986" s="116">
        <v>2294.6</v>
      </c>
      <c r="Q1986" s="116">
        <v>2292.4499999999998</v>
      </c>
      <c r="R1986">
        <v>321609</v>
      </c>
    </row>
    <row r="1987" spans="1:18" x14ac:dyDescent="0.25">
      <c r="A1987" s="163">
        <v>44929</v>
      </c>
      <c r="B1987" s="116">
        <v>2312</v>
      </c>
      <c r="C1987" s="116">
        <v>2302.35</v>
      </c>
      <c r="D1987" s="116">
        <v>2281</v>
      </c>
      <c r="E1987" s="116">
        <v>2293.0500000000002</v>
      </c>
      <c r="F1987" s="116">
        <v>2302.35</v>
      </c>
      <c r="G1987">
        <v>41542</v>
      </c>
      <c r="H1987" s="116"/>
      <c r="I1987" s="116"/>
      <c r="L1987" s="163">
        <v>44929</v>
      </c>
      <c r="M1987" s="116">
        <v>2302.85</v>
      </c>
      <c r="N1987" s="116">
        <v>2312</v>
      </c>
      <c r="O1987" s="116">
        <v>2280.6</v>
      </c>
      <c r="P1987" s="116">
        <v>2300</v>
      </c>
      <c r="Q1987" s="116">
        <v>2302.85</v>
      </c>
      <c r="R1987">
        <v>741051</v>
      </c>
    </row>
    <row r="1988" spans="1:18" x14ac:dyDescent="0.25">
      <c r="A1988" s="163">
        <v>44930</v>
      </c>
      <c r="B1988" s="116">
        <v>2308.1999999999998</v>
      </c>
      <c r="C1988" s="116">
        <v>2265.6999999999998</v>
      </c>
      <c r="D1988" s="116">
        <v>2260.0500000000002</v>
      </c>
      <c r="E1988" s="116">
        <v>2300</v>
      </c>
      <c r="F1988" s="116">
        <v>2265.6999999999998</v>
      </c>
      <c r="G1988">
        <v>7079</v>
      </c>
      <c r="H1988" s="116"/>
      <c r="I1988" s="116"/>
      <c r="L1988" s="163">
        <v>44930</v>
      </c>
      <c r="M1988" s="116">
        <v>2265.3000000000002</v>
      </c>
      <c r="N1988" s="116">
        <v>2309</v>
      </c>
      <c r="O1988" s="116">
        <v>2260</v>
      </c>
      <c r="P1988" s="116">
        <v>2302.75</v>
      </c>
      <c r="Q1988" s="116">
        <v>2265.3000000000002</v>
      </c>
      <c r="R1988">
        <v>396492</v>
      </c>
    </row>
    <row r="1989" spans="1:18" x14ac:dyDescent="0.25">
      <c r="A1989" s="163">
        <v>44931</v>
      </c>
      <c r="B1989" s="116">
        <v>2281.4499999999998</v>
      </c>
      <c r="C1989" s="116">
        <v>2262.1</v>
      </c>
      <c r="D1989" s="116">
        <v>2244.9</v>
      </c>
      <c r="E1989" s="116">
        <v>2275</v>
      </c>
      <c r="F1989" s="116">
        <v>2262.1</v>
      </c>
      <c r="G1989">
        <v>15137</v>
      </c>
      <c r="H1989" s="116"/>
      <c r="I1989" s="116"/>
      <c r="L1989" s="163">
        <v>44931</v>
      </c>
      <c r="M1989" s="116">
        <v>2266.9</v>
      </c>
      <c r="N1989" s="116">
        <v>2281.9499999999998</v>
      </c>
      <c r="O1989" s="116">
        <v>2245.1</v>
      </c>
      <c r="P1989" s="116">
        <v>2275</v>
      </c>
      <c r="Q1989" s="116">
        <v>2266.9</v>
      </c>
      <c r="R1989">
        <v>266401</v>
      </c>
    </row>
    <row r="1990" spans="1:18" x14ac:dyDescent="0.25">
      <c r="A1990" s="163">
        <v>44932</v>
      </c>
      <c r="B1990" s="116">
        <v>2271</v>
      </c>
      <c r="C1990" s="116">
        <v>2238.15</v>
      </c>
      <c r="D1990" s="116">
        <v>2227</v>
      </c>
      <c r="E1990" s="116">
        <v>2261.0500000000002</v>
      </c>
      <c r="F1990" s="116">
        <v>2238.15</v>
      </c>
      <c r="G1990">
        <v>9199</v>
      </c>
      <c r="H1990" s="116"/>
      <c r="I1990" s="116"/>
      <c r="L1990" s="163">
        <v>44932</v>
      </c>
      <c r="M1990" s="116">
        <v>2238.65</v>
      </c>
      <c r="N1990" s="116">
        <v>2274</v>
      </c>
      <c r="O1990" s="116">
        <v>2227.35</v>
      </c>
      <c r="P1990" s="116">
        <v>2270</v>
      </c>
      <c r="Q1990" s="116">
        <v>2238.65</v>
      </c>
      <c r="R1990">
        <v>328799</v>
      </c>
    </row>
    <row r="1991" spans="1:18" x14ac:dyDescent="0.25">
      <c r="A1991" s="163">
        <v>44935</v>
      </c>
      <c r="B1991" s="116">
        <v>2255.4499999999998</v>
      </c>
      <c r="C1991" s="116">
        <v>2236.9499999999998</v>
      </c>
      <c r="D1991" s="116">
        <v>2215</v>
      </c>
      <c r="E1991" s="116">
        <v>2240.0500000000002</v>
      </c>
      <c r="F1991" s="116">
        <v>2236.9499999999998</v>
      </c>
      <c r="G1991">
        <v>9421</v>
      </c>
      <c r="H1991" s="116"/>
      <c r="I1991" s="116"/>
      <c r="L1991" s="163">
        <v>44935</v>
      </c>
      <c r="M1991" s="116">
        <v>2236.75</v>
      </c>
      <c r="N1991" s="116">
        <v>2256.6</v>
      </c>
      <c r="O1991" s="116">
        <v>2214.15</v>
      </c>
      <c r="P1991" s="116">
        <v>2246.3000000000002</v>
      </c>
      <c r="Q1991" s="116">
        <v>2236.75</v>
      </c>
      <c r="R1991">
        <v>468796</v>
      </c>
    </row>
    <row r="1992" spans="1:18" x14ac:dyDescent="0.25">
      <c r="A1992" s="163">
        <v>44936</v>
      </c>
      <c r="B1992" s="116">
        <v>2274</v>
      </c>
      <c r="C1992" s="116">
        <v>2269.9499999999998</v>
      </c>
      <c r="D1992" s="116">
        <v>2236.25</v>
      </c>
      <c r="E1992" s="116">
        <v>2236.9499999999998</v>
      </c>
      <c r="F1992" s="116">
        <v>2269.9499999999998</v>
      </c>
      <c r="G1992">
        <v>12095</v>
      </c>
      <c r="H1992" s="116"/>
      <c r="I1992" s="116"/>
      <c r="L1992" s="163">
        <v>44936</v>
      </c>
      <c r="M1992" s="116">
        <v>2270.1</v>
      </c>
      <c r="N1992" s="116">
        <v>2275</v>
      </c>
      <c r="O1992" s="116">
        <v>2232</v>
      </c>
      <c r="P1992" s="116">
        <v>2240</v>
      </c>
      <c r="Q1992" s="116">
        <v>2270.1</v>
      </c>
      <c r="R1992">
        <v>446088</v>
      </c>
    </row>
    <row r="1993" spans="1:18" x14ac:dyDescent="0.25">
      <c r="A1993" s="163">
        <v>44937</v>
      </c>
      <c r="B1993" s="116">
        <v>2283.9499999999998</v>
      </c>
      <c r="C1993" s="116">
        <v>2196.6999999999998</v>
      </c>
      <c r="D1993" s="116">
        <v>2186.0500000000002</v>
      </c>
      <c r="E1993" s="116">
        <v>2283.9499999999998</v>
      </c>
      <c r="F1993" s="116">
        <v>2196.6999999999998</v>
      </c>
      <c r="G1993">
        <v>15176</v>
      </c>
      <c r="H1993" s="116"/>
      <c r="I1993" s="116"/>
      <c r="L1993" s="163">
        <v>44937</v>
      </c>
      <c r="M1993" s="116">
        <v>2195.8000000000002</v>
      </c>
      <c r="N1993" s="116">
        <v>2277.9499999999998</v>
      </c>
      <c r="O1993" s="116">
        <v>2186.6999999999998</v>
      </c>
      <c r="P1993" s="116">
        <v>2277.9499999999998</v>
      </c>
      <c r="Q1993" s="116">
        <v>2195.8000000000002</v>
      </c>
      <c r="R1993">
        <v>683084</v>
      </c>
    </row>
    <row r="1994" spans="1:18" x14ac:dyDescent="0.25">
      <c r="A1994" s="163">
        <v>44938</v>
      </c>
      <c r="B1994" s="116">
        <v>2228</v>
      </c>
      <c r="C1994" s="116">
        <v>2219.4499999999998</v>
      </c>
      <c r="D1994" s="116">
        <v>2193.0500000000002</v>
      </c>
      <c r="E1994" s="116">
        <v>2199.75</v>
      </c>
      <c r="F1994" s="116">
        <v>2219.4499999999998</v>
      </c>
      <c r="G1994">
        <v>17501</v>
      </c>
      <c r="H1994" s="116"/>
      <c r="I1994" s="116"/>
      <c r="L1994" s="163">
        <v>44938</v>
      </c>
      <c r="M1994" s="116">
        <v>2219.3000000000002</v>
      </c>
      <c r="N1994" s="116">
        <v>2229.8000000000002</v>
      </c>
      <c r="O1994" s="116">
        <v>2191.0500000000002</v>
      </c>
      <c r="P1994" s="116">
        <v>2199.8000000000002</v>
      </c>
      <c r="Q1994" s="116">
        <v>2219.3000000000002</v>
      </c>
      <c r="R1994">
        <v>563323</v>
      </c>
    </row>
    <row r="1995" spans="1:18" x14ac:dyDescent="0.25">
      <c r="A1995" s="163">
        <v>44939</v>
      </c>
      <c r="B1995" s="116">
        <v>2234.9</v>
      </c>
      <c r="C1995" s="116">
        <v>2198.4</v>
      </c>
      <c r="D1995" s="116">
        <v>2182.0500000000002</v>
      </c>
      <c r="E1995" s="116">
        <v>2234.9</v>
      </c>
      <c r="F1995" s="116">
        <v>2198.4</v>
      </c>
      <c r="G1995">
        <v>15625</v>
      </c>
      <c r="H1995" s="116"/>
      <c r="I1995" s="116"/>
      <c r="L1995" s="163">
        <v>44939</v>
      </c>
      <c r="M1995" s="116">
        <v>2198.75</v>
      </c>
      <c r="N1995" s="116">
        <v>2224.1999999999998</v>
      </c>
      <c r="O1995" s="116">
        <v>2180.1</v>
      </c>
      <c r="P1995" s="116">
        <v>2219</v>
      </c>
      <c r="Q1995" s="116">
        <v>2198.75</v>
      </c>
      <c r="R1995">
        <v>339837</v>
      </c>
    </row>
    <row r="1996" spans="1:18" x14ac:dyDescent="0.25">
      <c r="A1996" s="163">
        <v>44942</v>
      </c>
      <c r="B1996" s="116">
        <v>2207.6999999999998</v>
      </c>
      <c r="C1996" s="116">
        <v>2179</v>
      </c>
      <c r="D1996" s="116">
        <v>2163</v>
      </c>
      <c r="E1996" s="116">
        <v>2200.0500000000002</v>
      </c>
      <c r="F1996" s="116">
        <v>2179</v>
      </c>
      <c r="G1996">
        <v>11717</v>
      </c>
      <c r="H1996" s="116"/>
      <c r="I1996" s="116"/>
      <c r="L1996" s="163">
        <v>44942</v>
      </c>
      <c r="M1996" s="116">
        <v>2178.65</v>
      </c>
      <c r="N1996" s="116">
        <v>2207.75</v>
      </c>
      <c r="O1996" s="116">
        <v>2162.4</v>
      </c>
      <c r="P1996" s="116">
        <v>2207</v>
      </c>
      <c r="Q1996" s="116">
        <v>2178.65</v>
      </c>
      <c r="R1996">
        <v>550050</v>
      </c>
    </row>
    <row r="1997" spans="1:18" x14ac:dyDescent="0.25">
      <c r="A1997" s="163">
        <v>44943</v>
      </c>
      <c r="B1997" s="116">
        <v>2190.1</v>
      </c>
      <c r="C1997" s="116">
        <v>2188.35</v>
      </c>
      <c r="D1997" s="116">
        <v>2159.9499999999998</v>
      </c>
      <c r="E1997" s="116">
        <v>2184.9499999999998</v>
      </c>
      <c r="F1997" s="116">
        <v>2188.35</v>
      </c>
      <c r="G1997">
        <v>13300</v>
      </c>
      <c r="H1997" s="116"/>
      <c r="I1997" s="116"/>
      <c r="L1997" s="163">
        <v>44943</v>
      </c>
      <c r="M1997" s="116">
        <v>2188.4499999999998</v>
      </c>
      <c r="N1997" s="116">
        <v>2191.15</v>
      </c>
      <c r="O1997" s="116">
        <v>2161.15</v>
      </c>
      <c r="P1997" s="116">
        <v>2178.65</v>
      </c>
      <c r="Q1997" s="116">
        <v>2188.4499999999998</v>
      </c>
      <c r="R1997">
        <v>336838</v>
      </c>
    </row>
    <row r="1998" spans="1:18" x14ac:dyDescent="0.25">
      <c r="A1998" s="163">
        <v>44944</v>
      </c>
      <c r="B1998" s="116">
        <v>2196.9499999999998</v>
      </c>
      <c r="C1998" s="116">
        <v>2167.6999999999998</v>
      </c>
      <c r="D1998" s="116">
        <v>2164.65</v>
      </c>
      <c r="E1998" s="116">
        <v>2196.9499999999998</v>
      </c>
      <c r="F1998" s="116">
        <v>2167.6999999999998</v>
      </c>
      <c r="G1998">
        <v>8694</v>
      </c>
      <c r="H1998" s="116"/>
      <c r="I1998" s="116"/>
      <c r="L1998" s="163">
        <v>44944</v>
      </c>
      <c r="M1998" s="116">
        <v>2169.5</v>
      </c>
      <c r="N1998" s="116">
        <v>2190.8000000000002</v>
      </c>
      <c r="O1998" s="116">
        <v>2164.75</v>
      </c>
      <c r="P1998" s="116">
        <v>2188.4499999999998</v>
      </c>
      <c r="Q1998" s="116">
        <v>2169.5</v>
      </c>
      <c r="R1998">
        <v>378180</v>
      </c>
    </row>
    <row r="1999" spans="1:18" x14ac:dyDescent="0.25">
      <c r="A1999" s="163">
        <v>44945</v>
      </c>
      <c r="B1999" s="116">
        <v>2170</v>
      </c>
      <c r="C1999" s="116">
        <v>2137.9499999999998</v>
      </c>
      <c r="D1999" s="116">
        <v>2131.4</v>
      </c>
      <c r="E1999" s="116">
        <v>2170</v>
      </c>
      <c r="F1999" s="116">
        <v>2137.9499999999998</v>
      </c>
      <c r="G1999">
        <v>6756</v>
      </c>
      <c r="H1999" s="116"/>
      <c r="I1999" s="116"/>
      <c r="L1999" s="163">
        <v>44945</v>
      </c>
      <c r="M1999" s="116">
        <v>2137.4499999999998</v>
      </c>
      <c r="N1999" s="116">
        <v>2169.4499999999998</v>
      </c>
      <c r="O1999" s="116">
        <v>2132.8000000000002</v>
      </c>
      <c r="P1999" s="116">
        <v>2167.9499999999998</v>
      </c>
      <c r="Q1999" s="116">
        <v>2137.4499999999998</v>
      </c>
      <c r="R1999">
        <v>404840</v>
      </c>
    </row>
    <row r="2000" spans="1:18" x14ac:dyDescent="0.25">
      <c r="A2000" s="163">
        <v>44946</v>
      </c>
      <c r="B2000" s="116">
        <v>2142</v>
      </c>
      <c r="C2000" s="116">
        <v>2105.5500000000002</v>
      </c>
      <c r="D2000" s="116">
        <v>2101.1</v>
      </c>
      <c r="E2000" s="116">
        <v>2142</v>
      </c>
      <c r="F2000" s="116">
        <v>2105.5500000000002</v>
      </c>
      <c r="G2000">
        <v>15451</v>
      </c>
      <c r="H2000" s="116"/>
      <c r="I2000" s="116"/>
      <c r="L2000" s="163">
        <v>44946</v>
      </c>
      <c r="M2000" s="116">
        <v>2105.1999999999998</v>
      </c>
      <c r="N2000" s="116">
        <v>2144.9</v>
      </c>
      <c r="O2000" s="116">
        <v>2101</v>
      </c>
      <c r="P2000" s="116">
        <v>2140</v>
      </c>
      <c r="Q2000" s="116">
        <v>2105.1999999999998</v>
      </c>
      <c r="R2000">
        <v>393215</v>
      </c>
    </row>
    <row r="2001" spans="1:18" x14ac:dyDescent="0.25">
      <c r="A2001" s="163">
        <v>44949</v>
      </c>
      <c r="B2001" s="116">
        <v>2118</v>
      </c>
      <c r="C2001" s="116">
        <v>2113.5500000000002</v>
      </c>
      <c r="D2001" s="116">
        <v>2096.4</v>
      </c>
      <c r="E2001" s="116">
        <v>2106</v>
      </c>
      <c r="F2001" s="116">
        <v>2113.5500000000002</v>
      </c>
      <c r="G2001">
        <v>14384</v>
      </c>
      <c r="H2001" s="116"/>
      <c r="I2001" s="116"/>
      <c r="L2001" s="163">
        <v>44949</v>
      </c>
      <c r="M2001" s="116">
        <v>2113.75</v>
      </c>
      <c r="N2001" s="116">
        <v>2118.6999999999998</v>
      </c>
      <c r="O2001" s="116">
        <v>2095.1</v>
      </c>
      <c r="P2001" s="116">
        <v>2107</v>
      </c>
      <c r="Q2001" s="116">
        <v>2113.75</v>
      </c>
      <c r="R2001">
        <v>401917</v>
      </c>
    </row>
    <row r="2002" spans="1:18" x14ac:dyDescent="0.25">
      <c r="A2002" s="163">
        <v>44950</v>
      </c>
      <c r="B2002" s="116">
        <v>2139.75</v>
      </c>
      <c r="C2002" s="116">
        <v>2128.15</v>
      </c>
      <c r="D2002" s="116">
        <v>2114.0500000000002</v>
      </c>
      <c r="E2002" s="116">
        <v>2114.0500000000002</v>
      </c>
      <c r="F2002" s="116">
        <v>2128.15</v>
      </c>
      <c r="G2002">
        <v>6281</v>
      </c>
      <c r="H2002" s="116"/>
      <c r="I2002" s="116"/>
      <c r="L2002" s="163">
        <v>44950</v>
      </c>
      <c r="M2002" s="116">
        <v>2127.9</v>
      </c>
      <c r="N2002" s="116">
        <v>2138.9499999999998</v>
      </c>
      <c r="O2002" s="116">
        <v>2118</v>
      </c>
      <c r="P2002" s="116">
        <v>2119</v>
      </c>
      <c r="Q2002" s="116">
        <v>2127.9</v>
      </c>
      <c r="R2002">
        <v>540773</v>
      </c>
    </row>
    <row r="2003" spans="1:18" x14ac:dyDescent="0.25">
      <c r="A2003" s="163">
        <v>44951</v>
      </c>
      <c r="B2003" s="116">
        <v>2139</v>
      </c>
      <c r="C2003" s="116">
        <v>2130.1999999999998</v>
      </c>
      <c r="D2003" s="116">
        <v>2085.6</v>
      </c>
      <c r="E2003" s="116">
        <v>2134.85</v>
      </c>
      <c r="F2003" s="116">
        <v>2130.1999999999998</v>
      </c>
      <c r="G2003">
        <v>9715</v>
      </c>
      <c r="H2003" s="116"/>
      <c r="I2003" s="116"/>
      <c r="L2003" s="163">
        <v>44951</v>
      </c>
      <c r="M2003" s="116">
        <v>2128.35</v>
      </c>
      <c r="N2003" s="116">
        <v>2140</v>
      </c>
      <c r="O2003" s="116">
        <v>2085.5</v>
      </c>
      <c r="P2003" s="116">
        <v>2129.9</v>
      </c>
      <c r="Q2003" s="116">
        <v>2128.35</v>
      </c>
      <c r="R2003">
        <v>506083</v>
      </c>
    </row>
    <row r="2004" spans="1:18" x14ac:dyDescent="0.25">
      <c r="A2004" s="163">
        <v>44953</v>
      </c>
      <c r="B2004" s="116">
        <v>2151.85</v>
      </c>
      <c r="C2004" s="116">
        <v>2130.4</v>
      </c>
      <c r="D2004" s="116">
        <v>2107</v>
      </c>
      <c r="E2004" s="116">
        <v>2130.25</v>
      </c>
      <c r="F2004" s="116">
        <v>2130.4</v>
      </c>
      <c r="G2004">
        <v>26466</v>
      </c>
      <c r="H2004" s="116"/>
      <c r="I2004" s="116"/>
      <c r="L2004" s="163">
        <v>44953</v>
      </c>
      <c r="M2004" s="116">
        <v>2131.1</v>
      </c>
      <c r="N2004" s="116">
        <v>2152.5</v>
      </c>
      <c r="O2004" s="116">
        <v>2106.0500000000002</v>
      </c>
      <c r="P2004" s="116">
        <v>2139</v>
      </c>
      <c r="Q2004" s="116">
        <v>2131.1</v>
      </c>
      <c r="R2004">
        <v>471175</v>
      </c>
    </row>
    <row r="2005" spans="1:18" x14ac:dyDescent="0.25">
      <c r="A2005" s="163">
        <v>44956</v>
      </c>
      <c r="B2005" s="116">
        <v>2190.6</v>
      </c>
      <c r="C2005" s="116">
        <v>2144.75</v>
      </c>
      <c r="D2005" s="116">
        <v>2082.15</v>
      </c>
      <c r="E2005" s="116">
        <v>2131.0500000000002</v>
      </c>
      <c r="F2005" s="116">
        <v>2144.75</v>
      </c>
      <c r="G2005">
        <v>17249</v>
      </c>
      <c r="H2005" s="116"/>
      <c r="I2005" s="116"/>
      <c r="L2005" s="163">
        <v>44956</v>
      </c>
      <c r="M2005" s="116">
        <v>2151.4</v>
      </c>
      <c r="N2005" s="116">
        <v>2194</v>
      </c>
      <c r="O2005" s="116">
        <v>2082.1</v>
      </c>
      <c r="P2005" s="116">
        <v>2149</v>
      </c>
      <c r="Q2005" s="116">
        <v>2151.4</v>
      </c>
      <c r="R2005">
        <v>642002</v>
      </c>
    </row>
    <row r="2006" spans="1:18" x14ac:dyDescent="0.25">
      <c r="A2006" s="163">
        <v>44957</v>
      </c>
      <c r="B2006" s="116">
        <v>2235.25</v>
      </c>
      <c r="C2006" s="116">
        <v>2182.1</v>
      </c>
      <c r="D2006" s="116">
        <v>2169</v>
      </c>
      <c r="E2006" s="116">
        <v>2190</v>
      </c>
      <c r="F2006" s="116">
        <v>2182.1</v>
      </c>
      <c r="G2006">
        <v>34713</v>
      </c>
      <c r="H2006" s="116"/>
      <c r="I2006" s="116"/>
      <c r="L2006" s="163">
        <v>44957</v>
      </c>
      <c r="M2006" s="116">
        <v>2182.4499999999998</v>
      </c>
      <c r="N2006" s="116">
        <v>2236</v>
      </c>
      <c r="O2006" s="116">
        <v>2168.1</v>
      </c>
      <c r="P2006" s="116">
        <v>2200</v>
      </c>
      <c r="Q2006" s="116">
        <v>2182.4499999999998</v>
      </c>
      <c r="R2006">
        <v>1503351</v>
      </c>
    </row>
    <row r="2007" spans="1:18" x14ac:dyDescent="0.25">
      <c r="A2007" s="163">
        <v>44958</v>
      </c>
      <c r="B2007" s="116">
        <v>2247.85</v>
      </c>
      <c r="C2007" s="116">
        <v>2221.8000000000002</v>
      </c>
      <c r="D2007" s="116">
        <v>2182.4499999999998</v>
      </c>
      <c r="E2007" s="116">
        <v>2222.9499999999998</v>
      </c>
      <c r="F2007" s="116">
        <v>2221.8000000000002</v>
      </c>
      <c r="G2007">
        <v>41963</v>
      </c>
      <c r="H2007" s="116"/>
      <c r="I2007" s="116"/>
      <c r="L2007" s="163">
        <v>44958</v>
      </c>
      <c r="M2007" s="116">
        <v>2224.65</v>
      </c>
      <c r="N2007" s="116">
        <v>2248</v>
      </c>
      <c r="O2007" s="116">
        <v>2182.8000000000002</v>
      </c>
      <c r="P2007" s="116">
        <v>2200</v>
      </c>
      <c r="Q2007" s="116">
        <v>2224.65</v>
      </c>
      <c r="R2007">
        <v>1054831</v>
      </c>
    </row>
    <row r="2008" spans="1:18" x14ac:dyDescent="0.25">
      <c r="A2008" s="163">
        <v>44959</v>
      </c>
      <c r="B2008" s="116">
        <v>2230</v>
      </c>
      <c r="C2008" s="116">
        <v>2204.0500000000002</v>
      </c>
      <c r="D2008" s="116">
        <v>2189.8000000000002</v>
      </c>
      <c r="E2008" s="116">
        <v>2221.8000000000002</v>
      </c>
      <c r="F2008" s="116">
        <v>2204.0500000000002</v>
      </c>
      <c r="G2008">
        <v>12435</v>
      </c>
      <c r="H2008" s="116"/>
      <c r="I2008" s="116"/>
      <c r="L2008" s="163">
        <v>44959</v>
      </c>
      <c r="M2008" s="116">
        <v>2202.8000000000002</v>
      </c>
      <c r="N2008" s="116">
        <v>2231</v>
      </c>
      <c r="O2008" s="116">
        <v>2187.0500000000002</v>
      </c>
      <c r="P2008" s="116">
        <v>2220</v>
      </c>
      <c r="Q2008" s="116">
        <v>2202.8000000000002</v>
      </c>
      <c r="R2008">
        <v>487744</v>
      </c>
    </row>
    <row r="2009" spans="1:18" x14ac:dyDescent="0.25">
      <c r="A2009" s="163">
        <v>44960</v>
      </c>
      <c r="B2009" s="116">
        <v>2227.15</v>
      </c>
      <c r="C2009" s="116">
        <v>2204.85</v>
      </c>
      <c r="D2009" s="116">
        <v>2180</v>
      </c>
      <c r="E2009" s="116">
        <v>2218.9499999999998</v>
      </c>
      <c r="F2009" s="116">
        <v>2204.85</v>
      </c>
      <c r="G2009">
        <v>17417</v>
      </c>
      <c r="H2009" s="116"/>
      <c r="I2009" s="116"/>
      <c r="L2009" s="163">
        <v>44960</v>
      </c>
      <c r="M2009" s="116">
        <v>2210.4499999999998</v>
      </c>
      <c r="N2009" s="116">
        <v>2229.5</v>
      </c>
      <c r="O2009" s="116">
        <v>2185</v>
      </c>
      <c r="P2009" s="116">
        <v>2213.85</v>
      </c>
      <c r="Q2009" s="116">
        <v>2210.4499999999998</v>
      </c>
      <c r="R2009">
        <v>352217</v>
      </c>
    </row>
    <row r="2010" spans="1:18" x14ac:dyDescent="0.25">
      <c r="A2010" s="163">
        <v>44963</v>
      </c>
      <c r="B2010" s="116">
        <v>2243.9499999999998</v>
      </c>
      <c r="C2010" s="116">
        <v>2219.1999999999998</v>
      </c>
      <c r="D2010" s="116">
        <v>2178</v>
      </c>
      <c r="E2010" s="116">
        <v>2243.9499999999998</v>
      </c>
      <c r="F2010" s="116">
        <v>2219.1999999999998</v>
      </c>
      <c r="G2010">
        <v>6251</v>
      </c>
      <c r="H2010" s="116"/>
      <c r="I2010" s="116"/>
      <c r="L2010" s="163">
        <v>44963</v>
      </c>
      <c r="M2010" s="116">
        <v>2219.15</v>
      </c>
      <c r="N2010" s="116">
        <v>2222</v>
      </c>
      <c r="O2010" s="116">
        <v>2178.4</v>
      </c>
      <c r="P2010" s="116">
        <v>2210.65</v>
      </c>
      <c r="Q2010" s="116">
        <v>2219.15</v>
      </c>
      <c r="R2010">
        <v>541851</v>
      </c>
    </row>
    <row r="2011" spans="1:18" x14ac:dyDescent="0.25">
      <c r="A2011" s="163">
        <v>44964</v>
      </c>
      <c r="B2011" s="116">
        <v>2219.1999999999998</v>
      </c>
      <c r="C2011" s="116">
        <v>2203.1999999999998</v>
      </c>
      <c r="D2011" s="116">
        <v>2197</v>
      </c>
      <c r="E2011" s="116">
        <v>2212.15</v>
      </c>
      <c r="F2011" s="116">
        <v>2203.1999999999998</v>
      </c>
      <c r="G2011">
        <v>10346</v>
      </c>
      <c r="H2011" s="116"/>
      <c r="I2011" s="116"/>
      <c r="L2011" s="163">
        <v>44964</v>
      </c>
      <c r="M2011" s="116">
        <v>2204.4</v>
      </c>
      <c r="N2011" s="116">
        <v>2221.9</v>
      </c>
      <c r="O2011" s="116">
        <v>2196.3000000000002</v>
      </c>
      <c r="P2011" s="116">
        <v>2220</v>
      </c>
      <c r="Q2011" s="116">
        <v>2204.4</v>
      </c>
      <c r="R2011">
        <v>372736</v>
      </c>
    </row>
    <row r="2012" spans="1:18" x14ac:dyDescent="0.25">
      <c r="A2012" s="163">
        <v>44965</v>
      </c>
      <c r="B2012" s="116">
        <v>2217.9499999999998</v>
      </c>
      <c r="C2012" s="116">
        <v>2198.6999999999998</v>
      </c>
      <c r="D2012" s="116">
        <v>2186.6999999999998</v>
      </c>
      <c r="E2012" s="116">
        <v>2217.9499999999998</v>
      </c>
      <c r="F2012" s="116">
        <v>2198.6999999999998</v>
      </c>
      <c r="G2012">
        <v>5384</v>
      </c>
      <c r="H2012" s="116"/>
      <c r="I2012" s="116"/>
      <c r="L2012" s="163">
        <v>44965</v>
      </c>
      <c r="M2012" s="116">
        <v>2197.1</v>
      </c>
      <c r="N2012" s="116">
        <v>2217</v>
      </c>
      <c r="O2012" s="116">
        <v>2185.9499999999998</v>
      </c>
      <c r="P2012" s="116">
        <v>2208.5</v>
      </c>
      <c r="Q2012" s="116">
        <v>2197.1</v>
      </c>
      <c r="R2012">
        <v>442756</v>
      </c>
    </row>
    <row r="2013" spans="1:18" x14ac:dyDescent="0.25">
      <c r="A2013" s="163">
        <v>44966</v>
      </c>
      <c r="B2013" s="116">
        <v>2239.9</v>
      </c>
      <c r="C2013" s="116">
        <v>2216.9</v>
      </c>
      <c r="D2013" s="116">
        <v>2184.15</v>
      </c>
      <c r="E2013" s="116">
        <v>2200</v>
      </c>
      <c r="F2013" s="116">
        <v>2216.9</v>
      </c>
      <c r="G2013">
        <v>18961</v>
      </c>
      <c r="H2013" s="116"/>
      <c r="I2013" s="116"/>
      <c r="L2013" s="163">
        <v>44966</v>
      </c>
      <c r="M2013" s="116">
        <v>2218.35</v>
      </c>
      <c r="N2013" s="116">
        <v>2239.9</v>
      </c>
      <c r="O2013" s="116">
        <v>2184.0500000000002</v>
      </c>
      <c r="P2013" s="116">
        <v>2205.1</v>
      </c>
      <c r="Q2013" s="116">
        <v>2218.35</v>
      </c>
      <c r="R2013">
        <v>683252</v>
      </c>
    </row>
    <row r="2014" spans="1:18" x14ac:dyDescent="0.25">
      <c r="A2014" s="163">
        <v>44967</v>
      </c>
      <c r="B2014" s="116">
        <v>2303.1</v>
      </c>
      <c r="C2014" s="116">
        <v>2290</v>
      </c>
      <c r="D2014" s="116">
        <v>2204.25</v>
      </c>
      <c r="E2014" s="116">
        <v>2225</v>
      </c>
      <c r="F2014" s="116">
        <v>2290</v>
      </c>
      <c r="G2014">
        <v>151641</v>
      </c>
      <c r="H2014" s="116"/>
      <c r="I2014" s="116"/>
      <c r="L2014" s="163">
        <v>44967</v>
      </c>
      <c r="M2014" s="116">
        <v>2289.4</v>
      </c>
      <c r="N2014" s="116">
        <v>2304</v>
      </c>
      <c r="O2014" s="116">
        <v>2203.75</v>
      </c>
      <c r="P2014" s="116">
        <v>2219.9499999999998</v>
      </c>
      <c r="Q2014" s="116">
        <v>2289.4</v>
      </c>
      <c r="R2014">
        <v>1147275</v>
      </c>
    </row>
    <row r="2015" spans="1:18" x14ac:dyDescent="0.25">
      <c r="A2015" s="163">
        <v>44970</v>
      </c>
      <c r="B2015" s="116">
        <v>2314.9499999999998</v>
      </c>
      <c r="C2015" s="116">
        <v>2215.5</v>
      </c>
      <c r="D2015" s="116">
        <v>2209.9</v>
      </c>
      <c r="E2015" s="116">
        <v>2314.9499999999998</v>
      </c>
      <c r="F2015" s="116">
        <v>2215.5</v>
      </c>
      <c r="G2015">
        <v>22080</v>
      </c>
      <c r="H2015" s="116"/>
      <c r="I2015" s="116"/>
      <c r="L2015" s="163">
        <v>44970</v>
      </c>
      <c r="M2015" s="116">
        <v>2216.4</v>
      </c>
      <c r="N2015" s="116">
        <v>2295.8000000000002</v>
      </c>
      <c r="O2015" s="116">
        <v>2210</v>
      </c>
      <c r="P2015" s="116">
        <v>2295.8000000000002</v>
      </c>
      <c r="Q2015" s="116">
        <v>2216.4</v>
      </c>
      <c r="R2015">
        <v>556723</v>
      </c>
    </row>
    <row r="2016" spans="1:18" x14ac:dyDescent="0.25">
      <c r="A2016" s="163">
        <v>44971</v>
      </c>
      <c r="B2016" s="116">
        <v>2237.8000000000002</v>
      </c>
      <c r="C2016" s="116">
        <v>2226.4</v>
      </c>
      <c r="D2016" s="116">
        <v>2205.0500000000002</v>
      </c>
      <c r="E2016" s="116">
        <v>2216.75</v>
      </c>
      <c r="F2016" s="116">
        <v>2226.4</v>
      </c>
      <c r="G2016">
        <v>5561</v>
      </c>
      <c r="H2016" s="116"/>
      <c r="I2016" s="116"/>
      <c r="L2016" s="163">
        <v>44971</v>
      </c>
      <c r="M2016" s="116">
        <v>2226.85</v>
      </c>
      <c r="N2016" s="116">
        <v>2237.0500000000002</v>
      </c>
      <c r="O2016" s="116">
        <v>2206.6</v>
      </c>
      <c r="P2016" s="116">
        <v>2216</v>
      </c>
      <c r="Q2016" s="116">
        <v>2226.85</v>
      </c>
      <c r="R2016">
        <v>506924</v>
      </c>
    </row>
    <row r="2017" spans="1:18" x14ac:dyDescent="0.25">
      <c r="A2017" s="163">
        <v>44972</v>
      </c>
      <c r="B2017" s="116">
        <v>2259</v>
      </c>
      <c r="C2017" s="116">
        <v>2253.1999999999998</v>
      </c>
      <c r="D2017" s="116">
        <v>2220.8000000000002</v>
      </c>
      <c r="E2017" s="116">
        <v>2220.9499999999998</v>
      </c>
      <c r="F2017" s="116">
        <v>2253.1999999999998</v>
      </c>
      <c r="G2017">
        <v>7410</v>
      </c>
      <c r="H2017" s="116"/>
      <c r="I2017" s="116"/>
      <c r="L2017" s="163">
        <v>44972</v>
      </c>
      <c r="M2017" s="116">
        <v>2255.3000000000002</v>
      </c>
      <c r="N2017" s="116">
        <v>2259.8000000000002</v>
      </c>
      <c r="O2017" s="116">
        <v>2220.6</v>
      </c>
      <c r="P2017" s="116">
        <v>2226.85</v>
      </c>
      <c r="Q2017" s="116">
        <v>2255.3000000000002</v>
      </c>
      <c r="R2017">
        <v>434256</v>
      </c>
    </row>
    <row r="2018" spans="1:18" x14ac:dyDescent="0.25">
      <c r="A2018" s="163">
        <v>44973</v>
      </c>
      <c r="B2018" s="116">
        <v>2337</v>
      </c>
      <c r="C2018" s="116">
        <v>2327.9499999999998</v>
      </c>
      <c r="D2018" s="116">
        <v>2257.0500000000002</v>
      </c>
      <c r="E2018" s="116">
        <v>2265.9499999999998</v>
      </c>
      <c r="F2018" s="116">
        <v>2327.9499999999998</v>
      </c>
      <c r="G2018">
        <v>14279</v>
      </c>
      <c r="H2018" s="116"/>
      <c r="I2018" s="116"/>
      <c r="L2018" s="163">
        <v>44973</v>
      </c>
      <c r="M2018" s="116">
        <v>2326.1999999999998</v>
      </c>
      <c r="N2018" s="116">
        <v>2337.0500000000002</v>
      </c>
      <c r="O2018" s="116">
        <v>2258</v>
      </c>
      <c r="P2018" s="116">
        <v>2258</v>
      </c>
      <c r="Q2018" s="116">
        <v>2326.1999999999998</v>
      </c>
      <c r="R2018">
        <v>933259</v>
      </c>
    </row>
    <row r="2019" spans="1:18" x14ac:dyDescent="0.25">
      <c r="A2019" s="163">
        <v>44974</v>
      </c>
      <c r="B2019" s="116">
        <v>2329.15</v>
      </c>
      <c r="C2019" s="116">
        <v>2319</v>
      </c>
      <c r="D2019" s="116">
        <v>2304.4</v>
      </c>
      <c r="E2019" s="116">
        <v>2322</v>
      </c>
      <c r="F2019" s="116">
        <v>2319</v>
      </c>
      <c r="G2019">
        <v>14317</v>
      </c>
      <c r="H2019" s="116"/>
      <c r="I2019" s="116"/>
      <c r="L2019" s="163">
        <v>44974</v>
      </c>
      <c r="M2019" s="116">
        <v>2318.85</v>
      </c>
      <c r="N2019" s="116">
        <v>2329</v>
      </c>
      <c r="O2019" s="116">
        <v>2305.35</v>
      </c>
      <c r="P2019" s="116">
        <v>2310</v>
      </c>
      <c r="Q2019" s="116">
        <v>2318.85</v>
      </c>
      <c r="R2019">
        <v>390304</v>
      </c>
    </row>
    <row r="2020" spans="1:18" x14ac:dyDescent="0.25">
      <c r="A2020" s="163">
        <v>44977</v>
      </c>
      <c r="B2020" s="116">
        <v>2337.4</v>
      </c>
      <c r="C2020" s="116">
        <v>2310.3000000000002</v>
      </c>
      <c r="D2020" s="116">
        <v>2299.5</v>
      </c>
      <c r="E2020" s="116">
        <v>2312.0500000000002</v>
      </c>
      <c r="F2020" s="116">
        <v>2310.3000000000002</v>
      </c>
      <c r="G2020">
        <v>14375</v>
      </c>
      <c r="H2020" s="116"/>
      <c r="I2020" s="116"/>
      <c r="L2020" s="163">
        <v>44977</v>
      </c>
      <c r="M2020" s="116">
        <v>2312.35</v>
      </c>
      <c r="N2020" s="116">
        <v>2337.9499999999998</v>
      </c>
      <c r="O2020" s="116">
        <v>2300</v>
      </c>
      <c r="P2020" s="116">
        <v>2320</v>
      </c>
      <c r="Q2020" s="116">
        <v>2312.35</v>
      </c>
      <c r="R2020">
        <v>518037</v>
      </c>
    </row>
    <row r="2021" spans="1:18" x14ac:dyDescent="0.25">
      <c r="A2021" s="163">
        <v>44978</v>
      </c>
      <c r="B2021" s="116">
        <v>2353.6</v>
      </c>
      <c r="C2021" s="116">
        <v>2320.25</v>
      </c>
      <c r="D2021" s="116">
        <v>2314.1</v>
      </c>
      <c r="E2021" s="116">
        <v>2328.9499999999998</v>
      </c>
      <c r="F2021" s="116">
        <v>2320.25</v>
      </c>
      <c r="G2021">
        <v>14213</v>
      </c>
      <c r="H2021" s="116"/>
      <c r="I2021" s="116"/>
      <c r="L2021" s="163">
        <v>44978</v>
      </c>
      <c r="M2021" s="116">
        <v>2318.1999999999998</v>
      </c>
      <c r="N2021" s="116">
        <v>2355</v>
      </c>
      <c r="O2021" s="116">
        <v>2312</v>
      </c>
      <c r="P2021" s="116">
        <v>2317</v>
      </c>
      <c r="Q2021" s="116">
        <v>2318.1999999999998</v>
      </c>
      <c r="R2021">
        <v>511136</v>
      </c>
    </row>
    <row r="2022" spans="1:18" x14ac:dyDescent="0.25">
      <c r="A2022" s="163">
        <v>44979</v>
      </c>
      <c r="B2022" s="116">
        <v>2315.8000000000002</v>
      </c>
      <c r="C2022" s="116">
        <v>2273.75</v>
      </c>
      <c r="D2022" s="116">
        <v>2243.6999999999998</v>
      </c>
      <c r="E2022" s="116">
        <v>2315.8000000000002</v>
      </c>
      <c r="F2022" s="116">
        <v>2273.75</v>
      </c>
      <c r="G2022">
        <v>39225</v>
      </c>
      <c r="H2022" s="116"/>
      <c r="I2022" s="116"/>
      <c r="L2022" s="163">
        <v>44979</v>
      </c>
      <c r="M2022" s="116">
        <v>2274.3000000000002</v>
      </c>
      <c r="N2022" s="116">
        <v>2307.1</v>
      </c>
      <c r="O2022" s="116">
        <v>2244.6999999999998</v>
      </c>
      <c r="P2022" s="116">
        <v>2300.0500000000002</v>
      </c>
      <c r="Q2022" s="116">
        <v>2274.3000000000002</v>
      </c>
      <c r="R2022">
        <v>444547</v>
      </c>
    </row>
    <row r="2023" spans="1:18" x14ac:dyDescent="0.25">
      <c r="A2023" s="163">
        <v>44980</v>
      </c>
      <c r="B2023" s="116">
        <v>2279.15</v>
      </c>
      <c r="C2023" s="116">
        <v>2243</v>
      </c>
      <c r="D2023" s="116">
        <v>2232.9499999999998</v>
      </c>
      <c r="E2023" s="116">
        <v>2274.0500000000002</v>
      </c>
      <c r="F2023" s="116">
        <v>2243</v>
      </c>
      <c r="G2023">
        <v>5684</v>
      </c>
      <c r="H2023" s="116"/>
      <c r="I2023" s="116"/>
      <c r="L2023" s="163">
        <v>44980</v>
      </c>
      <c r="M2023" s="116">
        <v>2242.6999999999998</v>
      </c>
      <c r="N2023" s="116">
        <v>2285</v>
      </c>
      <c r="O2023" s="116">
        <v>2232.85</v>
      </c>
      <c r="P2023" s="116">
        <v>2285</v>
      </c>
      <c r="Q2023" s="116">
        <v>2242.6999999999998</v>
      </c>
      <c r="R2023">
        <v>301133</v>
      </c>
    </row>
    <row r="2024" spans="1:18" x14ac:dyDescent="0.25">
      <c r="A2024" s="163">
        <v>44981</v>
      </c>
      <c r="B2024" s="116">
        <v>2258.0500000000002</v>
      </c>
      <c r="C2024" s="116">
        <v>2223.1999999999998</v>
      </c>
      <c r="D2024" s="116">
        <v>2215.1999999999998</v>
      </c>
      <c r="E2024" s="116">
        <v>2245.0500000000002</v>
      </c>
      <c r="F2024" s="116">
        <v>2223.1999999999998</v>
      </c>
      <c r="G2024">
        <v>10712</v>
      </c>
      <c r="H2024" s="116"/>
      <c r="I2024" s="116"/>
      <c r="L2024" s="163">
        <v>44981</v>
      </c>
      <c r="M2024" s="116">
        <v>2224.5</v>
      </c>
      <c r="N2024" s="116">
        <v>2260</v>
      </c>
      <c r="O2024" s="116">
        <v>2215</v>
      </c>
      <c r="P2024" s="116">
        <v>2253.9499999999998</v>
      </c>
      <c r="Q2024" s="116">
        <v>2224.5</v>
      </c>
      <c r="R2024">
        <v>324464</v>
      </c>
    </row>
    <row r="2025" spans="1:18" x14ac:dyDescent="0.25">
      <c r="A2025" s="163">
        <v>44984</v>
      </c>
      <c r="B2025" s="116">
        <v>2237.9</v>
      </c>
      <c r="C2025" s="116">
        <v>2192.4499999999998</v>
      </c>
      <c r="D2025" s="116">
        <v>2161</v>
      </c>
      <c r="E2025" s="116">
        <v>2237.9</v>
      </c>
      <c r="F2025" s="116">
        <v>2192.4499999999998</v>
      </c>
      <c r="G2025">
        <v>8338</v>
      </c>
      <c r="H2025" s="116"/>
      <c r="I2025" s="116"/>
      <c r="L2025" s="163">
        <v>44984</v>
      </c>
      <c r="M2025" s="116">
        <v>2191.9</v>
      </c>
      <c r="N2025" s="116">
        <v>2231.4499999999998</v>
      </c>
      <c r="O2025" s="116">
        <v>2161.4499999999998</v>
      </c>
      <c r="P2025" s="116">
        <v>2224.5</v>
      </c>
      <c r="Q2025" s="116">
        <v>2191.9</v>
      </c>
      <c r="R2025">
        <v>382292</v>
      </c>
    </row>
    <row r="2026" spans="1:18" x14ac:dyDescent="0.25">
      <c r="A2026" s="163">
        <v>44985</v>
      </c>
      <c r="B2026" s="116">
        <v>2203.25</v>
      </c>
      <c r="C2026" s="116">
        <v>2168.4</v>
      </c>
      <c r="D2026" s="116">
        <v>2153.9499999999998</v>
      </c>
      <c r="E2026" s="116">
        <v>2203.25</v>
      </c>
      <c r="F2026" s="116">
        <v>2168.4</v>
      </c>
      <c r="G2026">
        <v>19785</v>
      </c>
      <c r="H2026" s="116"/>
      <c r="I2026" s="116"/>
      <c r="L2026" s="163">
        <v>44985</v>
      </c>
      <c r="M2026" s="116">
        <v>2168.5500000000002</v>
      </c>
      <c r="N2026" s="116">
        <v>2191</v>
      </c>
      <c r="O2026" s="116">
        <v>2154.0500000000002</v>
      </c>
      <c r="P2026" s="116">
        <v>2190.75</v>
      </c>
      <c r="Q2026" s="116">
        <v>2168.5500000000002</v>
      </c>
      <c r="R2026">
        <v>569085</v>
      </c>
    </row>
    <row r="2027" spans="1:18" x14ac:dyDescent="0.25">
      <c r="A2027" s="163">
        <v>44986</v>
      </c>
      <c r="B2027" s="116">
        <v>2241</v>
      </c>
      <c r="C2027" s="116">
        <v>2235.3000000000002</v>
      </c>
      <c r="D2027" s="116">
        <v>2167.0500000000002</v>
      </c>
      <c r="E2027" s="116">
        <v>2167.0500000000002</v>
      </c>
      <c r="F2027" s="116">
        <v>2235.3000000000002</v>
      </c>
      <c r="G2027">
        <v>7146</v>
      </c>
      <c r="H2027" s="116"/>
      <c r="I2027" s="116"/>
      <c r="L2027" s="163">
        <v>44986</v>
      </c>
      <c r="M2027" s="116">
        <v>2235.4499999999998</v>
      </c>
      <c r="N2027" s="116">
        <v>2241.75</v>
      </c>
      <c r="O2027" s="116">
        <v>2184.0500000000002</v>
      </c>
      <c r="P2027" s="116">
        <v>2184.0500000000002</v>
      </c>
      <c r="Q2027" s="116">
        <v>2235.4499999999998</v>
      </c>
      <c r="R2027">
        <v>618814</v>
      </c>
    </row>
    <row r="2028" spans="1:18" x14ac:dyDescent="0.25">
      <c r="A2028" s="163">
        <v>44987</v>
      </c>
      <c r="B2028" s="116">
        <v>2256.6</v>
      </c>
      <c r="C2028" s="116">
        <v>2245.15</v>
      </c>
      <c r="D2028" s="116">
        <v>2222.35</v>
      </c>
      <c r="E2028" s="116">
        <v>2225</v>
      </c>
      <c r="F2028" s="116">
        <v>2245.15</v>
      </c>
      <c r="G2028">
        <v>6740</v>
      </c>
      <c r="H2028" s="116"/>
      <c r="I2028" s="116"/>
      <c r="L2028" s="163">
        <v>44987</v>
      </c>
      <c r="M2028" s="116">
        <v>2247</v>
      </c>
      <c r="N2028" s="116">
        <v>2257.6999999999998</v>
      </c>
      <c r="O2028" s="116">
        <v>2222</v>
      </c>
      <c r="P2028" s="116">
        <v>2223.3000000000002</v>
      </c>
      <c r="Q2028" s="116">
        <v>2247</v>
      </c>
      <c r="R2028">
        <v>340417</v>
      </c>
    </row>
    <row r="2029" spans="1:18" x14ac:dyDescent="0.25">
      <c r="A2029" s="163">
        <v>44988</v>
      </c>
      <c r="B2029" s="116">
        <v>2285.4</v>
      </c>
      <c r="C2029" s="116">
        <v>2272.35</v>
      </c>
      <c r="D2029" s="116">
        <v>2247.85</v>
      </c>
      <c r="E2029" s="116">
        <v>2248.1</v>
      </c>
      <c r="F2029" s="116">
        <v>2272.35</v>
      </c>
      <c r="G2029">
        <v>7182</v>
      </c>
      <c r="H2029" s="116"/>
      <c r="I2029" s="116"/>
      <c r="L2029" s="163">
        <v>44988</v>
      </c>
      <c r="M2029" s="116">
        <v>2271.9499999999998</v>
      </c>
      <c r="N2029" s="116">
        <v>2287</v>
      </c>
      <c r="O2029" s="116">
        <v>2245.6</v>
      </c>
      <c r="P2029" s="116">
        <v>2255.6</v>
      </c>
      <c r="Q2029" s="116">
        <v>2271.9499999999998</v>
      </c>
      <c r="R2029">
        <v>511341</v>
      </c>
    </row>
    <row r="2030" spans="1:18" x14ac:dyDescent="0.25">
      <c r="A2030" s="163">
        <v>44991</v>
      </c>
      <c r="B2030" s="116">
        <v>2306</v>
      </c>
      <c r="C2030" s="116">
        <v>2299.15</v>
      </c>
      <c r="D2030" s="116">
        <v>2271.0500000000002</v>
      </c>
      <c r="E2030" s="116">
        <v>2271.0500000000002</v>
      </c>
      <c r="F2030" s="116">
        <v>2299.15</v>
      </c>
      <c r="G2030">
        <v>15055</v>
      </c>
      <c r="H2030" s="116"/>
      <c r="I2030" s="116"/>
      <c r="L2030" s="163">
        <v>44991</v>
      </c>
      <c r="M2030" s="116">
        <v>2300.35</v>
      </c>
      <c r="N2030" s="116">
        <v>2307.15</v>
      </c>
      <c r="O2030" s="116">
        <v>2275.1</v>
      </c>
      <c r="P2030" s="116">
        <v>2280</v>
      </c>
      <c r="Q2030" s="116">
        <v>2300.35</v>
      </c>
      <c r="R2030">
        <v>467292</v>
      </c>
    </row>
    <row r="2031" spans="1:18" x14ac:dyDescent="0.25">
      <c r="A2031" s="163">
        <v>44993</v>
      </c>
      <c r="B2031" s="116">
        <v>2316.75</v>
      </c>
      <c r="C2031" s="116">
        <v>2306.0500000000002</v>
      </c>
      <c r="D2031" s="116">
        <v>2267.8000000000002</v>
      </c>
      <c r="E2031" s="116">
        <v>2280</v>
      </c>
      <c r="F2031" s="116">
        <v>2306.0500000000002</v>
      </c>
      <c r="G2031">
        <v>5399</v>
      </c>
      <c r="H2031" s="116"/>
      <c r="I2031" s="116"/>
      <c r="L2031" s="163">
        <v>44993</v>
      </c>
      <c r="M2031" s="116">
        <v>2307.4</v>
      </c>
      <c r="N2031" s="116">
        <v>2315</v>
      </c>
      <c r="O2031" s="116">
        <v>2268.0500000000002</v>
      </c>
      <c r="P2031" s="116">
        <v>2280.3000000000002</v>
      </c>
      <c r="Q2031" s="116">
        <v>2307.4</v>
      </c>
      <c r="R2031">
        <v>363490</v>
      </c>
    </row>
    <row r="2032" spans="1:18" x14ac:dyDescent="0.25">
      <c r="A2032" s="163">
        <v>44994</v>
      </c>
      <c r="B2032" s="116">
        <v>2333.75</v>
      </c>
      <c r="C2032" s="116">
        <v>2301.0500000000002</v>
      </c>
      <c r="D2032" s="116">
        <v>2291</v>
      </c>
      <c r="E2032" s="116">
        <v>2315</v>
      </c>
      <c r="F2032" s="116">
        <v>2301.0500000000002</v>
      </c>
      <c r="G2032">
        <v>10083</v>
      </c>
      <c r="H2032" s="116"/>
      <c r="I2032" s="116"/>
      <c r="L2032" s="163">
        <v>44994</v>
      </c>
      <c r="M2032" s="116">
        <v>2300.5500000000002</v>
      </c>
      <c r="N2032" s="116">
        <v>2334.5</v>
      </c>
      <c r="O2032" s="116">
        <v>2290</v>
      </c>
      <c r="P2032" s="116">
        <v>2318.4</v>
      </c>
      <c r="Q2032" s="116">
        <v>2300.5500000000002</v>
      </c>
      <c r="R2032">
        <v>560192</v>
      </c>
    </row>
    <row r="2033" spans="1:18" x14ac:dyDescent="0.25">
      <c r="A2033" s="163">
        <v>44995</v>
      </c>
      <c r="B2033" s="116">
        <v>2299.85</v>
      </c>
      <c r="C2033" s="116">
        <v>2293.6</v>
      </c>
      <c r="D2033" s="116">
        <v>2272.65</v>
      </c>
      <c r="E2033" s="116">
        <v>2289.9499999999998</v>
      </c>
      <c r="F2033" s="116">
        <v>2293.6</v>
      </c>
      <c r="G2033">
        <v>8947</v>
      </c>
      <c r="H2033" s="116"/>
      <c r="I2033" s="116"/>
      <c r="L2033" s="163">
        <v>44995</v>
      </c>
      <c r="M2033" s="116">
        <v>2292.5500000000002</v>
      </c>
      <c r="N2033" s="116">
        <v>2300</v>
      </c>
      <c r="O2033" s="116">
        <v>2273.0500000000002</v>
      </c>
      <c r="P2033" s="116">
        <v>2279.8000000000002</v>
      </c>
      <c r="Q2033" s="116">
        <v>2292.5500000000002</v>
      </c>
      <c r="R2033">
        <v>339874</v>
      </c>
    </row>
    <row r="2034" spans="1:18" x14ac:dyDescent="0.25">
      <c r="A2034" s="163">
        <v>44998</v>
      </c>
      <c r="B2034" s="116">
        <v>2307.5500000000002</v>
      </c>
      <c r="C2034" s="116">
        <v>2281.0500000000002</v>
      </c>
      <c r="D2034" s="116">
        <v>2271.8000000000002</v>
      </c>
      <c r="E2034" s="116">
        <v>2286</v>
      </c>
      <c r="F2034" s="116">
        <v>2281.0500000000002</v>
      </c>
      <c r="G2034">
        <v>16971</v>
      </c>
      <c r="H2034" s="116"/>
      <c r="I2034" s="116"/>
      <c r="L2034" s="163">
        <v>44998</v>
      </c>
      <c r="M2034" s="116">
        <v>2281.6</v>
      </c>
      <c r="N2034" s="116">
        <v>2308.85</v>
      </c>
      <c r="O2034" s="116">
        <v>2272.5500000000002</v>
      </c>
      <c r="P2034" s="116">
        <v>2300</v>
      </c>
      <c r="Q2034" s="116">
        <v>2281.6</v>
      </c>
      <c r="R2034">
        <v>510226</v>
      </c>
    </row>
    <row r="2035" spans="1:18" x14ac:dyDescent="0.25">
      <c r="A2035" s="163">
        <v>44999</v>
      </c>
      <c r="B2035" s="116">
        <v>2315</v>
      </c>
      <c r="C2035" s="116">
        <v>2304.9499999999998</v>
      </c>
      <c r="D2035" s="116">
        <v>2261</v>
      </c>
      <c r="E2035" s="116">
        <v>2281.4499999999998</v>
      </c>
      <c r="F2035" s="116">
        <v>2304.9499999999998</v>
      </c>
      <c r="G2035">
        <v>13281</v>
      </c>
      <c r="H2035" s="116"/>
      <c r="I2035" s="116"/>
      <c r="L2035" s="163">
        <v>44999</v>
      </c>
      <c r="M2035" s="116">
        <v>2305.4</v>
      </c>
      <c r="N2035" s="116">
        <v>2314.9499999999998</v>
      </c>
      <c r="O2035" s="116">
        <v>2261</v>
      </c>
      <c r="P2035" s="116">
        <v>2281.6</v>
      </c>
      <c r="Q2035" s="116">
        <v>2305.4</v>
      </c>
      <c r="R2035">
        <v>960492</v>
      </c>
    </row>
    <row r="2036" spans="1:18" x14ac:dyDescent="0.25">
      <c r="A2036" s="163">
        <v>45000</v>
      </c>
      <c r="B2036" s="116">
        <v>2328.1</v>
      </c>
      <c r="C2036" s="116">
        <v>2271.3000000000002</v>
      </c>
      <c r="D2036" s="116">
        <v>2263</v>
      </c>
      <c r="E2036" s="116">
        <v>2320</v>
      </c>
      <c r="F2036" s="116">
        <v>2271.3000000000002</v>
      </c>
      <c r="G2036">
        <v>5234</v>
      </c>
      <c r="H2036" s="116"/>
      <c r="I2036" s="116"/>
      <c r="L2036" s="163">
        <v>45000</v>
      </c>
      <c r="M2036" s="116">
        <v>2272.4</v>
      </c>
      <c r="N2036" s="116">
        <v>2330.4499999999998</v>
      </c>
      <c r="O2036" s="116">
        <v>2263</v>
      </c>
      <c r="P2036" s="116">
        <v>2319.85</v>
      </c>
      <c r="Q2036" s="116">
        <v>2272.4</v>
      </c>
      <c r="R2036">
        <v>449004</v>
      </c>
    </row>
    <row r="2037" spans="1:18" x14ac:dyDescent="0.25">
      <c r="A2037" s="163">
        <v>45001</v>
      </c>
      <c r="B2037" s="116">
        <v>2319</v>
      </c>
      <c r="C2037" s="116">
        <v>2311.25</v>
      </c>
      <c r="D2037" s="116">
        <v>2263.6</v>
      </c>
      <c r="E2037" s="116">
        <v>2275.0500000000002</v>
      </c>
      <c r="F2037" s="116">
        <v>2311.25</v>
      </c>
      <c r="G2037">
        <v>8522</v>
      </c>
      <c r="H2037" s="116"/>
      <c r="I2037" s="116"/>
      <c r="L2037" s="163">
        <v>45001</v>
      </c>
      <c r="M2037" s="116">
        <v>2309.65</v>
      </c>
      <c r="N2037" s="116">
        <v>2317.4</v>
      </c>
      <c r="O2037" s="116">
        <v>2263</v>
      </c>
      <c r="P2037" s="116">
        <v>2282.4</v>
      </c>
      <c r="Q2037" s="116">
        <v>2309.65</v>
      </c>
      <c r="R2037">
        <v>446515</v>
      </c>
    </row>
    <row r="2038" spans="1:18" x14ac:dyDescent="0.25">
      <c r="A2038" s="163">
        <v>45002</v>
      </c>
      <c r="B2038" s="116">
        <v>2325.4</v>
      </c>
      <c r="C2038" s="116">
        <v>2304.5500000000002</v>
      </c>
      <c r="D2038" s="116">
        <v>2298.15</v>
      </c>
      <c r="E2038" s="116">
        <v>2320</v>
      </c>
      <c r="F2038" s="116">
        <v>2304.5500000000002</v>
      </c>
      <c r="G2038">
        <v>12302</v>
      </c>
      <c r="H2038" s="116"/>
      <c r="I2038" s="116"/>
      <c r="L2038" s="163">
        <v>45002</v>
      </c>
      <c r="M2038" s="116">
        <v>2307.5500000000002</v>
      </c>
      <c r="N2038" s="116">
        <v>2325</v>
      </c>
      <c r="O2038" s="116">
        <v>2298.3000000000002</v>
      </c>
      <c r="P2038" s="116">
        <v>2321.1999999999998</v>
      </c>
      <c r="Q2038" s="116">
        <v>2307.5500000000002</v>
      </c>
      <c r="R2038">
        <v>309283</v>
      </c>
    </row>
    <row r="2039" spans="1:18" x14ac:dyDescent="0.25">
      <c r="A2039" s="163">
        <v>45005</v>
      </c>
      <c r="B2039" s="116">
        <v>2317.1</v>
      </c>
      <c r="C2039" s="116">
        <v>2303.85</v>
      </c>
      <c r="D2039" s="116">
        <v>2285.1</v>
      </c>
      <c r="E2039" s="116">
        <v>2285.1</v>
      </c>
      <c r="F2039" s="116">
        <v>2303.85</v>
      </c>
      <c r="G2039">
        <v>6885</v>
      </c>
      <c r="H2039" s="116"/>
      <c r="I2039" s="116"/>
      <c r="L2039" s="163">
        <v>45005</v>
      </c>
      <c r="M2039" s="116">
        <v>2303.35</v>
      </c>
      <c r="N2039" s="116">
        <v>2318</v>
      </c>
      <c r="O2039" s="116">
        <v>2290.25</v>
      </c>
      <c r="P2039" s="116">
        <v>2299</v>
      </c>
      <c r="Q2039" s="116">
        <v>2303.35</v>
      </c>
      <c r="R2039">
        <v>236668</v>
      </c>
    </row>
    <row r="2040" spans="1:18" x14ac:dyDescent="0.25">
      <c r="A2040" s="163">
        <v>45006</v>
      </c>
      <c r="B2040" s="116">
        <v>2364.4499999999998</v>
      </c>
      <c r="C2040" s="116">
        <v>2348.4499999999998</v>
      </c>
      <c r="D2040" s="116">
        <v>2297.3000000000002</v>
      </c>
      <c r="E2040" s="116">
        <v>2301</v>
      </c>
      <c r="F2040" s="116">
        <v>2348.4499999999998</v>
      </c>
      <c r="G2040">
        <v>45245</v>
      </c>
      <c r="H2040" s="116"/>
      <c r="I2040" s="116"/>
      <c r="L2040" s="163">
        <v>45006</v>
      </c>
      <c r="M2040" s="116">
        <v>2349.35</v>
      </c>
      <c r="N2040" s="116">
        <v>2364.9</v>
      </c>
      <c r="O2040" s="116">
        <v>2298.5500000000002</v>
      </c>
      <c r="P2040" s="116">
        <v>2303.35</v>
      </c>
      <c r="Q2040" s="116">
        <v>2349.35</v>
      </c>
      <c r="R2040">
        <v>619952</v>
      </c>
    </row>
    <row r="2041" spans="1:18" x14ac:dyDescent="0.25">
      <c r="A2041" s="163">
        <v>45007</v>
      </c>
      <c r="B2041" s="116">
        <v>2386.6999999999998</v>
      </c>
      <c r="C2041" s="116">
        <v>2383.6</v>
      </c>
      <c r="D2041" s="116">
        <v>2347.35</v>
      </c>
      <c r="E2041" s="116">
        <v>2377.9499999999998</v>
      </c>
      <c r="F2041" s="116">
        <v>2383.6</v>
      </c>
      <c r="G2041">
        <v>10265</v>
      </c>
      <c r="H2041" s="116"/>
      <c r="I2041" s="116"/>
      <c r="L2041" s="163">
        <v>45007</v>
      </c>
      <c r="M2041" s="116">
        <v>2381.25</v>
      </c>
      <c r="N2041" s="116">
        <v>2387.65</v>
      </c>
      <c r="O2041" s="116">
        <v>2346</v>
      </c>
      <c r="P2041" s="116">
        <v>2352.0500000000002</v>
      </c>
      <c r="Q2041" s="116">
        <v>2381.25</v>
      </c>
      <c r="R2041">
        <v>1042488</v>
      </c>
    </row>
    <row r="2042" spans="1:18" x14ac:dyDescent="0.25">
      <c r="A2042" s="163">
        <v>45008</v>
      </c>
      <c r="B2042" s="116">
        <v>2403.9499999999998</v>
      </c>
      <c r="C2042" s="116">
        <v>2382.85</v>
      </c>
      <c r="D2042" s="116">
        <v>2365.1</v>
      </c>
      <c r="E2042" s="116">
        <v>2375.6</v>
      </c>
      <c r="F2042" s="116">
        <v>2382.85</v>
      </c>
      <c r="G2042">
        <v>17337</v>
      </c>
      <c r="H2042" s="116"/>
      <c r="I2042" s="116"/>
      <c r="L2042" s="163">
        <v>45008</v>
      </c>
      <c r="M2042" s="116">
        <v>2383.6999999999998</v>
      </c>
      <c r="N2042" s="116">
        <v>2404.15</v>
      </c>
      <c r="O2042" s="116">
        <v>2365.65</v>
      </c>
      <c r="P2042" s="116">
        <v>2381.1</v>
      </c>
      <c r="Q2042" s="116">
        <v>2383.6999999999998</v>
      </c>
      <c r="R2042">
        <v>448631</v>
      </c>
    </row>
    <row r="2043" spans="1:18" x14ac:dyDescent="0.25">
      <c r="A2043" s="163">
        <v>45009</v>
      </c>
      <c r="B2043" s="116">
        <v>2403.0500000000002</v>
      </c>
      <c r="C2043" s="116">
        <v>2380.5</v>
      </c>
      <c r="D2043" s="116">
        <v>2372.6999999999998</v>
      </c>
      <c r="E2043" s="116">
        <v>2403.0500000000002</v>
      </c>
      <c r="F2043" s="116">
        <v>2380.5</v>
      </c>
      <c r="G2043">
        <v>6925</v>
      </c>
      <c r="H2043" s="116"/>
      <c r="I2043" s="116"/>
      <c r="L2043" s="163">
        <v>45009</v>
      </c>
      <c r="M2043" s="116">
        <v>2381.4499999999998</v>
      </c>
      <c r="N2043" s="116">
        <v>2397.6</v>
      </c>
      <c r="O2043" s="116">
        <v>2371.15</v>
      </c>
      <c r="P2043" s="116">
        <v>2389.25</v>
      </c>
      <c r="Q2043" s="116">
        <v>2381.4499999999998</v>
      </c>
      <c r="R2043">
        <v>300095</v>
      </c>
    </row>
    <row r="2044" spans="1:18" x14ac:dyDescent="0.25">
      <c r="A2044" s="163">
        <v>45012</v>
      </c>
      <c r="B2044" s="116">
        <v>2401</v>
      </c>
      <c r="C2044" s="116">
        <v>2385.9499999999998</v>
      </c>
      <c r="D2044" s="116">
        <v>2370.0500000000002</v>
      </c>
      <c r="E2044" s="116">
        <v>2370.0500000000002</v>
      </c>
      <c r="F2044" s="116">
        <v>2385.9499999999998</v>
      </c>
      <c r="G2044">
        <v>7421</v>
      </c>
      <c r="H2044" s="116"/>
      <c r="I2044" s="116"/>
      <c r="L2044" s="163">
        <v>45012</v>
      </c>
      <c r="M2044" s="116">
        <v>2387.65</v>
      </c>
      <c r="N2044" s="116">
        <v>2401.9</v>
      </c>
      <c r="O2044" s="116">
        <v>2373.15</v>
      </c>
      <c r="P2044" s="116">
        <v>2380.1</v>
      </c>
      <c r="Q2044" s="116">
        <v>2387.65</v>
      </c>
      <c r="R2044">
        <v>388208</v>
      </c>
    </row>
    <row r="2045" spans="1:18" x14ac:dyDescent="0.25">
      <c r="A2045" s="163">
        <v>45013</v>
      </c>
      <c r="B2045" s="116">
        <v>2396.9499999999998</v>
      </c>
      <c r="C2045" s="116">
        <v>2378.1</v>
      </c>
      <c r="D2045" s="116">
        <v>2367</v>
      </c>
      <c r="E2045" s="116">
        <v>2388.75</v>
      </c>
      <c r="F2045" s="116">
        <v>2378.1</v>
      </c>
      <c r="G2045">
        <v>5361</v>
      </c>
      <c r="H2045" s="116"/>
      <c r="I2045" s="116"/>
      <c r="L2045" s="163">
        <v>45013</v>
      </c>
      <c r="M2045" s="116">
        <v>2380.3000000000002</v>
      </c>
      <c r="N2045" s="116">
        <v>2399</v>
      </c>
      <c r="O2045" s="116">
        <v>2365.5</v>
      </c>
      <c r="P2045" s="116">
        <v>2397</v>
      </c>
      <c r="Q2045" s="116">
        <v>2380.3000000000002</v>
      </c>
      <c r="R2045">
        <v>551977</v>
      </c>
    </row>
    <row r="2046" spans="1:18" x14ac:dyDescent="0.25">
      <c r="A2046" s="163">
        <v>45014</v>
      </c>
      <c r="B2046" s="116">
        <v>2410.0500000000002</v>
      </c>
      <c r="C2046" s="116">
        <v>2398.8000000000002</v>
      </c>
      <c r="D2046" s="116">
        <v>2360.0500000000002</v>
      </c>
      <c r="E2046" s="116">
        <v>2360.0500000000002</v>
      </c>
      <c r="F2046" s="116">
        <v>2398.8000000000002</v>
      </c>
      <c r="G2046">
        <v>7283</v>
      </c>
      <c r="H2046" s="116"/>
      <c r="I2046" s="116"/>
      <c r="L2046" s="163">
        <v>45014</v>
      </c>
      <c r="M2046" s="116">
        <v>2399.1</v>
      </c>
      <c r="N2046" s="116">
        <v>2412</v>
      </c>
      <c r="O2046" s="116">
        <v>2370.0500000000002</v>
      </c>
      <c r="P2046" s="116">
        <v>2375</v>
      </c>
      <c r="Q2046" s="116">
        <v>2399.1</v>
      </c>
      <c r="R2046">
        <v>313006</v>
      </c>
    </row>
    <row r="2047" spans="1:18" x14ac:dyDescent="0.25">
      <c r="A2047" s="163">
        <v>45016</v>
      </c>
      <c r="B2047" s="116">
        <v>2433.35</v>
      </c>
      <c r="C2047" s="116">
        <v>2406.1999999999998</v>
      </c>
      <c r="D2047" s="116">
        <v>2398</v>
      </c>
      <c r="E2047" s="116">
        <v>2400.0500000000002</v>
      </c>
      <c r="F2047" s="116">
        <v>2406.1999999999998</v>
      </c>
      <c r="G2047">
        <v>8328</v>
      </c>
      <c r="H2047" s="116"/>
      <c r="I2047" s="116"/>
      <c r="L2047" s="163">
        <v>45016</v>
      </c>
      <c r="M2047" s="116">
        <v>2411.85</v>
      </c>
      <c r="N2047" s="116">
        <v>2433.4</v>
      </c>
      <c r="O2047" s="116">
        <v>2397.65</v>
      </c>
      <c r="P2047" s="116">
        <v>2411.1</v>
      </c>
      <c r="Q2047" s="116">
        <v>2411.85</v>
      </c>
      <c r="R2047">
        <v>585933</v>
      </c>
    </row>
    <row r="2048" spans="1:18" x14ac:dyDescent="0.25">
      <c r="A2048" s="163">
        <v>45019</v>
      </c>
      <c r="B2048" s="116">
        <v>2451.1</v>
      </c>
      <c r="C2048" s="116">
        <v>2362.9499999999998</v>
      </c>
      <c r="D2048" s="116">
        <v>2360.25</v>
      </c>
      <c r="E2048" s="116">
        <v>2440.4499999999998</v>
      </c>
      <c r="F2048" s="116">
        <v>2362.9499999999998</v>
      </c>
      <c r="G2048">
        <v>7935</v>
      </c>
      <c r="H2048" s="116"/>
      <c r="I2048" s="116"/>
      <c r="L2048" s="163">
        <v>45019</v>
      </c>
      <c r="M2048" s="116">
        <v>2362.35</v>
      </c>
      <c r="N2048" s="116">
        <v>2429</v>
      </c>
      <c r="O2048" s="116">
        <v>2358.6</v>
      </c>
      <c r="P2048" s="116">
        <v>2428.1999999999998</v>
      </c>
      <c r="Q2048" s="116">
        <v>2362.35</v>
      </c>
      <c r="R2048">
        <v>1010208</v>
      </c>
    </row>
    <row r="2049" spans="1:18" x14ac:dyDescent="0.25">
      <c r="A2049" s="163">
        <v>45021</v>
      </c>
      <c r="B2049" s="116">
        <v>2383.6999999999998</v>
      </c>
      <c r="C2049" s="116">
        <v>2374.85</v>
      </c>
      <c r="D2049" s="116">
        <v>2354</v>
      </c>
      <c r="E2049" s="116">
        <v>2354.0500000000002</v>
      </c>
      <c r="F2049" s="116">
        <v>2374.85</v>
      </c>
      <c r="G2049">
        <v>18793</v>
      </c>
      <c r="H2049" s="116"/>
      <c r="I2049" s="116"/>
      <c r="L2049" s="163">
        <v>45021</v>
      </c>
      <c r="M2049" s="116">
        <v>2376.15</v>
      </c>
      <c r="N2049" s="116">
        <v>2383.35</v>
      </c>
      <c r="O2049" s="116">
        <v>2354.4</v>
      </c>
      <c r="P2049" s="116">
        <v>2365</v>
      </c>
      <c r="Q2049" s="116">
        <v>2376.15</v>
      </c>
      <c r="R2049">
        <v>417181</v>
      </c>
    </row>
    <row r="2050" spans="1:18" x14ac:dyDescent="0.25">
      <c r="A2050" s="163">
        <v>45022</v>
      </c>
      <c r="B2050" s="116">
        <v>2383.9</v>
      </c>
      <c r="C2050" s="116">
        <v>2369</v>
      </c>
      <c r="D2050" s="116">
        <v>2356.5500000000002</v>
      </c>
      <c r="E2050" s="116">
        <v>2356.5500000000002</v>
      </c>
      <c r="F2050" s="116">
        <v>2369</v>
      </c>
      <c r="G2050">
        <v>3211</v>
      </c>
      <c r="H2050" s="116"/>
      <c r="I2050" s="116"/>
      <c r="L2050" s="163">
        <v>45022</v>
      </c>
      <c r="M2050" s="116">
        <v>2369.3000000000002</v>
      </c>
      <c r="N2050" s="116">
        <v>2384.65</v>
      </c>
      <c r="O2050" s="116">
        <v>2358</v>
      </c>
      <c r="P2050" s="116">
        <v>2371.1</v>
      </c>
      <c r="Q2050" s="116">
        <v>2369.3000000000002</v>
      </c>
      <c r="R2050">
        <v>157067</v>
      </c>
    </row>
    <row r="2051" spans="1:18" x14ac:dyDescent="0.25">
      <c r="A2051" s="163">
        <v>45026</v>
      </c>
      <c r="B2051" s="116">
        <v>2402</v>
      </c>
      <c r="C2051" s="116">
        <v>2392.85</v>
      </c>
      <c r="D2051" s="116">
        <v>2365.3000000000002</v>
      </c>
      <c r="E2051" s="116">
        <v>2369.1</v>
      </c>
      <c r="F2051" s="116">
        <v>2392.85</v>
      </c>
      <c r="G2051">
        <v>54011</v>
      </c>
      <c r="H2051" s="116"/>
      <c r="I2051" s="116"/>
      <c r="L2051" s="163">
        <v>45026</v>
      </c>
      <c r="M2051" s="116">
        <v>2389.6999999999998</v>
      </c>
      <c r="N2051" s="116">
        <v>2403.5</v>
      </c>
      <c r="O2051" s="116">
        <v>2365</v>
      </c>
      <c r="P2051" s="116">
        <v>2375</v>
      </c>
      <c r="Q2051" s="116">
        <v>2389.6999999999998</v>
      </c>
      <c r="R2051">
        <v>416941</v>
      </c>
    </row>
    <row r="2052" spans="1:18" x14ac:dyDescent="0.25">
      <c r="A2052" s="163">
        <v>45027</v>
      </c>
      <c r="B2052" s="116">
        <v>2420.25</v>
      </c>
      <c r="C2052" s="116">
        <v>2398.25</v>
      </c>
      <c r="D2052" s="116">
        <v>2375</v>
      </c>
      <c r="E2052" s="116">
        <v>2389.0500000000002</v>
      </c>
      <c r="F2052" s="116">
        <v>2398.25</v>
      </c>
      <c r="G2052">
        <v>10073</v>
      </c>
      <c r="H2052" s="116"/>
      <c r="I2052" s="116"/>
      <c r="L2052" s="163">
        <v>45027</v>
      </c>
      <c r="M2052" s="116">
        <v>2398.6</v>
      </c>
      <c r="N2052" s="116">
        <v>2420</v>
      </c>
      <c r="O2052" s="116">
        <v>2375.5</v>
      </c>
      <c r="P2052" s="116">
        <v>2398</v>
      </c>
      <c r="Q2052" s="116">
        <v>2398.6</v>
      </c>
      <c r="R2052">
        <v>1001619</v>
      </c>
    </row>
    <row r="2053" spans="1:18" x14ac:dyDescent="0.25">
      <c r="A2053" s="163">
        <v>45028</v>
      </c>
      <c r="B2053" s="116">
        <v>2429</v>
      </c>
      <c r="C2053" s="116">
        <v>2424.75</v>
      </c>
      <c r="D2053" s="116">
        <v>2398.15</v>
      </c>
      <c r="E2053" s="116">
        <v>2400</v>
      </c>
      <c r="F2053" s="116">
        <v>2424.75</v>
      </c>
      <c r="G2053">
        <v>6449</v>
      </c>
      <c r="H2053" s="116"/>
      <c r="I2053" s="116"/>
      <c r="L2053" s="163">
        <v>45028</v>
      </c>
      <c r="M2053" s="116">
        <v>2424.5</v>
      </c>
      <c r="N2053" s="116">
        <v>2428.25</v>
      </c>
      <c r="O2053" s="116">
        <v>2398.1</v>
      </c>
      <c r="P2053" s="116">
        <v>2401</v>
      </c>
      <c r="Q2053" s="116">
        <v>2424.5</v>
      </c>
      <c r="R2053">
        <v>598441</v>
      </c>
    </row>
    <row r="2054" spans="1:18" x14ac:dyDescent="0.25">
      <c r="A2054" s="163">
        <v>45029</v>
      </c>
      <c r="B2054" s="116">
        <v>2453.9499999999998</v>
      </c>
      <c r="C2054" s="116">
        <v>2438.9</v>
      </c>
      <c r="D2054" s="116">
        <v>2426.0500000000002</v>
      </c>
      <c r="E2054" s="116">
        <v>2426.0500000000002</v>
      </c>
      <c r="F2054" s="116">
        <v>2438.9</v>
      </c>
      <c r="G2054">
        <v>19288</v>
      </c>
      <c r="H2054" s="116"/>
      <c r="I2054" s="116"/>
      <c r="L2054" s="163">
        <v>45029</v>
      </c>
      <c r="M2054" s="116">
        <v>2439.25</v>
      </c>
      <c r="N2054" s="116">
        <v>2454</v>
      </c>
      <c r="O2054" s="116">
        <v>2426.6</v>
      </c>
      <c r="P2054" s="116">
        <v>2430</v>
      </c>
      <c r="Q2054" s="116">
        <v>2439.25</v>
      </c>
      <c r="R2054">
        <v>864697</v>
      </c>
    </row>
    <row r="2055" spans="1:18" x14ac:dyDescent="0.25">
      <c r="A2055" s="163">
        <v>45033</v>
      </c>
      <c r="B2055" s="116">
        <v>2467.1999999999998</v>
      </c>
      <c r="C2055" s="116">
        <v>2461.3000000000002</v>
      </c>
      <c r="D2055" s="116">
        <v>2432.75</v>
      </c>
      <c r="E2055" s="116">
        <v>2435</v>
      </c>
      <c r="F2055" s="116">
        <v>2461.3000000000002</v>
      </c>
      <c r="G2055">
        <v>33584</v>
      </c>
      <c r="H2055" s="116"/>
      <c r="I2055" s="116"/>
      <c r="L2055" s="163">
        <v>45033</v>
      </c>
      <c r="M2055" s="116">
        <v>2461.65</v>
      </c>
      <c r="N2055" s="116">
        <v>2467.5500000000002</v>
      </c>
      <c r="O2055" s="116">
        <v>2432.65</v>
      </c>
      <c r="P2055" s="116">
        <v>2440</v>
      </c>
      <c r="Q2055" s="116">
        <v>2461.65</v>
      </c>
      <c r="R2055">
        <v>565248</v>
      </c>
    </row>
    <row r="2056" spans="1:18" x14ac:dyDescent="0.25">
      <c r="A2056" s="163">
        <v>45034</v>
      </c>
      <c r="B2056" s="116">
        <v>2486.5500000000002</v>
      </c>
      <c r="C2056" s="116">
        <v>2484.0500000000002</v>
      </c>
      <c r="D2056" s="116">
        <v>2437</v>
      </c>
      <c r="E2056" s="116">
        <v>2461.1</v>
      </c>
      <c r="F2056" s="116">
        <v>2484.0500000000002</v>
      </c>
      <c r="G2056">
        <v>7154</v>
      </c>
      <c r="H2056" s="116"/>
      <c r="I2056" s="116"/>
      <c r="L2056" s="163">
        <v>45034</v>
      </c>
      <c r="M2056" s="116">
        <v>2483.5</v>
      </c>
      <c r="N2056" s="116">
        <v>2486.9</v>
      </c>
      <c r="O2056" s="116">
        <v>2452.0500000000002</v>
      </c>
      <c r="P2056" s="116">
        <v>2469.4</v>
      </c>
      <c r="Q2056" s="116">
        <v>2483.5</v>
      </c>
      <c r="R2056">
        <v>573989</v>
      </c>
    </row>
    <row r="2057" spans="1:18" x14ac:dyDescent="0.25">
      <c r="A2057" s="163">
        <v>45035</v>
      </c>
      <c r="B2057" s="116">
        <v>2500</v>
      </c>
      <c r="C2057" s="116">
        <v>2470.9</v>
      </c>
      <c r="D2057" s="116">
        <v>2458.0500000000002</v>
      </c>
      <c r="E2057" s="116">
        <v>2484.0500000000002</v>
      </c>
      <c r="F2057" s="116">
        <v>2470.9</v>
      </c>
      <c r="G2057">
        <v>12280</v>
      </c>
      <c r="H2057" s="116"/>
      <c r="I2057" s="116"/>
      <c r="L2057" s="163">
        <v>45035</v>
      </c>
      <c r="M2057" s="116">
        <v>2470.4499999999998</v>
      </c>
      <c r="N2057" s="116">
        <v>2499</v>
      </c>
      <c r="O2057" s="116">
        <v>2457.6999999999998</v>
      </c>
      <c r="P2057" s="116">
        <v>2499</v>
      </c>
      <c r="Q2057" s="116">
        <v>2470.4499999999998</v>
      </c>
      <c r="R2057">
        <v>431870</v>
      </c>
    </row>
    <row r="2058" spans="1:18" x14ac:dyDescent="0.25">
      <c r="A2058" s="163">
        <v>45036</v>
      </c>
      <c r="B2058" s="116">
        <v>2489.25</v>
      </c>
      <c r="C2058" s="116">
        <v>2472.3000000000002</v>
      </c>
      <c r="D2058" s="116">
        <v>2463.1999999999998</v>
      </c>
      <c r="E2058" s="116">
        <v>2483.9499999999998</v>
      </c>
      <c r="F2058" s="116">
        <v>2472.3000000000002</v>
      </c>
      <c r="G2058">
        <v>10057</v>
      </c>
      <c r="H2058" s="116"/>
      <c r="I2058" s="116"/>
      <c r="L2058" s="163">
        <v>45036</v>
      </c>
      <c r="M2058" s="116">
        <v>2472.85</v>
      </c>
      <c r="N2058" s="116">
        <v>2489.9499999999998</v>
      </c>
      <c r="O2058" s="116">
        <v>2462.6</v>
      </c>
      <c r="P2058" s="116">
        <v>2475.1</v>
      </c>
      <c r="Q2058" s="116">
        <v>2472.85</v>
      </c>
      <c r="R2058">
        <v>257583</v>
      </c>
    </row>
    <row r="2059" spans="1:18" x14ac:dyDescent="0.25">
      <c r="A2059" s="163">
        <v>45037</v>
      </c>
      <c r="B2059" s="116">
        <v>2483.1999999999998</v>
      </c>
      <c r="C2059" s="116">
        <v>2475.1999999999998</v>
      </c>
      <c r="D2059" s="116">
        <v>2463.75</v>
      </c>
      <c r="E2059" s="116">
        <v>2470</v>
      </c>
      <c r="F2059" s="116">
        <v>2475.1999999999998</v>
      </c>
      <c r="G2059">
        <v>4449</v>
      </c>
      <c r="H2059" s="116"/>
      <c r="I2059" s="116"/>
      <c r="L2059" s="163">
        <v>45037</v>
      </c>
      <c r="M2059" s="116">
        <v>2477</v>
      </c>
      <c r="N2059" s="116">
        <v>2484.1999999999998</v>
      </c>
      <c r="O2059" s="116">
        <v>2464.15</v>
      </c>
      <c r="P2059" s="116">
        <v>2472</v>
      </c>
      <c r="Q2059" s="116">
        <v>2477</v>
      </c>
      <c r="R2059">
        <v>153764</v>
      </c>
    </row>
    <row r="2060" spans="1:18" x14ac:dyDescent="0.25">
      <c r="A2060" s="163">
        <v>45040</v>
      </c>
      <c r="B2060" s="116">
        <v>2501.3000000000002</v>
      </c>
      <c r="C2060" s="116">
        <v>2497.4</v>
      </c>
      <c r="D2060" s="116">
        <v>2470.5</v>
      </c>
      <c r="E2060" s="116">
        <v>2470.5</v>
      </c>
      <c r="F2060" s="116">
        <v>2497.4</v>
      </c>
      <c r="G2060">
        <v>4724</v>
      </c>
      <c r="H2060" s="116"/>
      <c r="I2060" s="116"/>
      <c r="L2060" s="163">
        <v>45040</v>
      </c>
      <c r="M2060" s="116">
        <v>2499.8000000000002</v>
      </c>
      <c r="N2060" s="116">
        <v>2502</v>
      </c>
      <c r="O2060" s="116">
        <v>2473</v>
      </c>
      <c r="P2060" s="116">
        <v>2486.8000000000002</v>
      </c>
      <c r="Q2060" s="116">
        <v>2499.8000000000002</v>
      </c>
      <c r="R2060">
        <v>204607</v>
      </c>
    </row>
    <row r="2061" spans="1:18" x14ac:dyDescent="0.25">
      <c r="A2061" s="163">
        <v>45041</v>
      </c>
      <c r="B2061" s="116">
        <v>2504.65</v>
      </c>
      <c r="C2061" s="116">
        <v>2491.6999999999998</v>
      </c>
      <c r="D2061" s="116">
        <v>2483</v>
      </c>
      <c r="E2061" s="116">
        <v>2498</v>
      </c>
      <c r="F2061" s="116">
        <v>2491.6999999999998</v>
      </c>
      <c r="G2061">
        <v>17020</v>
      </c>
      <c r="H2061" s="116"/>
      <c r="I2061" s="116"/>
      <c r="L2061" s="163">
        <v>45041</v>
      </c>
      <c r="M2061" s="116">
        <v>2491.9499999999998</v>
      </c>
      <c r="N2061" s="116">
        <v>2505.6</v>
      </c>
      <c r="O2061" s="116">
        <v>2480.6999999999998</v>
      </c>
      <c r="P2061" s="116">
        <v>2499.8000000000002</v>
      </c>
      <c r="Q2061" s="116">
        <v>2491.9499999999998</v>
      </c>
      <c r="R2061">
        <v>238525</v>
      </c>
    </row>
    <row r="2062" spans="1:18" x14ac:dyDescent="0.25">
      <c r="A2062" s="163">
        <v>45042</v>
      </c>
      <c r="B2062" s="116">
        <v>2500.25</v>
      </c>
      <c r="C2062" s="116">
        <v>2496.3000000000002</v>
      </c>
      <c r="D2062" s="116">
        <v>2474.5500000000002</v>
      </c>
      <c r="E2062" s="116">
        <v>2484.85</v>
      </c>
      <c r="F2062" s="116">
        <v>2496.3000000000002</v>
      </c>
      <c r="G2062">
        <v>3387</v>
      </c>
      <c r="H2062" s="116"/>
      <c r="I2062" s="116"/>
      <c r="L2062" s="163">
        <v>45042</v>
      </c>
      <c r="M2062" s="116">
        <v>2496.6</v>
      </c>
      <c r="N2062" s="116">
        <v>2500.9499999999998</v>
      </c>
      <c r="O2062" s="116">
        <v>2471.9499999999998</v>
      </c>
      <c r="P2062" s="116">
        <v>2494</v>
      </c>
      <c r="Q2062" s="116">
        <v>2496.6</v>
      </c>
      <c r="R2062">
        <v>412277</v>
      </c>
    </row>
    <row r="2063" spans="1:18" x14ac:dyDescent="0.25">
      <c r="A2063" s="163">
        <v>45043</v>
      </c>
      <c r="B2063" s="116">
        <v>2502.6</v>
      </c>
      <c r="C2063" s="116">
        <v>2495.3000000000002</v>
      </c>
      <c r="D2063" s="116">
        <v>2487.6999999999998</v>
      </c>
      <c r="E2063" s="116">
        <v>2499.9499999999998</v>
      </c>
      <c r="F2063" s="116">
        <v>2495.3000000000002</v>
      </c>
      <c r="G2063">
        <v>3967</v>
      </c>
      <c r="H2063" s="116"/>
      <c r="I2063" s="116"/>
      <c r="L2063" s="163">
        <v>45043</v>
      </c>
      <c r="M2063" s="116">
        <v>2495.5</v>
      </c>
      <c r="N2063" s="116">
        <v>2503.5</v>
      </c>
      <c r="O2063" s="116">
        <v>2481</v>
      </c>
      <c r="P2063" s="116">
        <v>2481</v>
      </c>
      <c r="Q2063" s="116">
        <v>2495.5</v>
      </c>
      <c r="R2063">
        <v>133131</v>
      </c>
    </row>
    <row r="2064" spans="1:18" x14ac:dyDescent="0.25">
      <c r="A2064" s="163">
        <v>45044</v>
      </c>
      <c r="B2064" s="116">
        <v>2545</v>
      </c>
      <c r="C2064" s="116">
        <v>2539.8000000000002</v>
      </c>
      <c r="D2064" s="116">
        <v>2494.6999999999998</v>
      </c>
      <c r="E2064" s="116">
        <v>2497.5</v>
      </c>
      <c r="F2064" s="116">
        <v>2539.8000000000002</v>
      </c>
      <c r="G2064">
        <v>6324</v>
      </c>
      <c r="H2064" s="116"/>
      <c r="I2064" s="116"/>
      <c r="L2064" s="163">
        <v>45044</v>
      </c>
      <c r="M2064" s="116">
        <v>2540.25</v>
      </c>
      <c r="N2064" s="116">
        <v>2545</v>
      </c>
      <c r="O2064" s="116">
        <v>2491.4499999999998</v>
      </c>
      <c r="P2064" s="116">
        <v>2500</v>
      </c>
      <c r="Q2064" s="116">
        <v>2540.25</v>
      </c>
      <c r="R2064">
        <v>484563</v>
      </c>
    </row>
    <row r="2065" spans="1:18" x14ac:dyDescent="0.25">
      <c r="A2065" s="163">
        <v>45048</v>
      </c>
      <c r="B2065" s="116">
        <v>2562.4</v>
      </c>
      <c r="C2065" s="116">
        <v>2550.8000000000002</v>
      </c>
      <c r="D2065" s="116">
        <v>2520.0500000000002</v>
      </c>
      <c r="E2065" s="116">
        <v>2520.0500000000002</v>
      </c>
      <c r="F2065" s="116">
        <v>2550.8000000000002</v>
      </c>
      <c r="G2065">
        <v>4441</v>
      </c>
      <c r="H2065" s="116"/>
      <c r="I2065" s="116"/>
      <c r="L2065" s="163">
        <v>45048</v>
      </c>
      <c r="M2065" s="116">
        <v>2550.75</v>
      </c>
      <c r="N2065" s="116">
        <v>2563.4499999999998</v>
      </c>
      <c r="O2065" s="116">
        <v>2535.8000000000002</v>
      </c>
      <c r="P2065" s="116">
        <v>2544</v>
      </c>
      <c r="Q2065" s="116">
        <v>2550.75</v>
      </c>
      <c r="R2065">
        <v>229619</v>
      </c>
    </row>
    <row r="2066" spans="1:18" x14ac:dyDescent="0.25">
      <c r="A2066" s="163">
        <v>45049</v>
      </c>
      <c r="B2066" s="116">
        <v>2574.3000000000002</v>
      </c>
      <c r="C2066" s="116">
        <v>2568.4499999999998</v>
      </c>
      <c r="D2066" s="116">
        <v>2521</v>
      </c>
      <c r="E2066" s="116">
        <v>2521</v>
      </c>
      <c r="F2066" s="116">
        <v>2568.4499999999998</v>
      </c>
      <c r="G2066">
        <v>15858</v>
      </c>
      <c r="H2066" s="116"/>
      <c r="I2066" s="116"/>
      <c r="L2066" s="163">
        <v>45049</v>
      </c>
      <c r="M2066" s="116">
        <v>2568.75</v>
      </c>
      <c r="N2066" s="116">
        <v>2574</v>
      </c>
      <c r="O2066" s="116">
        <v>2539.6</v>
      </c>
      <c r="P2066" s="116">
        <v>2550.75</v>
      </c>
      <c r="Q2066" s="116">
        <v>2568.75</v>
      </c>
      <c r="R2066">
        <v>258866</v>
      </c>
    </row>
    <row r="2067" spans="1:18" x14ac:dyDescent="0.25">
      <c r="A2067" s="163">
        <v>45050</v>
      </c>
      <c r="B2067" s="116">
        <v>2590</v>
      </c>
      <c r="C2067" s="116">
        <v>2551.4</v>
      </c>
      <c r="D2067" s="116">
        <v>2506.4</v>
      </c>
      <c r="E2067" s="116">
        <v>2590</v>
      </c>
      <c r="F2067" s="116">
        <v>2551.4</v>
      </c>
      <c r="G2067">
        <v>18878</v>
      </c>
      <c r="H2067" s="116"/>
      <c r="I2067" s="116"/>
      <c r="L2067" s="163">
        <v>45050</v>
      </c>
      <c r="M2067" s="116">
        <v>2552.3000000000002</v>
      </c>
      <c r="N2067" s="116">
        <v>2578</v>
      </c>
      <c r="O2067" s="116">
        <v>2506.0500000000002</v>
      </c>
      <c r="P2067" s="116">
        <v>2578</v>
      </c>
      <c r="Q2067" s="116">
        <v>2552.3000000000002</v>
      </c>
      <c r="R2067">
        <v>609709</v>
      </c>
    </row>
    <row r="2068" spans="1:18" x14ac:dyDescent="0.25">
      <c r="A2068" s="163">
        <v>45051</v>
      </c>
      <c r="B2068" s="116">
        <v>2557.75</v>
      </c>
      <c r="C2068" s="116">
        <v>2529.0500000000002</v>
      </c>
      <c r="D2068" s="116">
        <v>2522</v>
      </c>
      <c r="E2068" s="116">
        <v>2552.0500000000002</v>
      </c>
      <c r="F2068" s="116">
        <v>2529.0500000000002</v>
      </c>
      <c r="G2068">
        <v>4601</v>
      </c>
      <c r="H2068" s="116"/>
      <c r="I2068" s="116"/>
      <c r="L2068" s="163">
        <v>45051</v>
      </c>
      <c r="M2068" s="116">
        <v>2529.6999999999998</v>
      </c>
      <c r="N2068" s="116">
        <v>2559.3000000000002</v>
      </c>
      <c r="O2068" s="116">
        <v>2522</v>
      </c>
      <c r="P2068" s="116">
        <v>2552.3000000000002</v>
      </c>
      <c r="Q2068" s="116">
        <v>2529.6999999999998</v>
      </c>
      <c r="R2068">
        <v>247013</v>
      </c>
    </row>
    <row r="2069" spans="1:18" x14ac:dyDescent="0.25">
      <c r="A2069" s="163">
        <v>45054</v>
      </c>
      <c r="B2069" s="116">
        <v>2558.1</v>
      </c>
      <c r="C2069" s="116">
        <v>2545.25</v>
      </c>
      <c r="D2069" s="116">
        <v>2528.6999999999998</v>
      </c>
      <c r="E2069" s="116">
        <v>2529</v>
      </c>
      <c r="F2069" s="116">
        <v>2545.25</v>
      </c>
      <c r="G2069">
        <v>4273</v>
      </c>
      <c r="H2069" s="116"/>
      <c r="I2069" s="116"/>
      <c r="L2069" s="163">
        <v>45054</v>
      </c>
      <c r="M2069" s="116">
        <v>2546.15</v>
      </c>
      <c r="N2069" s="116">
        <v>2557.9499999999998</v>
      </c>
      <c r="O2069" s="116">
        <v>2526.15</v>
      </c>
      <c r="P2069" s="116">
        <v>2529.6999999999998</v>
      </c>
      <c r="Q2069" s="116">
        <v>2546.15</v>
      </c>
      <c r="R2069">
        <v>435984</v>
      </c>
    </row>
    <row r="2070" spans="1:18" x14ac:dyDescent="0.25">
      <c r="A2070" s="163">
        <v>45055</v>
      </c>
      <c r="B2070" s="116">
        <v>2636.65</v>
      </c>
      <c r="C2070" s="116">
        <v>2587.4</v>
      </c>
      <c r="D2070" s="116">
        <v>2541.0500000000002</v>
      </c>
      <c r="E2070" s="116">
        <v>2541.0500000000002</v>
      </c>
      <c r="F2070" s="116">
        <v>2587.4</v>
      </c>
      <c r="G2070">
        <v>68042</v>
      </c>
      <c r="H2070" s="116"/>
      <c r="I2070" s="116"/>
      <c r="L2070" s="163">
        <v>45055</v>
      </c>
      <c r="M2070" s="116">
        <v>2587.4</v>
      </c>
      <c r="N2070" s="116">
        <v>2636</v>
      </c>
      <c r="O2070" s="116">
        <v>2558.9499999999998</v>
      </c>
      <c r="P2070" s="116">
        <v>2559</v>
      </c>
      <c r="Q2070" s="116">
        <v>2587.4</v>
      </c>
      <c r="R2070">
        <v>1416918</v>
      </c>
    </row>
    <row r="2071" spans="1:18" x14ac:dyDescent="0.25">
      <c r="A2071" s="163">
        <v>45056</v>
      </c>
      <c r="B2071" s="116">
        <v>2605.5</v>
      </c>
      <c r="C2071" s="116">
        <v>2571.6999999999998</v>
      </c>
      <c r="D2071" s="116">
        <v>2555.25</v>
      </c>
      <c r="E2071" s="116">
        <v>2575.1</v>
      </c>
      <c r="F2071" s="116">
        <v>2571.6999999999998</v>
      </c>
      <c r="G2071">
        <v>20562</v>
      </c>
      <c r="H2071" s="116"/>
      <c r="I2071" s="116"/>
      <c r="L2071" s="163">
        <v>45056</v>
      </c>
      <c r="M2071" s="116">
        <v>2571.25</v>
      </c>
      <c r="N2071" s="116">
        <v>2607.3000000000002</v>
      </c>
      <c r="O2071" s="116">
        <v>2555.3000000000002</v>
      </c>
      <c r="P2071" s="116">
        <v>2573</v>
      </c>
      <c r="Q2071" s="116">
        <v>2571.25</v>
      </c>
      <c r="R2071">
        <v>822520</v>
      </c>
    </row>
    <row r="2072" spans="1:18" x14ac:dyDescent="0.25">
      <c r="A2072" s="163">
        <v>45057</v>
      </c>
      <c r="B2072" s="116">
        <v>2593.4499999999998</v>
      </c>
      <c r="C2072" s="116">
        <v>2560.25</v>
      </c>
      <c r="D2072" s="116">
        <v>2554.25</v>
      </c>
      <c r="E2072" s="116">
        <v>2589.85</v>
      </c>
      <c r="F2072" s="116">
        <v>2560.25</v>
      </c>
      <c r="G2072">
        <v>15415</v>
      </c>
      <c r="H2072" s="116"/>
      <c r="I2072" s="116"/>
      <c r="L2072" s="163">
        <v>45057</v>
      </c>
      <c r="M2072" s="116">
        <v>2560.9499999999998</v>
      </c>
      <c r="N2072" s="116">
        <v>2595</v>
      </c>
      <c r="O2072" s="116">
        <v>2555</v>
      </c>
      <c r="P2072" s="116">
        <v>2595</v>
      </c>
      <c r="Q2072" s="116">
        <v>2560.9499999999998</v>
      </c>
      <c r="R2072">
        <v>467001</v>
      </c>
    </row>
    <row r="2073" spans="1:18" x14ac:dyDescent="0.25">
      <c r="A2073" s="163">
        <v>45058</v>
      </c>
      <c r="B2073" s="116">
        <v>2580</v>
      </c>
      <c r="C2073" s="116">
        <v>2552.1</v>
      </c>
      <c r="D2073" s="116">
        <v>2532.5500000000002</v>
      </c>
      <c r="E2073" s="116">
        <v>2543.9</v>
      </c>
      <c r="F2073" s="116">
        <v>2552.1</v>
      </c>
      <c r="G2073">
        <v>7398</v>
      </c>
      <c r="H2073" s="116"/>
      <c r="I2073" s="116"/>
      <c r="L2073" s="163">
        <v>45058</v>
      </c>
      <c r="M2073" s="116">
        <v>2552.75</v>
      </c>
      <c r="N2073" s="116">
        <v>2581.4</v>
      </c>
      <c r="O2073" s="116">
        <v>2531</v>
      </c>
      <c r="P2073" s="116">
        <v>2561</v>
      </c>
      <c r="Q2073" s="116">
        <v>2552.75</v>
      </c>
      <c r="R2073">
        <v>229255</v>
      </c>
    </row>
    <row r="2074" spans="1:18" x14ac:dyDescent="0.25">
      <c r="A2074" s="163">
        <v>45061</v>
      </c>
      <c r="B2074" s="116">
        <v>2564.0500000000002</v>
      </c>
      <c r="C2074" s="116">
        <v>2531.15</v>
      </c>
      <c r="D2074" s="116">
        <v>2516.9499999999998</v>
      </c>
      <c r="E2074" s="116">
        <v>2548</v>
      </c>
      <c r="F2074" s="116">
        <v>2531.15</v>
      </c>
      <c r="G2074">
        <v>5156</v>
      </c>
      <c r="H2074" s="116"/>
      <c r="I2074" s="116"/>
      <c r="L2074" s="163">
        <v>45061</v>
      </c>
      <c r="M2074" s="116">
        <v>2531</v>
      </c>
      <c r="N2074" s="116">
        <v>2564.75</v>
      </c>
      <c r="O2074" s="116">
        <v>2516.4499999999998</v>
      </c>
      <c r="P2074" s="116">
        <v>2554</v>
      </c>
      <c r="Q2074" s="116">
        <v>2531</v>
      </c>
      <c r="R2074">
        <v>351737</v>
      </c>
    </row>
    <row r="2075" spans="1:18" x14ac:dyDescent="0.25">
      <c r="A2075" s="163">
        <v>45062</v>
      </c>
      <c r="B2075" s="116">
        <v>2556.75</v>
      </c>
      <c r="C2075" s="116">
        <v>2541.65</v>
      </c>
      <c r="D2075" s="116">
        <v>2526.0500000000002</v>
      </c>
      <c r="E2075" s="116">
        <v>2529.6999999999998</v>
      </c>
      <c r="F2075" s="116">
        <v>2541.65</v>
      </c>
      <c r="G2075">
        <v>8297</v>
      </c>
      <c r="H2075" s="116"/>
      <c r="I2075" s="116"/>
      <c r="L2075" s="163">
        <v>45062</v>
      </c>
      <c r="M2075" s="116">
        <v>2542.65</v>
      </c>
      <c r="N2075" s="116">
        <v>2556.9499999999998</v>
      </c>
      <c r="O2075" s="116">
        <v>2528.1</v>
      </c>
      <c r="P2075" s="116">
        <v>2531</v>
      </c>
      <c r="Q2075" s="116">
        <v>2542.65</v>
      </c>
      <c r="R2075">
        <v>272719</v>
      </c>
    </row>
    <row r="2076" spans="1:18" x14ac:dyDescent="0.25">
      <c r="A2076" s="163">
        <v>45063</v>
      </c>
      <c r="B2076" s="116">
        <v>2546.75</v>
      </c>
      <c r="C2076" s="116">
        <v>2471.4</v>
      </c>
      <c r="D2076" s="116">
        <v>2454</v>
      </c>
      <c r="E2076" s="116">
        <v>2543.9499999999998</v>
      </c>
      <c r="F2076" s="116">
        <v>2471.4</v>
      </c>
      <c r="G2076">
        <v>12297</v>
      </c>
      <c r="H2076" s="116"/>
      <c r="I2076" s="116"/>
      <c r="L2076" s="163">
        <v>45063</v>
      </c>
      <c r="M2076" s="116">
        <v>2471.35</v>
      </c>
      <c r="N2076" s="116">
        <v>2549</v>
      </c>
      <c r="O2076" s="116">
        <v>2453</v>
      </c>
      <c r="P2076" s="116">
        <v>2549</v>
      </c>
      <c r="Q2076" s="116">
        <v>2471.35</v>
      </c>
      <c r="R2076">
        <v>448214</v>
      </c>
    </row>
    <row r="2077" spans="1:18" x14ac:dyDescent="0.25">
      <c r="A2077" s="163">
        <v>45064</v>
      </c>
      <c r="B2077" s="116">
        <v>2499.9499999999998</v>
      </c>
      <c r="C2077" s="116">
        <v>2428.3000000000002</v>
      </c>
      <c r="D2077" s="116">
        <v>2425.0500000000002</v>
      </c>
      <c r="E2077" s="116">
        <v>2499.9499999999998</v>
      </c>
      <c r="F2077" s="116">
        <v>2428.3000000000002</v>
      </c>
      <c r="G2077">
        <v>9195</v>
      </c>
      <c r="H2077" s="116"/>
      <c r="I2077" s="116"/>
      <c r="L2077" s="163">
        <v>45064</v>
      </c>
      <c r="M2077" s="116">
        <v>2428.6</v>
      </c>
      <c r="N2077" s="116">
        <v>2490</v>
      </c>
      <c r="O2077" s="116">
        <v>2424.9</v>
      </c>
      <c r="P2077" s="116">
        <v>2490</v>
      </c>
      <c r="Q2077" s="116">
        <v>2428.6</v>
      </c>
      <c r="R2077">
        <v>321325</v>
      </c>
    </row>
    <row r="2078" spans="1:18" x14ac:dyDescent="0.25">
      <c r="A2078" s="163">
        <v>45065</v>
      </c>
      <c r="B2078" s="116">
        <v>2441</v>
      </c>
      <c r="C2078" s="116">
        <v>2438.4499999999998</v>
      </c>
      <c r="D2078" s="116">
        <v>2400</v>
      </c>
      <c r="E2078" s="116">
        <v>2410.1</v>
      </c>
      <c r="F2078" s="116">
        <v>2438.4499999999998</v>
      </c>
      <c r="G2078">
        <v>8147</v>
      </c>
      <c r="H2078" s="116"/>
      <c r="I2078" s="116"/>
      <c r="L2078" s="163">
        <v>45065</v>
      </c>
      <c r="M2078" s="116">
        <v>2436.3000000000002</v>
      </c>
      <c r="N2078" s="116">
        <v>2440.35</v>
      </c>
      <c r="O2078" s="116">
        <v>2400</v>
      </c>
      <c r="P2078" s="116">
        <v>2420</v>
      </c>
      <c r="Q2078" s="116">
        <v>2436.3000000000002</v>
      </c>
      <c r="R2078">
        <v>218613</v>
      </c>
    </row>
    <row r="2079" spans="1:18" x14ac:dyDescent="0.25">
      <c r="A2079" s="163">
        <v>45068</v>
      </c>
      <c r="B2079" s="116">
        <v>2467.4499999999998</v>
      </c>
      <c r="C2079" s="116">
        <v>2457.35</v>
      </c>
      <c r="D2079" s="116">
        <v>2411.15</v>
      </c>
      <c r="E2079" s="116">
        <v>2425.0500000000002</v>
      </c>
      <c r="F2079" s="116">
        <v>2457.35</v>
      </c>
      <c r="G2079">
        <v>10589</v>
      </c>
      <c r="H2079" s="116"/>
      <c r="I2079" s="116"/>
      <c r="L2079" s="163">
        <v>45068</v>
      </c>
      <c r="M2079" s="116">
        <v>2458.6</v>
      </c>
      <c r="N2079" s="116">
        <v>2468.4</v>
      </c>
      <c r="O2079" s="116">
        <v>2410.5</v>
      </c>
      <c r="P2079" s="116">
        <v>2440.6</v>
      </c>
      <c r="Q2079" s="116">
        <v>2458.6</v>
      </c>
      <c r="R2079">
        <v>203806</v>
      </c>
    </row>
    <row r="2080" spans="1:18" x14ac:dyDescent="0.25">
      <c r="A2080" s="163">
        <v>45069</v>
      </c>
      <c r="B2080" s="116">
        <v>2494.4499999999998</v>
      </c>
      <c r="C2080" s="116">
        <v>2471.8000000000002</v>
      </c>
      <c r="D2080" s="116">
        <v>2454.85</v>
      </c>
      <c r="E2080" s="116">
        <v>2461.9</v>
      </c>
      <c r="F2080" s="116">
        <v>2471.8000000000002</v>
      </c>
      <c r="G2080">
        <v>5699</v>
      </c>
      <c r="H2080" s="116"/>
      <c r="I2080" s="116"/>
      <c r="L2080" s="163">
        <v>45069</v>
      </c>
      <c r="M2080" s="116">
        <v>2470.8000000000002</v>
      </c>
      <c r="N2080" s="116">
        <v>2494.9</v>
      </c>
      <c r="O2080" s="116">
        <v>2453.6</v>
      </c>
      <c r="P2080" s="116">
        <v>2466</v>
      </c>
      <c r="Q2080" s="116">
        <v>2470.8000000000002</v>
      </c>
      <c r="R2080">
        <v>333461</v>
      </c>
    </row>
    <row r="2081" spans="1:18" x14ac:dyDescent="0.25">
      <c r="A2081" s="163">
        <v>45070</v>
      </c>
      <c r="B2081" s="116">
        <v>2487.35</v>
      </c>
      <c r="C2081" s="116">
        <v>2451.0500000000002</v>
      </c>
      <c r="D2081" s="116">
        <v>2442.3000000000002</v>
      </c>
      <c r="E2081" s="116">
        <v>2475</v>
      </c>
      <c r="F2081" s="116">
        <v>2451.0500000000002</v>
      </c>
      <c r="G2081">
        <v>11776</v>
      </c>
      <c r="H2081" s="116"/>
      <c r="I2081" s="116"/>
      <c r="L2081" s="163">
        <v>45070</v>
      </c>
      <c r="M2081" s="116">
        <v>2449.9</v>
      </c>
      <c r="N2081" s="116">
        <v>2488.5</v>
      </c>
      <c r="O2081" s="116">
        <v>2444.0500000000002</v>
      </c>
      <c r="P2081" s="116">
        <v>2467.1999999999998</v>
      </c>
      <c r="Q2081" s="116">
        <v>2449.9</v>
      </c>
      <c r="R2081">
        <v>381373</v>
      </c>
    </row>
    <row r="2082" spans="1:18" x14ac:dyDescent="0.25">
      <c r="A2082" s="163">
        <v>45071</v>
      </c>
      <c r="B2082" s="116">
        <v>2479.3000000000002</v>
      </c>
      <c r="C2082" s="116">
        <v>2472.5500000000002</v>
      </c>
      <c r="D2082" s="116">
        <v>2447.5500000000002</v>
      </c>
      <c r="E2082" s="116">
        <v>2462</v>
      </c>
      <c r="F2082" s="116">
        <v>2472.5500000000002</v>
      </c>
      <c r="G2082">
        <v>6466</v>
      </c>
      <c r="H2082" s="116"/>
      <c r="I2082" s="116"/>
      <c r="L2082" s="163">
        <v>45071</v>
      </c>
      <c r="M2082" s="116">
        <v>2473.5500000000002</v>
      </c>
      <c r="N2082" s="116">
        <v>2479.5</v>
      </c>
      <c r="O2082" s="116">
        <v>2446.8000000000002</v>
      </c>
      <c r="P2082" s="116">
        <v>2449.85</v>
      </c>
      <c r="Q2082" s="116">
        <v>2473.5500000000002</v>
      </c>
      <c r="R2082">
        <v>177816</v>
      </c>
    </row>
    <row r="2083" spans="1:18" x14ac:dyDescent="0.25">
      <c r="A2083" s="163">
        <v>45072</v>
      </c>
      <c r="B2083" s="116">
        <v>2522.4</v>
      </c>
      <c r="C2083" s="116">
        <v>2515.6999999999998</v>
      </c>
      <c r="D2083" s="116">
        <v>2472.85</v>
      </c>
      <c r="E2083" s="116">
        <v>2474</v>
      </c>
      <c r="F2083" s="116">
        <v>2515.6999999999998</v>
      </c>
      <c r="G2083">
        <v>7389</v>
      </c>
      <c r="H2083" s="116"/>
      <c r="I2083" s="116"/>
      <c r="L2083" s="163">
        <v>45072</v>
      </c>
      <c r="M2083" s="116">
        <v>2515.4</v>
      </c>
      <c r="N2083" s="116">
        <v>2522</v>
      </c>
      <c r="O2083" s="116">
        <v>2465</v>
      </c>
      <c r="P2083" s="116">
        <v>2471</v>
      </c>
      <c r="Q2083" s="116">
        <v>2515.4</v>
      </c>
      <c r="R2083">
        <v>404790</v>
      </c>
    </row>
    <row r="2084" spans="1:18" x14ac:dyDescent="0.25">
      <c r="A2084" s="163">
        <v>45075</v>
      </c>
      <c r="B2084" s="116">
        <v>2547.9499999999998</v>
      </c>
      <c r="C2084" s="116">
        <v>2534.8000000000002</v>
      </c>
      <c r="D2084" s="116">
        <v>2510</v>
      </c>
      <c r="E2084" s="116">
        <v>2547.9499999999998</v>
      </c>
      <c r="F2084" s="116">
        <v>2534.8000000000002</v>
      </c>
      <c r="G2084">
        <v>14457</v>
      </c>
      <c r="H2084" s="116"/>
      <c r="I2084" s="116"/>
      <c r="L2084" s="163">
        <v>45075</v>
      </c>
      <c r="M2084" s="116">
        <v>2534.35</v>
      </c>
      <c r="N2084" s="116">
        <v>2540</v>
      </c>
      <c r="O2084" s="116">
        <v>2510.0500000000002</v>
      </c>
      <c r="P2084" s="116">
        <v>2525.4499999999998</v>
      </c>
      <c r="Q2084" s="116">
        <v>2534.35</v>
      </c>
      <c r="R2084">
        <v>175879</v>
      </c>
    </row>
    <row r="2085" spans="1:18" x14ac:dyDescent="0.25">
      <c r="A2085" s="163">
        <v>45076</v>
      </c>
      <c r="B2085" s="116">
        <v>2540.35</v>
      </c>
      <c r="C2085" s="116">
        <v>2527.6</v>
      </c>
      <c r="D2085" s="116">
        <v>2508.4</v>
      </c>
      <c r="E2085" s="116">
        <v>2535.0500000000002</v>
      </c>
      <c r="F2085" s="116">
        <v>2527.6</v>
      </c>
      <c r="G2085">
        <v>8082</v>
      </c>
      <c r="H2085" s="116"/>
      <c r="I2085" s="116"/>
      <c r="L2085" s="163">
        <v>45076</v>
      </c>
      <c r="M2085" s="116">
        <v>2529.1</v>
      </c>
      <c r="N2085" s="116">
        <v>2539.5</v>
      </c>
      <c r="O2085" s="116">
        <v>2507.75</v>
      </c>
      <c r="P2085" s="116">
        <v>2539.5</v>
      </c>
      <c r="Q2085" s="116">
        <v>2529.1</v>
      </c>
      <c r="R2085">
        <v>285307</v>
      </c>
    </row>
    <row r="2086" spans="1:18" x14ac:dyDescent="0.25">
      <c r="A2086" s="163">
        <v>45077</v>
      </c>
      <c r="B2086" s="116">
        <v>2543</v>
      </c>
      <c r="C2086" s="116">
        <v>2528.3000000000002</v>
      </c>
      <c r="D2086" s="116">
        <v>2495.0500000000002</v>
      </c>
      <c r="E2086" s="116">
        <v>2526.35</v>
      </c>
      <c r="F2086" s="116">
        <v>2528.3000000000002</v>
      </c>
      <c r="G2086">
        <v>6796</v>
      </c>
      <c r="H2086" s="116"/>
      <c r="I2086" s="116"/>
      <c r="L2086" s="163">
        <v>45077</v>
      </c>
      <c r="M2086" s="116">
        <v>2519.75</v>
      </c>
      <c r="N2086" s="116">
        <v>2542.15</v>
      </c>
      <c r="O2086" s="116">
        <v>2496</v>
      </c>
      <c r="P2086" s="116">
        <v>2510.0500000000002</v>
      </c>
      <c r="Q2086" s="116">
        <v>2519.75</v>
      </c>
      <c r="R2086">
        <v>563991</v>
      </c>
    </row>
    <row r="2087" spans="1:18" x14ac:dyDescent="0.25">
      <c r="A2087" s="163">
        <v>45078</v>
      </c>
      <c r="B2087" s="116">
        <v>2514.0500000000002</v>
      </c>
      <c r="C2087" s="116">
        <v>2477.9</v>
      </c>
      <c r="D2087" s="116">
        <v>2474.5500000000002</v>
      </c>
      <c r="E2087" s="116">
        <v>2505</v>
      </c>
      <c r="F2087" s="116">
        <v>2477.9</v>
      </c>
      <c r="G2087">
        <v>12571</v>
      </c>
      <c r="H2087" s="116"/>
      <c r="I2087" s="116"/>
      <c r="L2087" s="163">
        <v>45078</v>
      </c>
      <c r="M2087" s="116">
        <v>2478.5500000000002</v>
      </c>
      <c r="N2087" s="116">
        <v>2520.75</v>
      </c>
      <c r="O2087" s="116">
        <v>2473.6999999999998</v>
      </c>
      <c r="P2087" s="116">
        <v>2503</v>
      </c>
      <c r="Q2087" s="116">
        <v>2478.5500000000002</v>
      </c>
      <c r="R2087">
        <v>485845</v>
      </c>
    </row>
    <row r="2088" spans="1:18" x14ac:dyDescent="0.25">
      <c r="A2088" s="163">
        <v>45079</v>
      </c>
      <c r="B2088" s="116">
        <v>2517</v>
      </c>
      <c r="C2088" s="116">
        <v>2513.1999999999998</v>
      </c>
      <c r="D2088" s="116">
        <v>2467.1999999999998</v>
      </c>
      <c r="E2088" s="116">
        <v>2485.1999999999998</v>
      </c>
      <c r="F2088" s="116">
        <v>2513.1999999999998</v>
      </c>
      <c r="G2088">
        <v>8525</v>
      </c>
      <c r="H2088" s="116"/>
      <c r="I2088" s="116"/>
      <c r="L2088" s="163">
        <v>45079</v>
      </c>
      <c r="M2088" s="116">
        <v>2512.6</v>
      </c>
      <c r="N2088" s="116">
        <v>2517.25</v>
      </c>
      <c r="O2088" s="116">
        <v>2470.0500000000002</v>
      </c>
      <c r="P2088" s="116">
        <v>2485.9499999999998</v>
      </c>
      <c r="Q2088" s="116">
        <v>2512.6</v>
      </c>
      <c r="R2088">
        <v>278737</v>
      </c>
    </row>
    <row r="2089" spans="1:18" x14ac:dyDescent="0.25">
      <c r="A2089" s="163">
        <v>45082</v>
      </c>
      <c r="B2089" s="116">
        <v>2546.4</v>
      </c>
      <c r="C2089" s="116">
        <v>2532.1999999999998</v>
      </c>
      <c r="D2089" s="116">
        <v>2512</v>
      </c>
      <c r="E2089" s="116">
        <v>2512</v>
      </c>
      <c r="F2089" s="116">
        <v>2532.1999999999998</v>
      </c>
      <c r="G2089">
        <v>13579</v>
      </c>
      <c r="H2089" s="116"/>
      <c r="I2089" s="116"/>
      <c r="L2089" s="163">
        <v>45082</v>
      </c>
      <c r="M2089" s="116">
        <v>2532.1999999999998</v>
      </c>
      <c r="N2089" s="116">
        <v>2546.9499999999998</v>
      </c>
      <c r="O2089" s="116">
        <v>2512.0500000000002</v>
      </c>
      <c r="P2089" s="116">
        <v>2512.6</v>
      </c>
      <c r="Q2089" s="116">
        <v>2532.1999999999998</v>
      </c>
      <c r="R2089">
        <v>270365</v>
      </c>
    </row>
    <row r="2090" spans="1:18" x14ac:dyDescent="0.25">
      <c r="A2090" s="163">
        <v>45083</v>
      </c>
      <c r="B2090" s="116">
        <v>2545</v>
      </c>
      <c r="C2090" s="116">
        <v>2534.4499999999998</v>
      </c>
      <c r="D2090" s="116">
        <v>2512.0500000000002</v>
      </c>
      <c r="E2090" s="116">
        <v>2539</v>
      </c>
      <c r="F2090" s="116">
        <v>2534.4499999999998</v>
      </c>
      <c r="G2090">
        <v>10120</v>
      </c>
      <c r="H2090" s="116"/>
      <c r="I2090" s="116"/>
      <c r="L2090" s="163">
        <v>45083</v>
      </c>
      <c r="M2090" s="116">
        <v>2533.1</v>
      </c>
      <c r="N2090" s="116">
        <v>2546</v>
      </c>
      <c r="O2090" s="116">
        <v>2512.15</v>
      </c>
      <c r="P2090" s="116">
        <v>2536</v>
      </c>
      <c r="Q2090" s="116">
        <v>2533.1</v>
      </c>
      <c r="R2090">
        <v>306301</v>
      </c>
    </row>
    <row r="2091" spans="1:18" x14ac:dyDescent="0.25">
      <c r="A2091" s="163">
        <v>45084</v>
      </c>
      <c r="B2091" s="116">
        <v>2573.25</v>
      </c>
      <c r="C2091" s="116">
        <v>2567</v>
      </c>
      <c r="D2091" s="116">
        <v>2531.75</v>
      </c>
      <c r="E2091" s="116">
        <v>2540</v>
      </c>
      <c r="F2091" s="116">
        <v>2567</v>
      </c>
      <c r="G2091">
        <v>18439</v>
      </c>
      <c r="H2091" s="116"/>
      <c r="I2091" s="116"/>
      <c r="L2091" s="163">
        <v>45084</v>
      </c>
      <c r="M2091" s="116">
        <v>2567.35</v>
      </c>
      <c r="N2091" s="116">
        <v>2573</v>
      </c>
      <c r="O2091" s="116">
        <v>2531</v>
      </c>
      <c r="P2091" s="116">
        <v>2541.3000000000002</v>
      </c>
      <c r="Q2091" s="116">
        <v>2567.35</v>
      </c>
      <c r="R2091">
        <v>391452</v>
      </c>
    </row>
    <row r="2092" spans="1:18" x14ac:dyDescent="0.25">
      <c r="A2092" s="163">
        <v>45085</v>
      </c>
      <c r="B2092" s="116">
        <v>2572.6999999999998</v>
      </c>
      <c r="C2092" s="116">
        <v>2513.9</v>
      </c>
      <c r="D2092" s="116">
        <v>2501.4499999999998</v>
      </c>
      <c r="E2092" s="116">
        <v>2567.4</v>
      </c>
      <c r="F2092" s="116">
        <v>2513.9</v>
      </c>
      <c r="G2092">
        <v>9583</v>
      </c>
      <c r="H2092" s="116"/>
      <c r="I2092" s="116"/>
      <c r="L2092" s="163">
        <v>45085</v>
      </c>
      <c r="M2092" s="116">
        <v>2513.9499999999998</v>
      </c>
      <c r="N2092" s="116">
        <v>2576.9499999999998</v>
      </c>
      <c r="O2092" s="116">
        <v>2502</v>
      </c>
      <c r="P2092" s="116">
        <v>2576.9499999999998</v>
      </c>
      <c r="Q2092" s="116">
        <v>2513.9499999999998</v>
      </c>
      <c r="R2092">
        <v>411072</v>
      </c>
    </row>
    <row r="2093" spans="1:18" x14ac:dyDescent="0.25">
      <c r="A2093" s="163">
        <v>45086</v>
      </c>
      <c r="B2093" s="116">
        <v>2523.3000000000002</v>
      </c>
      <c r="C2093" s="116">
        <v>2427.85</v>
      </c>
      <c r="D2093" s="116">
        <v>2418</v>
      </c>
      <c r="E2093" s="116">
        <v>2522.8000000000002</v>
      </c>
      <c r="F2093" s="116">
        <v>2427.85</v>
      </c>
      <c r="G2093">
        <v>11265</v>
      </c>
      <c r="H2093" s="116"/>
      <c r="I2093" s="116"/>
      <c r="L2093" s="163">
        <v>45086</v>
      </c>
      <c r="M2093" s="116">
        <v>2429.6999999999998</v>
      </c>
      <c r="N2093" s="116">
        <v>2530</v>
      </c>
      <c r="O2093" s="116">
        <v>2417.25</v>
      </c>
      <c r="P2093" s="116">
        <v>2526</v>
      </c>
      <c r="Q2093" s="116">
        <v>2429.6999999999998</v>
      </c>
      <c r="R2093">
        <v>664621</v>
      </c>
    </row>
    <row r="2094" spans="1:18" x14ac:dyDescent="0.25">
      <c r="A2094" s="163">
        <v>45089</v>
      </c>
      <c r="B2094" s="116">
        <v>2442.1999999999998</v>
      </c>
      <c r="C2094" s="116">
        <v>2338.5</v>
      </c>
      <c r="D2094" s="116">
        <v>2317.1</v>
      </c>
      <c r="E2094" s="116">
        <v>2442.1999999999998</v>
      </c>
      <c r="F2094" s="116">
        <v>2338.5</v>
      </c>
      <c r="G2094">
        <v>210757</v>
      </c>
      <c r="H2094" s="116"/>
      <c r="I2094" s="116"/>
      <c r="L2094" s="163">
        <v>45089</v>
      </c>
      <c r="M2094" s="116">
        <v>2337.85</v>
      </c>
      <c r="N2094" s="116">
        <v>2424.75</v>
      </c>
      <c r="O2094" s="116">
        <v>2320.25</v>
      </c>
      <c r="P2094" s="116">
        <v>2420</v>
      </c>
      <c r="Q2094" s="116">
        <v>2337.85</v>
      </c>
      <c r="R2094">
        <v>1574373</v>
      </c>
    </row>
    <row r="2095" spans="1:18" x14ac:dyDescent="0.25">
      <c r="A2095" s="163">
        <v>45090</v>
      </c>
      <c r="B2095" s="116">
        <v>2378.8000000000002</v>
      </c>
      <c r="C2095" s="116">
        <v>2344.6</v>
      </c>
      <c r="D2095" s="116">
        <v>2332</v>
      </c>
      <c r="E2095" s="116">
        <v>2357.8000000000002</v>
      </c>
      <c r="F2095" s="116">
        <v>2344.6</v>
      </c>
      <c r="G2095">
        <v>213961</v>
      </c>
      <c r="H2095" s="116"/>
      <c r="I2095" s="116"/>
      <c r="L2095" s="163">
        <v>45090</v>
      </c>
      <c r="M2095" s="116">
        <v>2344.85</v>
      </c>
      <c r="N2095" s="116">
        <v>2379.5</v>
      </c>
      <c r="O2095" s="116">
        <v>2331.0500000000002</v>
      </c>
      <c r="P2095" s="116">
        <v>2357.65</v>
      </c>
      <c r="Q2095" s="116">
        <v>2344.85</v>
      </c>
      <c r="R2095">
        <v>963612</v>
      </c>
    </row>
    <row r="2096" spans="1:18" x14ac:dyDescent="0.25">
      <c r="A2096" s="163">
        <v>45091</v>
      </c>
      <c r="B2096" s="116">
        <v>2368.4</v>
      </c>
      <c r="C2096" s="116">
        <v>2349.4</v>
      </c>
      <c r="D2096" s="116">
        <v>2344</v>
      </c>
      <c r="E2096" s="116">
        <v>2345.0500000000002</v>
      </c>
      <c r="F2096" s="116">
        <v>2349.4</v>
      </c>
      <c r="G2096">
        <v>196138</v>
      </c>
      <c r="H2096" s="116"/>
      <c r="I2096" s="116"/>
      <c r="L2096" s="163">
        <v>45091</v>
      </c>
      <c r="M2096" s="116">
        <v>2350.6999999999998</v>
      </c>
      <c r="N2096" s="116">
        <v>2368.9</v>
      </c>
      <c r="O2096" s="116">
        <v>2343</v>
      </c>
      <c r="P2096" s="116">
        <v>2357.9</v>
      </c>
      <c r="Q2096" s="116">
        <v>2350.6999999999998</v>
      </c>
      <c r="R2096">
        <v>453023</v>
      </c>
    </row>
    <row r="2097" spans="1:18" x14ac:dyDescent="0.25">
      <c r="A2097" s="163">
        <v>45092</v>
      </c>
      <c r="B2097" s="116">
        <v>2385</v>
      </c>
      <c r="C2097" s="116">
        <v>2368.35</v>
      </c>
      <c r="D2097" s="116">
        <v>2351.35</v>
      </c>
      <c r="E2097" s="116">
        <v>2351.35</v>
      </c>
      <c r="F2097" s="116">
        <v>2368.35</v>
      </c>
      <c r="G2097">
        <v>13656</v>
      </c>
      <c r="H2097" s="116"/>
      <c r="I2097" s="116"/>
      <c r="L2097" s="163">
        <v>45092</v>
      </c>
      <c r="M2097" s="116">
        <v>2367.0500000000002</v>
      </c>
      <c r="N2097" s="116">
        <v>2385</v>
      </c>
      <c r="O2097" s="116">
        <v>2351.0500000000002</v>
      </c>
      <c r="P2097" s="116">
        <v>2359</v>
      </c>
      <c r="Q2097" s="116">
        <v>2367.0500000000002</v>
      </c>
      <c r="R2097">
        <v>678093</v>
      </c>
    </row>
    <row r="2098" spans="1:18" x14ac:dyDescent="0.25">
      <c r="A2098" s="163">
        <v>45093</v>
      </c>
      <c r="B2098" s="116">
        <v>2404.9499999999998</v>
      </c>
      <c r="C2098" s="116">
        <v>2396.8000000000002</v>
      </c>
      <c r="D2098" s="116">
        <v>2369.85</v>
      </c>
      <c r="E2098" s="116">
        <v>2383</v>
      </c>
      <c r="F2098" s="116">
        <v>2396.8000000000002</v>
      </c>
      <c r="G2098">
        <v>24489</v>
      </c>
      <c r="H2098" s="116"/>
      <c r="I2098" s="116"/>
      <c r="L2098" s="163">
        <v>45093</v>
      </c>
      <c r="M2098" s="116">
        <v>2397.4499999999998</v>
      </c>
      <c r="N2098" s="116">
        <v>2404.9</v>
      </c>
      <c r="O2098" s="116">
        <v>2367.0500000000002</v>
      </c>
      <c r="P2098" s="116">
        <v>2379.9499999999998</v>
      </c>
      <c r="Q2098" s="116">
        <v>2397.4499999999998</v>
      </c>
      <c r="R2098">
        <v>418809</v>
      </c>
    </row>
    <row r="2099" spans="1:18" x14ac:dyDescent="0.25">
      <c r="A2099" s="163">
        <v>45096</v>
      </c>
      <c r="B2099" s="116">
        <v>2418.25</v>
      </c>
      <c r="C2099" s="116">
        <v>2404.6999999999998</v>
      </c>
      <c r="D2099" s="116">
        <v>2392.5</v>
      </c>
      <c r="E2099" s="116">
        <v>2392.5</v>
      </c>
      <c r="F2099" s="116">
        <v>2404.6999999999998</v>
      </c>
      <c r="G2099">
        <v>5133</v>
      </c>
      <c r="H2099" s="116"/>
      <c r="I2099" s="116"/>
      <c r="L2099" s="163">
        <v>45096</v>
      </c>
      <c r="M2099" s="116">
        <v>2404.6999999999998</v>
      </c>
      <c r="N2099" s="116">
        <v>2418</v>
      </c>
      <c r="O2099" s="116">
        <v>2390.0500000000002</v>
      </c>
      <c r="P2099" s="116">
        <v>2395</v>
      </c>
      <c r="Q2099" s="116">
        <v>2404.6999999999998</v>
      </c>
      <c r="R2099">
        <v>281964</v>
      </c>
    </row>
    <row r="2100" spans="1:18" x14ac:dyDescent="0.25">
      <c r="A2100" s="163">
        <v>45097</v>
      </c>
      <c r="B2100" s="116">
        <v>2416.9</v>
      </c>
      <c r="C2100" s="116">
        <v>2406.35</v>
      </c>
      <c r="D2100" s="116">
        <v>2383.5500000000002</v>
      </c>
      <c r="E2100" s="116">
        <v>2405.65</v>
      </c>
      <c r="F2100" s="116">
        <v>2406.35</v>
      </c>
      <c r="G2100">
        <v>11241</v>
      </c>
      <c r="H2100" s="116"/>
      <c r="I2100" s="116"/>
      <c r="L2100" s="163">
        <v>45097</v>
      </c>
      <c r="M2100" s="116">
        <v>2405.9499999999998</v>
      </c>
      <c r="N2100" s="116">
        <v>2416.5</v>
      </c>
      <c r="O2100" s="116">
        <v>2383.5500000000002</v>
      </c>
      <c r="P2100" s="116">
        <v>2409.9</v>
      </c>
      <c r="Q2100" s="116">
        <v>2405.9499999999998</v>
      </c>
      <c r="R2100">
        <v>404500</v>
      </c>
    </row>
    <row r="2101" spans="1:18" x14ac:dyDescent="0.25">
      <c r="A2101" s="163">
        <v>45098</v>
      </c>
      <c r="B2101" s="116">
        <v>2413.8000000000002</v>
      </c>
      <c r="C2101" s="116">
        <v>2389.25</v>
      </c>
      <c r="D2101" s="116">
        <v>2381</v>
      </c>
      <c r="E2101" s="116">
        <v>2407</v>
      </c>
      <c r="F2101" s="116">
        <v>2389.25</v>
      </c>
      <c r="G2101">
        <v>16340</v>
      </c>
      <c r="H2101" s="116"/>
      <c r="I2101" s="116"/>
      <c r="L2101" s="163">
        <v>45098</v>
      </c>
      <c r="M2101" s="116">
        <v>2389.8000000000002</v>
      </c>
      <c r="N2101" s="116">
        <v>2418.6999999999998</v>
      </c>
      <c r="O2101" s="116">
        <v>2380</v>
      </c>
      <c r="P2101" s="116">
        <v>2405.9499999999998</v>
      </c>
      <c r="Q2101" s="116">
        <v>2389.8000000000002</v>
      </c>
      <c r="R2101">
        <v>484023</v>
      </c>
    </row>
    <row r="2102" spans="1:18" x14ac:dyDescent="0.25">
      <c r="A2102" s="163">
        <v>45099</v>
      </c>
      <c r="B2102" s="116">
        <v>2415</v>
      </c>
      <c r="C2102" s="116">
        <v>2362.65</v>
      </c>
      <c r="D2102" s="116">
        <v>2357</v>
      </c>
      <c r="E2102" s="116">
        <v>2389.3000000000002</v>
      </c>
      <c r="F2102" s="116">
        <v>2362.65</v>
      </c>
      <c r="G2102">
        <v>9521</v>
      </c>
      <c r="H2102" s="116"/>
      <c r="I2102" s="116"/>
      <c r="L2102" s="163">
        <v>45099</v>
      </c>
      <c r="M2102" s="116">
        <v>2366.6</v>
      </c>
      <c r="N2102" s="116">
        <v>2415</v>
      </c>
      <c r="O2102" s="116">
        <v>2350</v>
      </c>
      <c r="P2102" s="116">
        <v>2394</v>
      </c>
      <c r="Q2102" s="116">
        <v>2366.6</v>
      </c>
      <c r="R2102">
        <v>410192</v>
      </c>
    </row>
    <row r="2103" spans="1:18" x14ac:dyDescent="0.25">
      <c r="A2103" s="163">
        <v>45100</v>
      </c>
      <c r="B2103" s="116">
        <v>2376.1</v>
      </c>
      <c r="C2103" s="116">
        <v>2316.3000000000002</v>
      </c>
      <c r="D2103" s="116">
        <v>2305.85</v>
      </c>
      <c r="E2103" s="116">
        <v>2345.0500000000002</v>
      </c>
      <c r="F2103" s="116">
        <v>2316.3000000000002</v>
      </c>
      <c r="G2103">
        <v>8467</v>
      </c>
      <c r="H2103" s="116"/>
      <c r="I2103" s="116"/>
      <c r="L2103" s="163">
        <v>45100</v>
      </c>
      <c r="M2103" s="116">
        <v>2321.4</v>
      </c>
      <c r="N2103" s="116">
        <v>2379.25</v>
      </c>
      <c r="O2103" s="116">
        <v>2305.1</v>
      </c>
      <c r="P2103" s="116">
        <v>2379.25</v>
      </c>
      <c r="Q2103" s="116">
        <v>2321.4</v>
      </c>
      <c r="R2103">
        <v>678470</v>
      </c>
    </row>
    <row r="2104" spans="1:18" x14ac:dyDescent="0.25">
      <c r="A2104" s="163">
        <v>45103</v>
      </c>
      <c r="B2104" s="116">
        <v>2344.5</v>
      </c>
      <c r="C2104" s="116">
        <v>2336.25</v>
      </c>
      <c r="D2104" s="116">
        <v>2302.15</v>
      </c>
      <c r="E2104" s="116">
        <v>2317.0500000000002</v>
      </c>
      <c r="F2104" s="116">
        <v>2336.25</v>
      </c>
      <c r="G2104">
        <v>10837</v>
      </c>
      <c r="H2104" s="116"/>
      <c r="I2104" s="116"/>
      <c r="L2104" s="163">
        <v>45103</v>
      </c>
      <c r="M2104" s="116">
        <v>2338.6</v>
      </c>
      <c r="N2104" s="116">
        <v>2349.4</v>
      </c>
      <c r="O2104" s="116">
        <v>2301</v>
      </c>
      <c r="P2104" s="116">
        <v>2319</v>
      </c>
      <c r="Q2104" s="116">
        <v>2338.6</v>
      </c>
      <c r="R2104">
        <v>385721</v>
      </c>
    </row>
    <row r="2105" spans="1:18" x14ac:dyDescent="0.25">
      <c r="A2105" s="163">
        <v>45104</v>
      </c>
      <c r="B2105" s="116">
        <v>2352.3000000000002</v>
      </c>
      <c r="C2105" s="116">
        <v>2307.75</v>
      </c>
      <c r="D2105" s="116">
        <v>2303</v>
      </c>
      <c r="E2105" s="116">
        <v>2338.0500000000002</v>
      </c>
      <c r="F2105" s="116">
        <v>2307.75</v>
      </c>
      <c r="G2105">
        <v>8286</v>
      </c>
      <c r="H2105" s="116"/>
      <c r="I2105" s="116"/>
      <c r="L2105" s="163">
        <v>45104</v>
      </c>
      <c r="M2105" s="116">
        <v>2308.35</v>
      </c>
      <c r="N2105" s="116">
        <v>2353.1999999999998</v>
      </c>
      <c r="O2105" s="116">
        <v>2303.65</v>
      </c>
      <c r="P2105" s="116">
        <v>2350</v>
      </c>
      <c r="Q2105" s="116">
        <v>2308.35</v>
      </c>
      <c r="R2105">
        <v>482877</v>
      </c>
    </row>
    <row r="2106" spans="1:18" x14ac:dyDescent="0.25">
      <c r="A2106" s="163">
        <v>45105</v>
      </c>
      <c r="B2106" s="116">
        <v>2331.1</v>
      </c>
      <c r="C2106" s="116">
        <v>2306.0500000000002</v>
      </c>
      <c r="D2106" s="116">
        <v>2300</v>
      </c>
      <c r="E2106" s="116">
        <v>2318.3000000000002</v>
      </c>
      <c r="F2106" s="116">
        <v>2306.0500000000002</v>
      </c>
      <c r="G2106">
        <v>9850</v>
      </c>
      <c r="H2106" s="116"/>
      <c r="I2106" s="116"/>
      <c r="L2106" s="163">
        <v>45105</v>
      </c>
      <c r="M2106" s="116">
        <v>2308.1</v>
      </c>
      <c r="N2106" s="116">
        <v>2332</v>
      </c>
      <c r="O2106" s="116">
        <v>2299</v>
      </c>
      <c r="P2106" s="116">
        <v>2320</v>
      </c>
      <c r="Q2106" s="116">
        <v>2308.1</v>
      </c>
      <c r="R2106">
        <v>527587</v>
      </c>
    </row>
    <row r="2107" spans="1:18" x14ac:dyDescent="0.25">
      <c r="A2107" s="163">
        <v>45107</v>
      </c>
      <c r="B2107" s="116">
        <v>2325.25</v>
      </c>
      <c r="C2107" s="116">
        <v>2290.25</v>
      </c>
      <c r="D2107" s="116">
        <v>2285</v>
      </c>
      <c r="E2107" s="116">
        <v>2310.0500000000002</v>
      </c>
      <c r="F2107" s="116">
        <v>2290.25</v>
      </c>
      <c r="G2107">
        <v>12134</v>
      </c>
      <c r="H2107" s="116"/>
      <c r="I2107" s="116"/>
      <c r="L2107" s="163">
        <v>45107</v>
      </c>
      <c r="M2107" s="116">
        <v>2289.4499999999998</v>
      </c>
      <c r="N2107" s="116">
        <v>2330</v>
      </c>
      <c r="O2107" s="116">
        <v>2285.1</v>
      </c>
      <c r="P2107" s="116">
        <v>2314.8000000000002</v>
      </c>
      <c r="Q2107" s="116">
        <v>2289.4499999999998</v>
      </c>
      <c r="R2107">
        <v>625027</v>
      </c>
    </row>
    <row r="2108" spans="1:18" x14ac:dyDescent="0.25">
      <c r="A2108" s="163">
        <v>45110</v>
      </c>
      <c r="B2108" s="116">
        <v>2304.6999999999998</v>
      </c>
      <c r="C2108" s="116">
        <v>2274.25</v>
      </c>
      <c r="D2108" s="116">
        <v>2265.6999999999998</v>
      </c>
      <c r="E2108" s="116">
        <v>2293.0500000000002</v>
      </c>
      <c r="F2108" s="116">
        <v>2274.25</v>
      </c>
      <c r="G2108">
        <v>40059</v>
      </c>
      <c r="H2108" s="116"/>
      <c r="I2108" s="116"/>
      <c r="L2108" s="163">
        <v>45110</v>
      </c>
      <c r="M2108" s="116">
        <v>2274.35</v>
      </c>
      <c r="N2108" s="116">
        <v>2307.85</v>
      </c>
      <c r="O2108" s="116">
        <v>2265</v>
      </c>
      <c r="P2108" s="116">
        <v>2300</v>
      </c>
      <c r="Q2108" s="116">
        <v>2274.35</v>
      </c>
      <c r="R2108">
        <v>1030599</v>
      </c>
    </row>
    <row r="2109" spans="1:18" x14ac:dyDescent="0.25">
      <c r="A2109" s="163">
        <v>45111</v>
      </c>
      <c r="B2109" s="116">
        <v>2298.6</v>
      </c>
      <c r="C2109" s="116">
        <v>2274.3000000000002</v>
      </c>
      <c r="D2109" s="116">
        <v>2272</v>
      </c>
      <c r="E2109" s="116">
        <v>2290</v>
      </c>
      <c r="F2109" s="116">
        <v>2274.3000000000002</v>
      </c>
      <c r="G2109">
        <v>10346</v>
      </c>
      <c r="H2109" s="116"/>
      <c r="I2109" s="116"/>
      <c r="L2109" s="163">
        <v>45111</v>
      </c>
      <c r="M2109" s="116">
        <v>2274.4</v>
      </c>
      <c r="N2109" s="116">
        <v>2299</v>
      </c>
      <c r="O2109" s="116">
        <v>2271.6</v>
      </c>
      <c r="P2109" s="116">
        <v>2299</v>
      </c>
      <c r="Q2109" s="116">
        <v>2274.4</v>
      </c>
      <c r="R2109">
        <v>573277</v>
      </c>
    </row>
    <row r="2110" spans="1:18" x14ac:dyDescent="0.25">
      <c r="A2110" s="163">
        <v>45112</v>
      </c>
      <c r="B2110" s="116">
        <v>2284.4499999999998</v>
      </c>
      <c r="C2110" s="116">
        <v>2224.0500000000002</v>
      </c>
      <c r="D2110" s="116">
        <v>2220</v>
      </c>
      <c r="E2110" s="116">
        <v>2275</v>
      </c>
      <c r="F2110" s="116">
        <v>2224.0500000000002</v>
      </c>
      <c r="G2110">
        <v>25662</v>
      </c>
      <c r="H2110" s="116"/>
      <c r="I2110" s="116"/>
      <c r="L2110" s="163">
        <v>45112</v>
      </c>
      <c r="M2110" s="116">
        <v>2224.65</v>
      </c>
      <c r="N2110" s="116">
        <v>2285</v>
      </c>
      <c r="O2110" s="116">
        <v>2220</v>
      </c>
      <c r="P2110" s="116">
        <v>2274.5</v>
      </c>
      <c r="Q2110" s="116">
        <v>2224.65</v>
      </c>
      <c r="R2110">
        <v>813062</v>
      </c>
    </row>
    <row r="2111" spans="1:18" x14ac:dyDescent="0.25">
      <c r="A2111" s="163">
        <v>45113</v>
      </c>
      <c r="B2111" s="116">
        <v>2282.0500000000002</v>
      </c>
      <c r="C2111" s="116">
        <v>2277.4</v>
      </c>
      <c r="D2111" s="116">
        <v>2212.1999999999998</v>
      </c>
      <c r="E2111" s="116">
        <v>2229.8000000000002</v>
      </c>
      <c r="F2111" s="116">
        <v>2277.4</v>
      </c>
      <c r="G2111">
        <v>13774</v>
      </c>
      <c r="H2111" s="116"/>
      <c r="I2111" s="116"/>
      <c r="L2111" s="163">
        <v>45113</v>
      </c>
      <c r="M2111" s="116">
        <v>2275.5</v>
      </c>
      <c r="N2111" s="116">
        <v>2281.5</v>
      </c>
      <c r="O2111" s="116">
        <v>2210.1</v>
      </c>
      <c r="P2111" s="116">
        <v>2210.1</v>
      </c>
      <c r="Q2111" s="116">
        <v>2275.5</v>
      </c>
      <c r="R2111">
        <v>747694</v>
      </c>
    </row>
    <row r="2112" spans="1:18" x14ac:dyDescent="0.25">
      <c r="A2112" s="163">
        <v>45114</v>
      </c>
      <c r="B2112" s="116">
        <v>2289</v>
      </c>
      <c r="C2112" s="116">
        <v>2223.65</v>
      </c>
      <c r="D2112" s="116">
        <v>2221</v>
      </c>
      <c r="E2112" s="116">
        <v>2280.5</v>
      </c>
      <c r="F2112" s="116">
        <v>2223.65</v>
      </c>
      <c r="G2112">
        <v>37963</v>
      </c>
      <c r="H2112" s="116"/>
      <c r="I2112" s="116"/>
      <c r="L2112" s="163">
        <v>45114</v>
      </c>
      <c r="M2112" s="116">
        <v>2223.1999999999998</v>
      </c>
      <c r="N2112" s="116">
        <v>2289.6</v>
      </c>
      <c r="O2112" s="116">
        <v>2220.25</v>
      </c>
      <c r="P2112" s="116">
        <v>2281</v>
      </c>
      <c r="Q2112" s="116">
        <v>2223.1999999999998</v>
      </c>
      <c r="R2112">
        <v>756374</v>
      </c>
    </row>
    <row r="2113" spans="1:18" x14ac:dyDescent="0.25">
      <c r="A2113" s="163">
        <v>45117</v>
      </c>
      <c r="B2113" s="116">
        <v>2219.15</v>
      </c>
      <c r="C2113" s="116">
        <v>2188.6</v>
      </c>
      <c r="D2113" s="116">
        <v>2181</v>
      </c>
      <c r="E2113" s="116">
        <v>2212.0500000000002</v>
      </c>
      <c r="F2113" s="116">
        <v>2188.6</v>
      </c>
      <c r="G2113">
        <v>39970</v>
      </c>
      <c r="H2113" s="116"/>
      <c r="I2113" s="116"/>
      <c r="L2113" s="163">
        <v>45117</v>
      </c>
      <c r="M2113" s="116">
        <v>2187.8000000000002</v>
      </c>
      <c r="N2113" s="116">
        <v>2223</v>
      </c>
      <c r="O2113" s="116">
        <v>2181</v>
      </c>
      <c r="P2113" s="116">
        <v>2223</v>
      </c>
      <c r="Q2113" s="116">
        <v>2187.8000000000002</v>
      </c>
      <c r="R2113">
        <v>885168</v>
      </c>
    </row>
    <row r="2114" spans="1:18" x14ac:dyDescent="0.25">
      <c r="A2114" s="163">
        <v>45118</v>
      </c>
      <c r="B2114" s="116">
        <v>2190</v>
      </c>
      <c r="C2114" s="116">
        <v>2175.1</v>
      </c>
      <c r="D2114" s="116">
        <v>2159.9499999999998</v>
      </c>
      <c r="E2114" s="116">
        <v>2182.85</v>
      </c>
      <c r="F2114" s="116">
        <v>2175.1</v>
      </c>
      <c r="G2114">
        <v>240917</v>
      </c>
      <c r="H2114" s="116"/>
      <c r="I2114" s="116"/>
      <c r="L2114" s="163">
        <v>45118</v>
      </c>
      <c r="M2114" s="116">
        <v>2175.35</v>
      </c>
      <c r="N2114" s="116">
        <v>2198.25</v>
      </c>
      <c r="O2114" s="116">
        <v>2158.3000000000002</v>
      </c>
      <c r="P2114" s="116">
        <v>2190</v>
      </c>
      <c r="Q2114" s="116">
        <v>2175.35</v>
      </c>
      <c r="R2114">
        <v>702317</v>
      </c>
    </row>
    <row r="2115" spans="1:18" x14ac:dyDescent="0.25">
      <c r="A2115" s="163">
        <v>45119</v>
      </c>
      <c r="B2115" s="116">
        <v>2216.0500000000002</v>
      </c>
      <c r="C2115" s="116">
        <v>2210.8000000000002</v>
      </c>
      <c r="D2115" s="116">
        <v>2155</v>
      </c>
      <c r="E2115" s="116">
        <v>2184.85</v>
      </c>
      <c r="F2115" s="116">
        <v>2210.8000000000002</v>
      </c>
      <c r="G2115">
        <v>17901</v>
      </c>
      <c r="H2115" s="116"/>
      <c r="I2115" s="116"/>
      <c r="L2115" s="163">
        <v>45119</v>
      </c>
      <c r="M2115" s="116">
        <v>2210.1999999999998</v>
      </c>
      <c r="N2115" s="116">
        <v>2214.85</v>
      </c>
      <c r="O2115" s="116">
        <v>2154.5500000000002</v>
      </c>
      <c r="P2115" s="116">
        <v>2185</v>
      </c>
      <c r="Q2115" s="116">
        <v>2210.1999999999998</v>
      </c>
      <c r="R2115">
        <v>1015129</v>
      </c>
    </row>
    <row r="2116" spans="1:18" x14ac:dyDescent="0.25">
      <c r="A2116" s="163">
        <v>45120</v>
      </c>
      <c r="B2116" s="116">
        <v>2229.6999999999998</v>
      </c>
      <c r="C2116" s="116">
        <v>2173.8000000000002</v>
      </c>
      <c r="D2116" s="116">
        <v>2159.65</v>
      </c>
      <c r="E2116" s="116">
        <v>2217.0500000000002</v>
      </c>
      <c r="F2116" s="116">
        <v>2173.8000000000002</v>
      </c>
      <c r="G2116">
        <v>52096</v>
      </c>
      <c r="H2116" s="116"/>
      <c r="I2116" s="116"/>
      <c r="L2116" s="163">
        <v>45120</v>
      </c>
      <c r="M2116" s="116">
        <v>2173.4499999999998</v>
      </c>
      <c r="N2116" s="116">
        <v>2230.8000000000002</v>
      </c>
      <c r="O2116" s="116">
        <v>2160</v>
      </c>
      <c r="P2116" s="116">
        <v>2230.8000000000002</v>
      </c>
      <c r="Q2116" s="116">
        <v>2173.4499999999998</v>
      </c>
      <c r="R2116">
        <v>1174350</v>
      </c>
    </row>
    <row r="2117" spans="1:18" x14ac:dyDescent="0.25">
      <c r="A2117" s="163">
        <v>45121</v>
      </c>
      <c r="B2117" s="116">
        <v>2206.4</v>
      </c>
      <c r="C2117" s="116">
        <v>2187.15</v>
      </c>
      <c r="D2117" s="116">
        <v>2178.6999999999998</v>
      </c>
      <c r="E2117" s="116">
        <v>2196.9499999999998</v>
      </c>
      <c r="F2117" s="116">
        <v>2187.15</v>
      </c>
      <c r="G2117">
        <v>40005</v>
      </c>
      <c r="H2117" s="116"/>
      <c r="I2117" s="116"/>
      <c r="L2117" s="163">
        <v>45121</v>
      </c>
      <c r="M2117" s="116">
        <v>2187.5</v>
      </c>
      <c r="N2117" s="116">
        <v>2206.8000000000002</v>
      </c>
      <c r="O2117" s="116">
        <v>2178.0500000000002</v>
      </c>
      <c r="P2117" s="116">
        <v>2188</v>
      </c>
      <c r="Q2117" s="116">
        <v>2187.5</v>
      </c>
      <c r="R2117">
        <v>833850</v>
      </c>
    </row>
    <row r="2118" spans="1:18" x14ac:dyDescent="0.25">
      <c r="A2118" s="163">
        <v>45124</v>
      </c>
      <c r="B2118" s="116">
        <v>2244.5500000000002</v>
      </c>
      <c r="C2118" s="116">
        <v>2239.6999999999998</v>
      </c>
      <c r="D2118" s="116">
        <v>2193.9499999999998</v>
      </c>
      <c r="E2118" s="116">
        <v>2196.0500000000002</v>
      </c>
      <c r="F2118" s="116">
        <v>2239.6999999999998</v>
      </c>
      <c r="G2118">
        <v>14080</v>
      </c>
      <c r="H2118" s="116"/>
      <c r="I2118" s="116"/>
      <c r="L2118" s="163">
        <v>45124</v>
      </c>
      <c r="M2118" s="116">
        <v>2239.15</v>
      </c>
      <c r="N2118" s="116">
        <v>2245</v>
      </c>
      <c r="O2118" s="116">
        <v>2192.1999999999998</v>
      </c>
      <c r="P2118" s="116">
        <v>2200.9</v>
      </c>
      <c r="Q2118" s="116">
        <v>2239.15</v>
      </c>
      <c r="R2118">
        <v>908206</v>
      </c>
    </row>
    <row r="2119" spans="1:18" x14ac:dyDescent="0.25">
      <c r="A2119" s="163">
        <v>45125</v>
      </c>
      <c r="B2119" s="116">
        <v>2259.9499999999998</v>
      </c>
      <c r="C2119" s="116">
        <v>2225.75</v>
      </c>
      <c r="D2119" s="116">
        <v>2219</v>
      </c>
      <c r="E2119" s="116">
        <v>2259.9499999999998</v>
      </c>
      <c r="F2119" s="116">
        <v>2225.75</v>
      </c>
      <c r="G2119">
        <v>25593</v>
      </c>
      <c r="H2119" s="116"/>
      <c r="I2119" s="116"/>
      <c r="L2119" s="163">
        <v>45125</v>
      </c>
      <c r="M2119" s="116">
        <v>2226</v>
      </c>
      <c r="N2119" s="116">
        <v>2254.1999999999998</v>
      </c>
      <c r="O2119" s="116">
        <v>2217.5500000000002</v>
      </c>
      <c r="P2119" s="116">
        <v>2248.6999999999998</v>
      </c>
      <c r="Q2119" s="116">
        <v>2226</v>
      </c>
      <c r="R2119">
        <v>502144</v>
      </c>
    </row>
    <row r="2120" spans="1:18" x14ac:dyDescent="0.25">
      <c r="A2120" s="163">
        <v>45126</v>
      </c>
      <c r="B2120" s="116">
        <v>2250</v>
      </c>
      <c r="C2120" s="116">
        <v>2243.3000000000002</v>
      </c>
      <c r="D2120" s="116">
        <v>2218.0500000000002</v>
      </c>
      <c r="E2120" s="116">
        <v>2218.0500000000002</v>
      </c>
      <c r="F2120" s="116">
        <v>2243.3000000000002</v>
      </c>
      <c r="G2120">
        <v>6397</v>
      </c>
      <c r="H2120" s="116"/>
      <c r="I2120" s="116"/>
      <c r="L2120" s="163">
        <v>45126</v>
      </c>
      <c r="M2120" s="116">
        <v>2241.25</v>
      </c>
      <c r="N2120" s="116">
        <v>2250</v>
      </c>
      <c r="O2120" s="116">
        <v>2220.0500000000002</v>
      </c>
      <c r="P2120" s="116">
        <v>2226</v>
      </c>
      <c r="Q2120" s="116">
        <v>2241.25</v>
      </c>
      <c r="R2120">
        <v>366692</v>
      </c>
    </row>
    <row r="2121" spans="1:18" x14ac:dyDescent="0.25">
      <c r="A2121" s="163">
        <v>45127</v>
      </c>
      <c r="B2121" s="116">
        <v>2259</v>
      </c>
      <c r="C2121" s="116">
        <v>2242.1999999999998</v>
      </c>
      <c r="D2121" s="116">
        <v>2236.15</v>
      </c>
      <c r="E2121" s="116">
        <v>2250</v>
      </c>
      <c r="F2121" s="116">
        <v>2242.1999999999998</v>
      </c>
      <c r="G2121">
        <v>27864</v>
      </c>
      <c r="H2121" s="116"/>
      <c r="I2121" s="116"/>
      <c r="L2121" s="163">
        <v>45127</v>
      </c>
      <c r="M2121" s="116">
        <v>2242.6</v>
      </c>
      <c r="N2121" s="116">
        <v>2259.9499999999998</v>
      </c>
      <c r="O2121" s="116">
        <v>2236.0500000000002</v>
      </c>
      <c r="P2121" s="116">
        <v>2255</v>
      </c>
      <c r="Q2121" s="116">
        <v>2242.6</v>
      </c>
      <c r="R2121">
        <v>356230</v>
      </c>
    </row>
    <row r="2122" spans="1:18" x14ac:dyDescent="0.25">
      <c r="A2122" s="163">
        <v>45128</v>
      </c>
      <c r="B2122" s="116">
        <v>2249.9</v>
      </c>
      <c r="C2122" s="116">
        <v>2214</v>
      </c>
      <c r="D2122" s="116">
        <v>2195</v>
      </c>
      <c r="E2122" s="116">
        <v>2211.9499999999998</v>
      </c>
      <c r="F2122" s="116">
        <v>2214</v>
      </c>
      <c r="G2122">
        <v>14369</v>
      </c>
      <c r="H2122" s="116"/>
      <c r="I2122" s="116"/>
      <c r="L2122" s="163">
        <v>45128</v>
      </c>
      <c r="M2122" s="116">
        <v>2212.75</v>
      </c>
      <c r="N2122" s="116">
        <v>2249</v>
      </c>
      <c r="O2122" s="116">
        <v>2194</v>
      </c>
      <c r="P2122" s="116">
        <v>2226.85</v>
      </c>
      <c r="Q2122" s="116">
        <v>2212.75</v>
      </c>
      <c r="R2122">
        <v>503609</v>
      </c>
    </row>
    <row r="2123" spans="1:18" x14ac:dyDescent="0.25">
      <c r="A2123" s="163">
        <v>45131</v>
      </c>
      <c r="B2123" s="116">
        <v>2234.9499999999998</v>
      </c>
      <c r="C2123" s="116">
        <v>2144.1999999999998</v>
      </c>
      <c r="D2123" s="116">
        <v>2129.4499999999998</v>
      </c>
      <c r="E2123" s="116">
        <v>2234.9499999999998</v>
      </c>
      <c r="F2123" s="116">
        <v>2144.1999999999998</v>
      </c>
      <c r="G2123">
        <v>98306</v>
      </c>
      <c r="H2123" s="116"/>
      <c r="I2123" s="116"/>
      <c r="L2123" s="163">
        <v>45131</v>
      </c>
      <c r="M2123" s="116">
        <v>2144.35</v>
      </c>
      <c r="N2123" s="116">
        <v>2230.25</v>
      </c>
      <c r="O2123" s="116">
        <v>2131.3000000000002</v>
      </c>
      <c r="P2123" s="116">
        <v>2228.0500000000002</v>
      </c>
      <c r="Q2123" s="116">
        <v>2144.35</v>
      </c>
      <c r="R2123">
        <v>1884393</v>
      </c>
    </row>
    <row r="2124" spans="1:18" x14ac:dyDescent="0.25">
      <c r="A2124" s="163">
        <v>45132</v>
      </c>
      <c r="B2124" s="116">
        <v>2183.8000000000002</v>
      </c>
      <c r="C2124" s="116">
        <v>2163.1</v>
      </c>
      <c r="D2124" s="116">
        <v>2050</v>
      </c>
      <c r="E2124" s="116">
        <v>2069.9499999999998</v>
      </c>
      <c r="F2124" s="116">
        <v>2163.1</v>
      </c>
      <c r="G2124">
        <v>63817</v>
      </c>
      <c r="H2124" s="116"/>
      <c r="I2124" s="116"/>
      <c r="L2124" s="163">
        <v>45132</v>
      </c>
      <c r="M2124" s="116">
        <v>2164.1</v>
      </c>
      <c r="N2124" s="116">
        <v>2183</v>
      </c>
      <c r="O2124" s="116">
        <v>2040</v>
      </c>
      <c r="P2124" s="116">
        <v>2059</v>
      </c>
      <c r="Q2124" s="116">
        <v>2164.1</v>
      </c>
      <c r="R2124">
        <v>2524900</v>
      </c>
    </row>
    <row r="2125" spans="1:18" x14ac:dyDescent="0.25">
      <c r="A2125" s="163">
        <v>45133</v>
      </c>
      <c r="B2125" s="116">
        <v>2162.65</v>
      </c>
      <c r="C2125" s="116">
        <v>2145.0500000000002</v>
      </c>
      <c r="D2125" s="116">
        <v>2110.6999999999998</v>
      </c>
      <c r="E2125" s="116">
        <v>2144.1999999999998</v>
      </c>
      <c r="F2125" s="116">
        <v>2145.0500000000002</v>
      </c>
      <c r="G2125">
        <v>121513</v>
      </c>
      <c r="H2125" s="116"/>
      <c r="I2125" s="116"/>
      <c r="L2125" s="163">
        <v>45133</v>
      </c>
      <c r="M2125" s="116">
        <v>2144.3000000000002</v>
      </c>
      <c r="N2125" s="116">
        <v>2162</v>
      </c>
      <c r="O2125" s="116">
        <v>2110</v>
      </c>
      <c r="P2125" s="116">
        <v>2148</v>
      </c>
      <c r="Q2125" s="116">
        <v>2144.3000000000002</v>
      </c>
      <c r="R2125">
        <v>1695840</v>
      </c>
    </row>
    <row r="2126" spans="1:18" x14ac:dyDescent="0.25">
      <c r="A2126" s="163">
        <v>45134</v>
      </c>
      <c r="B2126" s="116">
        <v>2169</v>
      </c>
      <c r="C2126" s="116">
        <v>2162.3000000000002</v>
      </c>
      <c r="D2126" s="116">
        <v>2140.0500000000002</v>
      </c>
      <c r="E2126" s="116">
        <v>2150.5500000000002</v>
      </c>
      <c r="F2126" s="116">
        <v>2162.3000000000002</v>
      </c>
      <c r="G2126">
        <v>45422</v>
      </c>
      <c r="H2126" s="116"/>
      <c r="I2126" s="116"/>
      <c r="L2126" s="163">
        <v>45134</v>
      </c>
      <c r="M2126" s="116">
        <v>2162.15</v>
      </c>
      <c r="N2126" s="116">
        <v>2168.5</v>
      </c>
      <c r="O2126" s="116">
        <v>2140.0500000000002</v>
      </c>
      <c r="P2126" s="116">
        <v>2156.8000000000002</v>
      </c>
      <c r="Q2126" s="116">
        <v>2162.15</v>
      </c>
      <c r="R2126">
        <v>1194705</v>
      </c>
    </row>
    <row r="2127" spans="1:18" x14ac:dyDescent="0.25">
      <c r="A2127" s="163">
        <v>45135</v>
      </c>
      <c r="B2127" s="116">
        <v>2187</v>
      </c>
      <c r="C2127" s="116">
        <v>2169.75</v>
      </c>
      <c r="D2127" s="116">
        <v>2155.6</v>
      </c>
      <c r="E2127" s="116">
        <v>2178.85</v>
      </c>
      <c r="F2127" s="116">
        <v>2169.75</v>
      </c>
      <c r="G2127">
        <v>28613</v>
      </c>
      <c r="H2127" s="116"/>
      <c r="I2127" s="116"/>
      <c r="L2127" s="163">
        <v>45135</v>
      </c>
      <c r="M2127" s="116">
        <v>2170.1</v>
      </c>
      <c r="N2127" s="116">
        <v>2187.9</v>
      </c>
      <c r="O2127" s="116">
        <v>2155</v>
      </c>
      <c r="P2127" s="116">
        <v>2173.65</v>
      </c>
      <c r="Q2127" s="116">
        <v>2170.1</v>
      </c>
      <c r="R2127">
        <v>370186</v>
      </c>
    </row>
    <row r="2128" spans="1:18" x14ac:dyDescent="0.25">
      <c r="A2128" s="163">
        <v>45138</v>
      </c>
      <c r="B2128" s="116">
        <v>2189.5</v>
      </c>
      <c r="C2128" s="116">
        <v>2169.65</v>
      </c>
      <c r="D2128" s="116">
        <v>2161.85</v>
      </c>
      <c r="E2128" s="116">
        <v>2189.5</v>
      </c>
      <c r="F2128" s="116">
        <v>2169.65</v>
      </c>
      <c r="G2128">
        <v>12338</v>
      </c>
      <c r="H2128" s="116"/>
      <c r="I2128" s="116"/>
      <c r="L2128" s="163">
        <v>45138</v>
      </c>
      <c r="M2128" s="116">
        <v>2170.5500000000002</v>
      </c>
      <c r="N2128" s="116">
        <v>2187.9</v>
      </c>
      <c r="O2128" s="116">
        <v>2160.9</v>
      </c>
      <c r="P2128" s="116">
        <v>2182.65</v>
      </c>
      <c r="Q2128" s="116">
        <v>2170.5500000000002</v>
      </c>
      <c r="R2128">
        <v>577609</v>
      </c>
    </row>
    <row r="2129" spans="1:18" x14ac:dyDescent="0.25">
      <c r="A2129" s="163">
        <v>45139</v>
      </c>
      <c r="B2129" s="116">
        <v>2259</v>
      </c>
      <c r="C2129" s="116">
        <v>2251.4</v>
      </c>
      <c r="D2129" s="116">
        <v>2167.6999999999998</v>
      </c>
      <c r="E2129" s="116">
        <v>2185</v>
      </c>
      <c r="F2129" s="116">
        <v>2251.4</v>
      </c>
      <c r="G2129">
        <v>29072</v>
      </c>
      <c r="H2129" s="116"/>
      <c r="I2129" s="116"/>
      <c r="L2129" s="163">
        <v>45139</v>
      </c>
      <c r="M2129" s="116">
        <v>2251.1</v>
      </c>
      <c r="N2129" s="116">
        <v>2258.85</v>
      </c>
      <c r="O2129" s="116">
        <v>2168</v>
      </c>
      <c r="P2129" s="116">
        <v>2183</v>
      </c>
      <c r="Q2129" s="116">
        <v>2251.1</v>
      </c>
      <c r="R2129">
        <v>1623153</v>
      </c>
    </row>
    <row r="2130" spans="1:18" x14ac:dyDescent="0.25">
      <c r="A2130" s="163">
        <v>45140</v>
      </c>
      <c r="B2130" s="116">
        <v>2292</v>
      </c>
      <c r="C2130" s="116">
        <v>2265.1999999999998</v>
      </c>
      <c r="D2130" s="116">
        <v>2231.9</v>
      </c>
      <c r="E2130" s="116">
        <v>2249.0500000000002</v>
      </c>
      <c r="F2130" s="116">
        <v>2265.1999999999998</v>
      </c>
      <c r="G2130">
        <v>94086</v>
      </c>
      <c r="H2130" s="116"/>
      <c r="I2130" s="116"/>
      <c r="L2130" s="163">
        <v>45140</v>
      </c>
      <c r="M2130" s="116">
        <v>2265.4</v>
      </c>
      <c r="N2130" s="116">
        <v>2292</v>
      </c>
      <c r="O2130" s="116">
        <v>2233</v>
      </c>
      <c r="P2130" s="116">
        <v>2253</v>
      </c>
      <c r="Q2130" s="116">
        <v>2265.4</v>
      </c>
      <c r="R2130">
        <v>1539747</v>
      </c>
    </row>
    <row r="2131" spans="1:18" x14ac:dyDescent="0.25">
      <c r="A2131" s="163">
        <v>45141</v>
      </c>
      <c r="B2131" s="116">
        <v>2271.0500000000002</v>
      </c>
      <c r="C2131" s="116">
        <v>2262.1999999999998</v>
      </c>
      <c r="D2131" s="116">
        <v>2247.0500000000002</v>
      </c>
      <c r="E2131" s="116">
        <v>2265.1999999999998</v>
      </c>
      <c r="F2131" s="116">
        <v>2262.1999999999998</v>
      </c>
      <c r="G2131">
        <v>8357</v>
      </c>
      <c r="H2131" s="116"/>
      <c r="I2131" s="116"/>
      <c r="L2131" s="163">
        <v>45141</v>
      </c>
      <c r="M2131" s="116">
        <v>2261.1</v>
      </c>
      <c r="N2131" s="116">
        <v>2275</v>
      </c>
      <c r="O2131" s="116">
        <v>2246.65</v>
      </c>
      <c r="P2131" s="116">
        <v>2275</v>
      </c>
      <c r="Q2131" s="116">
        <v>2261.1</v>
      </c>
      <c r="R2131">
        <v>403126</v>
      </c>
    </row>
    <row r="2132" spans="1:18" x14ac:dyDescent="0.25">
      <c r="A2132" s="163">
        <v>45142</v>
      </c>
      <c r="B2132" s="116">
        <v>2280</v>
      </c>
      <c r="C2132" s="116">
        <v>2266.5500000000002</v>
      </c>
      <c r="D2132" s="116">
        <v>2259.9499999999998</v>
      </c>
      <c r="E2132" s="116">
        <v>2264</v>
      </c>
      <c r="F2132" s="116">
        <v>2266.5500000000002</v>
      </c>
      <c r="G2132">
        <v>25378</v>
      </c>
      <c r="H2132" s="116"/>
      <c r="I2132" s="116"/>
      <c r="L2132" s="163">
        <v>45142</v>
      </c>
      <c r="M2132" s="116">
        <v>2266.8000000000002</v>
      </c>
      <c r="N2132" s="116">
        <v>2280</v>
      </c>
      <c r="O2132" s="116">
        <v>2260</v>
      </c>
      <c r="P2132" s="116">
        <v>2265</v>
      </c>
      <c r="Q2132" s="116">
        <v>2266.8000000000002</v>
      </c>
      <c r="R2132">
        <v>305218</v>
      </c>
    </row>
    <row r="2133" spans="1:18" x14ac:dyDescent="0.25">
      <c r="A2133" s="163">
        <v>45145</v>
      </c>
      <c r="B2133" s="116">
        <v>2295.4</v>
      </c>
      <c r="C2133" s="116">
        <v>2284.4499999999998</v>
      </c>
      <c r="D2133" s="116">
        <v>2265</v>
      </c>
      <c r="E2133" s="116">
        <v>2279.9499999999998</v>
      </c>
      <c r="F2133" s="116">
        <v>2284.4499999999998</v>
      </c>
      <c r="G2133">
        <v>11030</v>
      </c>
      <c r="H2133" s="116"/>
      <c r="I2133" s="116"/>
      <c r="L2133" s="163">
        <v>45145</v>
      </c>
      <c r="M2133" s="116">
        <v>2284.15</v>
      </c>
      <c r="N2133" s="116">
        <v>2295</v>
      </c>
      <c r="O2133" s="116">
        <v>2262.25</v>
      </c>
      <c r="P2133" s="116">
        <v>2276</v>
      </c>
      <c r="Q2133" s="116">
        <v>2284.15</v>
      </c>
      <c r="R2133">
        <v>454625</v>
      </c>
    </row>
    <row r="2134" spans="1:18" x14ac:dyDescent="0.25">
      <c r="A2134" s="163">
        <v>45146</v>
      </c>
      <c r="B2134" s="116">
        <v>2286.65</v>
      </c>
      <c r="C2134" s="116">
        <v>2277.15</v>
      </c>
      <c r="D2134" s="116">
        <v>2258.5500000000002</v>
      </c>
      <c r="E2134" s="116">
        <v>2268.0500000000002</v>
      </c>
      <c r="F2134" s="116">
        <v>2277.15</v>
      </c>
      <c r="G2134">
        <v>28317</v>
      </c>
      <c r="H2134" s="116"/>
      <c r="I2134" s="116"/>
      <c r="L2134" s="163">
        <v>45146</v>
      </c>
      <c r="M2134" s="116">
        <v>2277.9499999999998</v>
      </c>
      <c r="N2134" s="116">
        <v>2294.5</v>
      </c>
      <c r="O2134" s="116">
        <v>2257.6999999999998</v>
      </c>
      <c r="P2134" s="116">
        <v>2294.5</v>
      </c>
      <c r="Q2134" s="116">
        <v>2277.9499999999998</v>
      </c>
      <c r="R2134">
        <v>551151</v>
      </c>
    </row>
    <row r="2135" spans="1:18" x14ac:dyDescent="0.25">
      <c r="A2135" s="163">
        <v>45147</v>
      </c>
      <c r="B2135" s="116">
        <v>2312.0500000000002</v>
      </c>
      <c r="C2135" s="116">
        <v>2298.6999999999998</v>
      </c>
      <c r="D2135" s="116">
        <v>2260.0500000000002</v>
      </c>
      <c r="E2135" s="116">
        <v>2260.0500000000002</v>
      </c>
      <c r="F2135" s="116">
        <v>2298.6999999999998</v>
      </c>
      <c r="G2135">
        <v>13152</v>
      </c>
      <c r="H2135" s="116"/>
      <c r="I2135" s="116"/>
      <c r="L2135" s="163">
        <v>45147</v>
      </c>
      <c r="M2135" s="116">
        <v>2299.6999999999998</v>
      </c>
      <c r="N2135" s="116">
        <v>2312.8000000000002</v>
      </c>
      <c r="O2135" s="116">
        <v>2266.0500000000002</v>
      </c>
      <c r="P2135" s="116">
        <v>2280</v>
      </c>
      <c r="Q2135" s="116">
        <v>2299.6999999999998</v>
      </c>
      <c r="R2135">
        <v>404765</v>
      </c>
    </row>
    <row r="2136" spans="1:18" x14ac:dyDescent="0.25">
      <c r="A2136" s="163">
        <v>45148</v>
      </c>
      <c r="B2136" s="116">
        <v>2312.5</v>
      </c>
      <c r="C2136" s="116">
        <v>2293.0500000000002</v>
      </c>
      <c r="D2136" s="116">
        <v>2290</v>
      </c>
      <c r="E2136" s="116">
        <v>2309.6</v>
      </c>
      <c r="F2136" s="116">
        <v>2293.0500000000002</v>
      </c>
      <c r="G2136">
        <v>6679</v>
      </c>
      <c r="H2136" s="116"/>
      <c r="I2136" s="116"/>
      <c r="L2136" s="163">
        <v>45148</v>
      </c>
      <c r="M2136" s="116">
        <v>2294.25</v>
      </c>
      <c r="N2136" s="116">
        <v>2312</v>
      </c>
      <c r="O2136" s="116">
        <v>2288.5</v>
      </c>
      <c r="P2136" s="116">
        <v>2307</v>
      </c>
      <c r="Q2136" s="116">
        <v>2294.25</v>
      </c>
      <c r="R2136">
        <v>597471</v>
      </c>
    </row>
    <row r="2137" spans="1:18" x14ac:dyDescent="0.25">
      <c r="A2137" s="163">
        <v>45149</v>
      </c>
      <c r="B2137" s="116">
        <v>2314.6999999999998</v>
      </c>
      <c r="C2137" s="116">
        <v>2297.8000000000002</v>
      </c>
      <c r="D2137" s="116">
        <v>2262.65</v>
      </c>
      <c r="E2137" s="116">
        <v>2293.1</v>
      </c>
      <c r="F2137" s="116">
        <v>2297.8000000000002</v>
      </c>
      <c r="G2137">
        <v>17030</v>
      </c>
      <c r="H2137" s="116"/>
      <c r="I2137" s="116"/>
      <c r="L2137" s="163">
        <v>45149</v>
      </c>
      <c r="M2137" s="116">
        <v>2295.6999999999998</v>
      </c>
      <c r="N2137" s="116">
        <v>2314</v>
      </c>
      <c r="O2137" s="116">
        <v>2263.0500000000002</v>
      </c>
      <c r="P2137" s="116">
        <v>2294.25</v>
      </c>
      <c r="Q2137" s="116">
        <v>2295.6999999999998</v>
      </c>
      <c r="R2137">
        <v>414625</v>
      </c>
    </row>
    <row r="2138" spans="1:18" x14ac:dyDescent="0.25">
      <c r="A2138" s="163">
        <v>45152</v>
      </c>
      <c r="B2138" s="116">
        <v>2296.9</v>
      </c>
      <c r="C2138" s="116">
        <v>2292.25</v>
      </c>
      <c r="D2138" s="116">
        <v>2263.9</v>
      </c>
      <c r="E2138" s="116">
        <v>2284.0500000000002</v>
      </c>
      <c r="F2138" s="116">
        <v>2292.25</v>
      </c>
      <c r="G2138">
        <v>21564</v>
      </c>
      <c r="H2138" s="116"/>
      <c r="I2138" s="116"/>
      <c r="L2138" s="163">
        <v>45152</v>
      </c>
      <c r="M2138" s="116">
        <v>2292.1</v>
      </c>
      <c r="N2138" s="116">
        <v>2296.5</v>
      </c>
      <c r="O2138" s="116">
        <v>2264.15</v>
      </c>
      <c r="P2138" s="116">
        <v>2295</v>
      </c>
      <c r="Q2138" s="116">
        <v>2292.1</v>
      </c>
      <c r="R2138">
        <v>253654</v>
      </c>
    </row>
    <row r="2139" spans="1:18" x14ac:dyDescent="0.25">
      <c r="A2139" s="163">
        <v>45154</v>
      </c>
      <c r="B2139" s="116">
        <v>2305</v>
      </c>
      <c r="C2139" s="116">
        <v>2300.9499999999998</v>
      </c>
      <c r="D2139" s="116">
        <v>2259.6</v>
      </c>
      <c r="E2139" s="116">
        <v>2269</v>
      </c>
      <c r="F2139" s="116">
        <v>2300.9499999999998</v>
      </c>
      <c r="G2139">
        <v>26573</v>
      </c>
      <c r="H2139" s="116"/>
      <c r="I2139" s="116"/>
      <c r="L2139" s="163">
        <v>45154</v>
      </c>
      <c r="M2139" s="116">
        <v>2301.65</v>
      </c>
      <c r="N2139" s="116">
        <v>2305.5500000000002</v>
      </c>
      <c r="O2139" s="116">
        <v>2260.1</v>
      </c>
      <c r="P2139" s="116">
        <v>2280</v>
      </c>
      <c r="Q2139" s="116">
        <v>2301.65</v>
      </c>
      <c r="R2139">
        <v>389707</v>
      </c>
    </row>
    <row r="2140" spans="1:18" x14ac:dyDescent="0.25">
      <c r="A2140" s="163">
        <v>45155</v>
      </c>
      <c r="B2140" s="116">
        <v>2312.9499999999998</v>
      </c>
      <c r="C2140" s="116">
        <v>2294.5500000000002</v>
      </c>
      <c r="D2140" s="116">
        <v>2288.9</v>
      </c>
      <c r="E2140" s="116">
        <v>2301</v>
      </c>
      <c r="F2140" s="116">
        <v>2294.5500000000002</v>
      </c>
      <c r="G2140">
        <v>6214</v>
      </c>
      <c r="H2140" s="116"/>
      <c r="I2140" s="116"/>
      <c r="L2140" s="163">
        <v>45155</v>
      </c>
      <c r="M2140" s="116">
        <v>2295.65</v>
      </c>
      <c r="N2140" s="116">
        <v>2313.6999999999998</v>
      </c>
      <c r="O2140" s="116">
        <v>2287</v>
      </c>
      <c r="P2140" s="116">
        <v>2305</v>
      </c>
      <c r="Q2140" s="116">
        <v>2295.65</v>
      </c>
      <c r="R2140">
        <v>258200</v>
      </c>
    </row>
    <row r="2141" spans="1:18" x14ac:dyDescent="0.25">
      <c r="A2141" s="163">
        <v>45156</v>
      </c>
      <c r="B2141" s="116">
        <v>2295.65</v>
      </c>
      <c r="C2141" s="116">
        <v>2275.75</v>
      </c>
      <c r="D2141" s="116">
        <v>2268.35</v>
      </c>
      <c r="E2141" s="116">
        <v>2294.5500000000002</v>
      </c>
      <c r="F2141" s="116">
        <v>2275.75</v>
      </c>
      <c r="G2141">
        <v>7638</v>
      </c>
      <c r="H2141" s="116"/>
      <c r="I2141" s="116"/>
      <c r="L2141" s="163">
        <v>45156</v>
      </c>
      <c r="M2141" s="116">
        <v>2277.8000000000002</v>
      </c>
      <c r="N2141" s="116">
        <v>2297.5</v>
      </c>
      <c r="O2141" s="116">
        <v>2269</v>
      </c>
      <c r="P2141" s="116">
        <v>2295</v>
      </c>
      <c r="Q2141" s="116">
        <v>2277.8000000000002</v>
      </c>
      <c r="R2141">
        <v>306479</v>
      </c>
    </row>
    <row r="2142" spans="1:18" x14ac:dyDescent="0.25">
      <c r="A2142" s="163">
        <v>45159</v>
      </c>
      <c r="B2142" s="116">
        <v>2306.85</v>
      </c>
      <c r="C2142" s="116">
        <v>2301.3000000000002</v>
      </c>
      <c r="D2142" s="116">
        <v>2275</v>
      </c>
      <c r="E2142" s="116">
        <v>2275.0500000000002</v>
      </c>
      <c r="F2142" s="116">
        <v>2301.3000000000002</v>
      </c>
      <c r="G2142">
        <v>7299</v>
      </c>
      <c r="H2142" s="116"/>
      <c r="I2142" s="116"/>
      <c r="L2142" s="163">
        <v>45159</v>
      </c>
      <c r="M2142" s="116">
        <v>2301.4499999999998</v>
      </c>
      <c r="N2142" s="116">
        <v>2307.35</v>
      </c>
      <c r="O2142" s="116">
        <v>2275</v>
      </c>
      <c r="P2142" s="116">
        <v>2277.8000000000002</v>
      </c>
      <c r="Q2142" s="116">
        <v>2301.4499999999998</v>
      </c>
      <c r="R2142">
        <v>257609</v>
      </c>
    </row>
    <row r="2143" spans="1:18" x14ac:dyDescent="0.25">
      <c r="A2143" s="163">
        <v>45160</v>
      </c>
      <c r="B2143" s="116">
        <v>2317.4499999999998</v>
      </c>
      <c r="C2143" s="116">
        <v>2300.6</v>
      </c>
      <c r="D2143" s="116">
        <v>2293</v>
      </c>
      <c r="E2143" s="116">
        <v>2317.4499999999998</v>
      </c>
      <c r="F2143" s="116">
        <v>2300.6</v>
      </c>
      <c r="G2143">
        <v>4265</v>
      </c>
      <c r="H2143" s="116"/>
      <c r="I2143" s="116"/>
      <c r="L2143" s="163">
        <v>45160</v>
      </c>
      <c r="M2143" s="116">
        <v>2300.75</v>
      </c>
      <c r="N2143" s="116">
        <v>2323</v>
      </c>
      <c r="O2143" s="116">
        <v>2291.9499999999998</v>
      </c>
      <c r="P2143" s="116">
        <v>2305</v>
      </c>
      <c r="Q2143" s="116">
        <v>2300.75</v>
      </c>
      <c r="R2143">
        <v>180191</v>
      </c>
    </row>
    <row r="2144" spans="1:18" x14ac:dyDescent="0.25">
      <c r="A2144" s="163">
        <v>45161</v>
      </c>
      <c r="B2144" s="116">
        <v>2332</v>
      </c>
      <c r="C2144" s="116">
        <v>2312.1</v>
      </c>
      <c r="D2144" s="116">
        <v>2285.15</v>
      </c>
      <c r="E2144" s="116">
        <v>2285.15</v>
      </c>
      <c r="F2144" s="116">
        <v>2312.1</v>
      </c>
      <c r="G2144">
        <v>9666</v>
      </c>
      <c r="H2144" s="116"/>
      <c r="I2144" s="116"/>
      <c r="L2144" s="163">
        <v>45161</v>
      </c>
      <c r="M2144" s="116">
        <v>2310.8000000000002</v>
      </c>
      <c r="N2144" s="116">
        <v>2333</v>
      </c>
      <c r="O2144" s="116">
        <v>2296.1999999999998</v>
      </c>
      <c r="P2144" s="116">
        <v>2297</v>
      </c>
      <c r="Q2144" s="116">
        <v>2310.8000000000002</v>
      </c>
      <c r="R2144">
        <v>420237</v>
      </c>
    </row>
    <row r="2145" spans="1:18" x14ac:dyDescent="0.25">
      <c r="A2145" s="163">
        <v>45162</v>
      </c>
      <c r="B2145" s="116">
        <v>2334</v>
      </c>
      <c r="C2145" s="116">
        <v>2309.6</v>
      </c>
      <c r="D2145" s="116">
        <v>2304.35</v>
      </c>
      <c r="E2145" s="116">
        <v>2320</v>
      </c>
      <c r="F2145" s="116">
        <v>2309.6</v>
      </c>
      <c r="G2145">
        <v>16081</v>
      </c>
      <c r="H2145" s="116"/>
      <c r="I2145" s="116"/>
      <c r="L2145" s="163">
        <v>45162</v>
      </c>
      <c r="M2145" s="116">
        <v>2310.0500000000002</v>
      </c>
      <c r="N2145" s="116">
        <v>2334</v>
      </c>
      <c r="O2145" s="116">
        <v>2305.1999999999998</v>
      </c>
      <c r="P2145" s="116">
        <v>2318</v>
      </c>
      <c r="Q2145" s="116">
        <v>2310.0500000000002</v>
      </c>
      <c r="R2145">
        <v>345769</v>
      </c>
    </row>
    <row r="2146" spans="1:18" x14ac:dyDescent="0.25">
      <c r="A2146" s="163">
        <v>45163</v>
      </c>
      <c r="B2146" s="116">
        <v>2319.6999999999998</v>
      </c>
      <c r="C2146" s="116">
        <v>2311.15</v>
      </c>
      <c r="D2146" s="116">
        <v>2294.5</v>
      </c>
      <c r="E2146" s="116">
        <v>2295.0500000000002</v>
      </c>
      <c r="F2146" s="116">
        <v>2311.15</v>
      </c>
      <c r="G2146">
        <v>4096</v>
      </c>
      <c r="H2146" s="116"/>
      <c r="I2146" s="116"/>
      <c r="L2146" s="163">
        <v>45163</v>
      </c>
      <c r="M2146" s="116">
        <v>2310.25</v>
      </c>
      <c r="N2146" s="116">
        <v>2319.6999999999998</v>
      </c>
      <c r="O2146" s="116">
        <v>2294.5500000000002</v>
      </c>
      <c r="P2146" s="116">
        <v>2301</v>
      </c>
      <c r="Q2146" s="116">
        <v>2310.25</v>
      </c>
      <c r="R2146">
        <v>270711</v>
      </c>
    </row>
    <row r="2147" spans="1:18" x14ac:dyDescent="0.25">
      <c r="A2147" s="163">
        <v>45166</v>
      </c>
      <c r="B2147" s="116">
        <v>2319.1999999999998</v>
      </c>
      <c r="C2147" s="116">
        <v>2311.9</v>
      </c>
      <c r="D2147" s="116">
        <v>2301</v>
      </c>
      <c r="E2147" s="116">
        <v>2311.1999999999998</v>
      </c>
      <c r="F2147" s="116">
        <v>2311.9</v>
      </c>
      <c r="G2147">
        <v>14871</v>
      </c>
      <c r="H2147" s="116"/>
      <c r="I2147" s="116"/>
      <c r="L2147" s="163">
        <v>45166</v>
      </c>
      <c r="M2147" s="116">
        <v>2311.85</v>
      </c>
      <c r="N2147" s="116">
        <v>2318.9</v>
      </c>
      <c r="O2147" s="116">
        <v>2301.0500000000002</v>
      </c>
      <c r="P2147" s="116">
        <v>2314.9499999999998</v>
      </c>
      <c r="Q2147" s="116">
        <v>2311.85</v>
      </c>
      <c r="R2147">
        <v>227518</v>
      </c>
    </row>
    <row r="2148" spans="1:18" x14ac:dyDescent="0.25">
      <c r="A2148" s="163">
        <v>45167</v>
      </c>
      <c r="B2148" s="116">
        <v>2386.1</v>
      </c>
      <c r="C2148" s="116">
        <v>2373.85</v>
      </c>
      <c r="D2148" s="116">
        <v>2311.1999999999998</v>
      </c>
      <c r="E2148" s="116">
        <v>2321.9499999999998</v>
      </c>
      <c r="F2148" s="116">
        <v>2373.85</v>
      </c>
      <c r="G2148">
        <v>59328</v>
      </c>
      <c r="H2148" s="116"/>
      <c r="I2148" s="116"/>
      <c r="L2148" s="163">
        <v>45167</v>
      </c>
      <c r="M2148" s="116">
        <v>2374.35</v>
      </c>
      <c r="N2148" s="116">
        <v>2387</v>
      </c>
      <c r="O2148" s="116">
        <v>2311.25</v>
      </c>
      <c r="P2148" s="116">
        <v>2317</v>
      </c>
      <c r="Q2148" s="116">
        <v>2374.35</v>
      </c>
      <c r="R2148">
        <v>1162898</v>
      </c>
    </row>
    <row r="2149" spans="1:18" x14ac:dyDescent="0.25">
      <c r="A2149" s="163">
        <v>45168</v>
      </c>
      <c r="B2149" s="116">
        <v>2390</v>
      </c>
      <c r="C2149" s="116">
        <v>2368.9</v>
      </c>
      <c r="D2149" s="116">
        <v>2363.5500000000002</v>
      </c>
      <c r="E2149" s="116">
        <v>2390</v>
      </c>
      <c r="F2149" s="116">
        <v>2368.9</v>
      </c>
      <c r="G2149">
        <v>43140</v>
      </c>
      <c r="H2149" s="116"/>
      <c r="I2149" s="116"/>
      <c r="L2149" s="163">
        <v>45168</v>
      </c>
      <c r="M2149" s="116">
        <v>2369.35</v>
      </c>
      <c r="N2149" s="116">
        <v>2387</v>
      </c>
      <c r="O2149" s="116">
        <v>2361.4</v>
      </c>
      <c r="P2149" s="116">
        <v>2387</v>
      </c>
      <c r="Q2149" s="116">
        <v>2369.35</v>
      </c>
      <c r="R2149">
        <v>443739</v>
      </c>
    </row>
    <row r="2150" spans="1:18" x14ac:dyDescent="0.25">
      <c r="A2150" s="163">
        <v>45169</v>
      </c>
      <c r="B2150" s="116">
        <v>2397.9499999999998</v>
      </c>
      <c r="C2150" s="116">
        <v>2357.25</v>
      </c>
      <c r="D2150" s="116">
        <v>2351.0500000000002</v>
      </c>
      <c r="E2150" s="116">
        <v>2397.9499999999998</v>
      </c>
      <c r="F2150" s="116">
        <v>2357.25</v>
      </c>
      <c r="G2150">
        <v>8565</v>
      </c>
      <c r="H2150" s="116"/>
      <c r="I2150" s="116"/>
      <c r="L2150" s="163">
        <v>45169</v>
      </c>
      <c r="M2150" s="116">
        <v>2356.5</v>
      </c>
      <c r="N2150" s="116">
        <v>2385</v>
      </c>
      <c r="O2150" s="116">
        <v>2350.25</v>
      </c>
      <c r="P2150" s="116">
        <v>2385</v>
      </c>
      <c r="Q2150" s="116">
        <v>2356.5</v>
      </c>
      <c r="R2150">
        <v>648345</v>
      </c>
    </row>
    <row r="2151" spans="1:18" x14ac:dyDescent="0.25">
      <c r="A2151" s="163">
        <v>45170</v>
      </c>
      <c r="B2151" s="116">
        <v>2396.1</v>
      </c>
      <c r="C2151" s="116">
        <v>2383.85</v>
      </c>
      <c r="D2151" s="116">
        <v>2349.15</v>
      </c>
      <c r="E2151" s="116">
        <v>2362.5</v>
      </c>
      <c r="F2151" s="116">
        <v>2383.85</v>
      </c>
      <c r="G2151">
        <v>28949</v>
      </c>
      <c r="H2151" s="116"/>
      <c r="I2151" s="116"/>
      <c r="L2151" s="163">
        <v>45170</v>
      </c>
      <c r="M2151" s="116">
        <v>2384.0500000000002</v>
      </c>
      <c r="N2151" s="116">
        <v>2397</v>
      </c>
      <c r="O2151" s="116">
        <v>2352</v>
      </c>
      <c r="P2151" s="116">
        <v>2356.1999999999998</v>
      </c>
      <c r="Q2151" s="116">
        <v>2384.0500000000002</v>
      </c>
      <c r="R2151">
        <v>510493</v>
      </c>
    </row>
    <row r="2152" spans="1:18" x14ac:dyDescent="0.25">
      <c r="A2152" s="163">
        <v>45173</v>
      </c>
      <c r="B2152" s="116">
        <v>2422.8000000000002</v>
      </c>
      <c r="C2152" s="116">
        <v>2411.5</v>
      </c>
      <c r="D2152" s="116">
        <v>2376</v>
      </c>
      <c r="E2152" s="116">
        <v>2384.0500000000002</v>
      </c>
      <c r="F2152" s="116">
        <v>2411.5</v>
      </c>
      <c r="G2152">
        <v>19268</v>
      </c>
      <c r="H2152" s="116"/>
      <c r="I2152" s="116"/>
      <c r="L2152" s="163">
        <v>45173</v>
      </c>
      <c r="M2152" s="116">
        <v>2411.4499999999998</v>
      </c>
      <c r="N2152" s="116">
        <v>2422.4</v>
      </c>
      <c r="O2152" s="116">
        <v>2375</v>
      </c>
      <c r="P2152" s="116">
        <v>2390</v>
      </c>
      <c r="Q2152" s="116">
        <v>2411.4499999999998</v>
      </c>
      <c r="R2152">
        <v>722079</v>
      </c>
    </row>
    <row r="2153" spans="1:18" x14ac:dyDescent="0.25">
      <c r="A2153" s="163">
        <v>45174</v>
      </c>
      <c r="B2153" s="116">
        <v>2431</v>
      </c>
      <c r="C2153" s="116">
        <v>2416.75</v>
      </c>
      <c r="D2153" s="116">
        <v>2407.4</v>
      </c>
      <c r="E2153" s="116">
        <v>2414.5</v>
      </c>
      <c r="F2153" s="116">
        <v>2416.75</v>
      </c>
      <c r="G2153">
        <v>25343</v>
      </c>
      <c r="H2153" s="116"/>
      <c r="I2153" s="116"/>
      <c r="L2153" s="163">
        <v>45174</v>
      </c>
      <c r="M2153" s="116">
        <v>2419.5500000000002</v>
      </c>
      <c r="N2153" s="116">
        <v>2432</v>
      </c>
      <c r="O2153" s="116">
        <v>2406.1</v>
      </c>
      <c r="P2153" s="116">
        <v>2419</v>
      </c>
      <c r="Q2153" s="116">
        <v>2419.5500000000002</v>
      </c>
      <c r="R2153">
        <v>386564</v>
      </c>
    </row>
    <row r="2154" spans="1:18" x14ac:dyDescent="0.25">
      <c r="A2154" s="163">
        <v>45175</v>
      </c>
      <c r="B2154" s="116">
        <v>2464.9</v>
      </c>
      <c r="C2154" s="116">
        <v>2453.35</v>
      </c>
      <c r="D2154" s="116">
        <v>2413</v>
      </c>
      <c r="E2154" s="116">
        <v>2420.0500000000002</v>
      </c>
      <c r="F2154" s="116">
        <v>2453.35</v>
      </c>
      <c r="G2154">
        <v>12948</v>
      </c>
      <c r="H2154" s="116"/>
      <c r="I2154" s="116"/>
      <c r="L2154" s="163">
        <v>45175</v>
      </c>
      <c r="M2154" s="116">
        <v>2454</v>
      </c>
      <c r="N2154" s="116">
        <v>2465</v>
      </c>
      <c r="O2154" s="116">
        <v>2411.1999999999998</v>
      </c>
      <c r="P2154" s="116">
        <v>2425</v>
      </c>
      <c r="Q2154" s="116">
        <v>2454</v>
      </c>
      <c r="R2154">
        <v>682571</v>
      </c>
    </row>
    <row r="2155" spans="1:18" x14ac:dyDescent="0.25">
      <c r="A2155" s="163">
        <v>45176</v>
      </c>
      <c r="B2155" s="116">
        <v>2472.1</v>
      </c>
      <c r="C2155" s="116">
        <v>2463.0500000000002</v>
      </c>
      <c r="D2155" s="116">
        <v>2449.1999999999998</v>
      </c>
      <c r="E2155" s="116">
        <v>2453.1999999999998</v>
      </c>
      <c r="F2155" s="116">
        <v>2463.0500000000002</v>
      </c>
      <c r="G2155">
        <v>5772</v>
      </c>
      <c r="H2155" s="116"/>
      <c r="I2155" s="116"/>
      <c r="L2155" s="163">
        <v>45176</v>
      </c>
      <c r="M2155" s="116">
        <v>2463.0500000000002</v>
      </c>
      <c r="N2155" s="116">
        <v>2472.5</v>
      </c>
      <c r="O2155" s="116">
        <v>2448.5500000000002</v>
      </c>
      <c r="P2155" s="116">
        <v>2455.9</v>
      </c>
      <c r="Q2155" s="116">
        <v>2463.0500000000002</v>
      </c>
      <c r="R2155">
        <v>309914</v>
      </c>
    </row>
    <row r="2156" spans="1:18" x14ac:dyDescent="0.25">
      <c r="A2156" s="163">
        <v>45177</v>
      </c>
      <c r="B2156" s="116">
        <v>2475.4499999999998</v>
      </c>
      <c r="C2156" s="116">
        <v>2439.65</v>
      </c>
      <c r="D2156" s="116">
        <v>2437.0500000000002</v>
      </c>
      <c r="E2156" s="116">
        <v>2459</v>
      </c>
      <c r="F2156" s="116">
        <v>2439.65</v>
      </c>
      <c r="G2156">
        <v>23190</v>
      </c>
      <c r="H2156" s="116"/>
      <c r="I2156" s="116"/>
      <c r="L2156" s="163">
        <v>45177</v>
      </c>
      <c r="M2156" s="116">
        <v>2440.3000000000002</v>
      </c>
      <c r="N2156" s="116">
        <v>2475.5</v>
      </c>
      <c r="O2156" s="116">
        <v>2438</v>
      </c>
      <c r="P2156" s="116">
        <v>2469.9</v>
      </c>
      <c r="Q2156" s="116">
        <v>2440.3000000000002</v>
      </c>
      <c r="R2156">
        <v>431834</v>
      </c>
    </row>
    <row r="2157" spans="1:18" x14ac:dyDescent="0.25">
      <c r="A2157" s="163">
        <v>45180</v>
      </c>
      <c r="B2157" s="116">
        <v>2457.4</v>
      </c>
      <c r="C2157" s="116">
        <v>2436.5</v>
      </c>
      <c r="D2157" s="116">
        <v>2425.9499999999998</v>
      </c>
      <c r="E2157" s="116">
        <v>2440</v>
      </c>
      <c r="F2157" s="116">
        <v>2436.5</v>
      </c>
      <c r="G2157">
        <v>6370</v>
      </c>
      <c r="H2157" s="116"/>
      <c r="I2157" s="116"/>
      <c r="L2157" s="163">
        <v>45180</v>
      </c>
      <c r="M2157" s="116">
        <v>2436.8000000000002</v>
      </c>
      <c r="N2157" s="116">
        <v>2458.9499999999998</v>
      </c>
      <c r="O2157" s="116">
        <v>2425.5500000000002</v>
      </c>
      <c r="P2157" s="116">
        <v>2441</v>
      </c>
      <c r="Q2157" s="116">
        <v>2436.8000000000002</v>
      </c>
      <c r="R2157">
        <v>256721</v>
      </c>
    </row>
    <row r="2158" spans="1:18" x14ac:dyDescent="0.25">
      <c r="A2158" s="163">
        <v>45181</v>
      </c>
      <c r="B2158" s="116">
        <v>2450</v>
      </c>
      <c r="C2158" s="116">
        <v>2374.1999999999998</v>
      </c>
      <c r="D2158" s="116">
        <v>2365.0500000000002</v>
      </c>
      <c r="E2158" s="116">
        <v>2440.1999999999998</v>
      </c>
      <c r="F2158" s="116">
        <v>2374.1999999999998</v>
      </c>
      <c r="G2158">
        <v>9454</v>
      </c>
      <c r="H2158" s="116"/>
      <c r="I2158" s="116"/>
      <c r="L2158" s="163">
        <v>45181</v>
      </c>
      <c r="M2158" s="116">
        <v>2374.15</v>
      </c>
      <c r="N2158" s="116">
        <v>2449.9499999999998</v>
      </c>
      <c r="O2158" s="116">
        <v>2365</v>
      </c>
      <c r="P2158" s="116">
        <v>2448.9499999999998</v>
      </c>
      <c r="Q2158" s="116">
        <v>2374.15</v>
      </c>
      <c r="R2158">
        <v>319884</v>
      </c>
    </row>
    <row r="2159" spans="1:18" x14ac:dyDescent="0.25">
      <c r="A2159" s="163">
        <v>45182</v>
      </c>
      <c r="B2159" s="116">
        <v>2402</v>
      </c>
      <c r="C2159" s="116">
        <v>2393.6</v>
      </c>
      <c r="D2159" s="116">
        <v>2355.9499999999998</v>
      </c>
      <c r="E2159" s="116">
        <v>2355.9499999999998</v>
      </c>
      <c r="F2159" s="116">
        <v>2393.6</v>
      </c>
      <c r="G2159">
        <v>16044</v>
      </c>
      <c r="H2159" s="116"/>
      <c r="I2159" s="116"/>
      <c r="L2159" s="163">
        <v>45182</v>
      </c>
      <c r="M2159" s="116">
        <v>2395.65</v>
      </c>
      <c r="N2159" s="116">
        <v>2402.85</v>
      </c>
      <c r="O2159" s="116">
        <v>2360.3000000000002</v>
      </c>
      <c r="P2159" s="116">
        <v>2365</v>
      </c>
      <c r="Q2159" s="116">
        <v>2395.65</v>
      </c>
      <c r="R2159">
        <v>149596</v>
      </c>
    </row>
    <row r="2160" spans="1:18" x14ac:dyDescent="0.25">
      <c r="A2160" s="163">
        <v>45183</v>
      </c>
      <c r="B2160" s="116">
        <v>2414.9499999999998</v>
      </c>
      <c r="C2160" s="116">
        <v>2397.5</v>
      </c>
      <c r="D2160" s="116">
        <v>2377.3000000000002</v>
      </c>
      <c r="E2160" s="116">
        <v>2389</v>
      </c>
      <c r="F2160" s="116">
        <v>2397.5</v>
      </c>
      <c r="G2160">
        <v>10438</v>
      </c>
      <c r="H2160" s="116"/>
      <c r="I2160" s="116"/>
      <c r="L2160" s="163">
        <v>45183</v>
      </c>
      <c r="M2160" s="116">
        <v>2399.4</v>
      </c>
      <c r="N2160" s="116">
        <v>2415</v>
      </c>
      <c r="O2160" s="116">
        <v>2375.5</v>
      </c>
      <c r="P2160" s="116">
        <v>2389</v>
      </c>
      <c r="Q2160" s="116">
        <v>2399.4</v>
      </c>
      <c r="R2160">
        <v>460211</v>
      </c>
    </row>
    <row r="2161" spans="1:18" x14ac:dyDescent="0.25">
      <c r="A2161" s="163">
        <v>45184</v>
      </c>
      <c r="B2161" s="116">
        <v>2410.8000000000002</v>
      </c>
      <c r="C2161" s="116">
        <v>2369.85</v>
      </c>
      <c r="D2161" s="116">
        <v>2367</v>
      </c>
      <c r="E2161" s="116">
        <v>2395.0500000000002</v>
      </c>
      <c r="F2161" s="116">
        <v>2369.85</v>
      </c>
      <c r="G2161">
        <v>5584</v>
      </c>
      <c r="H2161" s="116"/>
      <c r="I2161" s="116"/>
      <c r="L2161" s="163">
        <v>45184</v>
      </c>
      <c r="M2161" s="116">
        <v>2370.5</v>
      </c>
      <c r="N2161" s="116">
        <v>2413.9499999999998</v>
      </c>
      <c r="O2161" s="116">
        <v>2366.8000000000002</v>
      </c>
      <c r="P2161" s="116">
        <v>2406.9499999999998</v>
      </c>
      <c r="Q2161" s="116">
        <v>2370.5</v>
      </c>
      <c r="R2161">
        <v>405072</v>
      </c>
    </row>
    <row r="2162" spans="1:18" x14ac:dyDescent="0.25">
      <c r="A2162" s="163">
        <v>45187</v>
      </c>
      <c r="B2162" s="116">
        <v>2373</v>
      </c>
      <c r="C2162" s="116">
        <v>2369.6</v>
      </c>
      <c r="D2162" s="116">
        <v>2322</v>
      </c>
      <c r="E2162" s="116">
        <v>2358</v>
      </c>
      <c r="F2162" s="116">
        <v>2369.6</v>
      </c>
      <c r="G2162">
        <v>43574</v>
      </c>
      <c r="H2162" s="116"/>
      <c r="I2162" s="116"/>
      <c r="L2162" s="163">
        <v>45187</v>
      </c>
      <c r="M2162" s="116">
        <v>2368.6999999999998</v>
      </c>
      <c r="N2162" s="116">
        <v>2373.6</v>
      </c>
      <c r="O2162" s="116">
        <v>2321.75</v>
      </c>
      <c r="P2162" s="116">
        <v>2341</v>
      </c>
      <c r="Q2162" s="116">
        <v>2368.6999999999998</v>
      </c>
      <c r="R2162">
        <v>528852</v>
      </c>
    </row>
    <row r="2163" spans="1:18" x14ac:dyDescent="0.25">
      <c r="A2163" s="163">
        <v>45189</v>
      </c>
      <c r="B2163" s="116">
        <v>2367.6</v>
      </c>
      <c r="C2163" s="116">
        <v>2319.6999999999998</v>
      </c>
      <c r="D2163" s="116">
        <v>2312.0500000000002</v>
      </c>
      <c r="E2163" s="116">
        <v>2352.0500000000002</v>
      </c>
      <c r="F2163" s="116">
        <v>2319.6999999999998</v>
      </c>
      <c r="G2163">
        <v>18903</v>
      </c>
      <c r="H2163" s="116"/>
      <c r="I2163" s="116"/>
      <c r="L2163" s="163">
        <v>45189</v>
      </c>
      <c r="M2163" s="116">
        <v>2319.85</v>
      </c>
      <c r="N2163" s="116">
        <v>2368.25</v>
      </c>
      <c r="O2163" s="116">
        <v>2311.9</v>
      </c>
      <c r="P2163" s="116">
        <v>2365</v>
      </c>
      <c r="Q2163" s="116">
        <v>2319.85</v>
      </c>
      <c r="R2163">
        <v>580839</v>
      </c>
    </row>
    <row r="2164" spans="1:18" x14ac:dyDescent="0.25">
      <c r="A2164" s="163">
        <v>45190</v>
      </c>
      <c r="B2164" s="116">
        <v>2336.75</v>
      </c>
      <c r="C2164" s="116">
        <v>2315.65</v>
      </c>
      <c r="D2164" s="116">
        <v>2306</v>
      </c>
      <c r="E2164" s="116">
        <v>2319.75</v>
      </c>
      <c r="F2164" s="116">
        <v>2315.65</v>
      </c>
      <c r="G2164">
        <v>6561</v>
      </c>
      <c r="H2164" s="116"/>
      <c r="I2164" s="116"/>
      <c r="L2164" s="163">
        <v>45190</v>
      </c>
      <c r="M2164" s="116">
        <v>2315.65</v>
      </c>
      <c r="N2164" s="116">
        <v>2336.9499999999998</v>
      </c>
      <c r="O2164" s="116">
        <v>2304</v>
      </c>
      <c r="P2164" s="116">
        <v>2327</v>
      </c>
      <c r="Q2164" s="116">
        <v>2315.65</v>
      </c>
      <c r="R2164">
        <v>335304</v>
      </c>
    </row>
    <row r="2165" spans="1:18" x14ac:dyDescent="0.25">
      <c r="A2165" s="163">
        <v>45191</v>
      </c>
      <c r="B2165" s="116">
        <v>2320.65</v>
      </c>
      <c r="C2165" s="116">
        <v>2264.1999999999998</v>
      </c>
      <c r="D2165" s="116">
        <v>2260.8000000000002</v>
      </c>
      <c r="E2165" s="116">
        <v>2309.75</v>
      </c>
      <c r="F2165" s="116">
        <v>2264.1999999999998</v>
      </c>
      <c r="G2165">
        <v>20082</v>
      </c>
      <c r="H2165" s="116"/>
      <c r="I2165" s="116"/>
      <c r="L2165" s="163">
        <v>45191</v>
      </c>
      <c r="M2165" s="116">
        <v>2264.5500000000002</v>
      </c>
      <c r="N2165" s="116">
        <v>2325.1</v>
      </c>
      <c r="O2165" s="116">
        <v>2260.0500000000002</v>
      </c>
      <c r="P2165" s="116">
        <v>2322</v>
      </c>
      <c r="Q2165" s="116">
        <v>2264.5500000000002</v>
      </c>
      <c r="R2165">
        <v>359377</v>
      </c>
    </row>
    <row r="2166" spans="1:18" x14ac:dyDescent="0.25">
      <c r="A2166" s="163">
        <v>45194</v>
      </c>
      <c r="B2166" s="116">
        <v>2268.8000000000002</v>
      </c>
      <c r="C2166" s="116">
        <v>2236.85</v>
      </c>
      <c r="D2166" s="116">
        <v>2232</v>
      </c>
      <c r="E2166" s="116">
        <v>2264.0500000000002</v>
      </c>
      <c r="F2166" s="116">
        <v>2236.85</v>
      </c>
      <c r="G2166">
        <v>5954</v>
      </c>
      <c r="H2166" s="116"/>
      <c r="I2166" s="116"/>
      <c r="L2166" s="163">
        <v>45194</v>
      </c>
      <c r="M2166" s="116">
        <v>2238.4</v>
      </c>
      <c r="N2166" s="116">
        <v>2274.9499999999998</v>
      </c>
      <c r="O2166" s="116">
        <v>2230.15</v>
      </c>
      <c r="P2166" s="116">
        <v>2270</v>
      </c>
      <c r="Q2166" s="116">
        <v>2238.4</v>
      </c>
      <c r="R2166">
        <v>597945</v>
      </c>
    </row>
    <row r="2167" spans="1:18" x14ac:dyDescent="0.25">
      <c r="A2167" s="163">
        <v>45195</v>
      </c>
      <c r="B2167" s="116">
        <v>2272.85</v>
      </c>
      <c r="C2167" s="116">
        <v>2240.0500000000002</v>
      </c>
      <c r="D2167" s="116">
        <v>2234.0500000000002</v>
      </c>
      <c r="E2167" s="116">
        <v>2249.9499999999998</v>
      </c>
      <c r="F2167" s="116">
        <v>2240.0500000000002</v>
      </c>
      <c r="G2167">
        <v>5566</v>
      </c>
      <c r="H2167" s="116"/>
      <c r="I2167" s="116"/>
      <c r="L2167" s="163">
        <v>45195</v>
      </c>
      <c r="M2167" s="116">
        <v>2239.9499999999998</v>
      </c>
      <c r="N2167" s="116">
        <v>2274.85</v>
      </c>
      <c r="O2167" s="116">
        <v>2233.5500000000002</v>
      </c>
      <c r="P2167" s="116">
        <v>2242</v>
      </c>
      <c r="Q2167" s="116">
        <v>2239.9499999999998</v>
      </c>
      <c r="R2167">
        <v>568665</v>
      </c>
    </row>
    <row r="2168" spans="1:18" x14ac:dyDescent="0.25">
      <c r="A2168" s="163">
        <v>45196</v>
      </c>
      <c r="B2168" s="116">
        <v>2272.4499999999998</v>
      </c>
      <c r="C2168" s="116">
        <v>2262.35</v>
      </c>
      <c r="D2168" s="116">
        <v>2229</v>
      </c>
      <c r="E2168" s="116">
        <v>2245.25</v>
      </c>
      <c r="F2168" s="116">
        <v>2262.35</v>
      </c>
      <c r="G2168">
        <v>18061</v>
      </c>
      <c r="H2168" s="116"/>
      <c r="I2168" s="116"/>
      <c r="L2168" s="163">
        <v>45196</v>
      </c>
      <c r="M2168" s="116">
        <v>2261.6999999999998</v>
      </c>
      <c r="N2168" s="116">
        <v>2272</v>
      </c>
      <c r="O2168" s="116">
        <v>2228.0500000000002</v>
      </c>
      <c r="P2168" s="116">
        <v>2248</v>
      </c>
      <c r="Q2168" s="116">
        <v>2261.6999999999998</v>
      </c>
      <c r="R2168">
        <v>392260</v>
      </c>
    </row>
    <row r="2169" spans="1:18" x14ac:dyDescent="0.25">
      <c r="A2169" s="163">
        <v>45197</v>
      </c>
      <c r="B2169" s="116">
        <v>2278.9499999999998</v>
      </c>
      <c r="C2169" s="116">
        <v>2231.1</v>
      </c>
      <c r="D2169" s="116">
        <v>2223.25</v>
      </c>
      <c r="E2169" s="116">
        <v>2278.9499999999998</v>
      </c>
      <c r="F2169" s="116">
        <v>2231.1</v>
      </c>
      <c r="G2169">
        <v>15348</v>
      </c>
      <c r="H2169" s="116"/>
      <c r="I2169" s="116"/>
      <c r="L2169" s="163">
        <v>45197</v>
      </c>
      <c r="M2169" s="116">
        <v>2232.3000000000002</v>
      </c>
      <c r="N2169" s="116">
        <v>2270</v>
      </c>
      <c r="O2169" s="116">
        <v>2224.25</v>
      </c>
      <c r="P2169" s="116">
        <v>2270</v>
      </c>
      <c r="Q2169" s="116">
        <v>2232.3000000000002</v>
      </c>
      <c r="R2169">
        <v>642092</v>
      </c>
    </row>
    <row r="2170" spans="1:18" x14ac:dyDescent="0.25">
      <c r="A2170" s="163">
        <v>45198</v>
      </c>
      <c r="B2170" s="116">
        <v>2298.6999999999998</v>
      </c>
      <c r="C2170" s="116">
        <v>2248.5500000000002</v>
      </c>
      <c r="D2170" s="116">
        <v>2229.1</v>
      </c>
      <c r="E2170" s="116">
        <v>2298.6999999999998</v>
      </c>
      <c r="F2170" s="116">
        <v>2248.5500000000002</v>
      </c>
      <c r="G2170">
        <v>4883</v>
      </c>
      <c r="H2170" s="116"/>
      <c r="I2170" s="116"/>
      <c r="L2170" s="163">
        <v>45198</v>
      </c>
      <c r="M2170" s="116">
        <v>2249.4</v>
      </c>
      <c r="N2170" s="116">
        <v>2265.4499999999998</v>
      </c>
      <c r="O2170" s="116">
        <v>2226.4499999999998</v>
      </c>
      <c r="P2170" s="116">
        <v>2246</v>
      </c>
      <c r="Q2170" s="116">
        <v>2249.4</v>
      </c>
      <c r="R2170">
        <v>172256</v>
      </c>
    </row>
    <row r="2171" spans="1:18" x14ac:dyDescent="0.25">
      <c r="A2171" s="163">
        <v>45202</v>
      </c>
      <c r="B2171" s="116">
        <v>2264.9499999999998</v>
      </c>
      <c r="C2171" s="116">
        <v>2256.4499999999998</v>
      </c>
      <c r="D2171" s="116">
        <v>2233.85</v>
      </c>
      <c r="E2171" s="116">
        <v>2264.9499999999998</v>
      </c>
      <c r="F2171" s="116">
        <v>2256.4499999999998</v>
      </c>
      <c r="G2171">
        <v>8303</v>
      </c>
      <c r="H2171" s="116"/>
      <c r="I2171" s="116"/>
      <c r="L2171" s="163">
        <v>45202</v>
      </c>
      <c r="M2171" s="116">
        <v>2255.5</v>
      </c>
      <c r="N2171" s="116">
        <v>2265</v>
      </c>
      <c r="O2171" s="116">
        <v>2233.0500000000002</v>
      </c>
      <c r="P2171" s="116">
        <v>2258</v>
      </c>
      <c r="Q2171" s="116">
        <v>2255.5</v>
      </c>
      <c r="R2171">
        <v>432577</v>
      </c>
    </row>
    <row r="2172" spans="1:18" x14ac:dyDescent="0.25">
      <c r="A2172" s="163">
        <v>45203</v>
      </c>
      <c r="B2172" s="116">
        <v>2256</v>
      </c>
      <c r="C2172" s="116">
        <v>2243.85</v>
      </c>
      <c r="D2172" s="116">
        <v>2220.6</v>
      </c>
      <c r="E2172" s="116">
        <v>2256</v>
      </c>
      <c r="F2172" s="116">
        <v>2243.85</v>
      </c>
      <c r="G2172">
        <v>15961</v>
      </c>
      <c r="H2172" s="116"/>
      <c r="I2172" s="116"/>
      <c r="L2172" s="163">
        <v>45203</v>
      </c>
      <c r="M2172" s="116">
        <v>2247.1</v>
      </c>
      <c r="N2172" s="116">
        <v>2254.9</v>
      </c>
      <c r="O2172" s="116">
        <v>2220</v>
      </c>
      <c r="P2172" s="116">
        <v>2250</v>
      </c>
      <c r="Q2172" s="116">
        <v>2247.1</v>
      </c>
      <c r="R2172">
        <v>454546</v>
      </c>
    </row>
    <row r="2173" spans="1:18" x14ac:dyDescent="0.25">
      <c r="A2173" s="163">
        <v>45204</v>
      </c>
      <c r="B2173" s="116">
        <v>2265.9</v>
      </c>
      <c r="C2173" s="116">
        <v>2259.85</v>
      </c>
      <c r="D2173" s="116">
        <v>2240</v>
      </c>
      <c r="E2173" s="116">
        <v>2259.9499999999998</v>
      </c>
      <c r="F2173" s="116">
        <v>2259.85</v>
      </c>
      <c r="G2173">
        <v>6953</v>
      </c>
      <c r="H2173" s="116"/>
      <c r="I2173" s="116"/>
      <c r="L2173" s="163">
        <v>45204</v>
      </c>
      <c r="M2173" s="116">
        <v>2261.3000000000002</v>
      </c>
      <c r="N2173" s="116">
        <v>2266</v>
      </c>
      <c r="O2173" s="116">
        <v>2238.4499999999998</v>
      </c>
      <c r="P2173" s="116">
        <v>2247.15</v>
      </c>
      <c r="Q2173" s="116">
        <v>2261.3000000000002</v>
      </c>
      <c r="R2173">
        <v>210258</v>
      </c>
    </row>
    <row r="2174" spans="1:18" x14ac:dyDescent="0.25">
      <c r="A2174" s="163">
        <v>45205</v>
      </c>
      <c r="B2174" s="116">
        <v>2274.9499999999998</v>
      </c>
      <c r="C2174" s="116">
        <v>2247.25</v>
      </c>
      <c r="D2174" s="116">
        <v>2237.5</v>
      </c>
      <c r="E2174" s="116">
        <v>2274.9499999999998</v>
      </c>
      <c r="F2174" s="116">
        <v>2247.25</v>
      </c>
      <c r="G2174">
        <v>8495</v>
      </c>
      <c r="H2174" s="116"/>
      <c r="I2174" s="116"/>
      <c r="L2174" s="163">
        <v>45205</v>
      </c>
      <c r="M2174" s="116">
        <v>2245.5500000000002</v>
      </c>
      <c r="N2174" s="116">
        <v>2280</v>
      </c>
      <c r="O2174" s="116">
        <v>2238</v>
      </c>
      <c r="P2174" s="116">
        <v>2264.9</v>
      </c>
      <c r="Q2174" s="116">
        <v>2245.5500000000002</v>
      </c>
      <c r="R2174">
        <v>191139</v>
      </c>
    </row>
    <row r="2175" spans="1:18" x14ac:dyDescent="0.25">
      <c r="A2175" s="163">
        <v>45208</v>
      </c>
      <c r="B2175" s="116">
        <v>2231.4499999999998</v>
      </c>
      <c r="C2175" s="116">
        <v>2203.4</v>
      </c>
      <c r="D2175" s="116">
        <v>2200</v>
      </c>
      <c r="E2175" s="116">
        <v>2222.25</v>
      </c>
      <c r="F2175" s="116">
        <v>2203.4</v>
      </c>
      <c r="G2175">
        <v>20200</v>
      </c>
      <c r="H2175" s="116"/>
      <c r="I2175" s="116"/>
      <c r="L2175" s="163">
        <v>45208</v>
      </c>
      <c r="M2175" s="116">
        <v>2206.4</v>
      </c>
      <c r="N2175" s="116">
        <v>2231.15</v>
      </c>
      <c r="O2175" s="116">
        <v>2198</v>
      </c>
      <c r="P2175" s="116">
        <v>2228</v>
      </c>
      <c r="Q2175" s="116">
        <v>2206.4</v>
      </c>
      <c r="R2175">
        <v>363638</v>
      </c>
    </row>
    <row r="2176" spans="1:18" x14ac:dyDescent="0.25">
      <c r="A2176" s="163">
        <v>45209</v>
      </c>
      <c r="B2176" s="116">
        <v>2235.9499999999998</v>
      </c>
      <c r="C2176" s="116">
        <v>2229.15</v>
      </c>
      <c r="D2176" s="116">
        <v>2200</v>
      </c>
      <c r="E2176" s="116">
        <v>2215.0500000000002</v>
      </c>
      <c r="F2176" s="116">
        <v>2229.15</v>
      </c>
      <c r="G2176">
        <v>7334</v>
      </c>
      <c r="H2176" s="116"/>
      <c r="I2176" s="116"/>
      <c r="L2176" s="163">
        <v>45209</v>
      </c>
      <c r="M2176" s="116">
        <v>2230.35</v>
      </c>
      <c r="N2176" s="116">
        <v>2236</v>
      </c>
      <c r="O2176" s="116">
        <v>2199.75</v>
      </c>
      <c r="P2176" s="116">
        <v>2222.9499999999998</v>
      </c>
      <c r="Q2176" s="116">
        <v>2230.35</v>
      </c>
      <c r="R2176">
        <v>374416</v>
      </c>
    </row>
    <row r="2177" spans="1:18" x14ac:dyDescent="0.25">
      <c r="A2177" s="163">
        <v>45210</v>
      </c>
      <c r="B2177" s="116">
        <v>2280</v>
      </c>
      <c r="C2177" s="116">
        <v>2249.3000000000002</v>
      </c>
      <c r="D2177" s="116">
        <v>2240</v>
      </c>
      <c r="E2177" s="116">
        <v>2259.9499999999998</v>
      </c>
      <c r="F2177" s="116">
        <v>2249.3000000000002</v>
      </c>
      <c r="G2177">
        <v>14019</v>
      </c>
      <c r="H2177" s="116"/>
      <c r="I2177" s="116"/>
      <c r="L2177" s="163">
        <v>45210</v>
      </c>
      <c r="M2177" s="116">
        <v>2250</v>
      </c>
      <c r="N2177" s="116">
        <v>2280</v>
      </c>
      <c r="O2177" s="116">
        <v>2238.8000000000002</v>
      </c>
      <c r="P2177" s="116">
        <v>2241</v>
      </c>
      <c r="Q2177" s="116">
        <v>2250</v>
      </c>
      <c r="R2177">
        <v>551311</v>
      </c>
    </row>
    <row r="2178" spans="1:18" x14ac:dyDescent="0.25">
      <c r="A2178" s="163">
        <v>45211</v>
      </c>
      <c r="B2178" s="116">
        <v>2274.3000000000002</v>
      </c>
      <c r="C2178" s="116">
        <v>2263.1999999999998</v>
      </c>
      <c r="D2178" s="116">
        <v>2251.1999999999998</v>
      </c>
      <c r="E2178" s="116">
        <v>2274.3000000000002</v>
      </c>
      <c r="F2178" s="116">
        <v>2263.1999999999998</v>
      </c>
      <c r="G2178">
        <v>5272</v>
      </c>
      <c r="H2178" s="116"/>
      <c r="I2178" s="116"/>
      <c r="L2178" s="163">
        <v>45211</v>
      </c>
      <c r="M2178" s="116">
        <v>2264.6</v>
      </c>
      <c r="N2178" s="116">
        <v>2268.0500000000002</v>
      </c>
      <c r="O2178" s="116">
        <v>2251</v>
      </c>
      <c r="P2178" s="116">
        <v>2266.9499999999998</v>
      </c>
      <c r="Q2178" s="116">
        <v>2264.6</v>
      </c>
      <c r="R2178">
        <v>252564</v>
      </c>
    </row>
    <row r="2179" spans="1:18" x14ac:dyDescent="0.25">
      <c r="A2179" s="163">
        <v>45212</v>
      </c>
      <c r="B2179" s="116">
        <v>2263</v>
      </c>
      <c r="C2179" s="116">
        <v>2255.75</v>
      </c>
      <c r="D2179" s="116">
        <v>2236.4499999999998</v>
      </c>
      <c r="E2179" s="116">
        <v>2263</v>
      </c>
      <c r="F2179" s="116">
        <v>2255.75</v>
      </c>
      <c r="G2179">
        <v>3562</v>
      </c>
      <c r="H2179" s="116"/>
      <c r="I2179" s="116"/>
      <c r="L2179" s="163">
        <v>45212</v>
      </c>
      <c r="M2179" s="116">
        <v>2255.4499999999998</v>
      </c>
      <c r="N2179" s="116">
        <v>2262.5</v>
      </c>
      <c r="O2179" s="116">
        <v>2234.9</v>
      </c>
      <c r="P2179" s="116">
        <v>2260</v>
      </c>
      <c r="Q2179" s="116">
        <v>2255.4499999999998</v>
      </c>
      <c r="R2179">
        <v>304818</v>
      </c>
    </row>
    <row r="2180" spans="1:18" x14ac:dyDescent="0.25">
      <c r="A2180" s="163">
        <v>45215</v>
      </c>
      <c r="B2180" s="116">
        <v>2265.6</v>
      </c>
      <c r="C2180" s="116">
        <v>2252.75</v>
      </c>
      <c r="D2180" s="116">
        <v>2242.5</v>
      </c>
      <c r="E2180" s="116">
        <v>2245</v>
      </c>
      <c r="F2180" s="116">
        <v>2252.75</v>
      </c>
      <c r="G2180">
        <v>11203</v>
      </c>
      <c r="H2180" s="116"/>
      <c r="I2180" s="116"/>
      <c r="L2180" s="163">
        <v>45215</v>
      </c>
      <c r="M2180" s="116">
        <v>2253.4</v>
      </c>
      <c r="N2180" s="116">
        <v>2268</v>
      </c>
      <c r="O2180" s="116">
        <v>2240</v>
      </c>
      <c r="P2180" s="116">
        <v>2240.0500000000002</v>
      </c>
      <c r="Q2180" s="116">
        <v>2253.4</v>
      </c>
      <c r="R2180">
        <v>386468</v>
      </c>
    </row>
    <row r="2181" spans="1:18" x14ac:dyDescent="0.25">
      <c r="A2181" s="163">
        <v>45216</v>
      </c>
      <c r="B2181" s="116">
        <v>2300</v>
      </c>
      <c r="C2181" s="116">
        <v>2278.1</v>
      </c>
      <c r="D2181" s="116">
        <v>2248.25</v>
      </c>
      <c r="E2181" s="116">
        <v>2249.8000000000002</v>
      </c>
      <c r="F2181" s="116">
        <v>2278.1</v>
      </c>
      <c r="G2181">
        <v>5813</v>
      </c>
      <c r="H2181" s="116"/>
      <c r="I2181" s="116"/>
      <c r="L2181" s="163">
        <v>45216</v>
      </c>
      <c r="M2181" s="116">
        <v>2276.5500000000002</v>
      </c>
      <c r="N2181" s="116">
        <v>2301.1999999999998</v>
      </c>
      <c r="O2181" s="116">
        <v>2248</v>
      </c>
      <c r="P2181" s="116">
        <v>2258</v>
      </c>
      <c r="Q2181" s="116">
        <v>2276.5500000000002</v>
      </c>
      <c r="R2181">
        <v>466647</v>
      </c>
    </row>
    <row r="2182" spans="1:18" x14ac:dyDescent="0.25">
      <c r="A2182" s="163">
        <v>45217</v>
      </c>
      <c r="B2182" s="116">
        <v>2289.5500000000002</v>
      </c>
      <c r="C2182" s="116">
        <v>2244.5500000000002</v>
      </c>
      <c r="D2182" s="116">
        <v>2225.4499999999998</v>
      </c>
      <c r="E2182" s="116">
        <v>2284</v>
      </c>
      <c r="F2182" s="116">
        <v>2244.5500000000002</v>
      </c>
      <c r="G2182">
        <v>20747</v>
      </c>
      <c r="H2182" s="116"/>
      <c r="I2182" s="116"/>
      <c r="L2182" s="163">
        <v>45217</v>
      </c>
      <c r="M2182" s="116">
        <v>2246.3000000000002</v>
      </c>
      <c r="N2182" s="116">
        <v>2288</v>
      </c>
      <c r="O2182" s="116">
        <v>2225.35</v>
      </c>
      <c r="P2182" s="116">
        <v>2288</v>
      </c>
      <c r="Q2182" s="116">
        <v>2246.3000000000002</v>
      </c>
      <c r="R2182">
        <v>346382</v>
      </c>
    </row>
    <row r="2183" spans="1:18" x14ac:dyDescent="0.25">
      <c r="A2183" s="163">
        <v>45218</v>
      </c>
      <c r="B2183" s="116">
        <v>2260.4</v>
      </c>
      <c r="C2183" s="116">
        <v>2255.0500000000002</v>
      </c>
      <c r="D2183" s="116">
        <v>2218.35</v>
      </c>
      <c r="E2183" s="116">
        <v>2246.9499999999998</v>
      </c>
      <c r="F2183" s="116">
        <v>2255.0500000000002</v>
      </c>
      <c r="G2183">
        <v>44578</v>
      </c>
      <c r="H2183" s="116"/>
      <c r="I2183" s="116"/>
      <c r="L2183" s="163">
        <v>45218</v>
      </c>
      <c r="M2183" s="116">
        <v>2254.4499999999998</v>
      </c>
      <c r="N2183" s="116">
        <v>2261.9499999999998</v>
      </c>
      <c r="O2183" s="116">
        <v>2217.8000000000002</v>
      </c>
      <c r="P2183" s="116">
        <v>2240</v>
      </c>
      <c r="Q2183" s="116">
        <v>2254.4499999999998</v>
      </c>
      <c r="R2183">
        <v>416271</v>
      </c>
    </row>
    <row r="2184" spans="1:18" x14ac:dyDescent="0.25">
      <c r="A2184" s="163">
        <v>45219</v>
      </c>
      <c r="B2184" s="116">
        <v>2255.5</v>
      </c>
      <c r="C2184" s="116">
        <v>2233.5</v>
      </c>
      <c r="D2184" s="116">
        <v>2225</v>
      </c>
      <c r="E2184" s="116">
        <v>2254.4499999999998</v>
      </c>
      <c r="F2184" s="116">
        <v>2233.5</v>
      </c>
      <c r="G2184">
        <v>10949</v>
      </c>
      <c r="H2184" s="116"/>
      <c r="I2184" s="116"/>
      <c r="L2184" s="163">
        <v>45219</v>
      </c>
      <c r="M2184" s="116">
        <v>2234</v>
      </c>
      <c r="N2184" s="116">
        <v>2257</v>
      </c>
      <c r="O2184" s="116">
        <v>2228</v>
      </c>
      <c r="P2184" s="116">
        <v>2251</v>
      </c>
      <c r="Q2184" s="116">
        <v>2234</v>
      </c>
      <c r="R2184">
        <v>287602</v>
      </c>
    </row>
    <row r="2185" spans="1:18" x14ac:dyDescent="0.25">
      <c r="A2185" s="163">
        <v>45222</v>
      </c>
      <c r="B2185" s="116">
        <v>2241.5500000000002</v>
      </c>
      <c r="C2185" s="116">
        <v>2173</v>
      </c>
      <c r="D2185" s="116">
        <v>2157.4499999999998</v>
      </c>
      <c r="E2185" s="116">
        <v>2230</v>
      </c>
      <c r="F2185" s="116">
        <v>2173</v>
      </c>
      <c r="G2185">
        <v>21765</v>
      </c>
      <c r="H2185" s="116"/>
      <c r="I2185" s="116"/>
      <c r="L2185" s="163">
        <v>45222</v>
      </c>
      <c r="M2185" s="116">
        <v>2172.65</v>
      </c>
      <c r="N2185" s="116">
        <v>2241.4499999999998</v>
      </c>
      <c r="O2185" s="116">
        <v>2168.1999999999998</v>
      </c>
      <c r="P2185" s="116">
        <v>2220.1</v>
      </c>
      <c r="Q2185" s="116">
        <v>2172.65</v>
      </c>
      <c r="R2185">
        <v>337697</v>
      </c>
    </row>
    <row r="2186" spans="1:18" x14ac:dyDescent="0.25">
      <c r="A2186" s="163">
        <v>45224</v>
      </c>
      <c r="B2186" s="116">
        <v>2196.3000000000002</v>
      </c>
      <c r="C2186" s="116">
        <v>2143.8000000000002</v>
      </c>
      <c r="D2186" s="116">
        <v>2140</v>
      </c>
      <c r="E2186" s="116">
        <v>2180.9</v>
      </c>
      <c r="F2186" s="116">
        <v>2143.8000000000002</v>
      </c>
      <c r="G2186">
        <v>17823</v>
      </c>
      <c r="H2186" s="116"/>
      <c r="I2186" s="116"/>
      <c r="L2186" s="163">
        <v>45224</v>
      </c>
      <c r="M2186" s="116">
        <v>2143.75</v>
      </c>
      <c r="N2186" s="116">
        <v>2195.75</v>
      </c>
      <c r="O2186" s="116">
        <v>2140</v>
      </c>
      <c r="P2186" s="116">
        <v>2178.75</v>
      </c>
      <c r="Q2186" s="116">
        <v>2143.75</v>
      </c>
      <c r="R2186">
        <v>295526</v>
      </c>
    </row>
    <row r="2187" spans="1:18" x14ac:dyDescent="0.25">
      <c r="A2187" s="163">
        <v>45225</v>
      </c>
      <c r="B2187" s="116">
        <v>2143.6999999999998</v>
      </c>
      <c r="C2187" s="116">
        <v>2106.6999999999998</v>
      </c>
      <c r="D2187" s="116">
        <v>2081.25</v>
      </c>
      <c r="E2187" s="116">
        <v>2143.6999999999998</v>
      </c>
      <c r="F2187" s="116">
        <v>2106.6999999999998</v>
      </c>
      <c r="G2187">
        <v>36413</v>
      </c>
      <c r="H2187" s="116"/>
      <c r="I2187" s="116"/>
      <c r="L2187" s="163">
        <v>45225</v>
      </c>
      <c r="M2187" s="116">
        <v>2106.35</v>
      </c>
      <c r="N2187" s="116">
        <v>2140.9499999999998</v>
      </c>
      <c r="O2187" s="116">
        <v>2082.25</v>
      </c>
      <c r="P2187" s="116">
        <v>2137.85</v>
      </c>
      <c r="Q2187" s="116">
        <v>2106.35</v>
      </c>
      <c r="R2187">
        <v>520179</v>
      </c>
    </row>
    <row r="2188" spans="1:18" x14ac:dyDescent="0.25">
      <c r="A2188" s="163">
        <v>45226</v>
      </c>
      <c r="B2188" s="116">
        <v>2192.6999999999998</v>
      </c>
      <c r="C2188" s="116">
        <v>2176.5500000000002</v>
      </c>
      <c r="D2188" s="116">
        <v>2098.75</v>
      </c>
      <c r="E2188" s="116">
        <v>2126.4499999999998</v>
      </c>
      <c r="F2188" s="116">
        <v>2176.5500000000002</v>
      </c>
      <c r="G2188">
        <v>42739</v>
      </c>
      <c r="H2188" s="116"/>
      <c r="I2188" s="116"/>
      <c r="L2188" s="163">
        <v>45226</v>
      </c>
      <c r="M2188" s="116">
        <v>2175.1</v>
      </c>
      <c r="N2188" s="116">
        <v>2191</v>
      </c>
      <c r="O2188" s="116">
        <v>2096</v>
      </c>
      <c r="P2188" s="116">
        <v>2120.0500000000002</v>
      </c>
      <c r="Q2188" s="116">
        <v>2175.1</v>
      </c>
      <c r="R2188">
        <v>869519</v>
      </c>
    </row>
    <row r="2189" spans="1:18" x14ac:dyDescent="0.25">
      <c r="A2189" s="163">
        <v>45229</v>
      </c>
      <c r="B2189" s="116">
        <v>2197.85</v>
      </c>
      <c r="C2189" s="116">
        <v>2182.5500000000002</v>
      </c>
      <c r="D2189" s="116">
        <v>2152.4499999999998</v>
      </c>
      <c r="E2189" s="116">
        <v>2167.75</v>
      </c>
      <c r="F2189" s="116">
        <v>2182.5500000000002</v>
      </c>
      <c r="G2189">
        <v>21797</v>
      </c>
      <c r="H2189" s="116"/>
      <c r="I2189" s="116"/>
      <c r="L2189" s="163">
        <v>45229</v>
      </c>
      <c r="M2189" s="116">
        <v>2181.4</v>
      </c>
      <c r="N2189" s="116">
        <v>2198</v>
      </c>
      <c r="O2189" s="116">
        <v>2154</v>
      </c>
      <c r="P2189" s="116">
        <v>2172.9499999999998</v>
      </c>
      <c r="Q2189" s="116">
        <v>2181.4</v>
      </c>
      <c r="R2189">
        <v>510094</v>
      </c>
    </row>
    <row r="2190" spans="1:18" x14ac:dyDescent="0.25">
      <c r="A2190" s="163">
        <v>45230</v>
      </c>
      <c r="B2190" s="116">
        <v>2213.35</v>
      </c>
      <c r="C2190" s="116">
        <v>2194.85</v>
      </c>
      <c r="D2190" s="116">
        <v>2172.85</v>
      </c>
      <c r="E2190" s="116">
        <v>2182.5500000000002</v>
      </c>
      <c r="F2190" s="116">
        <v>2194.85</v>
      </c>
      <c r="G2190">
        <v>12338</v>
      </c>
      <c r="H2190" s="116"/>
      <c r="I2190" s="116"/>
      <c r="L2190" s="163">
        <v>45230</v>
      </c>
      <c r="M2190" s="116">
        <v>2195.3000000000002</v>
      </c>
      <c r="N2190" s="116">
        <v>2214</v>
      </c>
      <c r="O2190" s="116">
        <v>2171</v>
      </c>
      <c r="P2190" s="116">
        <v>2180</v>
      </c>
      <c r="Q2190" s="116">
        <v>2195.3000000000002</v>
      </c>
      <c r="R2190">
        <v>273868</v>
      </c>
    </row>
    <row r="2191" spans="1:18" x14ac:dyDescent="0.25">
      <c r="A2191" s="163">
        <v>45231</v>
      </c>
      <c r="B2191" s="116">
        <v>2200.15</v>
      </c>
      <c r="C2191" s="116">
        <v>2183.6999999999998</v>
      </c>
      <c r="D2191" s="116">
        <v>2159.6</v>
      </c>
      <c r="E2191" s="116">
        <v>2181.6</v>
      </c>
      <c r="F2191" s="116">
        <v>2183.6999999999998</v>
      </c>
      <c r="G2191">
        <v>6739</v>
      </c>
      <c r="H2191" s="116"/>
      <c r="I2191" s="116"/>
      <c r="L2191" s="163">
        <v>45231</v>
      </c>
      <c r="M2191" s="116">
        <v>2183.4</v>
      </c>
      <c r="N2191" s="116">
        <v>2199.85</v>
      </c>
      <c r="O2191" s="116">
        <v>2160.0500000000002</v>
      </c>
      <c r="P2191" s="116">
        <v>2190</v>
      </c>
      <c r="Q2191" s="116">
        <v>2183.4</v>
      </c>
      <c r="R2191">
        <v>364774</v>
      </c>
    </row>
    <row r="2192" spans="1:18" x14ac:dyDescent="0.25">
      <c r="A2192" s="163">
        <v>45232</v>
      </c>
      <c r="B2192" s="116">
        <v>2248.35</v>
      </c>
      <c r="C2192" s="116">
        <v>2238.1999999999998</v>
      </c>
      <c r="D2192" s="116">
        <v>2187.75</v>
      </c>
      <c r="E2192" s="116">
        <v>2187.75</v>
      </c>
      <c r="F2192" s="116">
        <v>2238.1999999999998</v>
      </c>
      <c r="G2192">
        <v>15919</v>
      </c>
      <c r="H2192" s="116"/>
      <c r="I2192" s="116"/>
      <c r="L2192" s="163">
        <v>45232</v>
      </c>
      <c r="M2192" s="116">
        <v>2238.4499999999998</v>
      </c>
      <c r="N2192" s="116">
        <v>2248.5</v>
      </c>
      <c r="O2192" s="116">
        <v>2190</v>
      </c>
      <c r="P2192" s="116">
        <v>2190</v>
      </c>
      <c r="Q2192" s="116">
        <v>2238.4499999999998</v>
      </c>
      <c r="R2192">
        <v>317319</v>
      </c>
    </row>
    <row r="2193" spans="1:18" x14ac:dyDescent="0.25">
      <c r="A2193" s="163">
        <v>45233</v>
      </c>
      <c r="B2193" s="116">
        <v>2267.75</v>
      </c>
      <c r="C2193" s="116">
        <v>2252.65</v>
      </c>
      <c r="D2193" s="116">
        <v>2234.3000000000002</v>
      </c>
      <c r="E2193" s="116">
        <v>2252</v>
      </c>
      <c r="F2193" s="116">
        <v>2252.65</v>
      </c>
      <c r="G2193">
        <v>7253</v>
      </c>
      <c r="H2193" s="116"/>
      <c r="I2193" s="116"/>
      <c r="L2193" s="163">
        <v>45233</v>
      </c>
      <c r="M2193" s="116">
        <v>2253.35</v>
      </c>
      <c r="N2193" s="116">
        <v>2268.9499999999998</v>
      </c>
      <c r="O2193" s="116">
        <v>2235.8000000000002</v>
      </c>
      <c r="P2193" s="116">
        <v>2252</v>
      </c>
      <c r="Q2193" s="116">
        <v>2253.35</v>
      </c>
      <c r="R2193">
        <v>224509</v>
      </c>
    </row>
    <row r="2194" spans="1:18" x14ac:dyDescent="0.25">
      <c r="A2194" s="163">
        <v>45236</v>
      </c>
      <c r="B2194" s="116">
        <v>2349.6</v>
      </c>
      <c r="C2194" s="116">
        <v>2335.6</v>
      </c>
      <c r="D2194" s="116">
        <v>2271.65</v>
      </c>
      <c r="E2194" s="116">
        <v>2275.0500000000002</v>
      </c>
      <c r="F2194" s="116">
        <v>2335.6</v>
      </c>
      <c r="G2194">
        <v>15971</v>
      </c>
      <c r="H2194" s="116"/>
      <c r="I2194" s="116"/>
      <c r="L2194" s="163">
        <v>45236</v>
      </c>
      <c r="M2194" s="116">
        <v>2337.1999999999998</v>
      </c>
      <c r="N2194" s="116">
        <v>2349.5</v>
      </c>
      <c r="O2194" s="116">
        <v>2260.0500000000002</v>
      </c>
      <c r="P2194" s="116">
        <v>2290.35</v>
      </c>
      <c r="Q2194" s="116">
        <v>2337.1999999999998</v>
      </c>
      <c r="R2194">
        <v>845207</v>
      </c>
    </row>
    <row r="2195" spans="1:18" x14ac:dyDescent="0.25">
      <c r="A2195" s="163">
        <v>45237</v>
      </c>
      <c r="B2195" s="116">
        <v>2349.4499999999998</v>
      </c>
      <c r="C2195" s="116">
        <v>2338.85</v>
      </c>
      <c r="D2195" s="116">
        <v>2322.8000000000002</v>
      </c>
      <c r="E2195" s="116">
        <v>2343.9499999999998</v>
      </c>
      <c r="F2195" s="116">
        <v>2338.85</v>
      </c>
      <c r="G2195">
        <v>7703</v>
      </c>
      <c r="H2195" s="116"/>
      <c r="I2195" s="116"/>
      <c r="L2195" s="163">
        <v>45237</v>
      </c>
      <c r="M2195" s="116">
        <v>2341.1999999999998</v>
      </c>
      <c r="N2195" s="116">
        <v>2350</v>
      </c>
      <c r="O2195" s="116">
        <v>2321.75</v>
      </c>
      <c r="P2195" s="116">
        <v>2337.9499999999998</v>
      </c>
      <c r="Q2195" s="116">
        <v>2341.1999999999998</v>
      </c>
      <c r="R2195">
        <v>230686</v>
      </c>
    </row>
    <row r="2196" spans="1:18" x14ac:dyDescent="0.25">
      <c r="A2196" s="163">
        <v>45238</v>
      </c>
      <c r="B2196" s="116">
        <v>2360</v>
      </c>
      <c r="C2196" s="116">
        <v>2351.65</v>
      </c>
      <c r="D2196" s="116">
        <v>2335.35</v>
      </c>
      <c r="E2196" s="116">
        <v>2341.25</v>
      </c>
      <c r="F2196" s="116">
        <v>2351.65</v>
      </c>
      <c r="G2196">
        <v>5826</v>
      </c>
      <c r="H2196" s="116"/>
      <c r="I2196" s="116"/>
      <c r="L2196" s="163">
        <v>45238</v>
      </c>
      <c r="M2196" s="116">
        <v>2352.6</v>
      </c>
      <c r="N2196" s="116">
        <v>2361.1999999999998</v>
      </c>
      <c r="O2196" s="116">
        <v>2335.35</v>
      </c>
      <c r="P2196" s="116">
        <v>2349</v>
      </c>
      <c r="Q2196" s="116">
        <v>2352.6</v>
      </c>
      <c r="R2196">
        <v>293823</v>
      </c>
    </row>
    <row r="2197" spans="1:18" x14ac:dyDescent="0.25">
      <c r="A2197" s="163">
        <v>45239</v>
      </c>
      <c r="B2197" s="116">
        <v>2361</v>
      </c>
      <c r="C2197" s="116">
        <v>2335.9499999999998</v>
      </c>
      <c r="D2197" s="116">
        <v>2329.5500000000002</v>
      </c>
      <c r="E2197" s="116">
        <v>2330.4</v>
      </c>
      <c r="F2197" s="116">
        <v>2335.9499999999998</v>
      </c>
      <c r="G2197">
        <v>2803</v>
      </c>
      <c r="H2197" s="116"/>
      <c r="I2197" s="116"/>
      <c r="L2197" s="163">
        <v>45239</v>
      </c>
      <c r="M2197" s="116">
        <v>2337.35</v>
      </c>
      <c r="N2197" s="116">
        <v>2356.5</v>
      </c>
      <c r="O2197" s="116">
        <v>2330.1</v>
      </c>
      <c r="P2197" s="116">
        <v>2356.15</v>
      </c>
      <c r="Q2197" s="116">
        <v>2337.35</v>
      </c>
      <c r="R2197">
        <v>110366</v>
      </c>
    </row>
    <row r="2198" spans="1:18" x14ac:dyDescent="0.25">
      <c r="A2198" s="163">
        <v>45240</v>
      </c>
      <c r="B2198" s="116">
        <v>2354.1</v>
      </c>
      <c r="C2198" s="116">
        <v>2349.4499999999998</v>
      </c>
      <c r="D2198" s="116">
        <v>2311.0500000000002</v>
      </c>
      <c r="E2198" s="116">
        <v>2311.0500000000002</v>
      </c>
      <c r="F2198" s="116">
        <v>2349.4499999999998</v>
      </c>
      <c r="G2198">
        <v>4673</v>
      </c>
      <c r="H2198" s="116"/>
      <c r="I2198" s="116"/>
      <c r="L2198" s="163">
        <v>45240</v>
      </c>
      <c r="M2198" s="116">
        <v>2351.1999999999998</v>
      </c>
      <c r="N2198" s="116">
        <v>2354.9499999999998</v>
      </c>
      <c r="O2198" s="116">
        <v>2315.1</v>
      </c>
      <c r="P2198" s="116">
        <v>2328</v>
      </c>
      <c r="Q2198" s="116">
        <v>2351.1999999999998</v>
      </c>
      <c r="R2198">
        <v>122114</v>
      </c>
    </row>
    <row r="2199" spans="1:18" x14ac:dyDescent="0.25">
      <c r="A2199" s="163">
        <v>45242</v>
      </c>
      <c r="B2199" s="116">
        <v>2371.25</v>
      </c>
      <c r="C2199" s="116">
        <v>2349.5</v>
      </c>
      <c r="D2199" s="116">
        <v>2340.0500000000002</v>
      </c>
      <c r="E2199" s="116">
        <v>2360</v>
      </c>
      <c r="F2199" s="116">
        <v>2349.5</v>
      </c>
      <c r="G2199">
        <v>1378</v>
      </c>
      <c r="H2199" s="116"/>
      <c r="I2199" s="116"/>
      <c r="L2199" s="163">
        <v>45242</v>
      </c>
      <c r="M2199" s="116">
        <v>2348.0500000000002</v>
      </c>
      <c r="N2199" s="116">
        <v>2368</v>
      </c>
      <c r="O2199" s="116">
        <v>2342</v>
      </c>
      <c r="P2199" s="116">
        <v>2368</v>
      </c>
      <c r="Q2199" s="116">
        <v>2348.0500000000002</v>
      </c>
      <c r="R2199">
        <v>35217</v>
      </c>
    </row>
    <row r="2200" spans="1:18" x14ac:dyDescent="0.25">
      <c r="A2200" s="163">
        <v>45243</v>
      </c>
      <c r="B2200" s="116">
        <v>2356.85</v>
      </c>
      <c r="C2200" s="116">
        <v>2335.35</v>
      </c>
      <c r="D2200" s="116">
        <v>2326.4499999999998</v>
      </c>
      <c r="E2200" s="116">
        <v>2330.0500000000002</v>
      </c>
      <c r="F2200" s="116">
        <v>2335.35</v>
      </c>
      <c r="G2200">
        <v>10447</v>
      </c>
      <c r="H2200" s="116"/>
      <c r="I2200" s="116"/>
      <c r="L2200" s="163">
        <v>45243</v>
      </c>
      <c r="M2200" s="116">
        <v>2336.9499999999998</v>
      </c>
      <c r="N2200" s="116">
        <v>2358</v>
      </c>
      <c r="O2200" s="116">
        <v>2325.5</v>
      </c>
      <c r="P2200" s="116">
        <v>2345.5</v>
      </c>
      <c r="Q2200" s="116">
        <v>2336.9499999999998</v>
      </c>
      <c r="R2200">
        <v>106449</v>
      </c>
    </row>
    <row r="2201" spans="1:18" x14ac:dyDescent="0.25">
      <c r="A2201" s="163">
        <v>45245</v>
      </c>
      <c r="B2201" s="116">
        <v>2364.9499999999998</v>
      </c>
      <c r="C2201" s="116">
        <v>2358.65</v>
      </c>
      <c r="D2201" s="116">
        <v>2340</v>
      </c>
      <c r="E2201" s="116">
        <v>2340.0500000000002</v>
      </c>
      <c r="F2201" s="116">
        <v>2358.65</v>
      </c>
      <c r="G2201">
        <v>6897</v>
      </c>
      <c r="H2201" s="116"/>
      <c r="I2201" s="116"/>
      <c r="L2201" s="163">
        <v>45245</v>
      </c>
      <c r="M2201" s="116">
        <v>2360.8000000000002</v>
      </c>
      <c r="N2201" s="116">
        <v>2364.5</v>
      </c>
      <c r="O2201" s="116">
        <v>2338.1</v>
      </c>
      <c r="P2201" s="116">
        <v>2349</v>
      </c>
      <c r="Q2201" s="116">
        <v>2360.8000000000002</v>
      </c>
      <c r="R2201">
        <v>256187</v>
      </c>
    </row>
    <row r="2202" spans="1:18" x14ac:dyDescent="0.25">
      <c r="A2202" s="163">
        <v>45246</v>
      </c>
      <c r="B2202" s="116">
        <v>2362.65</v>
      </c>
      <c r="C2202" s="116">
        <v>2354.3000000000002</v>
      </c>
      <c r="D2202" s="116">
        <v>2348</v>
      </c>
      <c r="E2202" s="116">
        <v>2359</v>
      </c>
      <c r="F2202" s="116">
        <v>2354.3000000000002</v>
      </c>
      <c r="G2202">
        <v>2876</v>
      </c>
      <c r="H2202" s="116"/>
      <c r="I2202" s="116"/>
      <c r="L2202" s="163">
        <v>45246</v>
      </c>
      <c r="M2202" s="116">
        <v>2354.0500000000002</v>
      </c>
      <c r="N2202" s="116">
        <v>2365.9499999999998</v>
      </c>
      <c r="O2202" s="116">
        <v>2347.5</v>
      </c>
      <c r="P2202" s="116">
        <v>2360.8000000000002</v>
      </c>
      <c r="Q2202" s="116">
        <v>2354.0500000000002</v>
      </c>
      <c r="R2202">
        <v>179132</v>
      </c>
    </row>
    <row r="2203" spans="1:18" x14ac:dyDescent="0.25">
      <c r="A2203" s="163">
        <v>45247</v>
      </c>
      <c r="B2203" s="116">
        <v>2377</v>
      </c>
      <c r="C2203" s="116">
        <v>2360.85</v>
      </c>
      <c r="D2203" s="116">
        <v>2340.0500000000002</v>
      </c>
      <c r="E2203" s="116">
        <v>2340.0500000000002</v>
      </c>
      <c r="F2203" s="116">
        <v>2360.85</v>
      </c>
      <c r="G2203">
        <v>16330</v>
      </c>
      <c r="H2203" s="116"/>
      <c r="I2203" s="116"/>
      <c r="L2203" s="163">
        <v>45247</v>
      </c>
      <c r="M2203" s="116">
        <v>2361.35</v>
      </c>
      <c r="N2203" s="116">
        <v>2378.85</v>
      </c>
      <c r="O2203" s="116">
        <v>2342.65</v>
      </c>
      <c r="P2203" s="116">
        <v>2354.0500000000002</v>
      </c>
      <c r="Q2203" s="116">
        <v>2361.35</v>
      </c>
      <c r="R2203">
        <v>249581</v>
      </c>
    </row>
    <row r="2204" spans="1:18" x14ac:dyDescent="0.25">
      <c r="A2204" s="163">
        <v>45250</v>
      </c>
      <c r="B2204" s="116">
        <v>2365</v>
      </c>
      <c r="C2204" s="116">
        <v>2328.8000000000002</v>
      </c>
      <c r="D2204" s="116">
        <v>2324.85</v>
      </c>
      <c r="E2204" s="116">
        <v>2365</v>
      </c>
      <c r="F2204" s="116">
        <v>2328.8000000000002</v>
      </c>
      <c r="G2204">
        <v>4506</v>
      </c>
      <c r="H2204" s="116"/>
      <c r="I2204" s="116"/>
      <c r="L2204" s="163">
        <v>45250</v>
      </c>
      <c r="M2204" s="116">
        <v>2329.25</v>
      </c>
      <c r="N2204" s="116">
        <v>2362</v>
      </c>
      <c r="O2204" s="116">
        <v>2324.0500000000002</v>
      </c>
      <c r="P2204" s="116">
        <v>2361.35</v>
      </c>
      <c r="Q2204" s="116">
        <v>2329.25</v>
      </c>
      <c r="R2204">
        <v>119747</v>
      </c>
    </row>
    <row r="2205" spans="1:18" x14ac:dyDescent="0.25">
      <c r="A2205" s="163">
        <v>45251</v>
      </c>
      <c r="B2205" s="116">
        <v>2358</v>
      </c>
      <c r="C2205" s="116">
        <v>2353.85</v>
      </c>
      <c r="D2205" s="116">
        <v>2328.85</v>
      </c>
      <c r="E2205" s="116">
        <v>2328.85</v>
      </c>
      <c r="F2205" s="116">
        <v>2353.85</v>
      </c>
      <c r="G2205">
        <v>3445</v>
      </c>
      <c r="H2205" s="116"/>
      <c r="I2205" s="116"/>
      <c r="L2205" s="163">
        <v>45251</v>
      </c>
      <c r="M2205" s="116">
        <v>2353.5500000000002</v>
      </c>
      <c r="N2205" s="116">
        <v>2358.6</v>
      </c>
      <c r="O2205" s="116">
        <v>2333.4499999999998</v>
      </c>
      <c r="P2205" s="116">
        <v>2337.9499999999998</v>
      </c>
      <c r="Q2205" s="116">
        <v>2353.5500000000002</v>
      </c>
      <c r="R2205">
        <v>105600</v>
      </c>
    </row>
    <row r="2206" spans="1:18" x14ac:dyDescent="0.25">
      <c r="A2206" s="163">
        <v>45252</v>
      </c>
      <c r="B2206" s="116">
        <v>2368</v>
      </c>
      <c r="C2206" s="116">
        <v>2332.6</v>
      </c>
      <c r="D2206" s="116">
        <v>2328.8000000000002</v>
      </c>
      <c r="E2206" s="116">
        <v>2344</v>
      </c>
      <c r="F2206" s="116">
        <v>2332.6</v>
      </c>
      <c r="G2206">
        <v>10504</v>
      </c>
      <c r="H2206" s="116"/>
      <c r="I2206" s="116"/>
      <c r="L2206" s="163">
        <v>45252</v>
      </c>
      <c r="M2206" s="116">
        <v>2333.1</v>
      </c>
      <c r="N2206" s="116">
        <v>2368.4499999999998</v>
      </c>
      <c r="O2206" s="116">
        <v>2329</v>
      </c>
      <c r="P2206" s="116">
        <v>2343.5500000000002</v>
      </c>
      <c r="Q2206" s="116">
        <v>2333.1</v>
      </c>
      <c r="R2206">
        <v>110135</v>
      </c>
    </row>
    <row r="2207" spans="1:18" x14ac:dyDescent="0.25">
      <c r="A2207" s="163">
        <v>45253</v>
      </c>
      <c r="B2207" s="116">
        <v>2365</v>
      </c>
      <c r="C2207" s="116">
        <v>2360.25</v>
      </c>
      <c r="D2207" s="116">
        <v>2328.4499999999998</v>
      </c>
      <c r="E2207" s="116">
        <v>2354</v>
      </c>
      <c r="F2207" s="116">
        <v>2360.25</v>
      </c>
      <c r="G2207">
        <v>4645</v>
      </c>
      <c r="H2207" s="116"/>
      <c r="I2207" s="116"/>
      <c r="L2207" s="163">
        <v>45253</v>
      </c>
      <c r="M2207" s="116">
        <v>2359.6</v>
      </c>
      <c r="N2207" s="116">
        <v>2364.1</v>
      </c>
      <c r="O2207" s="116">
        <v>2329.9499999999998</v>
      </c>
      <c r="P2207" s="116">
        <v>2342</v>
      </c>
      <c r="Q2207" s="116">
        <v>2359.6</v>
      </c>
      <c r="R2207">
        <v>138094</v>
      </c>
    </row>
    <row r="2208" spans="1:18" x14ac:dyDescent="0.25">
      <c r="A2208" s="163">
        <v>45254</v>
      </c>
      <c r="B2208" s="116">
        <v>2382.9499999999998</v>
      </c>
      <c r="C2208" s="116">
        <v>2359.9499999999998</v>
      </c>
      <c r="D2208" s="116">
        <v>2351.6</v>
      </c>
      <c r="E2208" s="116">
        <v>2363.9499999999998</v>
      </c>
      <c r="F2208" s="116">
        <v>2359.9499999999998</v>
      </c>
      <c r="G2208">
        <v>15303</v>
      </c>
      <c r="H2208" s="116"/>
      <c r="I2208" s="116"/>
      <c r="L2208" s="163">
        <v>45254</v>
      </c>
      <c r="M2208" s="116">
        <v>2359.4</v>
      </c>
      <c r="N2208" s="116">
        <v>2383.25</v>
      </c>
      <c r="O2208" s="116">
        <v>2350.6</v>
      </c>
      <c r="P2208" s="116">
        <v>2359.0500000000002</v>
      </c>
      <c r="Q2208" s="116">
        <v>2359.4</v>
      </c>
      <c r="R2208">
        <v>272673</v>
      </c>
    </row>
    <row r="2209" spans="1:18" x14ac:dyDescent="0.25">
      <c r="A2209" s="163">
        <v>45258</v>
      </c>
      <c r="B2209" s="116">
        <v>2366.75</v>
      </c>
      <c r="C2209" s="116">
        <v>2352.1</v>
      </c>
      <c r="D2209" s="116">
        <v>2331.6</v>
      </c>
      <c r="E2209" s="116">
        <v>2352.0500000000002</v>
      </c>
      <c r="F2209" s="116">
        <v>2352.1</v>
      </c>
      <c r="G2209">
        <v>15165</v>
      </c>
      <c r="H2209" s="116"/>
      <c r="I2209" s="116"/>
      <c r="L2209" s="163">
        <v>45258</v>
      </c>
      <c r="M2209" s="116">
        <v>2351.6</v>
      </c>
      <c r="N2209" s="116">
        <v>2365</v>
      </c>
      <c r="O2209" s="116">
        <v>2331.4</v>
      </c>
      <c r="P2209" s="116">
        <v>2365</v>
      </c>
      <c r="Q2209" s="116">
        <v>2351.6</v>
      </c>
      <c r="R2209">
        <v>262258</v>
      </c>
    </row>
    <row r="2210" spans="1:18" x14ac:dyDescent="0.25">
      <c r="A2210" s="163">
        <v>45259</v>
      </c>
      <c r="B2210" s="116">
        <v>2362</v>
      </c>
      <c r="C2210" s="116">
        <v>2351.3000000000002</v>
      </c>
      <c r="D2210" s="116">
        <v>2342</v>
      </c>
      <c r="E2210" s="116">
        <v>2360.0500000000002</v>
      </c>
      <c r="F2210" s="116">
        <v>2351.3000000000002</v>
      </c>
      <c r="G2210">
        <v>11459</v>
      </c>
      <c r="H2210" s="116"/>
      <c r="I2210" s="116"/>
      <c r="L2210" s="163">
        <v>45259</v>
      </c>
      <c r="M2210" s="116">
        <v>2351.6999999999998</v>
      </c>
      <c r="N2210" s="116">
        <v>2365</v>
      </c>
      <c r="O2210" s="116">
        <v>2345</v>
      </c>
      <c r="P2210" s="116">
        <v>2365</v>
      </c>
      <c r="Q2210" s="116">
        <v>2351.6999999999998</v>
      </c>
      <c r="R2210">
        <v>169254</v>
      </c>
    </row>
    <row r="2211" spans="1:18" x14ac:dyDescent="0.25">
      <c r="A2211" s="163">
        <v>45260</v>
      </c>
      <c r="B2211" s="116">
        <v>2375</v>
      </c>
      <c r="C2211" s="116">
        <v>2368.4</v>
      </c>
      <c r="D2211" s="116">
        <v>2340</v>
      </c>
      <c r="E2211" s="116">
        <v>2340</v>
      </c>
      <c r="F2211" s="116">
        <v>2368.4</v>
      </c>
      <c r="G2211">
        <v>7334</v>
      </c>
      <c r="H2211" s="116"/>
      <c r="I2211" s="116"/>
      <c r="L2211" s="163">
        <v>45260</v>
      </c>
      <c r="M2211" s="116">
        <v>2367.4</v>
      </c>
      <c r="N2211" s="116">
        <v>2375</v>
      </c>
      <c r="O2211" s="116">
        <v>2341.1</v>
      </c>
      <c r="P2211" s="116">
        <v>2351.6999999999998</v>
      </c>
      <c r="Q2211" s="116">
        <v>2367.4</v>
      </c>
      <c r="R2211">
        <v>554716</v>
      </c>
    </row>
    <row r="2212" spans="1:18" x14ac:dyDescent="0.25">
      <c r="A2212" s="163">
        <v>45261</v>
      </c>
      <c r="B2212" s="116">
        <v>2445.0500000000002</v>
      </c>
      <c r="C2212" s="116">
        <v>2410.3000000000002</v>
      </c>
      <c r="D2212" s="116">
        <v>2350</v>
      </c>
      <c r="E2212" s="116">
        <v>2350</v>
      </c>
      <c r="F2212" s="116">
        <v>2410.3000000000002</v>
      </c>
      <c r="G2212">
        <v>72460</v>
      </c>
      <c r="H2212" s="116"/>
      <c r="I2212" s="116"/>
      <c r="L2212" s="163">
        <v>45261</v>
      </c>
      <c r="M2212" s="116">
        <v>2412.5</v>
      </c>
      <c r="N2212" s="116">
        <v>2445</v>
      </c>
      <c r="O2212" s="116">
        <v>2360.8000000000002</v>
      </c>
      <c r="P2212" s="116">
        <v>2364.8000000000002</v>
      </c>
      <c r="Q2212" s="116">
        <v>2412.5</v>
      </c>
      <c r="R2212">
        <v>1117033</v>
      </c>
    </row>
    <row r="2213" spans="1:18" x14ac:dyDescent="0.25">
      <c r="A2213" s="163">
        <v>45264</v>
      </c>
      <c r="B2213" s="116">
        <v>2445.0500000000002</v>
      </c>
      <c r="C2213" s="116">
        <v>2426.1999999999998</v>
      </c>
      <c r="D2213" s="116">
        <v>2414.9</v>
      </c>
      <c r="E2213" s="116">
        <v>2445.0500000000002</v>
      </c>
      <c r="F2213" s="116">
        <v>2426.1999999999998</v>
      </c>
      <c r="G2213">
        <v>10177</v>
      </c>
      <c r="H2213" s="116"/>
      <c r="I2213" s="116"/>
      <c r="L2213" s="163">
        <v>45264</v>
      </c>
      <c r="M2213" s="116">
        <v>2427.4499999999998</v>
      </c>
      <c r="N2213" s="116">
        <v>2444.4</v>
      </c>
      <c r="O2213" s="116">
        <v>2412.85</v>
      </c>
      <c r="P2213" s="116">
        <v>2435</v>
      </c>
      <c r="Q2213" s="116">
        <v>2427.4499999999998</v>
      </c>
      <c r="R2213">
        <v>365372</v>
      </c>
    </row>
    <row r="2214" spans="1:18" x14ac:dyDescent="0.25">
      <c r="A2214" s="163">
        <v>45265</v>
      </c>
      <c r="B2214" s="116">
        <v>2477.9</v>
      </c>
      <c r="C2214" s="116">
        <v>2455</v>
      </c>
      <c r="D2214" s="116">
        <v>2419.35</v>
      </c>
      <c r="E2214" s="116">
        <v>2434.9499999999998</v>
      </c>
      <c r="F2214" s="116">
        <v>2455</v>
      </c>
      <c r="G2214">
        <v>27824</v>
      </c>
      <c r="H2214" s="116"/>
      <c r="I2214" s="116"/>
      <c r="L2214" s="163">
        <v>45265</v>
      </c>
      <c r="M2214" s="116">
        <v>2455.4499999999998</v>
      </c>
      <c r="N2214" s="116">
        <v>2478.25</v>
      </c>
      <c r="O2214" s="116">
        <v>2423.35</v>
      </c>
      <c r="P2214" s="116">
        <v>2427.9499999999998</v>
      </c>
      <c r="Q2214" s="116">
        <v>2455.4499999999998</v>
      </c>
      <c r="R2214">
        <v>941927</v>
      </c>
    </row>
    <row r="2215" spans="1:18" x14ac:dyDescent="0.25">
      <c r="A2215" s="163">
        <v>45266</v>
      </c>
      <c r="B2215" s="116">
        <v>2510</v>
      </c>
      <c r="C2215" s="116">
        <v>2451.85</v>
      </c>
      <c r="D2215" s="116">
        <v>2443.75</v>
      </c>
      <c r="E2215" s="116">
        <v>2466</v>
      </c>
      <c r="F2215" s="116">
        <v>2451.85</v>
      </c>
      <c r="G2215">
        <v>19677</v>
      </c>
      <c r="H2215" s="116"/>
      <c r="I2215" s="116"/>
      <c r="L2215" s="163">
        <v>45266</v>
      </c>
      <c r="M2215" s="116">
        <v>2452.1</v>
      </c>
      <c r="N2215" s="116">
        <v>2510</v>
      </c>
      <c r="O2215" s="116">
        <v>2442.8000000000002</v>
      </c>
      <c r="P2215" s="116">
        <v>2468.9499999999998</v>
      </c>
      <c r="Q2215" s="116">
        <v>2452.1</v>
      </c>
      <c r="R2215">
        <v>693194</v>
      </c>
    </row>
    <row r="2216" spans="1:18" x14ac:dyDescent="0.25">
      <c r="A2216" s="163">
        <v>45267</v>
      </c>
      <c r="B2216" s="116">
        <v>2459.4</v>
      </c>
      <c r="C2216" s="116">
        <v>2442.35</v>
      </c>
      <c r="D2216" s="116">
        <v>2437.1</v>
      </c>
      <c r="E2216" s="116">
        <v>2454.25</v>
      </c>
      <c r="F2216" s="116">
        <v>2442.35</v>
      </c>
      <c r="G2216">
        <v>7709</v>
      </c>
      <c r="H2216" s="116"/>
      <c r="I2216" s="116"/>
      <c r="L2216" s="163">
        <v>45267</v>
      </c>
      <c r="M2216" s="116">
        <v>2442.1999999999998</v>
      </c>
      <c r="N2216" s="116">
        <v>2460</v>
      </c>
      <c r="O2216" s="116">
        <v>2435.85</v>
      </c>
      <c r="P2216" s="116">
        <v>2460</v>
      </c>
      <c r="Q2216" s="116">
        <v>2442.1999999999998</v>
      </c>
      <c r="R2216">
        <v>651430</v>
      </c>
    </row>
    <row r="2217" spans="1:18" x14ac:dyDescent="0.25">
      <c r="A2217" s="163">
        <v>45268</v>
      </c>
      <c r="B2217" s="116">
        <v>2456.9499999999998</v>
      </c>
      <c r="C2217" s="116">
        <v>2422.3000000000002</v>
      </c>
      <c r="D2217" s="116">
        <v>2395.9</v>
      </c>
      <c r="E2217" s="116">
        <v>2447.6</v>
      </c>
      <c r="F2217" s="116">
        <v>2422.3000000000002</v>
      </c>
      <c r="G2217">
        <v>33285</v>
      </c>
      <c r="H2217" s="116"/>
      <c r="I2217" s="116"/>
      <c r="L2217" s="163">
        <v>45268</v>
      </c>
      <c r="M2217" s="116">
        <v>2423.1</v>
      </c>
      <c r="N2217" s="116">
        <v>2462.1999999999998</v>
      </c>
      <c r="O2217" s="116">
        <v>2396.25</v>
      </c>
      <c r="P2217" s="116">
        <v>2450.0500000000002</v>
      </c>
      <c r="Q2217" s="116">
        <v>2423.1</v>
      </c>
      <c r="R2217">
        <v>316577</v>
      </c>
    </row>
    <row r="2218" spans="1:18" x14ac:dyDescent="0.25">
      <c r="A2218" s="163">
        <v>45271</v>
      </c>
      <c r="B2218" s="116">
        <v>2454.4</v>
      </c>
      <c r="C2218" s="116">
        <v>2430.1999999999998</v>
      </c>
      <c r="D2218" s="116">
        <v>2415.4499999999998</v>
      </c>
      <c r="E2218" s="116">
        <v>2439.6999999999998</v>
      </c>
      <c r="F2218" s="116">
        <v>2430.1999999999998</v>
      </c>
      <c r="G2218">
        <v>17425</v>
      </c>
      <c r="H2218" s="116"/>
      <c r="I2218" s="116"/>
      <c r="L2218" s="163">
        <v>45271</v>
      </c>
      <c r="M2218" s="116">
        <v>2431.75</v>
      </c>
      <c r="N2218" s="116">
        <v>2455</v>
      </c>
      <c r="O2218" s="116">
        <v>2415.6</v>
      </c>
      <c r="P2218" s="116">
        <v>2425</v>
      </c>
      <c r="Q2218" s="116">
        <v>2431.75</v>
      </c>
      <c r="R2218">
        <v>768537</v>
      </c>
    </row>
    <row r="2219" spans="1:18" x14ac:dyDescent="0.25">
      <c r="A2219" s="163">
        <v>45272</v>
      </c>
      <c r="B2219" s="116">
        <v>2454.4</v>
      </c>
      <c r="C2219" s="116">
        <v>2376.3000000000002</v>
      </c>
      <c r="D2219" s="116">
        <v>2359.8000000000002</v>
      </c>
      <c r="E2219" s="116">
        <v>2442.5</v>
      </c>
      <c r="F2219" s="116">
        <v>2376.3000000000002</v>
      </c>
      <c r="G2219">
        <v>9449</v>
      </c>
      <c r="H2219" s="116"/>
      <c r="I2219" s="116"/>
      <c r="L2219" s="163">
        <v>45272</v>
      </c>
      <c r="M2219" s="116">
        <v>2378.5</v>
      </c>
      <c r="N2219" s="116">
        <v>2454.25</v>
      </c>
      <c r="O2219" s="116">
        <v>2359.1999999999998</v>
      </c>
      <c r="P2219" s="116">
        <v>2440</v>
      </c>
      <c r="Q2219" s="116">
        <v>2378.5</v>
      </c>
      <c r="R2219">
        <v>472046</v>
      </c>
    </row>
    <row r="2220" spans="1:18" x14ac:dyDescent="0.25">
      <c r="A2220" s="163">
        <v>45273</v>
      </c>
      <c r="B2220" s="116">
        <v>2416.9</v>
      </c>
      <c r="C2220" s="116">
        <v>2411.9499999999998</v>
      </c>
      <c r="D2220" s="116">
        <v>2378.4</v>
      </c>
      <c r="E2220" s="116">
        <v>2389.15</v>
      </c>
      <c r="F2220" s="116">
        <v>2411.9499999999998</v>
      </c>
      <c r="G2220">
        <v>8639</v>
      </c>
      <c r="H2220" s="116"/>
      <c r="I2220" s="116"/>
      <c r="L2220" s="163">
        <v>45273</v>
      </c>
      <c r="M2220" s="116">
        <v>2411.5500000000002</v>
      </c>
      <c r="N2220" s="116">
        <v>2416</v>
      </c>
      <c r="O2220" s="116">
        <v>2378</v>
      </c>
      <c r="P2220" s="116">
        <v>2395</v>
      </c>
      <c r="Q2220" s="116">
        <v>2411.5500000000002</v>
      </c>
      <c r="R2220">
        <v>501631</v>
      </c>
    </row>
    <row r="2221" spans="1:18" x14ac:dyDescent="0.25">
      <c r="A2221" s="163">
        <v>45274</v>
      </c>
      <c r="B2221" s="116">
        <v>2444.9499999999998</v>
      </c>
      <c r="C2221" s="116">
        <v>2416.35</v>
      </c>
      <c r="D2221" s="116">
        <v>2398.5500000000002</v>
      </c>
      <c r="E2221" s="116">
        <v>2444.9499999999998</v>
      </c>
      <c r="F2221" s="116">
        <v>2416.35</v>
      </c>
      <c r="G2221">
        <v>21242</v>
      </c>
      <c r="H2221" s="116"/>
      <c r="I2221" s="116"/>
      <c r="L2221" s="163">
        <v>45274</v>
      </c>
      <c r="M2221" s="116">
        <v>2421.4</v>
      </c>
      <c r="N2221" s="116">
        <v>2436.75</v>
      </c>
      <c r="O2221" s="116">
        <v>2399.25</v>
      </c>
      <c r="P2221" s="116">
        <v>2427</v>
      </c>
      <c r="Q2221" s="116">
        <v>2421.4</v>
      </c>
      <c r="R2221">
        <v>507202</v>
      </c>
    </row>
    <row r="2222" spans="1:18" x14ac:dyDescent="0.25">
      <c r="A2222" s="163">
        <v>45275</v>
      </c>
      <c r="B2222" s="116">
        <v>2475.9499999999998</v>
      </c>
      <c r="C2222" s="116">
        <v>2438.9499999999998</v>
      </c>
      <c r="D2222" s="116">
        <v>2410.0500000000002</v>
      </c>
      <c r="E2222" s="116">
        <v>2410.0500000000002</v>
      </c>
      <c r="F2222" s="116">
        <v>2438.9499999999998</v>
      </c>
      <c r="G2222">
        <v>11817</v>
      </c>
      <c r="H2222" s="116"/>
      <c r="I2222" s="116"/>
      <c r="L2222" s="163">
        <v>45275</v>
      </c>
      <c r="M2222" s="116">
        <v>2439.75</v>
      </c>
      <c r="N2222" s="116">
        <v>2477</v>
      </c>
      <c r="O2222" s="116">
        <v>2415</v>
      </c>
      <c r="P2222" s="116">
        <v>2415</v>
      </c>
      <c r="Q2222" s="116">
        <v>2439.75</v>
      </c>
      <c r="R2222">
        <v>621693</v>
      </c>
    </row>
    <row r="2223" spans="1:18" x14ac:dyDescent="0.25">
      <c r="A2223" s="163">
        <v>45278</v>
      </c>
      <c r="B2223" s="116">
        <v>2460.75</v>
      </c>
      <c r="C2223" s="116">
        <v>2435.6999999999998</v>
      </c>
      <c r="D2223" s="116">
        <v>2430.5</v>
      </c>
      <c r="E2223" s="116">
        <v>2448.9499999999998</v>
      </c>
      <c r="F2223" s="116">
        <v>2435.6999999999998</v>
      </c>
      <c r="G2223">
        <v>5354</v>
      </c>
      <c r="H2223" s="116"/>
      <c r="I2223" s="116"/>
      <c r="L2223" s="163">
        <v>45278</v>
      </c>
      <c r="M2223" s="116">
        <v>2437.9499999999998</v>
      </c>
      <c r="N2223" s="116">
        <v>2462</v>
      </c>
      <c r="O2223" s="116">
        <v>2431</v>
      </c>
      <c r="P2223" s="116">
        <v>2439.75</v>
      </c>
      <c r="Q2223" s="116">
        <v>2437.9499999999998</v>
      </c>
      <c r="R2223">
        <v>229075</v>
      </c>
    </row>
    <row r="2224" spans="1:18" x14ac:dyDescent="0.25">
      <c r="A2224" s="163">
        <v>45279</v>
      </c>
      <c r="B2224" s="116">
        <v>2441.6999999999998</v>
      </c>
      <c r="C2224" s="116">
        <v>2430.75</v>
      </c>
      <c r="D2224" s="116">
        <v>2415.25</v>
      </c>
      <c r="E2224" s="116">
        <v>2441.6999999999998</v>
      </c>
      <c r="F2224" s="116">
        <v>2430.75</v>
      </c>
      <c r="G2224">
        <v>13667</v>
      </c>
      <c r="H2224" s="116"/>
      <c r="I2224" s="116"/>
      <c r="L2224" s="163">
        <v>45279</v>
      </c>
      <c r="M2224" s="116">
        <v>2430.15</v>
      </c>
      <c r="N2224" s="116">
        <v>2448.6</v>
      </c>
      <c r="O2224" s="116">
        <v>2415</v>
      </c>
      <c r="P2224" s="116">
        <v>2445</v>
      </c>
      <c r="Q2224" s="116">
        <v>2430.15</v>
      </c>
      <c r="R2224">
        <v>249747</v>
      </c>
    </row>
    <row r="2225" spans="1:18" x14ac:dyDescent="0.25">
      <c r="A2225" s="163">
        <v>45280</v>
      </c>
      <c r="B2225" s="116">
        <v>2494</v>
      </c>
      <c r="C2225" s="116">
        <v>2369.4</v>
      </c>
      <c r="D2225" s="116">
        <v>2360</v>
      </c>
      <c r="E2225" s="116">
        <v>2451.8000000000002</v>
      </c>
      <c r="F2225" s="116">
        <v>2369.4</v>
      </c>
      <c r="G2225">
        <v>71950</v>
      </c>
      <c r="H2225" s="116"/>
      <c r="I2225" s="116"/>
      <c r="L2225" s="163">
        <v>45280</v>
      </c>
      <c r="M2225" s="116">
        <v>2371.1</v>
      </c>
      <c r="N2225" s="116">
        <v>2494.5</v>
      </c>
      <c r="O2225" s="116">
        <v>2358.6999999999998</v>
      </c>
      <c r="P2225" s="116">
        <v>2442.3000000000002</v>
      </c>
      <c r="Q2225" s="116">
        <v>2371.1</v>
      </c>
      <c r="R2225">
        <v>898142</v>
      </c>
    </row>
    <row r="2226" spans="1:18" x14ac:dyDescent="0.25">
      <c r="A2226" s="163">
        <v>45281</v>
      </c>
      <c r="B2226" s="116">
        <v>2406</v>
      </c>
      <c r="C2226" s="116">
        <v>2396.0500000000002</v>
      </c>
      <c r="D2226" s="116">
        <v>2345.6</v>
      </c>
      <c r="E2226" s="116">
        <v>2357.5500000000002</v>
      </c>
      <c r="F2226" s="116">
        <v>2396.0500000000002</v>
      </c>
      <c r="G2226">
        <v>10074</v>
      </c>
      <c r="H2226" s="116"/>
      <c r="I2226" s="116"/>
      <c r="L2226" s="163">
        <v>45281</v>
      </c>
      <c r="M2226" s="116">
        <v>2396</v>
      </c>
      <c r="N2226" s="116">
        <v>2407.85</v>
      </c>
      <c r="O2226" s="116">
        <v>2344.6</v>
      </c>
      <c r="P2226" s="116">
        <v>2360</v>
      </c>
      <c r="Q2226" s="116">
        <v>2396</v>
      </c>
      <c r="R2226">
        <v>241109</v>
      </c>
    </row>
    <row r="2227" spans="1:18" x14ac:dyDescent="0.25">
      <c r="A2227" s="163">
        <v>45282</v>
      </c>
      <c r="B2227" s="116">
        <v>2464.8000000000002</v>
      </c>
      <c r="C2227" s="116">
        <v>2453.1</v>
      </c>
      <c r="D2227" s="116">
        <v>2395.5500000000002</v>
      </c>
      <c r="E2227" s="116">
        <v>2407.35</v>
      </c>
      <c r="F2227" s="116">
        <v>2453.1</v>
      </c>
      <c r="G2227">
        <v>25855</v>
      </c>
      <c r="H2227" s="116"/>
      <c r="I2227" s="116"/>
      <c r="L2227" s="163">
        <v>45282</v>
      </c>
      <c r="M2227" s="116">
        <v>2454.25</v>
      </c>
      <c r="N2227" s="116">
        <v>2464.9499999999998</v>
      </c>
      <c r="O2227" s="116">
        <v>2395.4499999999998</v>
      </c>
      <c r="P2227" s="116">
        <v>2409.85</v>
      </c>
      <c r="Q2227" s="116">
        <v>2454.25</v>
      </c>
      <c r="R2227">
        <v>448639</v>
      </c>
    </row>
    <row r="2228" spans="1:18" x14ac:dyDescent="0.25">
      <c r="A2228" s="163">
        <v>45286</v>
      </c>
      <c r="B2228" s="116">
        <v>2529.6</v>
      </c>
      <c r="C2228" s="116">
        <v>2490.75</v>
      </c>
      <c r="D2228" s="116">
        <v>2460.35</v>
      </c>
      <c r="E2228" s="116">
        <v>2479.9499999999998</v>
      </c>
      <c r="F2228" s="116">
        <v>2490.75</v>
      </c>
      <c r="G2228">
        <v>28934</v>
      </c>
      <c r="H2228" s="116"/>
      <c r="I2228" s="116"/>
      <c r="L2228" s="163">
        <v>45286</v>
      </c>
      <c r="M2228" s="116">
        <v>2491.0500000000002</v>
      </c>
      <c r="N2228" s="116">
        <v>2529</v>
      </c>
      <c r="O2228" s="116">
        <v>2461.3000000000002</v>
      </c>
      <c r="P2228" s="116">
        <v>2463.9</v>
      </c>
      <c r="Q2228" s="116">
        <v>2491.0500000000002</v>
      </c>
      <c r="R2228">
        <v>923702</v>
      </c>
    </row>
    <row r="2229" spans="1:18" x14ac:dyDescent="0.25">
      <c r="A2229" s="163">
        <v>45287</v>
      </c>
      <c r="B2229" s="116">
        <v>2512</v>
      </c>
      <c r="C2229" s="116">
        <v>2472.6999999999998</v>
      </c>
      <c r="D2229" s="116">
        <v>2461.1</v>
      </c>
      <c r="E2229" s="116">
        <v>2506</v>
      </c>
      <c r="F2229" s="116">
        <v>2472.6999999999998</v>
      </c>
      <c r="G2229">
        <v>14610</v>
      </c>
      <c r="H2229" s="116"/>
      <c r="I2229" s="116"/>
      <c r="L2229" s="163">
        <v>45287</v>
      </c>
      <c r="M2229" s="116">
        <v>2471.0500000000002</v>
      </c>
      <c r="N2229" s="116">
        <v>2511.9</v>
      </c>
      <c r="O2229" s="116">
        <v>2460.15</v>
      </c>
      <c r="P2229" s="116">
        <v>2506.6</v>
      </c>
      <c r="Q2229" s="116">
        <v>2471.0500000000002</v>
      </c>
      <c r="R2229">
        <v>358521</v>
      </c>
    </row>
    <row r="2230" spans="1:18" x14ac:dyDescent="0.25">
      <c r="A2230" s="163">
        <v>45288</v>
      </c>
      <c r="B2230" s="116">
        <v>2486.1999999999998</v>
      </c>
      <c r="C2230" s="116">
        <v>2465.5</v>
      </c>
      <c r="D2230" s="116">
        <v>2460.25</v>
      </c>
      <c r="E2230" s="116">
        <v>2470.5500000000002</v>
      </c>
      <c r="F2230" s="116">
        <v>2465.5</v>
      </c>
      <c r="G2230">
        <v>16481</v>
      </c>
      <c r="H2230" s="116"/>
      <c r="I2230" s="116"/>
      <c r="L2230" s="163">
        <v>45288</v>
      </c>
      <c r="M2230" s="116">
        <v>2466.8000000000002</v>
      </c>
      <c r="N2230" s="116">
        <v>2485.4499999999998</v>
      </c>
      <c r="O2230" s="116">
        <v>2460.85</v>
      </c>
      <c r="P2230" s="116">
        <v>2466</v>
      </c>
      <c r="Q2230" s="116">
        <v>2466.8000000000002</v>
      </c>
      <c r="R2230">
        <v>277494</v>
      </c>
    </row>
    <row r="2231" spans="1:18" x14ac:dyDescent="0.25">
      <c r="A2231" s="163">
        <v>45289</v>
      </c>
      <c r="B2231" s="116">
        <v>2502</v>
      </c>
      <c r="C2231" s="116">
        <v>2480.0500000000002</v>
      </c>
      <c r="D2231" s="116">
        <v>2460</v>
      </c>
      <c r="E2231" s="116">
        <v>2474.1</v>
      </c>
      <c r="F2231" s="116">
        <v>2480.0500000000002</v>
      </c>
      <c r="G2231">
        <v>8010</v>
      </c>
      <c r="H2231" s="116"/>
      <c r="I2231" s="116"/>
      <c r="L2231" s="163">
        <v>45289</v>
      </c>
      <c r="M2231" s="116">
        <v>2479.25</v>
      </c>
      <c r="N2231" s="116">
        <v>2503.9</v>
      </c>
      <c r="O2231" s="116">
        <v>2455.1999999999998</v>
      </c>
      <c r="P2231" s="116">
        <v>2470</v>
      </c>
      <c r="Q2231" s="116">
        <v>2479.25</v>
      </c>
      <c r="R2231">
        <v>446931</v>
      </c>
    </row>
    <row r="2232" spans="1:18" x14ac:dyDescent="0.25">
      <c r="A2232" s="163">
        <v>45292</v>
      </c>
      <c r="B2232" s="116">
        <v>2497.1999999999998</v>
      </c>
      <c r="C2232" s="116">
        <v>2466.85</v>
      </c>
      <c r="D2232" s="116">
        <v>2450</v>
      </c>
      <c r="E2232" s="116">
        <v>2490</v>
      </c>
      <c r="F2232" s="116">
        <v>2466.85</v>
      </c>
      <c r="G2232">
        <v>14407</v>
      </c>
      <c r="H2232" s="116"/>
      <c r="I2232" s="116"/>
      <c r="L2232" s="163">
        <v>45292</v>
      </c>
      <c r="M2232" s="116">
        <v>2467.6999999999998</v>
      </c>
      <c r="N2232" s="116">
        <v>2497.4499999999998</v>
      </c>
      <c r="O2232" s="116">
        <v>2460</v>
      </c>
      <c r="P2232" s="116">
        <v>2488.75</v>
      </c>
      <c r="Q2232" s="116">
        <v>2467.6999999999998</v>
      </c>
      <c r="R2232">
        <v>158733</v>
      </c>
    </row>
    <row r="2233" spans="1:18" x14ac:dyDescent="0.25">
      <c r="A2233" s="163">
        <v>45293</v>
      </c>
      <c r="B2233" s="116">
        <v>2497.1</v>
      </c>
      <c r="C2233" s="116">
        <v>2487.8000000000002</v>
      </c>
      <c r="D2233" s="116">
        <v>2426.85</v>
      </c>
      <c r="E2233" s="116">
        <v>2492.85</v>
      </c>
      <c r="F2233" s="116">
        <v>2487.8000000000002</v>
      </c>
      <c r="G2233">
        <v>11032</v>
      </c>
      <c r="H2233" s="116"/>
      <c r="I2233" s="116"/>
      <c r="L2233" s="163">
        <v>45293</v>
      </c>
      <c r="M2233" s="116">
        <v>2488.3000000000002</v>
      </c>
      <c r="N2233" s="116">
        <v>2496.9</v>
      </c>
      <c r="O2233" s="116">
        <v>2424.8000000000002</v>
      </c>
      <c r="P2233" s="116">
        <v>2482.9499999999998</v>
      </c>
      <c r="Q2233" s="116">
        <v>2488.3000000000002</v>
      </c>
      <c r="R2233">
        <v>602156</v>
      </c>
    </row>
    <row r="2234" spans="1:18" x14ac:dyDescent="0.25">
      <c r="A2234" s="163">
        <v>45294</v>
      </c>
      <c r="B2234" s="116">
        <v>2524.9</v>
      </c>
      <c r="C2234" s="116">
        <v>2506.5</v>
      </c>
      <c r="D2234" s="116">
        <v>2465.1</v>
      </c>
      <c r="E2234" s="116">
        <v>2480.15</v>
      </c>
      <c r="F2234" s="116">
        <v>2506.5</v>
      </c>
      <c r="G2234">
        <v>12314</v>
      </c>
      <c r="H2234" s="116"/>
      <c r="I2234" s="116"/>
      <c r="L2234" s="163">
        <v>45294</v>
      </c>
      <c r="M2234" s="116">
        <v>2506.35</v>
      </c>
      <c r="N2234" s="116">
        <v>2525</v>
      </c>
      <c r="O2234" s="116">
        <v>2464.85</v>
      </c>
      <c r="P2234" s="116">
        <v>2488.15</v>
      </c>
      <c r="Q2234" s="116">
        <v>2506.35</v>
      </c>
      <c r="R2234">
        <v>527559</v>
      </c>
    </row>
    <row r="2235" spans="1:18" x14ac:dyDescent="0.25">
      <c r="A2235" s="163">
        <v>45295</v>
      </c>
      <c r="B2235" s="116">
        <v>2519.0500000000002</v>
      </c>
      <c r="C2235" s="116">
        <v>2505.5500000000002</v>
      </c>
      <c r="D2235" s="116">
        <v>2487.8000000000002</v>
      </c>
      <c r="E2235" s="116">
        <v>2506.5</v>
      </c>
      <c r="F2235" s="116">
        <v>2505.5500000000002</v>
      </c>
      <c r="G2235">
        <v>21786</v>
      </c>
      <c r="H2235" s="116"/>
      <c r="I2235" s="116"/>
      <c r="L2235" s="163">
        <v>45295</v>
      </c>
      <c r="M2235" s="116">
        <v>2506.0500000000002</v>
      </c>
      <c r="N2235" s="116">
        <v>2521.75</v>
      </c>
      <c r="O2235" s="116">
        <v>2487.15</v>
      </c>
      <c r="P2235" s="116">
        <v>2509</v>
      </c>
      <c r="Q2235" s="116">
        <v>2506.0500000000002</v>
      </c>
      <c r="R2235">
        <v>356989</v>
      </c>
    </row>
    <row r="2236" spans="1:18" x14ac:dyDescent="0.25">
      <c r="A2236" s="163">
        <v>45296</v>
      </c>
      <c r="B2236" s="116">
        <v>2522</v>
      </c>
      <c r="C2236" s="116">
        <v>2481.9</v>
      </c>
      <c r="D2236" s="116">
        <v>2460.8000000000002</v>
      </c>
      <c r="E2236" s="116">
        <v>2508.4499999999998</v>
      </c>
      <c r="F2236" s="116">
        <v>2481.9</v>
      </c>
      <c r="G2236">
        <v>57221</v>
      </c>
      <c r="H2236" s="116"/>
      <c r="I2236" s="116"/>
      <c r="L2236" s="163">
        <v>45296</v>
      </c>
      <c r="M2236" s="116">
        <v>2480.6</v>
      </c>
      <c r="N2236" s="116">
        <v>2522.9</v>
      </c>
      <c r="O2236" s="116">
        <v>2461</v>
      </c>
      <c r="P2236" s="116">
        <v>2511</v>
      </c>
      <c r="Q2236" s="116">
        <v>2480.6</v>
      </c>
      <c r="R2236">
        <v>644040</v>
      </c>
    </row>
    <row r="2237" spans="1:18" x14ac:dyDescent="0.25">
      <c r="A2237" s="163">
        <v>45299</v>
      </c>
      <c r="B2237" s="116">
        <v>2478</v>
      </c>
      <c r="C2237" s="116">
        <v>2396.6</v>
      </c>
      <c r="D2237" s="116">
        <v>2386</v>
      </c>
      <c r="E2237" s="116">
        <v>2455.15</v>
      </c>
      <c r="F2237" s="116">
        <v>2396.6</v>
      </c>
      <c r="G2237">
        <v>34137</v>
      </c>
      <c r="H2237" s="116"/>
      <c r="I2237" s="116"/>
      <c r="L2237" s="163">
        <v>45299</v>
      </c>
      <c r="M2237" s="116">
        <v>2395.6999999999998</v>
      </c>
      <c r="N2237" s="116">
        <v>2478.9499999999998</v>
      </c>
      <c r="O2237" s="116">
        <v>2385</v>
      </c>
      <c r="P2237" s="116">
        <v>2468</v>
      </c>
      <c r="Q2237" s="116">
        <v>2395.6999999999998</v>
      </c>
      <c r="R2237">
        <v>495983</v>
      </c>
    </row>
    <row r="2238" spans="1:18" x14ac:dyDescent="0.25">
      <c r="A2238" s="163">
        <v>45300</v>
      </c>
      <c r="B2238" s="116">
        <v>2422.8000000000002</v>
      </c>
      <c r="C2238" s="116">
        <v>2311.75</v>
      </c>
      <c r="D2238" s="116">
        <v>2305</v>
      </c>
      <c r="E2238" s="116">
        <v>2406.35</v>
      </c>
      <c r="F2238" s="116">
        <v>2311.75</v>
      </c>
      <c r="G2238">
        <v>50004</v>
      </c>
      <c r="H2238" s="116"/>
      <c r="I2238" s="116"/>
      <c r="L2238" s="163">
        <v>45300</v>
      </c>
      <c r="M2238" s="116">
        <v>2311.35</v>
      </c>
      <c r="N2238" s="116">
        <v>2420.75</v>
      </c>
      <c r="O2238" s="116">
        <v>2304.65</v>
      </c>
      <c r="P2238" s="116">
        <v>2397.8000000000002</v>
      </c>
      <c r="Q2238" s="116">
        <v>2311.35</v>
      </c>
      <c r="R2238">
        <v>938885</v>
      </c>
    </row>
    <row r="2239" spans="1:18" x14ac:dyDescent="0.25">
      <c r="A2239" s="163">
        <v>45301</v>
      </c>
      <c r="B2239" s="116">
        <v>2319.4</v>
      </c>
      <c r="C2239" s="116">
        <v>2294.9</v>
      </c>
      <c r="D2239" s="116">
        <v>2281.3000000000002</v>
      </c>
      <c r="E2239" s="116">
        <v>2311.3000000000002</v>
      </c>
      <c r="F2239" s="116">
        <v>2294.9</v>
      </c>
      <c r="G2239">
        <v>29440</v>
      </c>
      <c r="H2239" s="116"/>
      <c r="I2239" s="116"/>
      <c r="L2239" s="163">
        <v>45301</v>
      </c>
      <c r="M2239" s="116">
        <v>2294.9</v>
      </c>
      <c r="N2239" s="116">
        <v>2319.4499999999998</v>
      </c>
      <c r="O2239" s="116">
        <v>2281</v>
      </c>
      <c r="P2239" s="116">
        <v>2311</v>
      </c>
      <c r="Q2239" s="116">
        <v>2294.9</v>
      </c>
      <c r="R2239">
        <v>685064</v>
      </c>
    </row>
    <row r="2240" spans="1:18" x14ac:dyDescent="0.25">
      <c r="A2240" s="163">
        <v>45302</v>
      </c>
      <c r="B2240" s="116">
        <v>2330</v>
      </c>
      <c r="C2240" s="116">
        <v>2326.5</v>
      </c>
      <c r="D2240" s="116">
        <v>2300.1</v>
      </c>
      <c r="E2240" s="116">
        <v>2300.1</v>
      </c>
      <c r="F2240" s="116">
        <v>2326.5</v>
      </c>
      <c r="G2240">
        <v>17371</v>
      </c>
      <c r="H2240" s="116"/>
      <c r="I2240" s="116"/>
      <c r="L2240" s="163">
        <v>45302</v>
      </c>
      <c r="M2240" s="116">
        <v>2325.25</v>
      </c>
      <c r="N2240" s="116">
        <v>2330</v>
      </c>
      <c r="O2240" s="116">
        <v>2295</v>
      </c>
      <c r="P2240" s="116">
        <v>2305</v>
      </c>
      <c r="Q2240" s="116">
        <v>2325.25</v>
      </c>
      <c r="R2240">
        <v>310878</v>
      </c>
    </row>
    <row r="2241" spans="1:18" x14ac:dyDescent="0.25">
      <c r="A2241" s="163">
        <v>45303</v>
      </c>
      <c r="B2241" s="116">
        <v>2369.5500000000002</v>
      </c>
      <c r="C2241" s="116">
        <v>2345.5500000000002</v>
      </c>
      <c r="D2241" s="116">
        <v>2331.1</v>
      </c>
      <c r="E2241" s="116">
        <v>2335.1</v>
      </c>
      <c r="F2241" s="116">
        <v>2345.5500000000002</v>
      </c>
      <c r="G2241">
        <v>22460</v>
      </c>
      <c r="H2241" s="116"/>
      <c r="I2241" s="116"/>
      <c r="L2241" s="163">
        <v>45303</v>
      </c>
      <c r="M2241" s="116">
        <v>2343.9499999999998</v>
      </c>
      <c r="N2241" s="116">
        <v>2370</v>
      </c>
      <c r="O2241" s="116">
        <v>2331</v>
      </c>
      <c r="P2241" s="116">
        <v>2340</v>
      </c>
      <c r="Q2241" s="116">
        <v>2343.9499999999998</v>
      </c>
      <c r="R2241">
        <v>570104</v>
      </c>
    </row>
    <row r="2242" spans="1:18" x14ac:dyDescent="0.25">
      <c r="A2242" s="163">
        <v>45306</v>
      </c>
      <c r="B2242" s="116">
        <v>2350</v>
      </c>
      <c r="C2242" s="116">
        <v>2346.85</v>
      </c>
      <c r="D2242" s="116">
        <v>2321</v>
      </c>
      <c r="E2242" s="116">
        <v>2344.0500000000002</v>
      </c>
      <c r="F2242" s="116">
        <v>2346.85</v>
      </c>
      <c r="G2242">
        <v>24678</v>
      </c>
      <c r="H2242" s="116"/>
      <c r="I2242" s="116"/>
      <c r="L2242" s="163">
        <v>45306</v>
      </c>
      <c r="M2242" s="116">
        <v>2347.1999999999998</v>
      </c>
      <c r="N2242" s="116">
        <v>2351.6999999999998</v>
      </c>
      <c r="O2242" s="116">
        <v>2320.6999999999998</v>
      </c>
      <c r="P2242" s="116">
        <v>2351.6999999999998</v>
      </c>
      <c r="Q2242" s="116">
        <v>2347.1999999999998</v>
      </c>
      <c r="R2242">
        <v>452044</v>
      </c>
    </row>
    <row r="2243" spans="1:18" x14ac:dyDescent="0.25">
      <c r="A2243" s="163">
        <v>45307</v>
      </c>
      <c r="B2243" s="116">
        <v>2367.85</v>
      </c>
      <c r="C2243" s="116">
        <v>2358.1999999999998</v>
      </c>
      <c r="D2243" s="116">
        <v>2342.5500000000002</v>
      </c>
      <c r="E2243" s="116">
        <v>2342.5500000000002</v>
      </c>
      <c r="F2243" s="116">
        <v>2358.1999999999998</v>
      </c>
      <c r="G2243">
        <v>7775</v>
      </c>
      <c r="H2243" s="116"/>
      <c r="I2243" s="116"/>
      <c r="L2243" s="163">
        <v>45307</v>
      </c>
      <c r="M2243" s="116">
        <v>2358.15</v>
      </c>
      <c r="N2243" s="116">
        <v>2368.4</v>
      </c>
      <c r="O2243" s="116">
        <v>2343.75</v>
      </c>
      <c r="P2243" s="116">
        <v>2350</v>
      </c>
      <c r="Q2243" s="116">
        <v>2358.15</v>
      </c>
      <c r="R2243">
        <v>471010</v>
      </c>
    </row>
    <row r="2244" spans="1:18" x14ac:dyDescent="0.25">
      <c r="A2244" s="163">
        <v>45308</v>
      </c>
      <c r="B2244" s="116">
        <v>2358.4</v>
      </c>
      <c r="C2244" s="116">
        <v>2309.1</v>
      </c>
      <c r="D2244" s="116">
        <v>2305.0500000000002</v>
      </c>
      <c r="E2244" s="116">
        <v>2351.9</v>
      </c>
      <c r="F2244" s="116">
        <v>2309.1</v>
      </c>
      <c r="G2244">
        <v>49921</v>
      </c>
      <c r="H2244" s="116"/>
      <c r="I2244" s="116"/>
      <c r="L2244" s="163">
        <v>45308</v>
      </c>
      <c r="M2244" s="116">
        <v>2309.6</v>
      </c>
      <c r="N2244" s="116">
        <v>2359.9</v>
      </c>
      <c r="O2244" s="116">
        <v>2305</v>
      </c>
      <c r="P2244" s="116">
        <v>2348.85</v>
      </c>
      <c r="Q2244" s="116">
        <v>2309.6</v>
      </c>
      <c r="R2244">
        <v>323931</v>
      </c>
    </row>
    <row r="2245" spans="1:18" x14ac:dyDescent="0.25">
      <c r="A2245" s="163">
        <v>45309</v>
      </c>
      <c r="B2245" s="116">
        <v>2315</v>
      </c>
      <c r="C2245" s="116">
        <v>2292.6</v>
      </c>
      <c r="D2245" s="116">
        <v>2261.4</v>
      </c>
      <c r="E2245" s="116">
        <v>2305.1</v>
      </c>
      <c r="F2245" s="116">
        <v>2292.6</v>
      </c>
      <c r="G2245">
        <v>12458</v>
      </c>
      <c r="H2245" s="116"/>
      <c r="I2245" s="116"/>
      <c r="L2245" s="163">
        <v>45309</v>
      </c>
      <c r="M2245" s="116">
        <v>2294.0500000000002</v>
      </c>
      <c r="N2245" s="116">
        <v>2317</v>
      </c>
      <c r="O2245" s="116">
        <v>2261.15</v>
      </c>
      <c r="P2245" s="116">
        <v>2316.6</v>
      </c>
      <c r="Q2245" s="116">
        <v>2294.0500000000002</v>
      </c>
      <c r="R2245">
        <v>328660</v>
      </c>
    </row>
    <row r="2246" spans="1:18" x14ac:dyDescent="0.25">
      <c r="A2246" s="163">
        <v>45310</v>
      </c>
      <c r="B2246" s="116">
        <v>2342</v>
      </c>
      <c r="C2246" s="116">
        <v>2308.1</v>
      </c>
      <c r="D2246" s="116">
        <v>2298.8000000000002</v>
      </c>
      <c r="E2246" s="116">
        <v>2319</v>
      </c>
      <c r="F2246" s="116">
        <v>2308.1</v>
      </c>
      <c r="G2246">
        <v>8259</v>
      </c>
      <c r="H2246" s="116"/>
      <c r="I2246" s="116"/>
      <c r="L2246" s="163">
        <v>45310</v>
      </c>
      <c r="M2246" s="116">
        <v>2309</v>
      </c>
      <c r="N2246" s="116">
        <v>2342.8000000000002</v>
      </c>
      <c r="O2246" s="116">
        <v>2297.6</v>
      </c>
      <c r="P2246" s="116">
        <v>2315</v>
      </c>
      <c r="Q2246" s="116">
        <v>2309</v>
      </c>
      <c r="R2246">
        <v>514147</v>
      </c>
    </row>
    <row r="2247" spans="1:18" x14ac:dyDescent="0.25">
      <c r="A2247" s="163">
        <v>45311</v>
      </c>
      <c r="B2247" s="116">
        <v>2326.5500000000002</v>
      </c>
      <c r="C2247" s="116">
        <v>2289.0500000000002</v>
      </c>
      <c r="D2247" s="116">
        <v>2285.8000000000002</v>
      </c>
      <c r="E2247" s="116">
        <v>2315.35</v>
      </c>
      <c r="F2247" s="116">
        <v>2289.0500000000002</v>
      </c>
      <c r="G2247">
        <v>3442</v>
      </c>
      <c r="H2247" s="116"/>
      <c r="I2247" s="116"/>
      <c r="L2247" s="163">
        <v>45311</v>
      </c>
      <c r="M2247" s="116">
        <v>2289.5500000000002</v>
      </c>
      <c r="N2247" s="116">
        <v>2334.85</v>
      </c>
      <c r="O2247" s="116">
        <v>2287</v>
      </c>
      <c r="P2247" s="116">
        <v>2315</v>
      </c>
      <c r="Q2247" s="116">
        <v>2289.5500000000002</v>
      </c>
      <c r="R2247">
        <v>152834</v>
      </c>
    </row>
    <row r="2248" spans="1:18" x14ac:dyDescent="0.25">
      <c r="A2248" s="163">
        <v>45314</v>
      </c>
      <c r="B2248" s="116">
        <v>2298.3000000000002</v>
      </c>
      <c r="C2248" s="116">
        <v>2254.65</v>
      </c>
      <c r="D2248" s="116">
        <v>2237</v>
      </c>
      <c r="E2248" s="116">
        <v>2289.75</v>
      </c>
      <c r="F2248" s="116">
        <v>2254.65</v>
      </c>
      <c r="G2248">
        <v>39327</v>
      </c>
      <c r="H2248" s="116"/>
      <c r="I2248" s="116"/>
      <c r="L2248" s="163">
        <v>45314</v>
      </c>
      <c r="M2248" s="116">
        <v>2254.0500000000002</v>
      </c>
      <c r="N2248" s="116">
        <v>2295.9499999999998</v>
      </c>
      <c r="O2248" s="116">
        <v>2235.5</v>
      </c>
      <c r="P2248" s="116">
        <v>2294.9499999999998</v>
      </c>
      <c r="Q2248" s="116">
        <v>2254.0500000000002</v>
      </c>
      <c r="R2248">
        <v>463257</v>
      </c>
    </row>
    <row r="2249" spans="1:18" x14ac:dyDescent="0.25">
      <c r="A2249" s="163">
        <v>45315</v>
      </c>
      <c r="B2249" s="116">
        <v>2299</v>
      </c>
      <c r="C2249" s="116">
        <v>2285.6999999999998</v>
      </c>
      <c r="D2249" s="116">
        <v>2256.15</v>
      </c>
      <c r="E2249" s="116">
        <v>2279.85</v>
      </c>
      <c r="F2249" s="116">
        <v>2285.6999999999998</v>
      </c>
      <c r="G2249">
        <v>13885</v>
      </c>
      <c r="H2249" s="116"/>
      <c r="I2249" s="116"/>
      <c r="L2249" s="163">
        <v>45315</v>
      </c>
      <c r="M2249" s="116">
        <v>2284.9499999999998</v>
      </c>
      <c r="N2249" s="116">
        <v>2299.4</v>
      </c>
      <c r="O2249" s="116">
        <v>2255.5</v>
      </c>
      <c r="P2249" s="116">
        <v>2271.9</v>
      </c>
      <c r="Q2249" s="116">
        <v>2284.9499999999998</v>
      </c>
      <c r="R2249">
        <v>485502</v>
      </c>
    </row>
    <row r="2250" spans="1:18" x14ac:dyDescent="0.25">
      <c r="A2250" s="163">
        <v>45316</v>
      </c>
      <c r="B2250" s="116">
        <v>2302.1</v>
      </c>
      <c r="C2250" s="116">
        <v>2267.9</v>
      </c>
      <c r="D2250" s="116">
        <v>2262.35</v>
      </c>
      <c r="E2250" s="116">
        <v>2285.8000000000002</v>
      </c>
      <c r="F2250" s="116">
        <v>2267.9</v>
      </c>
      <c r="G2250">
        <v>29695</v>
      </c>
      <c r="H2250" s="116"/>
      <c r="I2250" s="116"/>
      <c r="L2250" s="163">
        <v>45316</v>
      </c>
      <c r="M2250" s="116">
        <v>2268.9</v>
      </c>
      <c r="N2250" s="116">
        <v>2302</v>
      </c>
      <c r="O2250" s="116">
        <v>2263.4</v>
      </c>
      <c r="P2250" s="116">
        <v>2296</v>
      </c>
      <c r="Q2250" s="116">
        <v>2268.9</v>
      </c>
      <c r="R2250">
        <v>432584</v>
      </c>
    </row>
    <row r="2251" spans="1:18" x14ac:dyDescent="0.25">
      <c r="A2251" s="163">
        <v>45320</v>
      </c>
      <c r="B2251" s="116">
        <v>2270.5500000000002</v>
      </c>
      <c r="C2251" s="116">
        <v>2246.85</v>
      </c>
      <c r="D2251" s="116">
        <v>2231</v>
      </c>
      <c r="E2251" s="116">
        <v>2269</v>
      </c>
      <c r="F2251" s="116">
        <v>2246.85</v>
      </c>
      <c r="G2251">
        <v>8521</v>
      </c>
      <c r="H2251" s="116"/>
      <c r="I2251" s="116"/>
      <c r="L2251" s="163">
        <v>45320</v>
      </c>
      <c r="M2251" s="116">
        <v>2246.6</v>
      </c>
      <c r="N2251" s="116">
        <v>2282</v>
      </c>
      <c r="O2251" s="116">
        <v>2230</v>
      </c>
      <c r="P2251" s="116">
        <v>2270</v>
      </c>
      <c r="Q2251" s="116">
        <v>2246.6</v>
      </c>
      <c r="R2251">
        <v>901880</v>
      </c>
    </row>
    <row r="2252" spans="1:18" x14ac:dyDescent="0.25">
      <c r="A2252" s="163">
        <v>45321</v>
      </c>
      <c r="B2252" s="116">
        <v>2261.85</v>
      </c>
      <c r="C2252" s="116">
        <v>2223.0500000000002</v>
      </c>
      <c r="D2252" s="116">
        <v>2213.1999999999998</v>
      </c>
      <c r="E2252" s="116">
        <v>2246.1</v>
      </c>
      <c r="F2252" s="116">
        <v>2223.0500000000002</v>
      </c>
      <c r="G2252">
        <v>29057</v>
      </c>
      <c r="H2252" s="116"/>
      <c r="I2252" s="116"/>
      <c r="L2252" s="163">
        <v>45321</v>
      </c>
      <c r="M2252" s="116">
        <v>2222.35</v>
      </c>
      <c r="N2252" s="116">
        <v>2263.25</v>
      </c>
      <c r="O2252" s="116">
        <v>2210</v>
      </c>
      <c r="P2252" s="116">
        <v>2250</v>
      </c>
      <c r="Q2252" s="116">
        <v>2222.35</v>
      </c>
      <c r="R2252">
        <v>365829</v>
      </c>
    </row>
    <row r="2253" spans="1:18" x14ac:dyDescent="0.25">
      <c r="A2253" s="163">
        <v>45322</v>
      </c>
      <c r="B2253" s="116">
        <v>2332</v>
      </c>
      <c r="C2253" s="116">
        <v>2323.9499999999998</v>
      </c>
      <c r="D2253" s="116">
        <v>2205.0500000000002</v>
      </c>
      <c r="E2253" s="116">
        <v>2205.0500000000002</v>
      </c>
      <c r="F2253" s="116">
        <v>2323.9499999999998</v>
      </c>
      <c r="G2253">
        <v>95539</v>
      </c>
      <c r="H2253" s="116"/>
      <c r="I2253" s="116"/>
      <c r="L2253" s="163">
        <v>45322</v>
      </c>
      <c r="M2253" s="116">
        <v>2325.1</v>
      </c>
      <c r="N2253" s="116">
        <v>2333.1999999999998</v>
      </c>
      <c r="O2253" s="116">
        <v>2215</v>
      </c>
      <c r="P2253" s="116">
        <v>2215</v>
      </c>
      <c r="Q2253" s="116">
        <v>2325.1</v>
      </c>
      <c r="R2253">
        <v>2855586</v>
      </c>
    </row>
    <row r="2254" spans="1:18" x14ac:dyDescent="0.25">
      <c r="A2254" s="163">
        <v>45323</v>
      </c>
      <c r="B2254" s="116">
        <v>2335.6999999999998</v>
      </c>
      <c r="C2254" s="116">
        <v>2309.1</v>
      </c>
      <c r="D2254" s="116">
        <v>2278.65</v>
      </c>
      <c r="E2254" s="116">
        <v>2335.6999999999998</v>
      </c>
      <c r="F2254" s="116">
        <v>2309.1</v>
      </c>
      <c r="G2254">
        <v>10072</v>
      </c>
      <c r="H2254" s="116"/>
      <c r="I2254" s="116"/>
      <c r="L2254" s="163">
        <v>45323</v>
      </c>
      <c r="M2254" s="116">
        <v>2308.4499999999998</v>
      </c>
      <c r="N2254" s="116">
        <v>2324.9499999999998</v>
      </c>
      <c r="O2254" s="116">
        <v>2279</v>
      </c>
      <c r="P2254" s="116">
        <v>2320</v>
      </c>
      <c r="Q2254" s="116">
        <v>2308.4499999999998</v>
      </c>
      <c r="R2254">
        <v>1374086</v>
      </c>
    </row>
    <row r="2255" spans="1:18" x14ac:dyDescent="0.25">
      <c r="A2255" s="163">
        <v>45324</v>
      </c>
      <c r="B2255" s="116">
        <v>2324.5</v>
      </c>
      <c r="C2255" s="116">
        <v>2318.8000000000002</v>
      </c>
      <c r="D2255" s="116">
        <v>2301.4</v>
      </c>
      <c r="E2255" s="116">
        <v>2316.1</v>
      </c>
      <c r="F2255" s="116">
        <v>2318.8000000000002</v>
      </c>
      <c r="G2255">
        <v>59044</v>
      </c>
      <c r="H2255" s="116"/>
      <c r="I2255" s="116"/>
      <c r="L2255" s="163">
        <v>45324</v>
      </c>
      <c r="M2255" s="116">
        <v>2318.65</v>
      </c>
      <c r="N2255" s="116">
        <v>2325</v>
      </c>
      <c r="O2255" s="116">
        <v>2302</v>
      </c>
      <c r="P2255" s="116">
        <v>2324.9</v>
      </c>
      <c r="Q2255" s="116">
        <v>2318.65</v>
      </c>
      <c r="R2255">
        <v>701436</v>
      </c>
    </row>
    <row r="2256" spans="1:18" x14ac:dyDescent="0.25">
      <c r="A2256" s="163">
        <v>45327</v>
      </c>
      <c r="B2256" s="116">
        <v>2315.4</v>
      </c>
      <c r="C2256" s="116">
        <v>2250.4</v>
      </c>
      <c r="D2256" s="116">
        <v>2244.8000000000002</v>
      </c>
      <c r="E2256" s="116">
        <v>2306.1999999999998</v>
      </c>
      <c r="F2256" s="116">
        <v>2250.4</v>
      </c>
      <c r="G2256">
        <v>21188</v>
      </c>
      <c r="H2256" s="116"/>
      <c r="I2256" s="116"/>
      <c r="L2256" s="163">
        <v>45327</v>
      </c>
      <c r="M2256" s="116">
        <v>2251.1</v>
      </c>
      <c r="N2256" s="116">
        <v>2315.35</v>
      </c>
      <c r="O2256" s="116">
        <v>2245</v>
      </c>
      <c r="P2256" s="116">
        <v>2315</v>
      </c>
      <c r="Q2256" s="116">
        <v>2251.1</v>
      </c>
      <c r="R2256">
        <v>429402</v>
      </c>
    </row>
    <row r="2257" spans="1:18" x14ac:dyDescent="0.25">
      <c r="A2257" s="163">
        <v>45328</v>
      </c>
      <c r="B2257" s="116">
        <v>2293</v>
      </c>
      <c r="C2257" s="116">
        <v>2285.0500000000002</v>
      </c>
      <c r="D2257" s="116">
        <v>2249.5500000000002</v>
      </c>
      <c r="E2257" s="116">
        <v>2264.5</v>
      </c>
      <c r="F2257" s="116">
        <v>2285.0500000000002</v>
      </c>
      <c r="G2257">
        <v>93085</v>
      </c>
      <c r="H2257" s="116"/>
      <c r="I2257" s="116"/>
      <c r="L2257" s="163">
        <v>45328</v>
      </c>
      <c r="M2257" s="116">
        <v>2283.75</v>
      </c>
      <c r="N2257" s="116">
        <v>2293.1999999999998</v>
      </c>
      <c r="O2257" s="116">
        <v>2249.1999999999998</v>
      </c>
      <c r="P2257" s="116">
        <v>2250</v>
      </c>
      <c r="Q2257" s="116">
        <v>2283.75</v>
      </c>
      <c r="R2257">
        <v>529792</v>
      </c>
    </row>
    <row r="2258" spans="1:18" x14ac:dyDescent="0.25">
      <c r="A2258" s="163">
        <v>45329</v>
      </c>
      <c r="B2258" s="116">
        <v>2308</v>
      </c>
      <c r="C2258" s="116">
        <v>2294.65</v>
      </c>
      <c r="D2258" s="116">
        <v>2263.3000000000002</v>
      </c>
      <c r="E2258" s="116">
        <v>2298.85</v>
      </c>
      <c r="F2258" s="116">
        <v>2294.65</v>
      </c>
      <c r="G2258">
        <v>19296</v>
      </c>
      <c r="H2258" s="116"/>
      <c r="I2258" s="116"/>
      <c r="L2258" s="163">
        <v>45329</v>
      </c>
      <c r="M2258" s="116">
        <v>2295.0500000000002</v>
      </c>
      <c r="N2258" s="116">
        <v>2309</v>
      </c>
      <c r="O2258" s="116">
        <v>2263.0500000000002</v>
      </c>
      <c r="P2258" s="116">
        <v>2295.0500000000002</v>
      </c>
      <c r="Q2258" s="116">
        <v>2295.0500000000002</v>
      </c>
      <c r="R2258">
        <v>1464373</v>
      </c>
    </row>
    <row r="2259" spans="1:18" x14ac:dyDescent="0.25">
      <c r="A2259" s="163">
        <v>45330</v>
      </c>
      <c r="B2259" s="116">
        <v>2325</v>
      </c>
      <c r="C2259" s="116">
        <v>2294.6</v>
      </c>
      <c r="D2259" s="116">
        <v>2285.1</v>
      </c>
      <c r="E2259" s="116">
        <v>2297.0500000000002</v>
      </c>
      <c r="F2259" s="116">
        <v>2294.6</v>
      </c>
      <c r="G2259">
        <v>4942</v>
      </c>
      <c r="H2259" s="116"/>
      <c r="I2259" s="116"/>
      <c r="L2259" s="163">
        <v>45330</v>
      </c>
      <c r="M2259" s="116">
        <v>2295.9</v>
      </c>
      <c r="N2259" s="116">
        <v>2326.1999999999998</v>
      </c>
      <c r="O2259" s="116">
        <v>2283.0500000000002</v>
      </c>
      <c r="P2259" s="116">
        <v>2299.9499999999998</v>
      </c>
      <c r="Q2259" s="116">
        <v>2295.9</v>
      </c>
      <c r="R2259">
        <v>240843</v>
      </c>
    </row>
    <row r="2260" spans="1:18" x14ac:dyDescent="0.25">
      <c r="A2260" s="163">
        <v>45331</v>
      </c>
      <c r="B2260" s="116">
        <v>2306.5</v>
      </c>
      <c r="C2260" s="116">
        <v>2298.9499999999998</v>
      </c>
      <c r="D2260" s="116">
        <v>2264.5</v>
      </c>
      <c r="E2260" s="116">
        <v>2304.6</v>
      </c>
      <c r="F2260" s="116">
        <v>2298.9499999999998</v>
      </c>
      <c r="G2260">
        <v>3675</v>
      </c>
      <c r="H2260" s="116"/>
      <c r="I2260" s="116"/>
      <c r="L2260" s="163">
        <v>45331</v>
      </c>
      <c r="M2260" s="116">
        <v>2298.5500000000002</v>
      </c>
      <c r="N2260" s="116">
        <v>2307</v>
      </c>
      <c r="O2260" s="116">
        <v>2263.9</v>
      </c>
      <c r="P2260" s="116">
        <v>2304</v>
      </c>
      <c r="Q2260" s="116">
        <v>2298.5500000000002</v>
      </c>
      <c r="R2260">
        <v>209506</v>
      </c>
    </row>
    <row r="2261" spans="1:18" x14ac:dyDescent="0.25">
      <c r="A2261" s="163">
        <v>45334</v>
      </c>
      <c r="B2261" s="116">
        <v>2322.85</v>
      </c>
      <c r="C2261" s="116">
        <v>2284.3000000000002</v>
      </c>
      <c r="D2261" s="116">
        <v>2267.6999999999998</v>
      </c>
      <c r="E2261" s="116">
        <v>2301</v>
      </c>
      <c r="F2261" s="116">
        <v>2284.3000000000002</v>
      </c>
      <c r="G2261">
        <v>13168</v>
      </c>
      <c r="H2261" s="116"/>
      <c r="I2261" s="116"/>
      <c r="L2261" s="163">
        <v>45334</v>
      </c>
      <c r="M2261" s="116">
        <v>2286.5</v>
      </c>
      <c r="N2261" s="116">
        <v>2322.35</v>
      </c>
      <c r="O2261" s="116">
        <v>2266.6999999999998</v>
      </c>
      <c r="P2261" s="116">
        <v>2303</v>
      </c>
      <c r="Q2261" s="116">
        <v>2286.5</v>
      </c>
      <c r="R2261">
        <v>163430</v>
      </c>
    </row>
    <row r="2262" spans="1:18" x14ac:dyDescent="0.25">
      <c r="A2262" s="163">
        <v>45335</v>
      </c>
      <c r="B2262" s="116">
        <v>2326</v>
      </c>
      <c r="C2262" s="116">
        <v>2322.85</v>
      </c>
      <c r="D2262" s="116">
        <v>2260</v>
      </c>
      <c r="E2262" s="116">
        <v>2275.15</v>
      </c>
      <c r="F2262" s="116">
        <v>2322.85</v>
      </c>
      <c r="G2262">
        <v>5232</v>
      </c>
      <c r="H2262" s="116"/>
      <c r="I2262" s="116"/>
      <c r="L2262" s="163">
        <v>45335</v>
      </c>
      <c r="M2262" s="116">
        <v>2323.35</v>
      </c>
      <c r="N2262" s="116">
        <v>2326.9499999999998</v>
      </c>
      <c r="O2262" s="116">
        <v>2258.25</v>
      </c>
      <c r="P2262" s="116">
        <v>2299</v>
      </c>
      <c r="Q2262" s="116">
        <v>2323.35</v>
      </c>
      <c r="R2262">
        <v>297034</v>
      </c>
    </row>
    <row r="2263" spans="1:18" x14ac:dyDescent="0.25">
      <c r="A2263" s="163">
        <v>45336</v>
      </c>
      <c r="B2263" s="116">
        <v>2364.0500000000002</v>
      </c>
      <c r="C2263" s="116">
        <v>2357.8000000000002</v>
      </c>
      <c r="D2263" s="116">
        <v>2298.85</v>
      </c>
      <c r="E2263" s="116">
        <v>2321.9</v>
      </c>
      <c r="F2263" s="116">
        <v>2357.8000000000002</v>
      </c>
      <c r="G2263">
        <v>6324</v>
      </c>
      <c r="H2263" s="116"/>
      <c r="I2263" s="116"/>
      <c r="L2263" s="163">
        <v>45336</v>
      </c>
      <c r="M2263" s="116">
        <v>2358.15</v>
      </c>
      <c r="N2263" s="116">
        <v>2364</v>
      </c>
      <c r="O2263" s="116">
        <v>2297.6999999999998</v>
      </c>
      <c r="P2263" s="116">
        <v>2314.0500000000002</v>
      </c>
      <c r="Q2263" s="116">
        <v>2358.15</v>
      </c>
      <c r="R2263">
        <v>389910</v>
      </c>
    </row>
    <row r="2264" spans="1:18" x14ac:dyDescent="0.25">
      <c r="A2264" s="163">
        <v>45337</v>
      </c>
      <c r="B2264" s="116">
        <v>2372.9499999999998</v>
      </c>
      <c r="C2264" s="116">
        <v>2350.85</v>
      </c>
      <c r="D2264" s="116">
        <v>2345.5500000000002</v>
      </c>
      <c r="E2264" s="116">
        <v>2372.9499999999998</v>
      </c>
      <c r="F2264" s="116">
        <v>2350.85</v>
      </c>
      <c r="G2264">
        <v>4818</v>
      </c>
      <c r="H2264" s="116"/>
      <c r="I2264" s="116"/>
      <c r="L2264" s="163">
        <v>45337</v>
      </c>
      <c r="M2264" s="116">
        <v>2350.5500000000002</v>
      </c>
      <c r="N2264" s="116">
        <v>2375</v>
      </c>
      <c r="O2264" s="116">
        <v>2346.6999999999998</v>
      </c>
      <c r="P2264" s="116">
        <v>2370</v>
      </c>
      <c r="Q2264" s="116">
        <v>2350.5500000000002</v>
      </c>
      <c r="R2264">
        <v>211040</v>
      </c>
    </row>
    <row r="2265" spans="1:18" x14ac:dyDescent="0.25">
      <c r="A2265" s="163">
        <v>45338</v>
      </c>
      <c r="B2265" s="116">
        <v>2403</v>
      </c>
      <c r="C2265" s="116">
        <v>2379.3000000000002</v>
      </c>
      <c r="D2265" s="116">
        <v>2351.75</v>
      </c>
      <c r="E2265" s="116">
        <v>2355</v>
      </c>
      <c r="F2265" s="116">
        <v>2379.3000000000002</v>
      </c>
      <c r="G2265">
        <v>25287</v>
      </c>
      <c r="H2265" s="116"/>
      <c r="I2265" s="116"/>
      <c r="L2265" s="163">
        <v>45338</v>
      </c>
      <c r="M2265" s="116">
        <v>2380.1</v>
      </c>
      <c r="N2265" s="116">
        <v>2403</v>
      </c>
      <c r="O2265" s="116">
        <v>2351.75</v>
      </c>
      <c r="P2265" s="116">
        <v>2355.75</v>
      </c>
      <c r="Q2265" s="116">
        <v>2380.1</v>
      </c>
      <c r="R2265">
        <v>383890</v>
      </c>
    </row>
    <row r="2266" spans="1:18" x14ac:dyDescent="0.25">
      <c r="A2266" s="163">
        <v>45341</v>
      </c>
      <c r="B2266" s="116">
        <v>2382.9499999999998</v>
      </c>
      <c r="C2266" s="116">
        <v>2346.0500000000002</v>
      </c>
      <c r="D2266" s="116">
        <v>2343.0500000000002</v>
      </c>
      <c r="E2266" s="116">
        <v>2382.9499999999998</v>
      </c>
      <c r="F2266" s="116">
        <v>2346.0500000000002</v>
      </c>
      <c r="G2266">
        <v>5218</v>
      </c>
      <c r="H2266" s="116"/>
      <c r="I2266" s="116"/>
      <c r="L2266" s="163">
        <v>45341</v>
      </c>
      <c r="M2266" s="116">
        <v>2347.0500000000002</v>
      </c>
      <c r="N2266" s="116">
        <v>2380.9499999999998</v>
      </c>
      <c r="O2266" s="116">
        <v>2344.4499999999998</v>
      </c>
      <c r="P2266" s="116">
        <v>2380</v>
      </c>
      <c r="Q2266" s="116">
        <v>2347.0500000000002</v>
      </c>
      <c r="R2266">
        <v>166063</v>
      </c>
    </row>
    <row r="2267" spans="1:18" x14ac:dyDescent="0.25">
      <c r="A2267" s="163">
        <v>45342</v>
      </c>
      <c r="B2267" s="116">
        <v>2390</v>
      </c>
      <c r="C2267" s="116">
        <v>2383.25</v>
      </c>
      <c r="D2267" s="116">
        <v>2327.5500000000002</v>
      </c>
      <c r="E2267" s="116">
        <v>2346.0500000000002</v>
      </c>
      <c r="F2267" s="116">
        <v>2383.25</v>
      </c>
      <c r="G2267">
        <v>5288</v>
      </c>
      <c r="H2267" s="116"/>
      <c r="I2267" s="116"/>
      <c r="L2267" s="163">
        <v>45342</v>
      </c>
      <c r="M2267" s="116">
        <v>2383.1999999999998</v>
      </c>
      <c r="N2267" s="116">
        <v>2389</v>
      </c>
      <c r="O2267" s="116">
        <v>2325.3000000000002</v>
      </c>
      <c r="P2267" s="116">
        <v>2347.0500000000002</v>
      </c>
      <c r="Q2267" s="116">
        <v>2383.1999999999998</v>
      </c>
      <c r="R2267">
        <v>451789</v>
      </c>
    </row>
    <row r="2268" spans="1:18" x14ac:dyDescent="0.25">
      <c r="A2268" s="163">
        <v>45343</v>
      </c>
      <c r="B2268" s="116">
        <v>2423</v>
      </c>
      <c r="C2268" s="116">
        <v>2398.35</v>
      </c>
      <c r="D2268" s="116">
        <v>2384.9499999999998</v>
      </c>
      <c r="E2268" s="116">
        <v>2400</v>
      </c>
      <c r="F2268" s="116">
        <v>2398.35</v>
      </c>
      <c r="G2268">
        <v>36211</v>
      </c>
      <c r="H2268" s="116"/>
      <c r="I2268" s="116"/>
      <c r="L2268" s="163">
        <v>45343</v>
      </c>
      <c r="M2268" s="116">
        <v>2398.9499999999998</v>
      </c>
      <c r="N2268" s="116">
        <v>2423.5500000000002</v>
      </c>
      <c r="O2268" s="116">
        <v>2384.35</v>
      </c>
      <c r="P2268" s="116">
        <v>2399</v>
      </c>
      <c r="Q2268" s="116">
        <v>2398.9499999999998</v>
      </c>
      <c r="R2268">
        <v>881154</v>
      </c>
    </row>
    <row r="2269" spans="1:18" x14ac:dyDescent="0.25">
      <c r="A2269" s="163">
        <v>45344</v>
      </c>
      <c r="B2269" s="116">
        <v>2415</v>
      </c>
      <c r="C2269" s="116">
        <v>2409.4499999999998</v>
      </c>
      <c r="D2269" s="116">
        <v>2369.5</v>
      </c>
      <c r="E2269" s="116">
        <v>2401</v>
      </c>
      <c r="F2269" s="116">
        <v>2409.4499999999998</v>
      </c>
      <c r="G2269">
        <v>5053</v>
      </c>
      <c r="H2269" s="116"/>
      <c r="I2269" s="116"/>
      <c r="L2269" s="163">
        <v>45344</v>
      </c>
      <c r="M2269" s="116">
        <v>2409</v>
      </c>
      <c r="N2269" s="116">
        <v>2418.5500000000002</v>
      </c>
      <c r="O2269" s="116">
        <v>2367.1</v>
      </c>
      <c r="P2269" s="116">
        <v>2408.9499999999998</v>
      </c>
      <c r="Q2269" s="116">
        <v>2409</v>
      </c>
      <c r="R2269">
        <v>203280</v>
      </c>
    </row>
    <row r="2270" spans="1:18" x14ac:dyDescent="0.25">
      <c r="A2270" s="163">
        <v>45345</v>
      </c>
      <c r="B2270" s="116">
        <v>2421.4499999999998</v>
      </c>
      <c r="C2270" s="116">
        <v>2383.6</v>
      </c>
      <c r="D2270" s="116">
        <v>2380.3000000000002</v>
      </c>
      <c r="E2270" s="116">
        <v>2421.4499999999998</v>
      </c>
      <c r="F2270" s="116">
        <v>2383.6</v>
      </c>
      <c r="G2270">
        <v>8933</v>
      </c>
      <c r="H2270" s="116"/>
      <c r="I2270" s="116"/>
      <c r="L2270" s="163">
        <v>45345</v>
      </c>
      <c r="M2270" s="116">
        <v>2385.8000000000002</v>
      </c>
      <c r="N2270" s="116">
        <v>2419</v>
      </c>
      <c r="O2270" s="116">
        <v>2381.75</v>
      </c>
      <c r="P2270" s="116">
        <v>2418</v>
      </c>
      <c r="Q2270" s="116">
        <v>2385.8000000000002</v>
      </c>
      <c r="R2270">
        <v>114496</v>
      </c>
    </row>
    <row r="2271" spans="1:18" x14ac:dyDescent="0.25">
      <c r="A2271" s="163">
        <v>45348</v>
      </c>
      <c r="B2271" s="116">
        <v>2410</v>
      </c>
      <c r="C2271" s="116">
        <v>2400</v>
      </c>
      <c r="D2271" s="116">
        <v>2376.0500000000002</v>
      </c>
      <c r="E2271" s="116">
        <v>2390.4499999999998</v>
      </c>
      <c r="F2271" s="116">
        <v>2400</v>
      </c>
      <c r="G2271">
        <v>5915</v>
      </c>
      <c r="H2271" s="116"/>
      <c r="I2271" s="116"/>
      <c r="L2271" s="163">
        <v>45348</v>
      </c>
      <c r="M2271" s="116">
        <v>2400.5500000000002</v>
      </c>
      <c r="N2271" s="116">
        <v>2410</v>
      </c>
      <c r="O2271" s="116">
        <v>2373.75</v>
      </c>
      <c r="P2271" s="116">
        <v>2393.9499999999998</v>
      </c>
      <c r="Q2271" s="116">
        <v>2400.5500000000002</v>
      </c>
      <c r="R2271">
        <v>243435</v>
      </c>
    </row>
    <row r="2272" spans="1:18" x14ac:dyDescent="0.25">
      <c r="A2272" s="163">
        <v>45349</v>
      </c>
      <c r="B2272" s="116">
        <v>2428.9</v>
      </c>
      <c r="C2272" s="116">
        <v>2393.15</v>
      </c>
      <c r="D2272" s="116">
        <v>2364</v>
      </c>
      <c r="E2272" s="116">
        <v>2400</v>
      </c>
      <c r="F2272" s="116">
        <v>2393.15</v>
      </c>
      <c r="G2272">
        <v>5978</v>
      </c>
      <c r="H2272" s="116"/>
      <c r="I2272" s="116"/>
      <c r="L2272" s="163">
        <v>45349</v>
      </c>
      <c r="M2272" s="116">
        <v>2392.75</v>
      </c>
      <c r="N2272" s="116">
        <v>2429.5500000000002</v>
      </c>
      <c r="O2272" s="116">
        <v>2364</v>
      </c>
      <c r="P2272" s="116">
        <v>2400.5500000000002</v>
      </c>
      <c r="Q2272" s="116">
        <v>2392.75</v>
      </c>
      <c r="R2272">
        <v>442182</v>
      </c>
    </row>
    <row r="2273" spans="1:18" x14ac:dyDescent="0.25">
      <c r="A2273" s="163">
        <v>45350</v>
      </c>
      <c r="B2273" s="116">
        <v>2401.0500000000002</v>
      </c>
      <c r="C2273" s="116">
        <v>2367.65</v>
      </c>
      <c r="D2273" s="116">
        <v>2353.5</v>
      </c>
      <c r="E2273" s="116">
        <v>2395</v>
      </c>
      <c r="F2273" s="116">
        <v>2367.65</v>
      </c>
      <c r="G2273">
        <v>12413</v>
      </c>
      <c r="H2273" s="116"/>
      <c r="I2273" s="116"/>
      <c r="L2273" s="163">
        <v>45350</v>
      </c>
      <c r="M2273" s="116">
        <v>2371</v>
      </c>
      <c r="N2273" s="116">
        <v>2404.9499999999998</v>
      </c>
      <c r="O2273" s="116">
        <v>2354.9499999999998</v>
      </c>
      <c r="P2273" s="116">
        <v>2396.6</v>
      </c>
      <c r="Q2273" s="116">
        <v>2371</v>
      </c>
      <c r="R2273">
        <v>429664</v>
      </c>
    </row>
    <row r="2274" spans="1:18" x14ac:dyDescent="0.25">
      <c r="A2274" s="163">
        <v>45351</v>
      </c>
      <c r="B2274" s="116">
        <v>2398.9499999999998</v>
      </c>
      <c r="C2274" s="116">
        <v>2386.3000000000002</v>
      </c>
      <c r="D2274" s="116">
        <v>2342.5</v>
      </c>
      <c r="E2274" s="116">
        <v>2370.4499999999998</v>
      </c>
      <c r="F2274" s="116">
        <v>2386.3000000000002</v>
      </c>
      <c r="G2274">
        <v>3430</v>
      </c>
      <c r="H2274" s="116"/>
      <c r="I2274" s="116"/>
      <c r="L2274" s="163">
        <v>45351</v>
      </c>
      <c r="M2274" s="116">
        <v>2389.65</v>
      </c>
      <c r="N2274" s="116">
        <v>2398.9</v>
      </c>
      <c r="O2274" s="116">
        <v>2341.9</v>
      </c>
      <c r="P2274" s="116">
        <v>2370.0500000000002</v>
      </c>
      <c r="Q2274" s="116">
        <v>2389.65</v>
      </c>
      <c r="R2274">
        <v>565867</v>
      </c>
    </row>
    <row r="2275" spans="1:18" x14ac:dyDescent="0.25">
      <c r="A2275" s="163">
        <v>45352</v>
      </c>
      <c r="B2275" s="116">
        <v>2409.4499999999998</v>
      </c>
      <c r="C2275" s="116">
        <v>2396.25</v>
      </c>
      <c r="D2275" s="116">
        <v>2356.6999999999998</v>
      </c>
      <c r="E2275" s="116">
        <v>2356.6999999999998</v>
      </c>
      <c r="F2275" s="116">
        <v>2396.25</v>
      </c>
      <c r="G2275">
        <v>3244</v>
      </c>
      <c r="H2275" s="116"/>
      <c r="I2275" s="116"/>
      <c r="L2275" s="163">
        <v>45352</v>
      </c>
      <c r="M2275" s="116">
        <v>2397.35</v>
      </c>
      <c r="N2275" s="116">
        <v>2409.9</v>
      </c>
      <c r="O2275" s="116">
        <v>2380.5</v>
      </c>
      <c r="P2275" s="116">
        <v>2389.65</v>
      </c>
      <c r="Q2275" s="116">
        <v>2397.35</v>
      </c>
      <c r="R2275">
        <v>282374</v>
      </c>
    </row>
    <row r="2276" spans="1:18" x14ac:dyDescent="0.25">
      <c r="A2276" s="163">
        <v>45353</v>
      </c>
      <c r="B2276" s="116">
        <v>2400.1999999999998</v>
      </c>
      <c r="C2276" s="116">
        <v>2393.6</v>
      </c>
      <c r="D2276" s="116">
        <v>2382.4499999999998</v>
      </c>
      <c r="E2276" s="116">
        <v>2397</v>
      </c>
      <c r="F2276" s="116">
        <v>2393.6</v>
      </c>
      <c r="G2276">
        <v>775</v>
      </c>
      <c r="H2276" s="116"/>
      <c r="I2276" s="116"/>
      <c r="L2276" s="163">
        <v>45353</v>
      </c>
      <c r="M2276" s="116">
        <v>2394.6999999999998</v>
      </c>
      <c r="N2276" s="116">
        <v>2404</v>
      </c>
      <c r="O2276" s="116">
        <v>2383.35</v>
      </c>
      <c r="P2276" s="116">
        <v>2402.5500000000002</v>
      </c>
      <c r="Q2276" s="116">
        <v>2394.6999999999998</v>
      </c>
      <c r="R2276">
        <v>24916</v>
      </c>
    </row>
    <row r="2277" spans="1:18" x14ac:dyDescent="0.25">
      <c r="A2277" s="163">
        <v>45355</v>
      </c>
      <c r="B2277" s="116">
        <v>2400.4499999999998</v>
      </c>
      <c r="C2277" s="116">
        <v>2374.15</v>
      </c>
      <c r="D2277" s="116">
        <v>2367.1999999999998</v>
      </c>
      <c r="E2277" s="116">
        <v>2398.6999999999998</v>
      </c>
      <c r="F2277" s="116">
        <v>2374.15</v>
      </c>
      <c r="G2277">
        <v>2870</v>
      </c>
      <c r="H2277" s="116"/>
      <c r="I2277" s="116"/>
      <c r="L2277" s="163">
        <v>45355</v>
      </c>
      <c r="M2277" s="116">
        <v>2376</v>
      </c>
      <c r="N2277" s="116">
        <v>2403</v>
      </c>
      <c r="O2277" s="116">
        <v>2367.1999999999998</v>
      </c>
      <c r="P2277" s="116">
        <v>2394.0500000000002</v>
      </c>
      <c r="Q2277" s="116">
        <v>2376</v>
      </c>
      <c r="R2277">
        <v>139551</v>
      </c>
    </row>
    <row r="2278" spans="1:18" x14ac:dyDescent="0.25">
      <c r="A2278" s="163">
        <v>45356</v>
      </c>
      <c r="B2278" s="116">
        <v>2411</v>
      </c>
      <c r="C2278" s="116">
        <v>2390.35</v>
      </c>
      <c r="D2278" s="116">
        <v>2370.6999999999998</v>
      </c>
      <c r="E2278" s="116">
        <v>2370.6999999999998</v>
      </c>
      <c r="F2278" s="116">
        <v>2390.35</v>
      </c>
      <c r="G2278">
        <v>3797</v>
      </c>
      <c r="H2278" s="116"/>
      <c r="I2278" s="116"/>
      <c r="L2278" s="163">
        <v>45356</v>
      </c>
      <c r="M2278" s="116">
        <v>2391.3000000000002</v>
      </c>
      <c r="N2278" s="116">
        <v>2412.4</v>
      </c>
      <c r="O2278" s="116">
        <v>2373.6</v>
      </c>
      <c r="P2278" s="116">
        <v>2376.0500000000002</v>
      </c>
      <c r="Q2278" s="116">
        <v>2391.3000000000002</v>
      </c>
      <c r="R2278">
        <v>241360</v>
      </c>
    </row>
    <row r="2279" spans="1:18" x14ac:dyDescent="0.25">
      <c r="A2279" s="163">
        <v>45357</v>
      </c>
      <c r="B2279" s="116">
        <v>2417.0500000000002</v>
      </c>
      <c r="C2279" s="116">
        <v>2410.25</v>
      </c>
      <c r="D2279" s="116">
        <v>2365.65</v>
      </c>
      <c r="E2279" s="116">
        <v>2395</v>
      </c>
      <c r="F2279" s="116">
        <v>2410.25</v>
      </c>
      <c r="G2279">
        <v>5545</v>
      </c>
      <c r="H2279" s="116"/>
      <c r="I2279" s="116"/>
      <c r="L2279" s="163">
        <v>45357</v>
      </c>
      <c r="M2279" s="116">
        <v>2411.6999999999998</v>
      </c>
      <c r="N2279" s="116">
        <v>2416</v>
      </c>
      <c r="O2279" s="116">
        <v>2364.0500000000002</v>
      </c>
      <c r="P2279" s="116">
        <v>2398</v>
      </c>
      <c r="Q2279" s="116">
        <v>2411.6999999999998</v>
      </c>
      <c r="R2279">
        <v>232307</v>
      </c>
    </row>
    <row r="2280" spans="1:18" x14ac:dyDescent="0.25">
      <c r="A2280" s="163">
        <v>45358</v>
      </c>
      <c r="B2280" s="116">
        <v>2464</v>
      </c>
      <c r="C2280" s="116">
        <v>2447.1999999999998</v>
      </c>
      <c r="D2280" s="116">
        <v>2416</v>
      </c>
      <c r="E2280" s="116">
        <v>2429.9499999999998</v>
      </c>
      <c r="F2280" s="116">
        <v>2447.1999999999998</v>
      </c>
      <c r="G2280">
        <v>16430</v>
      </c>
      <c r="H2280" s="116"/>
      <c r="I2280" s="116"/>
      <c r="L2280" s="163">
        <v>45358</v>
      </c>
      <c r="M2280" s="116">
        <v>2450.0500000000002</v>
      </c>
      <c r="N2280" s="116">
        <v>2464.4</v>
      </c>
      <c r="O2280" s="116">
        <v>2411.75</v>
      </c>
      <c r="P2280" s="116">
        <v>2411.75</v>
      </c>
      <c r="Q2280" s="116">
        <v>2450.0500000000002</v>
      </c>
      <c r="R2280">
        <v>653987</v>
      </c>
    </row>
    <row r="2281" spans="1:18" x14ac:dyDescent="0.25">
      <c r="A2281" s="163">
        <v>45362</v>
      </c>
      <c r="B2281" s="116">
        <v>2490.9499999999998</v>
      </c>
      <c r="C2281" s="116">
        <v>2456.3000000000002</v>
      </c>
      <c r="D2281" s="116">
        <v>2424.9</v>
      </c>
      <c r="E2281" s="116">
        <v>2451.9499999999998</v>
      </c>
      <c r="F2281" s="116">
        <v>2456.3000000000002</v>
      </c>
      <c r="G2281">
        <v>5695</v>
      </c>
      <c r="H2281" s="116"/>
      <c r="I2281" s="116"/>
      <c r="L2281" s="163">
        <v>45362</v>
      </c>
      <c r="M2281" s="116">
        <v>2455.5</v>
      </c>
      <c r="N2281" s="116">
        <v>2491</v>
      </c>
      <c r="O2281" s="116">
        <v>2423.6</v>
      </c>
      <c r="P2281" s="116">
        <v>2472</v>
      </c>
      <c r="Q2281" s="116">
        <v>2455.5</v>
      </c>
      <c r="R2281">
        <v>436096</v>
      </c>
    </row>
    <row r="2282" spans="1:18" x14ac:dyDescent="0.25">
      <c r="A2282" s="163">
        <v>45363</v>
      </c>
      <c r="B2282" s="116">
        <v>2459.75</v>
      </c>
      <c r="C2282" s="116">
        <v>2422.6</v>
      </c>
      <c r="D2282" s="116">
        <v>2403.1999999999998</v>
      </c>
      <c r="E2282" s="116">
        <v>2438.35</v>
      </c>
      <c r="F2282" s="116">
        <v>2422.6</v>
      </c>
      <c r="G2282">
        <v>14382</v>
      </c>
      <c r="H2282" s="116"/>
      <c r="I2282" s="116"/>
      <c r="L2282" s="163">
        <v>45363</v>
      </c>
      <c r="M2282" s="116">
        <v>2423.15</v>
      </c>
      <c r="N2282" s="116">
        <v>2459.1999999999998</v>
      </c>
      <c r="O2282" s="116">
        <v>2403.65</v>
      </c>
      <c r="P2282" s="116">
        <v>2441.35</v>
      </c>
      <c r="Q2282" s="116">
        <v>2423.15</v>
      </c>
      <c r="R2282">
        <v>242866</v>
      </c>
    </row>
    <row r="2283" spans="1:18" x14ac:dyDescent="0.25">
      <c r="A2283" s="163">
        <v>45364</v>
      </c>
      <c r="B2283" s="116">
        <v>2462.1999999999998</v>
      </c>
      <c r="C2283" s="116">
        <v>2384.85</v>
      </c>
      <c r="D2283" s="116">
        <v>2376.9</v>
      </c>
      <c r="E2283" s="116">
        <v>2420.0500000000002</v>
      </c>
      <c r="F2283" s="116">
        <v>2384.85</v>
      </c>
      <c r="G2283">
        <v>7030</v>
      </c>
      <c r="H2283" s="116"/>
      <c r="I2283" s="116"/>
      <c r="L2283" s="163">
        <v>45364</v>
      </c>
      <c r="M2283" s="116">
        <v>2386</v>
      </c>
      <c r="N2283" s="116">
        <v>2462</v>
      </c>
      <c r="O2283" s="116">
        <v>2375.1</v>
      </c>
      <c r="P2283" s="116">
        <v>2429.85</v>
      </c>
      <c r="Q2283" s="116">
        <v>2386</v>
      </c>
      <c r="R2283">
        <v>442261</v>
      </c>
    </row>
    <row r="2284" spans="1:18" x14ac:dyDescent="0.25">
      <c r="A2284" s="163">
        <v>45365</v>
      </c>
      <c r="B2284" s="116">
        <v>2434</v>
      </c>
      <c r="C2284" s="116">
        <v>2428.1999999999998</v>
      </c>
      <c r="D2284" s="116">
        <v>2338.3000000000002</v>
      </c>
      <c r="E2284" s="116">
        <v>2338.3000000000002</v>
      </c>
      <c r="F2284" s="116">
        <v>2428.1999999999998</v>
      </c>
      <c r="G2284">
        <v>8079</v>
      </c>
      <c r="H2284" s="116"/>
      <c r="I2284" s="116"/>
      <c r="L2284" s="163">
        <v>45365</v>
      </c>
      <c r="M2284" s="116">
        <v>2430.25</v>
      </c>
      <c r="N2284" s="116">
        <v>2436</v>
      </c>
      <c r="O2284" s="116">
        <v>2344.35</v>
      </c>
      <c r="P2284" s="116">
        <v>2386</v>
      </c>
      <c r="Q2284" s="116">
        <v>2430.25</v>
      </c>
      <c r="R2284">
        <v>383267</v>
      </c>
    </row>
    <row r="2285" spans="1:18" x14ac:dyDescent="0.25">
      <c r="A2285" s="163">
        <v>45366</v>
      </c>
      <c r="B2285" s="116">
        <v>2449</v>
      </c>
      <c r="C2285" s="116">
        <v>2427.9</v>
      </c>
      <c r="D2285" s="116">
        <v>2406.0500000000002</v>
      </c>
      <c r="E2285" s="116">
        <v>2434.6999999999998</v>
      </c>
      <c r="F2285" s="116">
        <v>2427.9</v>
      </c>
      <c r="G2285">
        <v>3788</v>
      </c>
      <c r="H2285" s="116"/>
      <c r="I2285" s="116"/>
      <c r="L2285" s="163">
        <v>45366</v>
      </c>
      <c r="M2285" s="116">
        <v>2428.5500000000002</v>
      </c>
      <c r="N2285" s="116">
        <v>2449.9</v>
      </c>
      <c r="O2285" s="116">
        <v>2404.4</v>
      </c>
      <c r="P2285" s="116">
        <v>2430</v>
      </c>
      <c r="Q2285" s="116">
        <v>2428.5500000000002</v>
      </c>
      <c r="R2285">
        <v>378516</v>
      </c>
    </row>
    <row r="2286" spans="1:18" x14ac:dyDescent="0.25">
      <c r="A2286" s="163">
        <v>45369</v>
      </c>
      <c r="B2286" s="116">
        <v>2479.15</v>
      </c>
      <c r="C2286" s="116">
        <v>2468.85</v>
      </c>
      <c r="D2286" s="116">
        <v>2415.5500000000002</v>
      </c>
      <c r="E2286" s="116">
        <v>2424.3000000000002</v>
      </c>
      <c r="F2286" s="116">
        <v>2468.85</v>
      </c>
      <c r="G2286">
        <v>6937</v>
      </c>
      <c r="H2286" s="116"/>
      <c r="I2286" s="116"/>
      <c r="L2286" s="163">
        <v>45369</v>
      </c>
      <c r="M2286" s="116">
        <v>2470</v>
      </c>
      <c r="N2286" s="116">
        <v>2479.6999999999998</v>
      </c>
      <c r="O2286" s="116">
        <v>2411</v>
      </c>
      <c r="P2286" s="116">
        <v>2427.6</v>
      </c>
      <c r="Q2286" s="116">
        <v>2470</v>
      </c>
      <c r="R2286">
        <v>563240</v>
      </c>
    </row>
    <row r="2287" spans="1:18" x14ac:dyDescent="0.25">
      <c r="A2287" s="163">
        <v>45370</v>
      </c>
      <c r="B2287" s="116">
        <v>2480</v>
      </c>
      <c r="C2287" s="116">
        <v>2430.6999999999998</v>
      </c>
      <c r="D2287" s="116">
        <v>2401.1</v>
      </c>
      <c r="E2287" s="116">
        <v>2475.8000000000002</v>
      </c>
      <c r="F2287" s="116">
        <v>2430.6999999999998</v>
      </c>
      <c r="G2287">
        <v>4602</v>
      </c>
      <c r="H2287" s="116"/>
      <c r="I2287" s="116"/>
      <c r="L2287" s="163">
        <v>45370</v>
      </c>
      <c r="M2287" s="116">
        <v>2432.85</v>
      </c>
      <c r="N2287" s="116">
        <v>2480</v>
      </c>
      <c r="O2287" s="116">
        <v>2400.6</v>
      </c>
      <c r="P2287" s="116">
        <v>2477.85</v>
      </c>
      <c r="Q2287" s="116">
        <v>2432.85</v>
      </c>
      <c r="R2287">
        <v>380710</v>
      </c>
    </row>
    <row r="2288" spans="1:18" x14ac:dyDescent="0.25">
      <c r="A2288" s="163">
        <v>45371</v>
      </c>
      <c r="B2288" s="116">
        <v>2469.65</v>
      </c>
      <c r="C2288" s="116">
        <v>2460.6999999999998</v>
      </c>
      <c r="D2288" s="116">
        <v>2423.5500000000002</v>
      </c>
      <c r="E2288" s="116">
        <v>2469.65</v>
      </c>
      <c r="F2288" s="116">
        <v>2460.6999999999998</v>
      </c>
      <c r="G2288">
        <v>2468</v>
      </c>
      <c r="H2288" s="116"/>
      <c r="I2288" s="116"/>
      <c r="L2288" s="163">
        <v>45371</v>
      </c>
      <c r="M2288" s="116">
        <v>2460.3000000000002</v>
      </c>
      <c r="N2288" s="116">
        <v>2464.6999999999998</v>
      </c>
      <c r="O2288" s="116">
        <v>2418.9499999999998</v>
      </c>
      <c r="P2288" s="116">
        <v>2444</v>
      </c>
      <c r="Q2288" s="116">
        <v>2460.3000000000002</v>
      </c>
      <c r="R2288">
        <v>205010</v>
      </c>
    </row>
    <row r="2289" spans="1:18" x14ac:dyDescent="0.25">
      <c r="A2289" s="163">
        <v>45372</v>
      </c>
      <c r="B2289" s="116">
        <v>2549</v>
      </c>
      <c r="C2289" s="116">
        <v>2538.1</v>
      </c>
      <c r="D2289" s="116">
        <v>2467.9499999999998</v>
      </c>
      <c r="E2289" s="116">
        <v>2470.6</v>
      </c>
      <c r="F2289" s="116">
        <v>2538.1</v>
      </c>
      <c r="G2289">
        <v>48845</v>
      </c>
      <c r="H2289" s="116"/>
      <c r="I2289" s="116"/>
      <c r="L2289" s="163">
        <v>45372</v>
      </c>
      <c r="M2289" s="116">
        <v>2538.35</v>
      </c>
      <c r="N2289" s="116">
        <v>2549.85</v>
      </c>
      <c r="O2289" s="116">
        <v>2469.1</v>
      </c>
      <c r="P2289" s="116">
        <v>2478</v>
      </c>
      <c r="Q2289" s="116">
        <v>2538.35</v>
      </c>
      <c r="R2289">
        <v>1316007</v>
      </c>
    </row>
    <row r="2290" spans="1:18" x14ac:dyDescent="0.25">
      <c r="A2290" s="163">
        <v>45373</v>
      </c>
      <c r="B2290" s="116">
        <v>2600</v>
      </c>
      <c r="C2290" s="116">
        <v>2550.75</v>
      </c>
      <c r="D2290" s="116">
        <v>2531.9499999999998</v>
      </c>
      <c r="E2290" s="116">
        <v>2564.9499999999998</v>
      </c>
      <c r="F2290" s="116">
        <v>2550.75</v>
      </c>
      <c r="G2290">
        <v>22669</v>
      </c>
      <c r="H2290" s="116"/>
      <c r="I2290" s="116"/>
      <c r="L2290" s="163">
        <v>45373</v>
      </c>
      <c r="M2290" s="116">
        <v>2550.9499999999998</v>
      </c>
      <c r="N2290" s="116">
        <v>2600</v>
      </c>
      <c r="O2290" s="116">
        <v>2532</v>
      </c>
      <c r="P2290" s="116">
        <v>2556</v>
      </c>
      <c r="Q2290" s="116">
        <v>2550.9499999999998</v>
      </c>
      <c r="R2290">
        <v>1205728</v>
      </c>
    </row>
    <row r="2291" spans="1:18" x14ac:dyDescent="0.25">
      <c r="A2291" s="163">
        <v>45377</v>
      </c>
      <c r="B2291" s="116">
        <v>2596.35</v>
      </c>
      <c r="C2291" s="116">
        <v>2577.9499999999998</v>
      </c>
      <c r="D2291" s="116">
        <v>2550.85</v>
      </c>
      <c r="E2291" s="116">
        <v>2559.4499999999998</v>
      </c>
      <c r="F2291" s="116">
        <v>2577.9499999999998</v>
      </c>
      <c r="G2291">
        <v>13904</v>
      </c>
      <c r="H2291" s="116"/>
      <c r="I2291" s="116"/>
      <c r="L2291" s="163">
        <v>45377</v>
      </c>
      <c r="M2291" s="116">
        <v>2580</v>
      </c>
      <c r="N2291" s="116">
        <v>2598</v>
      </c>
      <c r="O2291" s="116">
        <v>2546</v>
      </c>
      <c r="P2291" s="116">
        <v>2553</v>
      </c>
      <c r="Q2291" s="116">
        <v>2580</v>
      </c>
      <c r="R2291">
        <v>687251</v>
      </c>
    </row>
    <row r="2292" spans="1:18" x14ac:dyDescent="0.25">
      <c r="A2292" s="163">
        <v>45378</v>
      </c>
      <c r="B2292" s="116">
        <v>2598.9499999999998</v>
      </c>
      <c r="C2292" s="116">
        <v>2522.85</v>
      </c>
      <c r="D2292" s="116">
        <v>2516.1</v>
      </c>
      <c r="E2292" s="116">
        <v>2598.9499999999998</v>
      </c>
      <c r="F2292" s="116">
        <v>2522.85</v>
      </c>
      <c r="G2292">
        <v>5988</v>
      </c>
      <c r="H2292" s="116"/>
      <c r="I2292" s="116"/>
      <c r="L2292" s="163">
        <v>45378</v>
      </c>
      <c r="M2292" s="116">
        <v>2522.75</v>
      </c>
      <c r="N2292" s="116">
        <v>2597</v>
      </c>
      <c r="O2292" s="116">
        <v>2515.1</v>
      </c>
      <c r="P2292" s="116">
        <v>2595.1999999999998</v>
      </c>
      <c r="Q2292" s="116">
        <v>2522.75</v>
      </c>
      <c r="R2292">
        <v>1097897</v>
      </c>
    </row>
    <row r="2293" spans="1:18" x14ac:dyDescent="0.25">
      <c r="A2293" s="163">
        <v>45379</v>
      </c>
      <c r="B2293" s="116">
        <v>2574.9499999999998</v>
      </c>
      <c r="C2293" s="116">
        <v>2557.5500000000002</v>
      </c>
      <c r="D2293" s="116">
        <v>2510.6999999999998</v>
      </c>
      <c r="E2293" s="116">
        <v>2510.6999999999998</v>
      </c>
      <c r="F2293" s="116">
        <v>2557.5500000000002</v>
      </c>
      <c r="G2293">
        <v>19538</v>
      </c>
      <c r="H2293" s="116"/>
      <c r="I2293" s="116"/>
      <c r="L2293" s="163">
        <v>45379</v>
      </c>
      <c r="M2293" s="116">
        <v>2560.25</v>
      </c>
      <c r="N2293" s="116">
        <v>2574.9</v>
      </c>
      <c r="O2293" s="116">
        <v>2503.3000000000002</v>
      </c>
      <c r="P2293" s="116">
        <v>2516.4499999999998</v>
      </c>
      <c r="Q2293" s="116">
        <v>2560.25</v>
      </c>
      <c r="R2293">
        <v>520691</v>
      </c>
    </row>
    <row r="2294" spans="1:18" x14ac:dyDescent="0.25">
      <c r="A2294" s="163">
        <v>45383</v>
      </c>
      <c r="B2294" s="116">
        <v>2628.45</v>
      </c>
      <c r="C2294" s="116">
        <v>2619.25</v>
      </c>
      <c r="D2294" s="116">
        <v>2552.5500000000002</v>
      </c>
      <c r="E2294" s="116">
        <v>2560</v>
      </c>
      <c r="F2294" s="116">
        <v>2619.25</v>
      </c>
      <c r="G2294">
        <v>12237</v>
      </c>
      <c r="H2294" s="116"/>
      <c r="I2294" s="116"/>
      <c r="L2294" s="163">
        <v>45383</v>
      </c>
      <c r="M2294" s="116">
        <v>2616.6</v>
      </c>
      <c r="N2294" s="116">
        <v>2629.4</v>
      </c>
      <c r="O2294" s="116">
        <v>2552.0500000000002</v>
      </c>
      <c r="P2294" s="116">
        <v>2559.9</v>
      </c>
      <c r="Q2294" s="116">
        <v>2616.6</v>
      </c>
      <c r="R2294">
        <v>678813</v>
      </c>
    </row>
    <row r="2295" spans="1:18" x14ac:dyDescent="0.25">
      <c r="A2295" s="163">
        <v>45384</v>
      </c>
      <c r="B2295" s="116">
        <v>2661.2</v>
      </c>
      <c r="C2295" s="116">
        <v>2620.6999999999998</v>
      </c>
      <c r="D2295" s="116">
        <v>2600</v>
      </c>
      <c r="E2295" s="116">
        <v>2634.6</v>
      </c>
      <c r="F2295" s="116">
        <v>2620.6999999999998</v>
      </c>
      <c r="G2295">
        <v>37301</v>
      </c>
      <c r="H2295" s="116"/>
      <c r="I2295" s="116"/>
      <c r="L2295" s="163">
        <v>45384</v>
      </c>
      <c r="M2295" s="116">
        <v>2621.8</v>
      </c>
      <c r="N2295" s="116">
        <v>2662.95</v>
      </c>
      <c r="O2295" s="116">
        <v>2600.0500000000002</v>
      </c>
      <c r="P2295" s="116">
        <v>2632.85</v>
      </c>
      <c r="Q2295" s="116">
        <v>2621.8</v>
      </c>
      <c r="R2295">
        <v>1308354</v>
      </c>
    </row>
    <row r="2296" spans="1:18" x14ac:dyDescent="0.25">
      <c r="A2296" s="163">
        <v>45385</v>
      </c>
      <c r="B2296" s="116">
        <v>2642</v>
      </c>
      <c r="C2296" s="116">
        <v>2622.85</v>
      </c>
      <c r="D2296" s="116">
        <v>2605.4499999999998</v>
      </c>
      <c r="E2296" s="116">
        <v>2618.35</v>
      </c>
      <c r="F2296" s="116">
        <v>2622.85</v>
      </c>
      <c r="G2296">
        <v>5283</v>
      </c>
      <c r="H2296" s="116"/>
      <c r="I2296" s="116"/>
      <c r="L2296" s="163">
        <v>45385</v>
      </c>
      <c r="M2296" s="116">
        <v>2623</v>
      </c>
      <c r="N2296" s="116">
        <v>2642.9</v>
      </c>
      <c r="O2296" s="116">
        <v>2602.0500000000002</v>
      </c>
      <c r="P2296" s="116">
        <v>2621.8</v>
      </c>
      <c r="Q2296" s="116">
        <v>2623</v>
      </c>
      <c r="R2296">
        <v>367223</v>
      </c>
    </row>
    <row r="2297" spans="1:18" x14ac:dyDescent="0.25">
      <c r="A2297" s="163">
        <v>45386</v>
      </c>
      <c r="B2297" s="116">
        <v>2635.95</v>
      </c>
      <c r="C2297" s="116">
        <v>2595.5</v>
      </c>
      <c r="D2297" s="116">
        <v>2586.6999999999998</v>
      </c>
      <c r="E2297" s="116">
        <v>2620</v>
      </c>
      <c r="F2297" s="116">
        <v>2595.5</v>
      </c>
      <c r="G2297">
        <v>6614</v>
      </c>
      <c r="H2297" s="116"/>
      <c r="I2297" s="116"/>
      <c r="L2297" s="163">
        <v>45386</v>
      </c>
      <c r="M2297" s="116">
        <v>2591.5</v>
      </c>
      <c r="N2297" s="116">
        <v>2637.5</v>
      </c>
      <c r="O2297" s="116">
        <v>2583.6</v>
      </c>
      <c r="P2297" s="116">
        <v>2629.95</v>
      </c>
      <c r="Q2297" s="116">
        <v>2591.5</v>
      </c>
      <c r="R2297">
        <v>319548</v>
      </c>
    </row>
    <row r="2298" spans="1:18" x14ac:dyDescent="0.25">
      <c r="A2298" s="163">
        <v>45387</v>
      </c>
      <c r="B2298" s="116">
        <v>2615</v>
      </c>
      <c r="C2298" s="116">
        <v>2585.6999999999998</v>
      </c>
      <c r="D2298" s="116">
        <v>2577.5500000000002</v>
      </c>
      <c r="E2298" s="116">
        <v>2587.35</v>
      </c>
      <c r="F2298" s="116">
        <v>2585.6999999999998</v>
      </c>
      <c r="G2298">
        <v>9641</v>
      </c>
      <c r="H2298" s="116"/>
      <c r="I2298" s="116"/>
      <c r="L2298" s="163">
        <v>45387</v>
      </c>
      <c r="M2298" s="116">
        <v>2586.85</v>
      </c>
      <c r="N2298" s="116">
        <v>2616</v>
      </c>
      <c r="O2298" s="116">
        <v>2578.3000000000002</v>
      </c>
      <c r="P2298" s="116">
        <v>2590</v>
      </c>
      <c r="Q2298" s="116">
        <v>2586.85</v>
      </c>
      <c r="R2298">
        <v>342605</v>
      </c>
    </row>
    <row r="2299" spans="1:18" x14ac:dyDescent="0.25">
      <c r="A2299" s="163">
        <v>45390</v>
      </c>
      <c r="B2299" s="116">
        <v>2618</v>
      </c>
      <c r="C2299" s="116">
        <v>2601.1999999999998</v>
      </c>
      <c r="D2299" s="116">
        <v>2556.5500000000002</v>
      </c>
      <c r="E2299" s="116">
        <v>2608.9499999999998</v>
      </c>
      <c r="F2299" s="116">
        <v>2601.1999999999998</v>
      </c>
      <c r="G2299">
        <v>6415</v>
      </c>
      <c r="H2299" s="116"/>
      <c r="I2299" s="116"/>
      <c r="L2299" s="163">
        <v>45390</v>
      </c>
      <c r="M2299" s="116">
        <v>2607.1999999999998</v>
      </c>
      <c r="N2299" s="116">
        <v>2617.9499999999998</v>
      </c>
      <c r="O2299" s="116">
        <v>2555.65</v>
      </c>
      <c r="P2299" s="116">
        <v>2600</v>
      </c>
      <c r="Q2299" s="116">
        <v>2607.1999999999998</v>
      </c>
      <c r="R2299">
        <v>286273</v>
      </c>
    </row>
    <row r="2300" spans="1:18" x14ac:dyDescent="0.25">
      <c r="A2300" s="163">
        <v>45391</v>
      </c>
      <c r="B2300" s="116">
        <v>2628.65</v>
      </c>
      <c r="C2300" s="116">
        <v>2592.9</v>
      </c>
      <c r="D2300" s="116">
        <v>2580.6999999999998</v>
      </c>
      <c r="E2300" s="116">
        <v>2628.65</v>
      </c>
      <c r="F2300" s="116">
        <v>2592.9</v>
      </c>
      <c r="G2300">
        <v>4640</v>
      </c>
      <c r="H2300" s="116"/>
      <c r="I2300" s="116"/>
      <c r="L2300" s="163">
        <v>45391</v>
      </c>
      <c r="M2300" s="116">
        <v>2592.9499999999998</v>
      </c>
      <c r="N2300" s="116">
        <v>2623.9</v>
      </c>
      <c r="O2300" s="116">
        <v>2578.1999999999998</v>
      </c>
      <c r="P2300" s="116">
        <v>2623.9</v>
      </c>
      <c r="Q2300" s="116">
        <v>2592.9499999999998</v>
      </c>
      <c r="R2300">
        <v>254205</v>
      </c>
    </row>
    <row r="2301" spans="1:18" x14ac:dyDescent="0.25">
      <c r="A2301" s="163">
        <v>45392</v>
      </c>
      <c r="B2301" s="116">
        <v>2687.2</v>
      </c>
      <c r="C2301" s="116">
        <v>2645.45</v>
      </c>
      <c r="D2301" s="116">
        <v>2568</v>
      </c>
      <c r="E2301" s="116">
        <v>2597.65</v>
      </c>
      <c r="F2301" s="116">
        <v>2645.45</v>
      </c>
      <c r="G2301">
        <v>27040</v>
      </c>
      <c r="H2301" s="116"/>
      <c r="I2301" s="116"/>
      <c r="L2301" s="163">
        <v>45392</v>
      </c>
      <c r="M2301" s="116">
        <v>2645.55</v>
      </c>
      <c r="N2301" s="116">
        <v>2687.5</v>
      </c>
      <c r="O2301" s="116">
        <v>2565.75</v>
      </c>
      <c r="P2301" s="116">
        <v>2586</v>
      </c>
      <c r="Q2301" s="116">
        <v>2645.55</v>
      </c>
      <c r="R2301">
        <v>1068326</v>
      </c>
    </row>
    <row r="2302" spans="1:18" x14ac:dyDescent="0.25">
      <c r="A2302" s="163">
        <v>45394</v>
      </c>
      <c r="B2302" s="116">
        <v>2687.35</v>
      </c>
      <c r="C2302" s="116">
        <v>2631.85</v>
      </c>
      <c r="D2302" s="116">
        <v>2625.2</v>
      </c>
      <c r="E2302" s="116">
        <v>2649.45</v>
      </c>
      <c r="F2302" s="116">
        <v>2631.85</v>
      </c>
      <c r="G2302">
        <v>13585</v>
      </c>
      <c r="H2302" s="116"/>
      <c r="I2302" s="116"/>
      <c r="L2302" s="163">
        <v>45394</v>
      </c>
      <c r="M2302" s="116">
        <v>2632.3</v>
      </c>
      <c r="N2302" s="116">
        <v>2687.5</v>
      </c>
      <c r="O2302" s="116">
        <v>2625.55</v>
      </c>
      <c r="P2302" s="116">
        <v>2645</v>
      </c>
      <c r="Q2302" s="116">
        <v>2632.3</v>
      </c>
      <c r="R2302">
        <v>699830</v>
      </c>
    </row>
    <row r="2303" spans="1:18" x14ac:dyDescent="0.25">
      <c r="A2303" s="163">
        <v>45397</v>
      </c>
      <c r="B2303" s="116">
        <v>2615.1999999999998</v>
      </c>
      <c r="C2303" s="116">
        <v>2556.9499999999998</v>
      </c>
      <c r="D2303" s="116">
        <v>2526.0500000000002</v>
      </c>
      <c r="E2303" s="116">
        <v>2526.0500000000002</v>
      </c>
      <c r="F2303" s="116">
        <v>2556.9499999999998</v>
      </c>
      <c r="G2303">
        <v>7026</v>
      </c>
      <c r="H2303" s="116"/>
      <c r="I2303" s="116"/>
      <c r="L2303" s="163">
        <v>45397</v>
      </c>
      <c r="M2303" s="116">
        <v>2557.35</v>
      </c>
      <c r="N2303" s="116">
        <v>2618</v>
      </c>
      <c r="O2303" s="116">
        <v>2526.75</v>
      </c>
      <c r="P2303" s="116">
        <v>2580</v>
      </c>
      <c r="Q2303" s="116">
        <v>2557.35</v>
      </c>
      <c r="R2303">
        <v>672725</v>
      </c>
    </row>
    <row r="2304" spans="1:18" x14ac:dyDescent="0.25">
      <c r="A2304" s="163">
        <v>45398</v>
      </c>
      <c r="B2304" s="116">
        <v>2568</v>
      </c>
      <c r="C2304" s="116">
        <v>2517.6999999999998</v>
      </c>
      <c r="D2304" s="116">
        <v>2511.4</v>
      </c>
      <c r="E2304" s="116">
        <v>2530.1</v>
      </c>
      <c r="F2304" s="116">
        <v>2517.6999999999998</v>
      </c>
      <c r="G2304">
        <v>4389</v>
      </c>
      <c r="H2304" s="116"/>
      <c r="I2304" s="116"/>
      <c r="L2304" s="163">
        <v>45398</v>
      </c>
      <c r="M2304" s="116">
        <v>2518.25</v>
      </c>
      <c r="N2304" s="116">
        <v>2571.85</v>
      </c>
      <c r="O2304" s="116">
        <v>2511</v>
      </c>
      <c r="P2304" s="116">
        <v>2532.1999999999998</v>
      </c>
      <c r="Q2304" s="116">
        <v>2518.25</v>
      </c>
      <c r="R2304">
        <v>473443</v>
      </c>
    </row>
    <row r="2305" spans="1:18" x14ac:dyDescent="0.25">
      <c r="A2305" s="163">
        <v>45400</v>
      </c>
      <c r="B2305" s="116">
        <v>2574.4</v>
      </c>
      <c r="C2305" s="116">
        <v>2531.8000000000002</v>
      </c>
      <c r="D2305" s="116">
        <v>2517.4</v>
      </c>
      <c r="E2305" s="116">
        <v>2527.6999999999998</v>
      </c>
      <c r="F2305" s="116">
        <v>2531.8000000000002</v>
      </c>
      <c r="G2305">
        <v>52802</v>
      </c>
      <c r="H2305" s="116"/>
      <c r="I2305" s="116"/>
      <c r="L2305" s="163">
        <v>45400</v>
      </c>
      <c r="M2305" s="116">
        <v>2529.9499999999998</v>
      </c>
      <c r="N2305" s="116">
        <v>2573.9499999999998</v>
      </c>
      <c r="O2305" s="116">
        <v>2517.0500000000002</v>
      </c>
      <c r="P2305" s="116">
        <v>2537.9</v>
      </c>
      <c r="Q2305" s="116">
        <v>2529.9499999999998</v>
      </c>
      <c r="R2305">
        <v>566417</v>
      </c>
    </row>
    <row r="2306" spans="1:18" x14ac:dyDescent="0.25">
      <c r="A2306" s="163">
        <v>45401</v>
      </c>
      <c r="B2306" s="116">
        <v>2552.9499999999998</v>
      </c>
      <c r="C2306" s="116">
        <v>2527.1</v>
      </c>
      <c r="D2306" s="116">
        <v>2480.0500000000002</v>
      </c>
      <c r="E2306" s="116">
        <v>2499.5500000000002</v>
      </c>
      <c r="F2306" s="116">
        <v>2527.1</v>
      </c>
      <c r="G2306">
        <v>15078</v>
      </c>
      <c r="H2306" s="116"/>
      <c r="I2306" s="116"/>
      <c r="L2306" s="163">
        <v>45401</v>
      </c>
      <c r="M2306" s="116">
        <v>2529.0500000000002</v>
      </c>
      <c r="N2306" s="116">
        <v>2553.15</v>
      </c>
      <c r="O2306" s="116">
        <v>2480</v>
      </c>
      <c r="P2306" s="116">
        <v>2495</v>
      </c>
      <c r="Q2306" s="116">
        <v>2529.0500000000002</v>
      </c>
      <c r="R2306">
        <v>280298</v>
      </c>
    </row>
    <row r="2307" spans="1:18" x14ac:dyDescent="0.25">
      <c r="A2307" s="163">
        <v>45404</v>
      </c>
      <c r="B2307" s="116">
        <v>2573</v>
      </c>
      <c r="C2307" s="116">
        <v>2564.65</v>
      </c>
      <c r="D2307" s="116">
        <v>2533.4</v>
      </c>
      <c r="E2307" s="116">
        <v>2550.4</v>
      </c>
      <c r="F2307" s="116">
        <v>2564.65</v>
      </c>
      <c r="G2307">
        <v>7393</v>
      </c>
      <c r="H2307" s="116"/>
      <c r="I2307" s="116"/>
      <c r="L2307" s="163">
        <v>45404</v>
      </c>
      <c r="M2307" s="116">
        <v>2565.1</v>
      </c>
      <c r="N2307" s="116">
        <v>2574.9499999999998</v>
      </c>
      <c r="O2307" s="116">
        <v>2531.6999999999998</v>
      </c>
      <c r="P2307" s="116">
        <v>2552.9499999999998</v>
      </c>
      <c r="Q2307" s="116">
        <v>2565.1</v>
      </c>
      <c r="R2307">
        <v>301008</v>
      </c>
    </row>
    <row r="2308" spans="1:18" x14ac:dyDescent="0.25">
      <c r="A2308" s="163">
        <v>45405</v>
      </c>
      <c r="B2308" s="116">
        <v>2639.9</v>
      </c>
      <c r="C2308" s="116">
        <v>2617</v>
      </c>
      <c r="D2308" s="116">
        <v>2564</v>
      </c>
      <c r="E2308" s="116">
        <v>2564.65</v>
      </c>
      <c r="F2308" s="116">
        <v>2617</v>
      </c>
      <c r="G2308">
        <v>9095</v>
      </c>
      <c r="H2308" s="116"/>
      <c r="I2308" s="116"/>
      <c r="L2308" s="163">
        <v>45405</v>
      </c>
      <c r="M2308" s="116">
        <v>2617.4</v>
      </c>
      <c r="N2308" s="116">
        <v>2639.35</v>
      </c>
      <c r="O2308" s="116">
        <v>2560.9</v>
      </c>
      <c r="P2308" s="116">
        <v>2568</v>
      </c>
      <c r="Q2308" s="116">
        <v>2617.4</v>
      </c>
      <c r="R2308">
        <v>697381</v>
      </c>
    </row>
    <row r="2309" spans="1:18" x14ac:dyDescent="0.25">
      <c r="A2309" s="163">
        <v>45406</v>
      </c>
      <c r="B2309" s="116">
        <v>2658</v>
      </c>
      <c r="C2309" s="116">
        <v>2615.35</v>
      </c>
      <c r="D2309" s="116">
        <v>2607.65</v>
      </c>
      <c r="E2309" s="116">
        <v>2625.7</v>
      </c>
      <c r="F2309" s="116">
        <v>2615.35</v>
      </c>
      <c r="G2309">
        <v>5337</v>
      </c>
      <c r="H2309" s="116"/>
      <c r="I2309" s="116"/>
      <c r="L2309" s="163">
        <v>45406</v>
      </c>
      <c r="M2309" s="116">
        <v>2619.1999999999998</v>
      </c>
      <c r="N2309" s="116">
        <v>2659.3</v>
      </c>
      <c r="O2309" s="116">
        <v>2610</v>
      </c>
      <c r="P2309" s="116">
        <v>2634.9</v>
      </c>
      <c r="Q2309" s="116">
        <v>2619.1999999999998</v>
      </c>
      <c r="R2309">
        <v>383408</v>
      </c>
    </row>
    <row r="2310" spans="1:18" x14ac:dyDescent="0.25">
      <c r="A2310" s="163">
        <v>45407</v>
      </c>
      <c r="B2310" s="116">
        <v>2648</v>
      </c>
      <c r="C2310" s="116">
        <v>2639.1</v>
      </c>
      <c r="D2310" s="116">
        <v>2602</v>
      </c>
      <c r="E2310" s="116">
        <v>2619.1999999999998</v>
      </c>
      <c r="F2310" s="116">
        <v>2639.1</v>
      </c>
      <c r="G2310">
        <v>20536</v>
      </c>
      <c r="H2310" s="116"/>
      <c r="I2310" s="116"/>
      <c r="L2310" s="163">
        <v>45407</v>
      </c>
      <c r="M2310" s="116">
        <v>2638.9</v>
      </c>
      <c r="N2310" s="116">
        <v>2650</v>
      </c>
      <c r="O2310" s="116">
        <v>2601.15</v>
      </c>
      <c r="P2310" s="116">
        <v>2619.1999999999998</v>
      </c>
      <c r="Q2310" s="116">
        <v>2638.9</v>
      </c>
      <c r="R2310">
        <v>661465</v>
      </c>
    </row>
    <row r="2311" spans="1:18" x14ac:dyDescent="0.25">
      <c r="A2311" s="163">
        <v>45408</v>
      </c>
      <c r="B2311" s="116">
        <v>2657</v>
      </c>
      <c r="C2311" s="116">
        <v>2637.55</v>
      </c>
      <c r="D2311" s="116">
        <v>2613.5</v>
      </c>
      <c r="E2311" s="116">
        <v>2613.5</v>
      </c>
      <c r="F2311" s="116">
        <v>2637.55</v>
      </c>
      <c r="G2311">
        <v>11650</v>
      </c>
      <c r="H2311" s="116"/>
      <c r="I2311" s="116"/>
      <c r="L2311" s="163">
        <v>45408</v>
      </c>
      <c r="M2311" s="116">
        <v>2640.8</v>
      </c>
      <c r="N2311" s="116">
        <v>2659</v>
      </c>
      <c r="O2311" s="116">
        <v>2621</v>
      </c>
      <c r="P2311" s="116">
        <v>2625</v>
      </c>
      <c r="Q2311" s="116">
        <v>2640.8</v>
      </c>
      <c r="R2311">
        <v>345768</v>
      </c>
    </row>
    <row r="2312" spans="1:18" x14ac:dyDescent="0.25">
      <c r="A2312" s="163">
        <v>45411</v>
      </c>
      <c r="B2312" s="116">
        <v>2669.4</v>
      </c>
      <c r="C2312" s="116">
        <v>2637.1</v>
      </c>
      <c r="D2312" s="116">
        <v>2611.65</v>
      </c>
      <c r="E2312" s="116">
        <v>2669.4</v>
      </c>
      <c r="F2312" s="116">
        <v>2637.1</v>
      </c>
      <c r="G2312">
        <v>4948</v>
      </c>
      <c r="H2312" s="116"/>
      <c r="I2312" s="116"/>
      <c r="L2312" s="163">
        <v>45411</v>
      </c>
      <c r="M2312" s="116">
        <v>2636.25</v>
      </c>
      <c r="N2312" s="116">
        <v>2669</v>
      </c>
      <c r="O2312" s="116">
        <v>2611</v>
      </c>
      <c r="P2312" s="116">
        <v>2649.95</v>
      </c>
      <c r="Q2312" s="116">
        <v>2636.25</v>
      </c>
      <c r="R2312">
        <v>364006</v>
      </c>
    </row>
    <row r="2313" spans="1:18" x14ac:dyDescent="0.25">
      <c r="A2313" s="163">
        <v>45412</v>
      </c>
      <c r="B2313" s="116">
        <v>2655</v>
      </c>
      <c r="C2313" s="116">
        <v>2619.15</v>
      </c>
      <c r="D2313" s="116">
        <v>2613.5</v>
      </c>
      <c r="E2313" s="116">
        <v>2633.5</v>
      </c>
      <c r="F2313" s="116">
        <v>2619.15</v>
      </c>
      <c r="G2313">
        <v>14503</v>
      </c>
      <c r="H2313" s="116"/>
      <c r="I2313" s="116"/>
      <c r="L2313" s="163">
        <v>45412</v>
      </c>
      <c r="M2313" s="116">
        <v>2621.0500000000002</v>
      </c>
      <c r="N2313" s="116">
        <v>2655</v>
      </c>
      <c r="O2313" s="116">
        <v>2614.5</v>
      </c>
      <c r="P2313" s="116">
        <v>2636.25</v>
      </c>
      <c r="Q2313" s="116">
        <v>2621.0500000000002</v>
      </c>
      <c r="R2313">
        <v>348452</v>
      </c>
    </row>
    <row r="2314" spans="1:18" x14ac:dyDescent="0.25">
      <c r="A2314" s="163">
        <v>45414</v>
      </c>
      <c r="B2314" s="116">
        <v>2685</v>
      </c>
      <c r="C2314" s="116">
        <v>2667.9</v>
      </c>
      <c r="D2314" s="116">
        <v>2623.15</v>
      </c>
      <c r="E2314" s="116">
        <v>2623.75</v>
      </c>
      <c r="F2314" s="116">
        <v>2667.9</v>
      </c>
      <c r="G2314">
        <v>6148</v>
      </c>
      <c r="H2314" s="116"/>
      <c r="I2314" s="116"/>
      <c r="L2314" s="163">
        <v>45414</v>
      </c>
      <c r="M2314" s="116">
        <v>2669.05</v>
      </c>
      <c r="N2314" s="116">
        <v>2686</v>
      </c>
      <c r="O2314" s="116">
        <v>2621.0500000000002</v>
      </c>
      <c r="P2314" s="116">
        <v>2621.0500000000002</v>
      </c>
      <c r="Q2314" s="116">
        <v>2669.05</v>
      </c>
      <c r="R2314">
        <v>383008</v>
      </c>
    </row>
    <row r="2315" spans="1:18" x14ac:dyDescent="0.25">
      <c r="A2315" s="163">
        <v>45415</v>
      </c>
      <c r="B2315" s="116">
        <v>2697.45</v>
      </c>
      <c r="C2315" s="116">
        <v>2566.35</v>
      </c>
      <c r="D2315" s="116">
        <v>2536.1</v>
      </c>
      <c r="E2315" s="116">
        <v>2697.45</v>
      </c>
      <c r="F2315" s="116">
        <v>2566.35</v>
      </c>
      <c r="G2315">
        <v>12960</v>
      </c>
      <c r="H2315" s="116"/>
      <c r="I2315" s="116"/>
      <c r="L2315" s="163">
        <v>45415</v>
      </c>
      <c r="M2315" s="116">
        <v>2567.65</v>
      </c>
      <c r="N2315" s="116">
        <v>2693.95</v>
      </c>
      <c r="O2315" s="116">
        <v>2535</v>
      </c>
      <c r="P2315" s="116">
        <v>2688.9</v>
      </c>
      <c r="Q2315" s="116">
        <v>2567.65</v>
      </c>
      <c r="R2315">
        <v>640886</v>
      </c>
    </row>
    <row r="2316" spans="1:18" x14ac:dyDescent="0.25">
      <c r="A2316" s="163">
        <v>45418</v>
      </c>
      <c r="B2316" s="116">
        <v>2613.6999999999998</v>
      </c>
      <c r="C2316" s="116">
        <v>2591.65</v>
      </c>
      <c r="D2316" s="116">
        <v>2569.6</v>
      </c>
      <c r="E2316" s="116">
        <v>2586.25</v>
      </c>
      <c r="F2316" s="116">
        <v>2591.65</v>
      </c>
      <c r="G2316">
        <v>8732</v>
      </c>
      <c r="H2316" s="116"/>
      <c r="I2316" s="116"/>
      <c r="L2316" s="163">
        <v>45418</v>
      </c>
      <c r="M2316" s="116">
        <v>2587.6</v>
      </c>
      <c r="N2316" s="116">
        <v>2614</v>
      </c>
      <c r="O2316" s="116">
        <v>2559</v>
      </c>
      <c r="P2316" s="116">
        <v>2578.5500000000002</v>
      </c>
      <c r="Q2316" s="116">
        <v>2587.6</v>
      </c>
      <c r="R2316">
        <v>294624</v>
      </c>
    </row>
    <row r="2317" spans="1:18" x14ac:dyDescent="0.25">
      <c r="A2317" s="163">
        <v>45419</v>
      </c>
      <c r="B2317" s="116">
        <v>2556</v>
      </c>
      <c r="C2317" s="116">
        <v>2414.25</v>
      </c>
      <c r="D2317" s="116">
        <v>2387.5</v>
      </c>
      <c r="E2317" s="116">
        <v>2556</v>
      </c>
      <c r="F2317" s="116">
        <v>2414.25</v>
      </c>
      <c r="G2317">
        <v>74186</v>
      </c>
      <c r="H2317" s="116"/>
      <c r="I2317" s="116"/>
      <c r="L2317" s="163">
        <v>45419</v>
      </c>
      <c r="M2317" s="116">
        <v>2416.85</v>
      </c>
      <c r="N2317" s="116">
        <v>2540</v>
      </c>
      <c r="O2317" s="116">
        <v>2388.75</v>
      </c>
      <c r="P2317" s="116">
        <v>2540</v>
      </c>
      <c r="Q2317" s="116">
        <v>2416.85</v>
      </c>
      <c r="R2317">
        <v>2274991</v>
      </c>
    </row>
    <row r="2318" spans="1:18" x14ac:dyDescent="0.25">
      <c r="A2318" s="163">
        <v>45420</v>
      </c>
      <c r="B2318" s="116">
        <v>2423</v>
      </c>
      <c r="C2318" s="116">
        <v>2338.5500000000002</v>
      </c>
      <c r="D2318" s="116">
        <v>2325.5</v>
      </c>
      <c r="E2318" s="116">
        <v>2401.65</v>
      </c>
      <c r="F2318" s="116">
        <v>2338.5500000000002</v>
      </c>
      <c r="G2318">
        <v>21297</v>
      </c>
      <c r="H2318" s="116"/>
      <c r="I2318" s="116"/>
      <c r="L2318" s="163">
        <v>45420</v>
      </c>
      <c r="M2318" s="116">
        <v>2339.1</v>
      </c>
      <c r="N2318" s="116">
        <v>2427.6</v>
      </c>
      <c r="O2318" s="116">
        <v>2325.15</v>
      </c>
      <c r="P2318" s="116">
        <v>2409</v>
      </c>
      <c r="Q2318" s="116">
        <v>2339.1</v>
      </c>
      <c r="R2318">
        <v>1418023</v>
      </c>
    </row>
    <row r="2319" spans="1:18" x14ac:dyDescent="0.25">
      <c r="A2319" s="163">
        <v>45421</v>
      </c>
      <c r="B2319" s="116">
        <v>2351.4499999999998</v>
      </c>
      <c r="C2319" s="116">
        <v>2291.9</v>
      </c>
      <c r="D2319" s="116">
        <v>2281</v>
      </c>
      <c r="E2319" s="116">
        <v>2345.75</v>
      </c>
      <c r="F2319" s="116">
        <v>2291.9</v>
      </c>
      <c r="G2319">
        <v>10946</v>
      </c>
      <c r="H2319" s="116"/>
      <c r="I2319" s="116"/>
      <c r="L2319" s="163">
        <v>45421</v>
      </c>
      <c r="M2319" s="116">
        <v>2291.35</v>
      </c>
      <c r="N2319" s="116">
        <v>2352.6999999999998</v>
      </c>
      <c r="O2319" s="116">
        <v>2280.25</v>
      </c>
      <c r="P2319" s="116">
        <v>2341</v>
      </c>
      <c r="Q2319" s="116">
        <v>2291.35</v>
      </c>
      <c r="R2319">
        <v>979132</v>
      </c>
    </row>
    <row r="2320" spans="1:18" x14ac:dyDescent="0.25">
      <c r="A2320" s="163">
        <v>45422</v>
      </c>
      <c r="B2320" s="116">
        <v>2345.9</v>
      </c>
      <c r="C2320" s="116">
        <v>2276.9499999999998</v>
      </c>
      <c r="D2320" s="116">
        <v>2256.0500000000002</v>
      </c>
      <c r="E2320" s="116">
        <v>2301.1</v>
      </c>
      <c r="F2320" s="116">
        <v>2276.9499999999998</v>
      </c>
      <c r="G2320">
        <v>27218</v>
      </c>
      <c r="H2320" s="116"/>
      <c r="I2320" s="116"/>
      <c r="L2320" s="163">
        <v>45422</v>
      </c>
      <c r="M2320" s="116">
        <v>2278.0500000000002</v>
      </c>
      <c r="N2320" s="116">
        <v>2347.4</v>
      </c>
      <c r="O2320" s="116">
        <v>2256</v>
      </c>
      <c r="P2320" s="116">
        <v>2302</v>
      </c>
      <c r="Q2320" s="116">
        <v>2278.0500000000002</v>
      </c>
      <c r="R2320">
        <v>1259049</v>
      </c>
    </row>
    <row r="2321" spans="1:18" x14ac:dyDescent="0.25">
      <c r="A2321" s="163">
        <v>45425</v>
      </c>
      <c r="B2321" s="116">
        <v>2295.15</v>
      </c>
      <c r="C2321" s="116">
        <v>2228.1</v>
      </c>
      <c r="D2321" s="116">
        <v>2210.1</v>
      </c>
      <c r="E2321" s="116">
        <v>2276.5</v>
      </c>
      <c r="F2321" s="116">
        <v>2228.1</v>
      </c>
      <c r="G2321">
        <v>13756</v>
      </c>
      <c r="H2321" s="116"/>
      <c r="I2321" s="116"/>
      <c r="L2321" s="163">
        <v>45425</v>
      </c>
      <c r="M2321" s="116">
        <v>2226.5</v>
      </c>
      <c r="N2321" s="116">
        <v>2297.5</v>
      </c>
      <c r="O2321" s="116">
        <v>2210</v>
      </c>
      <c r="P2321" s="116">
        <v>2278.9</v>
      </c>
      <c r="Q2321" s="116">
        <v>2226.5</v>
      </c>
      <c r="R2321">
        <v>896229</v>
      </c>
    </row>
    <row r="2322" spans="1:18" x14ac:dyDescent="0.25">
      <c r="A2322" s="163">
        <v>45426</v>
      </c>
      <c r="B2322" s="116">
        <v>2297.85</v>
      </c>
      <c r="C2322" s="116">
        <v>2286</v>
      </c>
      <c r="D2322" s="116">
        <v>2208</v>
      </c>
      <c r="E2322" s="116">
        <v>2228.65</v>
      </c>
      <c r="F2322" s="116">
        <v>2286</v>
      </c>
      <c r="G2322">
        <v>20434</v>
      </c>
      <c r="H2322" s="116"/>
      <c r="I2322" s="116"/>
      <c r="L2322" s="163">
        <v>45426</v>
      </c>
      <c r="M2322" s="116">
        <v>2286.75</v>
      </c>
      <c r="N2322" s="116">
        <v>2299</v>
      </c>
      <c r="O2322" s="116">
        <v>2207.4</v>
      </c>
      <c r="P2322" s="116">
        <v>2231</v>
      </c>
      <c r="Q2322" s="116">
        <v>2286.75</v>
      </c>
      <c r="R2322">
        <v>749824</v>
      </c>
    </row>
    <row r="2323" spans="1:18" x14ac:dyDescent="0.25">
      <c r="A2323" s="163">
        <v>45427</v>
      </c>
      <c r="B2323" s="116">
        <v>2318.8000000000002</v>
      </c>
      <c r="C2323" s="116">
        <v>2287.15</v>
      </c>
      <c r="D2323" s="116">
        <v>2282</v>
      </c>
      <c r="E2323" s="116">
        <v>2318.6</v>
      </c>
      <c r="F2323" s="116">
        <v>2287.15</v>
      </c>
      <c r="G2323">
        <v>7395</v>
      </c>
      <c r="H2323" s="116"/>
      <c r="I2323" s="116"/>
      <c r="L2323" s="163">
        <v>45427</v>
      </c>
      <c r="M2323" s="116">
        <v>2288.1999999999998</v>
      </c>
      <c r="N2323" s="116">
        <v>2319</v>
      </c>
      <c r="O2323" s="116">
        <v>2282.1</v>
      </c>
      <c r="P2323" s="116">
        <v>2300</v>
      </c>
      <c r="Q2323" s="116">
        <v>2288.1999999999998</v>
      </c>
      <c r="R2323">
        <v>680715</v>
      </c>
    </row>
    <row r="2324" spans="1:18" x14ac:dyDescent="0.25">
      <c r="A2324" s="163">
        <v>45428</v>
      </c>
      <c r="B2324" s="116">
        <v>2308.5</v>
      </c>
      <c r="C2324" s="116">
        <v>2270</v>
      </c>
      <c r="D2324" s="116">
        <v>2253.9499999999998</v>
      </c>
      <c r="E2324" s="116">
        <v>2304.9499999999998</v>
      </c>
      <c r="F2324" s="116">
        <v>2270</v>
      </c>
      <c r="G2324">
        <v>11347</v>
      </c>
      <c r="H2324" s="116"/>
      <c r="I2324" s="116"/>
      <c r="L2324" s="163">
        <v>45428</v>
      </c>
      <c r="M2324" s="116">
        <v>2270.75</v>
      </c>
      <c r="N2324" s="116">
        <v>2309.9</v>
      </c>
      <c r="O2324" s="116">
        <v>2253.15</v>
      </c>
      <c r="P2324" s="116">
        <v>2300</v>
      </c>
      <c r="Q2324" s="116">
        <v>2270.75</v>
      </c>
      <c r="R2324">
        <v>512259</v>
      </c>
    </row>
    <row r="2325" spans="1:18" x14ac:dyDescent="0.25">
      <c r="A2325" s="163">
        <v>45429</v>
      </c>
      <c r="B2325" s="116">
        <v>2287.8000000000002</v>
      </c>
      <c r="C2325" s="116">
        <v>2279.8000000000002</v>
      </c>
      <c r="D2325" s="116">
        <v>2260</v>
      </c>
      <c r="E2325" s="116">
        <v>2280</v>
      </c>
      <c r="F2325" s="116">
        <v>2279.8000000000002</v>
      </c>
      <c r="G2325">
        <v>4612</v>
      </c>
      <c r="H2325" s="116"/>
      <c r="I2325" s="116"/>
      <c r="L2325" s="163">
        <v>45429</v>
      </c>
      <c r="M2325" s="116">
        <v>2280.35</v>
      </c>
      <c r="N2325" s="116">
        <v>2287.4499999999998</v>
      </c>
      <c r="O2325" s="116">
        <v>2258.5500000000002</v>
      </c>
      <c r="P2325" s="116">
        <v>2278</v>
      </c>
      <c r="Q2325" s="116">
        <v>2280.35</v>
      </c>
      <c r="R2325">
        <v>321572</v>
      </c>
    </row>
    <row r="2326" spans="1:18" x14ac:dyDescent="0.25">
      <c r="A2326" s="163">
        <v>45430</v>
      </c>
      <c r="B2326" s="116">
        <v>2288.8000000000002</v>
      </c>
      <c r="C2326" s="116">
        <v>2278.5500000000002</v>
      </c>
      <c r="D2326" s="116">
        <v>2248.4499999999998</v>
      </c>
      <c r="E2326" s="116">
        <v>2274.15</v>
      </c>
      <c r="F2326" s="116">
        <v>2278.5500000000002</v>
      </c>
      <c r="G2326">
        <v>1252</v>
      </c>
      <c r="H2326" s="116"/>
      <c r="I2326" s="116"/>
      <c r="L2326" s="163">
        <v>45430</v>
      </c>
      <c r="M2326" s="116">
        <v>2275.0500000000002</v>
      </c>
      <c r="N2326" s="116">
        <v>2289.75</v>
      </c>
      <c r="O2326" s="116">
        <v>2218</v>
      </c>
      <c r="P2326" s="116">
        <v>2280.65</v>
      </c>
      <c r="Q2326" s="116">
        <v>2275.0500000000002</v>
      </c>
      <c r="R2326">
        <v>50301</v>
      </c>
    </row>
    <row r="2327" spans="1:18" x14ac:dyDescent="0.25">
      <c r="A2327" s="163">
        <v>45433</v>
      </c>
      <c r="B2327" s="116">
        <v>2299.4499999999998</v>
      </c>
      <c r="C2327" s="116">
        <v>2285.65</v>
      </c>
      <c r="D2327" s="116">
        <v>2263.6</v>
      </c>
      <c r="E2327" s="116">
        <v>2278.5500000000002</v>
      </c>
      <c r="F2327" s="116">
        <v>2285.65</v>
      </c>
      <c r="G2327">
        <v>19949</v>
      </c>
      <c r="H2327" s="116"/>
      <c r="I2327" s="116"/>
      <c r="L2327" s="163">
        <v>45433</v>
      </c>
      <c r="M2327" s="116">
        <v>2285.4</v>
      </c>
      <c r="N2327" s="116">
        <v>2299.8000000000002</v>
      </c>
      <c r="O2327" s="116">
        <v>2265.15</v>
      </c>
      <c r="P2327" s="116">
        <v>2275.6</v>
      </c>
      <c r="Q2327" s="116">
        <v>2285.4</v>
      </c>
      <c r="R2327">
        <v>451188</v>
      </c>
    </row>
    <row r="2328" spans="1:18" x14ac:dyDescent="0.25">
      <c r="A2328" s="163">
        <v>45434</v>
      </c>
      <c r="B2328" s="116">
        <v>2306.35</v>
      </c>
      <c r="C2328" s="116">
        <v>2294.0500000000002</v>
      </c>
      <c r="D2328" s="116">
        <v>2273.1999999999998</v>
      </c>
      <c r="E2328" s="116">
        <v>2286.1</v>
      </c>
      <c r="F2328" s="116">
        <v>2294.0500000000002</v>
      </c>
      <c r="G2328">
        <v>12413</v>
      </c>
      <c r="H2328" s="116"/>
      <c r="I2328" s="116"/>
      <c r="L2328" s="163">
        <v>45434</v>
      </c>
      <c r="M2328" s="116">
        <v>2293.9499999999998</v>
      </c>
      <c r="N2328" s="116">
        <v>2308</v>
      </c>
      <c r="O2328" s="116">
        <v>2273</v>
      </c>
      <c r="P2328" s="116">
        <v>2298</v>
      </c>
      <c r="Q2328" s="116">
        <v>2293.9499999999998</v>
      </c>
      <c r="R2328">
        <v>301833</v>
      </c>
    </row>
    <row r="2329" spans="1:18" x14ac:dyDescent="0.25">
      <c r="A2329" s="163">
        <v>45435</v>
      </c>
      <c r="B2329" s="116">
        <v>2308.85</v>
      </c>
      <c r="C2329" s="116">
        <v>2305.35</v>
      </c>
      <c r="D2329" s="116">
        <v>2274.1</v>
      </c>
      <c r="E2329" s="116">
        <v>2294.1999999999998</v>
      </c>
      <c r="F2329" s="116">
        <v>2305.35</v>
      </c>
      <c r="G2329">
        <v>16499</v>
      </c>
      <c r="H2329" s="116"/>
      <c r="I2329" s="116"/>
      <c r="L2329" s="163">
        <v>45435</v>
      </c>
      <c r="M2329" s="116">
        <v>2305.4499999999998</v>
      </c>
      <c r="N2329" s="116">
        <v>2309.5</v>
      </c>
      <c r="O2329" s="116">
        <v>2272.5500000000002</v>
      </c>
      <c r="P2329" s="116">
        <v>2298.6</v>
      </c>
      <c r="Q2329" s="116">
        <v>2305.4499999999998</v>
      </c>
      <c r="R2329">
        <v>278551</v>
      </c>
    </row>
    <row r="2330" spans="1:18" x14ac:dyDescent="0.25">
      <c r="A2330" s="163">
        <v>45436</v>
      </c>
      <c r="B2330" s="116">
        <v>2326.85</v>
      </c>
      <c r="C2330" s="116">
        <v>2288.85</v>
      </c>
      <c r="D2330" s="116">
        <v>2282</v>
      </c>
      <c r="E2330" s="116">
        <v>2300.1</v>
      </c>
      <c r="F2330" s="116">
        <v>2288.85</v>
      </c>
      <c r="G2330">
        <v>8084</v>
      </c>
      <c r="H2330" s="116"/>
      <c r="I2330" s="116"/>
      <c r="L2330" s="163">
        <v>45436</v>
      </c>
      <c r="M2330" s="116">
        <v>2289.1</v>
      </c>
      <c r="N2330" s="116">
        <v>2326.8000000000002</v>
      </c>
      <c r="O2330" s="116">
        <v>2280.1999999999998</v>
      </c>
      <c r="P2330" s="116">
        <v>2310</v>
      </c>
      <c r="Q2330" s="116">
        <v>2289.1</v>
      </c>
      <c r="R2330">
        <v>210718</v>
      </c>
    </row>
    <row r="2331" spans="1:18" x14ac:dyDescent="0.25">
      <c r="A2331" s="163">
        <v>45439</v>
      </c>
      <c r="B2331" s="116">
        <v>2318.35</v>
      </c>
      <c r="C2331" s="116">
        <v>2308.0500000000002</v>
      </c>
      <c r="D2331" s="116">
        <v>2288.85</v>
      </c>
      <c r="E2331" s="116">
        <v>2288.85</v>
      </c>
      <c r="F2331" s="116">
        <v>2308.0500000000002</v>
      </c>
      <c r="G2331">
        <v>5494</v>
      </c>
      <c r="H2331" s="116"/>
      <c r="I2331" s="116"/>
      <c r="L2331" s="163">
        <v>45439</v>
      </c>
      <c r="M2331" s="116">
        <v>2309.9</v>
      </c>
      <c r="N2331" s="116">
        <v>2318.1</v>
      </c>
      <c r="O2331" s="116">
        <v>2289.15</v>
      </c>
      <c r="P2331" s="116">
        <v>2289.15</v>
      </c>
      <c r="Q2331" s="116">
        <v>2309.9</v>
      </c>
      <c r="R2331">
        <v>314542</v>
      </c>
    </row>
    <row r="2332" spans="1:18" x14ac:dyDescent="0.25">
      <c r="A2332" s="163">
        <v>45440</v>
      </c>
      <c r="B2332" s="116">
        <v>2323.75</v>
      </c>
      <c r="C2332" s="116">
        <v>2280.15</v>
      </c>
      <c r="D2332" s="116">
        <v>2270.9</v>
      </c>
      <c r="E2332" s="116">
        <v>2320</v>
      </c>
      <c r="F2332" s="116">
        <v>2280.15</v>
      </c>
      <c r="G2332">
        <v>4266</v>
      </c>
      <c r="H2332" s="116"/>
      <c r="I2332" s="116"/>
      <c r="L2332" s="163">
        <v>45440</v>
      </c>
      <c r="M2332" s="116">
        <v>2280</v>
      </c>
      <c r="N2332" s="116">
        <v>2324.9</v>
      </c>
      <c r="O2332" s="116">
        <v>2270.5</v>
      </c>
      <c r="P2332" s="116">
        <v>2319.9</v>
      </c>
      <c r="Q2332" s="116">
        <v>2280</v>
      </c>
      <c r="R2332">
        <v>351822</v>
      </c>
    </row>
    <row r="2333" spans="1:18" x14ac:dyDescent="0.25">
      <c r="A2333" s="163">
        <v>45441</v>
      </c>
      <c r="B2333" s="116">
        <v>2280.9</v>
      </c>
      <c r="C2333" s="116">
        <v>2239.6</v>
      </c>
      <c r="D2333" s="116">
        <v>2235.35</v>
      </c>
      <c r="E2333" s="116">
        <v>2265</v>
      </c>
      <c r="F2333" s="116">
        <v>2239.6</v>
      </c>
      <c r="G2333">
        <v>13543</v>
      </c>
      <c r="H2333" s="116"/>
      <c r="I2333" s="116"/>
      <c r="L2333" s="163">
        <v>45441</v>
      </c>
      <c r="M2333" s="116">
        <v>2239</v>
      </c>
      <c r="N2333" s="116">
        <v>2281.85</v>
      </c>
      <c r="O2333" s="116">
        <v>2235</v>
      </c>
      <c r="P2333" s="116">
        <v>2261.0500000000002</v>
      </c>
      <c r="Q2333" s="116">
        <v>2239</v>
      </c>
      <c r="R2333">
        <v>424841</v>
      </c>
    </row>
    <row r="2334" spans="1:18" x14ac:dyDescent="0.25">
      <c r="A2334" s="163">
        <v>45442</v>
      </c>
      <c r="B2334" s="116">
        <v>2239.9499999999998</v>
      </c>
      <c r="C2334" s="116">
        <v>2221.0500000000002</v>
      </c>
      <c r="D2334" s="116">
        <v>2215</v>
      </c>
      <c r="E2334" s="116">
        <v>2225.0500000000002</v>
      </c>
      <c r="F2334" s="116">
        <v>2221.0500000000002</v>
      </c>
      <c r="G2334">
        <v>19707</v>
      </c>
      <c r="H2334" s="116"/>
      <c r="I2334" s="116"/>
      <c r="L2334" s="163">
        <v>45442</v>
      </c>
      <c r="M2334" s="116">
        <v>2223.1</v>
      </c>
      <c r="N2334" s="116">
        <v>2242.75</v>
      </c>
      <c r="O2334" s="116">
        <v>2214.0500000000002</v>
      </c>
      <c r="P2334" s="116">
        <v>2231</v>
      </c>
      <c r="Q2334" s="116">
        <v>2223.1</v>
      </c>
      <c r="R2334">
        <v>372713</v>
      </c>
    </row>
    <row r="2335" spans="1:18" x14ac:dyDescent="0.25">
      <c r="A2335" s="163">
        <v>45443</v>
      </c>
      <c r="B2335" s="116">
        <v>2232.6999999999998</v>
      </c>
      <c r="C2335" s="116">
        <v>2206.9</v>
      </c>
      <c r="D2335" s="116">
        <v>2189</v>
      </c>
      <c r="E2335" s="116">
        <v>2221.1</v>
      </c>
      <c r="F2335" s="116">
        <v>2206.9</v>
      </c>
      <c r="G2335">
        <v>12305</v>
      </c>
      <c r="H2335" s="116"/>
      <c r="I2335" s="116"/>
      <c r="L2335" s="163">
        <v>45443</v>
      </c>
      <c r="M2335" s="116">
        <v>2211.35</v>
      </c>
      <c r="N2335" s="116">
        <v>2234.15</v>
      </c>
      <c r="O2335" s="116">
        <v>2182.4499999999998</v>
      </c>
      <c r="P2335" s="116">
        <v>2228.6999999999998</v>
      </c>
      <c r="Q2335" s="116">
        <v>2211.35</v>
      </c>
      <c r="R2335">
        <v>1407561</v>
      </c>
    </row>
    <row r="2336" spans="1:18" x14ac:dyDescent="0.25">
      <c r="A2336" s="163">
        <v>45446</v>
      </c>
      <c r="B2336" s="116">
        <v>2271.4499999999998</v>
      </c>
      <c r="C2336" s="116">
        <v>2267.1</v>
      </c>
      <c r="D2336" s="116">
        <v>2217.25</v>
      </c>
      <c r="E2336" s="116">
        <v>2220</v>
      </c>
      <c r="F2336" s="116">
        <v>2267.1</v>
      </c>
      <c r="G2336">
        <v>7092</v>
      </c>
      <c r="H2336" s="116"/>
      <c r="I2336" s="116"/>
      <c r="L2336" s="163">
        <v>45446</v>
      </c>
      <c r="M2336" s="116">
        <v>2265.5500000000002</v>
      </c>
      <c r="N2336" s="116">
        <v>2272</v>
      </c>
      <c r="O2336" s="116">
        <v>2216.6999999999998</v>
      </c>
      <c r="P2336" s="116">
        <v>2251.6</v>
      </c>
      <c r="Q2336" s="116">
        <v>2265.5500000000002</v>
      </c>
      <c r="R2336">
        <v>412116</v>
      </c>
    </row>
    <row r="2337" spans="1:18" x14ac:dyDescent="0.25">
      <c r="A2337" s="163">
        <v>45447</v>
      </c>
      <c r="B2337" s="116">
        <v>2270</v>
      </c>
      <c r="C2337" s="116">
        <v>2191.65</v>
      </c>
      <c r="D2337" s="116">
        <v>2088.5500000000002</v>
      </c>
      <c r="E2337" s="116">
        <v>2262.0500000000002</v>
      </c>
      <c r="F2337" s="116">
        <v>2191.65</v>
      </c>
      <c r="G2337">
        <v>36186</v>
      </c>
      <c r="H2337" s="116"/>
      <c r="I2337" s="116"/>
      <c r="L2337" s="163">
        <v>45447</v>
      </c>
      <c r="M2337" s="116">
        <v>2193.5500000000002</v>
      </c>
      <c r="N2337" s="116">
        <v>2274.1999999999998</v>
      </c>
      <c r="O2337" s="116">
        <v>2089.1</v>
      </c>
      <c r="P2337" s="116">
        <v>2274.1999999999998</v>
      </c>
      <c r="Q2337" s="116">
        <v>2193.5500000000002</v>
      </c>
      <c r="R2337">
        <v>543994</v>
      </c>
    </row>
    <row r="2338" spans="1:18" x14ac:dyDescent="0.25">
      <c r="A2338" s="163">
        <v>45448</v>
      </c>
      <c r="B2338" s="116">
        <v>2304</v>
      </c>
      <c r="C2338" s="116">
        <v>2293.4</v>
      </c>
      <c r="D2338" s="116">
        <v>2185.1999999999998</v>
      </c>
      <c r="E2338" s="116">
        <v>2185.1999999999998</v>
      </c>
      <c r="F2338" s="116">
        <v>2293.4</v>
      </c>
      <c r="G2338">
        <v>9646</v>
      </c>
      <c r="H2338" s="116"/>
      <c r="I2338" s="116"/>
      <c r="L2338" s="163">
        <v>45448</v>
      </c>
      <c r="M2338" s="116">
        <v>2295.0500000000002</v>
      </c>
      <c r="N2338" s="116">
        <v>2302.9499999999998</v>
      </c>
      <c r="O2338" s="116">
        <v>2191.3000000000002</v>
      </c>
      <c r="P2338" s="116">
        <v>2195.0500000000002</v>
      </c>
      <c r="Q2338" s="116">
        <v>2295.0500000000002</v>
      </c>
      <c r="R2338">
        <v>434069</v>
      </c>
    </row>
    <row r="2339" spans="1:18" x14ac:dyDescent="0.25">
      <c r="A2339" s="163">
        <v>45449</v>
      </c>
      <c r="B2339" s="116">
        <v>2311.6</v>
      </c>
      <c r="C2339" s="116">
        <v>2294.6999999999998</v>
      </c>
      <c r="D2339" s="116">
        <v>2280</v>
      </c>
      <c r="E2339" s="116">
        <v>2290</v>
      </c>
      <c r="F2339" s="116">
        <v>2294.6999999999998</v>
      </c>
      <c r="G2339">
        <v>10018</v>
      </c>
      <c r="H2339" s="116"/>
      <c r="I2339" s="116"/>
      <c r="L2339" s="163">
        <v>45449</v>
      </c>
      <c r="M2339" s="116">
        <v>2296.5500000000002</v>
      </c>
      <c r="N2339" s="116">
        <v>2312</v>
      </c>
      <c r="O2339" s="116">
        <v>2279</v>
      </c>
      <c r="P2339" s="116">
        <v>2299.9499999999998</v>
      </c>
      <c r="Q2339" s="116">
        <v>2296.5500000000002</v>
      </c>
      <c r="R2339">
        <v>304806</v>
      </c>
    </row>
    <row r="2340" spans="1:18" x14ac:dyDescent="0.25">
      <c r="A2340" s="163">
        <v>45450</v>
      </c>
      <c r="B2340" s="116">
        <v>2315.85</v>
      </c>
      <c r="C2340" s="116">
        <v>2310.15</v>
      </c>
      <c r="D2340" s="116">
        <v>2236.6999999999998</v>
      </c>
      <c r="E2340" s="116">
        <v>2236.6999999999998</v>
      </c>
      <c r="F2340" s="116">
        <v>2310.15</v>
      </c>
      <c r="G2340">
        <v>10182</v>
      </c>
      <c r="H2340" s="116"/>
      <c r="I2340" s="116"/>
      <c r="L2340" s="163">
        <v>45450</v>
      </c>
      <c r="M2340" s="116">
        <v>2312.3000000000002</v>
      </c>
      <c r="N2340" s="116">
        <v>2316.9499999999998</v>
      </c>
      <c r="O2340" s="116">
        <v>2238.0500000000002</v>
      </c>
      <c r="P2340" s="116">
        <v>2255</v>
      </c>
      <c r="Q2340" s="116">
        <v>2312.3000000000002</v>
      </c>
      <c r="R2340">
        <v>508944</v>
      </c>
    </row>
    <row r="2341" spans="1:18" x14ac:dyDescent="0.25">
      <c r="A2341" s="163">
        <v>45453</v>
      </c>
      <c r="B2341" s="116">
        <v>2369.9499999999998</v>
      </c>
      <c r="C2341" s="116">
        <v>2354.9499999999998</v>
      </c>
      <c r="D2341" s="116">
        <v>2298.5500000000002</v>
      </c>
      <c r="E2341" s="116">
        <v>2329.9499999999998</v>
      </c>
      <c r="F2341" s="116">
        <v>2354.9499999999998</v>
      </c>
      <c r="G2341">
        <v>18800</v>
      </c>
      <c r="H2341" s="116"/>
      <c r="I2341" s="116"/>
      <c r="L2341" s="163">
        <v>45453</v>
      </c>
      <c r="M2341" s="116">
        <v>2354.65</v>
      </c>
      <c r="N2341" s="116">
        <v>2369.9</v>
      </c>
      <c r="O2341" s="116">
        <v>2295.6</v>
      </c>
      <c r="P2341" s="116">
        <v>2322</v>
      </c>
      <c r="Q2341" s="116">
        <v>2354.65</v>
      </c>
      <c r="R2341">
        <v>747806</v>
      </c>
    </row>
    <row r="2342" spans="1:18" x14ac:dyDescent="0.25">
      <c r="A2342" s="163">
        <v>45454</v>
      </c>
      <c r="B2342" s="116">
        <v>2379.9499999999998</v>
      </c>
      <c r="C2342" s="116">
        <v>2326.4499999999998</v>
      </c>
      <c r="D2342" s="116">
        <v>2322</v>
      </c>
      <c r="E2342" s="116">
        <v>2379.9499999999998</v>
      </c>
      <c r="F2342" s="116">
        <v>2326.4499999999998</v>
      </c>
      <c r="G2342">
        <v>19424</v>
      </c>
      <c r="H2342" s="116"/>
      <c r="I2342" s="116"/>
      <c r="L2342" s="163">
        <v>45454</v>
      </c>
      <c r="M2342" s="116">
        <v>2327.6999999999998</v>
      </c>
      <c r="N2342" s="116">
        <v>2372.5</v>
      </c>
      <c r="O2342" s="116">
        <v>2325</v>
      </c>
      <c r="P2342" s="116">
        <v>2369</v>
      </c>
      <c r="Q2342" s="116">
        <v>2327.6999999999998</v>
      </c>
      <c r="R2342">
        <v>329672</v>
      </c>
    </row>
    <row r="2343" spans="1:18" x14ac:dyDescent="0.25">
      <c r="A2343" s="163">
        <v>45455</v>
      </c>
      <c r="B2343" s="116">
        <v>2371.9</v>
      </c>
      <c r="C2343" s="116">
        <v>2368.9499999999998</v>
      </c>
      <c r="D2343" s="116">
        <v>2323</v>
      </c>
      <c r="E2343" s="116">
        <v>2335</v>
      </c>
      <c r="F2343" s="116">
        <v>2368.9499999999998</v>
      </c>
      <c r="G2343">
        <v>156612</v>
      </c>
      <c r="H2343" s="116"/>
      <c r="I2343" s="116"/>
      <c r="L2343" s="163">
        <v>45455</v>
      </c>
      <c r="M2343" s="116">
        <v>2365.9</v>
      </c>
      <c r="N2343" s="116">
        <v>2373.0500000000002</v>
      </c>
      <c r="O2343" s="116">
        <v>2320.0500000000002</v>
      </c>
      <c r="P2343" s="116">
        <v>2327.85</v>
      </c>
      <c r="Q2343" s="116">
        <v>2365.9</v>
      </c>
      <c r="R2343">
        <v>965764</v>
      </c>
    </row>
    <row r="2344" spans="1:18" x14ac:dyDescent="0.25">
      <c r="A2344" s="163">
        <v>45456</v>
      </c>
      <c r="B2344" s="116">
        <v>2407.9</v>
      </c>
      <c r="C2344" s="116">
        <v>2398.75</v>
      </c>
      <c r="D2344" s="116">
        <v>2375</v>
      </c>
      <c r="E2344" s="116">
        <v>2389.5</v>
      </c>
      <c r="F2344" s="116">
        <v>2398.75</v>
      </c>
      <c r="G2344">
        <v>36170</v>
      </c>
      <c r="H2344" s="116"/>
      <c r="I2344" s="116"/>
      <c r="L2344" s="163">
        <v>45456</v>
      </c>
      <c r="M2344" s="116">
        <v>2399.9</v>
      </c>
      <c r="N2344" s="116">
        <v>2408</v>
      </c>
      <c r="O2344" s="116">
        <v>2372.25</v>
      </c>
      <c r="P2344" s="116">
        <v>2384</v>
      </c>
      <c r="Q2344" s="116">
        <v>2399.9</v>
      </c>
      <c r="R2344">
        <v>610948</v>
      </c>
    </row>
    <row r="2345" spans="1:18" x14ac:dyDescent="0.25">
      <c r="A2345" s="163">
        <v>45457</v>
      </c>
      <c r="B2345" s="116">
        <v>2424.75</v>
      </c>
      <c r="C2345" s="116">
        <v>2402.5500000000002</v>
      </c>
      <c r="D2345" s="116">
        <v>2391.4</v>
      </c>
      <c r="E2345" s="116">
        <v>2424.75</v>
      </c>
      <c r="F2345" s="116">
        <v>2402.5500000000002</v>
      </c>
      <c r="G2345">
        <v>8989</v>
      </c>
      <c r="H2345" s="116"/>
      <c r="I2345" s="116"/>
      <c r="L2345" s="163">
        <v>45457</v>
      </c>
      <c r="M2345" s="116">
        <v>2402</v>
      </c>
      <c r="N2345" s="116">
        <v>2414.1999999999998</v>
      </c>
      <c r="O2345" s="116">
        <v>2390.0500000000002</v>
      </c>
      <c r="P2345" s="116">
        <v>2410.1999999999998</v>
      </c>
      <c r="Q2345" s="116">
        <v>2402</v>
      </c>
      <c r="R2345">
        <v>405161</v>
      </c>
    </row>
    <row r="2346" spans="1:18" x14ac:dyDescent="0.25">
      <c r="A2346" s="163">
        <v>45461</v>
      </c>
      <c r="B2346" s="116">
        <v>2430</v>
      </c>
      <c r="C2346" s="116">
        <v>2422.1</v>
      </c>
      <c r="D2346" s="116">
        <v>2383.4</v>
      </c>
      <c r="E2346" s="116">
        <v>2394</v>
      </c>
      <c r="F2346" s="116">
        <v>2422.1</v>
      </c>
      <c r="G2346">
        <v>21477</v>
      </c>
      <c r="H2346" s="116"/>
      <c r="I2346" s="116"/>
      <c r="L2346" s="163">
        <v>45461</v>
      </c>
      <c r="M2346" s="116">
        <v>2422.1999999999998</v>
      </c>
      <c r="N2346" s="116">
        <v>2431.25</v>
      </c>
      <c r="O2346" s="116">
        <v>2385</v>
      </c>
      <c r="P2346" s="116">
        <v>2402</v>
      </c>
      <c r="Q2346" s="116">
        <v>2422.1999999999998</v>
      </c>
      <c r="R2346">
        <v>223271</v>
      </c>
    </row>
    <row r="2347" spans="1:18" x14ac:dyDescent="0.25">
      <c r="A2347" s="163">
        <v>45462</v>
      </c>
      <c r="B2347" s="116">
        <v>2439.15</v>
      </c>
      <c r="C2347" s="116">
        <v>2416.5</v>
      </c>
      <c r="D2347" s="116">
        <v>2390</v>
      </c>
      <c r="E2347" s="116">
        <v>2430.4</v>
      </c>
      <c r="F2347" s="116">
        <v>2416.5</v>
      </c>
      <c r="G2347">
        <v>5898</v>
      </c>
      <c r="H2347" s="116"/>
      <c r="I2347" s="116"/>
      <c r="L2347" s="163">
        <v>45462</v>
      </c>
      <c r="M2347" s="116">
        <v>2416.75</v>
      </c>
      <c r="N2347" s="116">
        <v>2440</v>
      </c>
      <c r="O2347" s="116">
        <v>2390</v>
      </c>
      <c r="P2347" s="116">
        <v>2432.9499999999998</v>
      </c>
      <c r="Q2347" s="116">
        <v>2416.75</v>
      </c>
      <c r="R2347">
        <v>434132</v>
      </c>
    </row>
    <row r="2348" spans="1:18" x14ac:dyDescent="0.25">
      <c r="A2348" s="163">
        <v>45463</v>
      </c>
      <c r="B2348" s="116">
        <v>2509.4499999999998</v>
      </c>
      <c r="C2348" s="116">
        <v>2499.4</v>
      </c>
      <c r="D2348" s="116">
        <v>2406</v>
      </c>
      <c r="E2348" s="116">
        <v>2406.0500000000002</v>
      </c>
      <c r="F2348" s="116">
        <v>2499.4</v>
      </c>
      <c r="G2348">
        <v>24395</v>
      </c>
      <c r="H2348" s="116"/>
      <c r="I2348" s="116"/>
      <c r="L2348" s="163">
        <v>45463</v>
      </c>
      <c r="M2348" s="116">
        <v>2499.35</v>
      </c>
      <c r="N2348" s="116">
        <v>2509.9499999999998</v>
      </c>
      <c r="O2348" s="116">
        <v>2380</v>
      </c>
      <c r="P2348" s="116">
        <v>2416.5500000000002</v>
      </c>
      <c r="Q2348" s="116">
        <v>2499.35</v>
      </c>
      <c r="R2348">
        <v>1137819</v>
      </c>
    </row>
    <row r="2349" spans="1:18" x14ac:dyDescent="0.25">
      <c r="A2349" s="163">
        <v>45464</v>
      </c>
      <c r="B2349" s="116">
        <v>2517.35</v>
      </c>
      <c r="C2349" s="116">
        <v>2460.6999999999998</v>
      </c>
      <c r="D2349" s="116">
        <v>2454.6999999999998</v>
      </c>
      <c r="E2349" s="116">
        <v>2504.9499999999998</v>
      </c>
      <c r="F2349" s="116">
        <v>2460.6999999999998</v>
      </c>
      <c r="G2349">
        <v>21395</v>
      </c>
      <c r="H2349" s="116"/>
      <c r="I2349" s="116"/>
      <c r="L2349" s="163">
        <v>45464</v>
      </c>
      <c r="M2349" s="116">
        <v>2460.0500000000002</v>
      </c>
      <c r="N2349" s="116">
        <v>2520.1999999999998</v>
      </c>
      <c r="O2349" s="116">
        <v>2450.0500000000002</v>
      </c>
      <c r="P2349" s="116">
        <v>2499.35</v>
      </c>
      <c r="Q2349" s="116">
        <v>2460.0500000000002</v>
      </c>
      <c r="R2349">
        <v>572663</v>
      </c>
    </row>
    <row r="2350" spans="1:18" x14ac:dyDescent="0.25">
      <c r="A2350" s="163">
        <v>45467</v>
      </c>
      <c r="B2350" s="116">
        <v>2458.4499999999998</v>
      </c>
      <c r="C2350" s="116">
        <v>2419.4</v>
      </c>
      <c r="D2350" s="116">
        <v>2412.4499999999998</v>
      </c>
      <c r="E2350" s="116">
        <v>2445.65</v>
      </c>
      <c r="F2350" s="116">
        <v>2419.4</v>
      </c>
      <c r="G2350">
        <v>16040</v>
      </c>
      <c r="H2350" s="116"/>
      <c r="I2350" s="116"/>
      <c r="L2350" s="163">
        <v>45467</v>
      </c>
      <c r="M2350" s="116">
        <v>2420.25</v>
      </c>
      <c r="N2350" s="116">
        <v>2460</v>
      </c>
      <c r="O2350" s="116">
        <v>2412.1</v>
      </c>
      <c r="P2350" s="116">
        <v>2459</v>
      </c>
      <c r="Q2350" s="116">
        <v>2420.25</v>
      </c>
      <c r="R2350">
        <v>384858</v>
      </c>
    </row>
    <row r="2351" spans="1:18" x14ac:dyDescent="0.25">
      <c r="A2351" s="163">
        <v>45468</v>
      </c>
      <c r="B2351" s="116">
        <v>2429.0500000000002</v>
      </c>
      <c r="C2351" s="116">
        <v>2395.9</v>
      </c>
      <c r="D2351" s="116">
        <v>2381.85</v>
      </c>
      <c r="E2351" s="116">
        <v>2420.25</v>
      </c>
      <c r="F2351" s="116">
        <v>2395.9</v>
      </c>
      <c r="G2351">
        <v>93091</v>
      </c>
      <c r="H2351" s="116"/>
      <c r="I2351" s="116"/>
      <c r="L2351" s="163">
        <v>45468</v>
      </c>
      <c r="M2351" s="116">
        <v>2393.85</v>
      </c>
      <c r="N2351" s="116">
        <v>2430.5500000000002</v>
      </c>
      <c r="O2351" s="116">
        <v>2381</v>
      </c>
      <c r="P2351" s="116">
        <v>2429</v>
      </c>
      <c r="Q2351" s="116">
        <v>2393.85</v>
      </c>
      <c r="R2351">
        <v>759796</v>
      </c>
    </row>
    <row r="2352" spans="1:18" x14ac:dyDescent="0.25">
      <c r="A2352" s="163">
        <v>45469</v>
      </c>
      <c r="B2352" s="116">
        <v>2425</v>
      </c>
      <c r="C2352" s="116">
        <v>2401.9499999999998</v>
      </c>
      <c r="D2352" s="116">
        <v>2377.15</v>
      </c>
      <c r="E2352" s="116">
        <v>2380.75</v>
      </c>
      <c r="F2352" s="116">
        <v>2401.9499999999998</v>
      </c>
      <c r="G2352">
        <v>10998</v>
      </c>
      <c r="H2352" s="116"/>
      <c r="I2352" s="116"/>
      <c r="L2352" s="163">
        <v>45469</v>
      </c>
      <c r="M2352" s="116">
        <v>2398.8000000000002</v>
      </c>
      <c r="N2352" s="116">
        <v>2415.6999999999998</v>
      </c>
      <c r="O2352" s="116">
        <v>2376.3000000000002</v>
      </c>
      <c r="P2352" s="116">
        <v>2398.5</v>
      </c>
      <c r="Q2352" s="116">
        <v>2398.8000000000002</v>
      </c>
      <c r="R2352">
        <v>542766</v>
      </c>
    </row>
    <row r="2353" spans="1:18" x14ac:dyDescent="0.25">
      <c r="A2353" s="163">
        <v>45470</v>
      </c>
      <c r="B2353" s="116">
        <v>2473</v>
      </c>
      <c r="C2353" s="116">
        <v>2457.75</v>
      </c>
      <c r="D2353" s="116">
        <v>2395.85</v>
      </c>
      <c r="E2353" s="116">
        <v>2414.9499999999998</v>
      </c>
      <c r="F2353" s="116">
        <v>2457.75</v>
      </c>
      <c r="G2353">
        <v>25037</v>
      </c>
      <c r="H2353" s="116"/>
      <c r="I2353" s="116"/>
      <c r="L2353" s="163">
        <v>45470</v>
      </c>
      <c r="M2353" s="116">
        <v>2458.85</v>
      </c>
      <c r="N2353" s="116">
        <v>2474.65</v>
      </c>
      <c r="O2353" s="116">
        <v>2395</v>
      </c>
      <c r="P2353" s="116">
        <v>2398</v>
      </c>
      <c r="Q2353" s="116">
        <v>2458.85</v>
      </c>
      <c r="R2353">
        <v>683147</v>
      </c>
    </row>
    <row r="2354" spans="1:18" x14ac:dyDescent="0.25">
      <c r="A2354" s="163">
        <v>45471</v>
      </c>
      <c r="B2354" s="116">
        <v>2469.8000000000002</v>
      </c>
      <c r="C2354" s="116">
        <v>2432.4</v>
      </c>
      <c r="D2354" s="116">
        <v>2411.15</v>
      </c>
      <c r="E2354" s="116">
        <v>2455</v>
      </c>
      <c r="F2354" s="116">
        <v>2432.4</v>
      </c>
      <c r="G2354">
        <v>5669</v>
      </c>
      <c r="H2354" s="116"/>
      <c r="I2354" s="116"/>
      <c r="L2354" s="163">
        <v>45471</v>
      </c>
      <c r="M2354" s="116">
        <v>2436.0500000000002</v>
      </c>
      <c r="N2354" s="116">
        <v>2468.9</v>
      </c>
      <c r="O2354" s="116">
        <v>2409.8000000000002</v>
      </c>
      <c r="P2354" s="116">
        <v>2449.0500000000002</v>
      </c>
      <c r="Q2354" s="116">
        <v>2436.0500000000002</v>
      </c>
      <c r="R2354">
        <v>576004</v>
      </c>
    </row>
    <row r="2355" spans="1:18" x14ac:dyDescent="0.25">
      <c r="A2355" s="163">
        <v>45474</v>
      </c>
      <c r="B2355" s="116">
        <v>2470.6</v>
      </c>
      <c r="C2355" s="116">
        <v>2459.5</v>
      </c>
      <c r="D2355" s="116">
        <v>2418</v>
      </c>
      <c r="E2355" s="116">
        <v>2429.9499999999998</v>
      </c>
      <c r="F2355" s="116">
        <v>2459.5</v>
      </c>
      <c r="G2355">
        <v>6247</v>
      </c>
      <c r="H2355" s="116"/>
      <c r="I2355" s="116"/>
      <c r="L2355" s="163">
        <v>45474</v>
      </c>
      <c r="M2355" s="116">
        <v>2462.4</v>
      </c>
      <c r="N2355" s="116">
        <v>2471</v>
      </c>
      <c r="O2355" s="116">
        <v>2415.6999999999998</v>
      </c>
      <c r="P2355" s="116">
        <v>2426.0500000000002</v>
      </c>
      <c r="Q2355" s="116">
        <v>2462.4</v>
      </c>
      <c r="R2355">
        <v>471598</v>
      </c>
    </row>
    <row r="2356" spans="1:18" x14ac:dyDescent="0.25">
      <c r="A2356" s="163">
        <v>45475</v>
      </c>
      <c r="B2356" s="116">
        <v>2460.0500000000002</v>
      </c>
      <c r="C2356" s="116">
        <v>2394.85</v>
      </c>
      <c r="D2356" s="116">
        <v>2370.9</v>
      </c>
      <c r="E2356" s="116">
        <v>2460.0500000000002</v>
      </c>
      <c r="F2356" s="116">
        <v>2394.85</v>
      </c>
      <c r="G2356">
        <v>9645</v>
      </c>
      <c r="H2356" s="116"/>
      <c r="I2356" s="116"/>
      <c r="L2356" s="163">
        <v>45475</v>
      </c>
      <c r="M2356" s="116">
        <v>2393.6999999999998</v>
      </c>
      <c r="N2356" s="116">
        <v>2465</v>
      </c>
      <c r="O2356" s="116">
        <v>2370</v>
      </c>
      <c r="P2356" s="116">
        <v>2465</v>
      </c>
      <c r="Q2356" s="116">
        <v>2393.6999999999998</v>
      </c>
      <c r="R2356">
        <v>845955</v>
      </c>
    </row>
    <row r="2357" spans="1:18" x14ac:dyDescent="0.25">
      <c r="A2357" s="163">
        <v>45476</v>
      </c>
      <c r="B2357" s="116">
        <v>2416</v>
      </c>
      <c r="C2357" s="116">
        <v>2381.4499999999998</v>
      </c>
      <c r="D2357" s="116">
        <v>2370.5500000000002</v>
      </c>
      <c r="E2357" s="116">
        <v>2400</v>
      </c>
      <c r="F2357" s="116">
        <v>2381.4499999999998</v>
      </c>
      <c r="G2357">
        <v>16353</v>
      </c>
      <c r="H2357" s="116"/>
      <c r="I2357" s="116"/>
      <c r="L2357" s="163">
        <v>45476</v>
      </c>
      <c r="M2357" s="116">
        <v>2381.5</v>
      </c>
      <c r="N2357" s="116">
        <v>2416.4</v>
      </c>
      <c r="O2357" s="116">
        <v>2369.9499999999998</v>
      </c>
      <c r="P2357" s="116">
        <v>2403.8000000000002</v>
      </c>
      <c r="Q2357" s="116">
        <v>2381.5</v>
      </c>
      <c r="R2357">
        <v>591324</v>
      </c>
    </row>
    <row r="2358" spans="1:18" x14ac:dyDescent="0.25">
      <c r="A2358" s="163">
        <v>45477</v>
      </c>
      <c r="B2358" s="116">
        <v>2416</v>
      </c>
      <c r="C2358" s="116">
        <v>2390.65</v>
      </c>
      <c r="D2358" s="116">
        <v>2372.65</v>
      </c>
      <c r="E2358" s="116">
        <v>2384.0500000000002</v>
      </c>
      <c r="F2358" s="116">
        <v>2390.65</v>
      </c>
      <c r="G2358">
        <v>4086</v>
      </c>
      <c r="H2358" s="116"/>
      <c r="I2358" s="116"/>
      <c r="L2358" s="163">
        <v>45477</v>
      </c>
      <c r="M2358" s="116">
        <v>2390.25</v>
      </c>
      <c r="N2358" s="116">
        <v>2415</v>
      </c>
      <c r="O2358" s="116">
        <v>2371.75</v>
      </c>
      <c r="P2358" s="116">
        <v>2390</v>
      </c>
      <c r="Q2358" s="116">
        <v>2390.25</v>
      </c>
      <c r="R2358">
        <v>276779</v>
      </c>
    </row>
    <row r="2359" spans="1:18" x14ac:dyDescent="0.25">
      <c r="A2359" s="163">
        <v>45478</v>
      </c>
      <c r="B2359" s="116">
        <v>2411</v>
      </c>
      <c r="C2359" s="116">
        <v>2401.15</v>
      </c>
      <c r="D2359" s="116">
        <v>2374.6999999999998</v>
      </c>
      <c r="E2359" s="116">
        <v>2390</v>
      </c>
      <c r="F2359" s="116">
        <v>2401.15</v>
      </c>
      <c r="G2359">
        <v>13482</v>
      </c>
      <c r="H2359" s="116"/>
      <c r="I2359" s="116"/>
      <c r="L2359" s="163">
        <v>45478</v>
      </c>
      <c r="M2359" s="116">
        <v>2400.75</v>
      </c>
      <c r="N2359" s="116">
        <v>2411.5</v>
      </c>
      <c r="O2359" s="116">
        <v>2372.8000000000002</v>
      </c>
      <c r="P2359" s="116">
        <v>2390.0500000000002</v>
      </c>
      <c r="Q2359" s="116">
        <v>2400.75</v>
      </c>
      <c r="R2359">
        <v>366450</v>
      </c>
    </row>
    <row r="2360" spans="1:18" x14ac:dyDescent="0.25">
      <c r="A2360" s="163">
        <v>45481</v>
      </c>
      <c r="B2360" s="116">
        <v>2418</v>
      </c>
      <c r="C2360" s="116">
        <v>2368.35</v>
      </c>
      <c r="D2360" s="116">
        <v>2357.1</v>
      </c>
      <c r="E2360" s="116">
        <v>2397.0500000000002</v>
      </c>
      <c r="F2360" s="116">
        <v>2368.35</v>
      </c>
      <c r="G2360">
        <v>15761</v>
      </c>
      <c r="H2360" s="116"/>
      <c r="I2360" s="116"/>
      <c r="L2360" s="163">
        <v>45481</v>
      </c>
      <c r="M2360" s="116">
        <v>2368.3000000000002</v>
      </c>
      <c r="N2360" s="116">
        <v>2419.6999999999998</v>
      </c>
      <c r="O2360" s="116">
        <v>2357.0500000000002</v>
      </c>
      <c r="P2360" s="116">
        <v>2401</v>
      </c>
      <c r="Q2360" s="116">
        <v>2368.3000000000002</v>
      </c>
      <c r="R2360">
        <v>389677</v>
      </c>
    </row>
    <row r="2361" spans="1:18" x14ac:dyDescent="0.25">
      <c r="A2361" s="163">
        <v>45482</v>
      </c>
      <c r="B2361" s="116">
        <v>2398</v>
      </c>
      <c r="C2361" s="116">
        <v>2391.15</v>
      </c>
      <c r="D2361" s="116">
        <v>2372</v>
      </c>
      <c r="E2361" s="116">
        <v>2380.35</v>
      </c>
      <c r="F2361" s="116">
        <v>2391.15</v>
      </c>
      <c r="G2361">
        <v>9548</v>
      </c>
      <c r="H2361" s="116"/>
      <c r="I2361" s="116"/>
      <c r="L2361" s="163">
        <v>45482</v>
      </c>
      <c r="M2361" s="116">
        <v>2392</v>
      </c>
      <c r="N2361" s="116">
        <v>2398</v>
      </c>
      <c r="O2361" s="116">
        <v>2370.0500000000002</v>
      </c>
      <c r="P2361" s="116">
        <v>2387.4</v>
      </c>
      <c r="Q2361" s="116">
        <v>2392</v>
      </c>
      <c r="R2361">
        <v>311651</v>
      </c>
    </row>
    <row r="2362" spans="1:18" x14ac:dyDescent="0.25">
      <c r="A2362" s="163">
        <v>45483</v>
      </c>
      <c r="B2362" s="116">
        <v>2402.35</v>
      </c>
      <c r="C2362" s="116">
        <v>2399.3000000000002</v>
      </c>
      <c r="D2362" s="116">
        <v>2356.75</v>
      </c>
      <c r="E2362" s="116">
        <v>2391.85</v>
      </c>
      <c r="F2362" s="116">
        <v>2399.3000000000002</v>
      </c>
      <c r="G2362">
        <v>4225</v>
      </c>
      <c r="H2362" s="116"/>
      <c r="I2362" s="116"/>
      <c r="L2362" s="163">
        <v>45483</v>
      </c>
      <c r="M2362" s="116">
        <v>2399.9499999999998</v>
      </c>
      <c r="N2362" s="116">
        <v>2402.8000000000002</v>
      </c>
      <c r="O2362" s="116">
        <v>2354.5500000000002</v>
      </c>
      <c r="P2362" s="116">
        <v>2399</v>
      </c>
      <c r="Q2362" s="116">
        <v>2399.9499999999998</v>
      </c>
      <c r="R2362">
        <v>367639</v>
      </c>
    </row>
    <row r="2363" spans="1:18" x14ac:dyDescent="0.25">
      <c r="A2363" s="163">
        <v>45484</v>
      </c>
      <c r="B2363" s="116">
        <v>2411.0500000000002</v>
      </c>
      <c r="C2363" s="116">
        <v>2392.1</v>
      </c>
      <c r="D2363" s="116">
        <v>2376.9499999999998</v>
      </c>
      <c r="E2363" s="116">
        <v>2400.8000000000002</v>
      </c>
      <c r="F2363" s="116">
        <v>2392.1</v>
      </c>
      <c r="G2363">
        <v>2682</v>
      </c>
      <c r="H2363" s="116"/>
      <c r="I2363" s="116"/>
      <c r="L2363" s="163">
        <v>45484</v>
      </c>
      <c r="M2363" s="116">
        <v>2392</v>
      </c>
      <c r="N2363" s="116">
        <v>2412.9499999999998</v>
      </c>
      <c r="O2363" s="116">
        <v>2375.3000000000002</v>
      </c>
      <c r="P2363" s="116">
        <v>2406</v>
      </c>
      <c r="Q2363" s="116">
        <v>2392</v>
      </c>
      <c r="R2363">
        <v>241513</v>
      </c>
    </row>
    <row r="2364" spans="1:18" x14ac:dyDescent="0.25">
      <c r="A2364" s="163">
        <v>45485</v>
      </c>
      <c r="B2364" s="116">
        <v>2400.6999999999998</v>
      </c>
      <c r="C2364" s="116">
        <v>2389.1999999999998</v>
      </c>
      <c r="D2364" s="116">
        <v>2376.0500000000002</v>
      </c>
      <c r="E2364" s="116">
        <v>2386.35</v>
      </c>
      <c r="F2364" s="116">
        <v>2389.1999999999998</v>
      </c>
      <c r="G2364">
        <v>8230</v>
      </c>
      <c r="H2364" s="116"/>
      <c r="I2364" s="116"/>
      <c r="L2364" s="163">
        <v>45485</v>
      </c>
      <c r="M2364" s="116">
        <v>2390.25</v>
      </c>
      <c r="N2364" s="116">
        <v>2404</v>
      </c>
      <c r="O2364" s="116">
        <v>2375.3000000000002</v>
      </c>
      <c r="P2364" s="116">
        <v>2393.5</v>
      </c>
      <c r="Q2364" s="116">
        <v>2390.25</v>
      </c>
      <c r="R2364">
        <v>268806</v>
      </c>
    </row>
    <row r="2365" spans="1:18" x14ac:dyDescent="0.25">
      <c r="A2365" s="163">
        <v>45488</v>
      </c>
      <c r="B2365" s="116">
        <v>2409.6</v>
      </c>
      <c r="C2365" s="116">
        <v>2398.0500000000002</v>
      </c>
      <c r="D2365" s="116">
        <v>2379.25</v>
      </c>
      <c r="E2365" s="116">
        <v>2409.6</v>
      </c>
      <c r="F2365" s="116">
        <v>2398.0500000000002</v>
      </c>
      <c r="G2365">
        <v>17661</v>
      </c>
      <c r="H2365" s="116"/>
      <c r="I2365" s="116"/>
      <c r="L2365" s="163">
        <v>45488</v>
      </c>
      <c r="M2365" s="116">
        <v>2395.6999999999998</v>
      </c>
      <c r="N2365" s="116">
        <v>2404.6999999999998</v>
      </c>
      <c r="O2365" s="116">
        <v>2377</v>
      </c>
      <c r="P2365" s="116">
        <v>2390.25</v>
      </c>
      <c r="Q2365" s="116">
        <v>2395.6999999999998</v>
      </c>
      <c r="R2365">
        <v>305636</v>
      </c>
    </row>
    <row r="2366" spans="1:18" x14ac:dyDescent="0.25">
      <c r="A2366" s="163">
        <v>45489</v>
      </c>
      <c r="B2366" s="116">
        <v>2404</v>
      </c>
      <c r="C2366" s="116">
        <v>2393.5</v>
      </c>
      <c r="D2366" s="116">
        <v>2376.1</v>
      </c>
      <c r="E2366" s="116">
        <v>2395</v>
      </c>
      <c r="F2366" s="116">
        <v>2393.5</v>
      </c>
      <c r="G2366">
        <v>10798</v>
      </c>
      <c r="H2366" s="116"/>
      <c r="I2366" s="116"/>
      <c r="L2366" s="163">
        <v>45489</v>
      </c>
      <c r="M2366" s="116">
        <v>2394.6</v>
      </c>
      <c r="N2366" s="116">
        <v>2405.5500000000002</v>
      </c>
      <c r="O2366" s="116">
        <v>2376.0500000000002</v>
      </c>
      <c r="P2366" s="116">
        <v>2399</v>
      </c>
      <c r="Q2366" s="116">
        <v>2394.6</v>
      </c>
      <c r="R2366">
        <v>250031</v>
      </c>
    </row>
    <row r="2367" spans="1:18" x14ac:dyDescent="0.25">
      <c r="A2367" s="163">
        <v>45491</v>
      </c>
      <c r="B2367" s="116">
        <v>2415.0500000000002</v>
      </c>
      <c r="C2367" s="116">
        <v>2403.5500000000002</v>
      </c>
      <c r="D2367" s="116">
        <v>2379</v>
      </c>
      <c r="E2367" s="116">
        <v>2393.5</v>
      </c>
      <c r="F2367" s="116">
        <v>2403.5500000000002</v>
      </c>
      <c r="G2367">
        <v>3848</v>
      </c>
      <c r="H2367" s="116"/>
      <c r="I2367" s="116"/>
      <c r="L2367" s="163">
        <v>45491</v>
      </c>
      <c r="M2367" s="116">
        <v>2404.5</v>
      </c>
      <c r="N2367" s="116">
        <v>2415.9499999999998</v>
      </c>
      <c r="O2367" s="116">
        <v>2376.6999999999998</v>
      </c>
      <c r="P2367" s="116">
        <v>2394</v>
      </c>
      <c r="Q2367" s="116">
        <v>2404.5</v>
      </c>
      <c r="R2367">
        <v>519892</v>
      </c>
    </row>
    <row r="2368" spans="1:18" x14ac:dyDescent="0.25">
      <c r="A2368" s="163">
        <v>45492</v>
      </c>
      <c r="B2368" s="116">
        <v>2408.1999999999998</v>
      </c>
      <c r="C2368" s="116">
        <v>2340.8000000000002</v>
      </c>
      <c r="D2368" s="116">
        <v>2333.6</v>
      </c>
      <c r="E2368" s="116">
        <v>2405.65</v>
      </c>
      <c r="F2368" s="116">
        <v>2340.8000000000002</v>
      </c>
      <c r="G2368">
        <v>6623</v>
      </c>
      <c r="H2368" s="116"/>
      <c r="I2368" s="116"/>
      <c r="L2368" s="163">
        <v>45492</v>
      </c>
      <c r="M2368" s="116">
        <v>2342.6</v>
      </c>
      <c r="N2368" s="116">
        <v>2410</v>
      </c>
      <c r="O2368" s="116">
        <v>2331.0500000000002</v>
      </c>
      <c r="P2368" s="116">
        <v>2410</v>
      </c>
      <c r="Q2368" s="116">
        <v>2342.6</v>
      </c>
      <c r="R2368">
        <v>611272</v>
      </c>
    </row>
    <row r="2369" spans="1:18" x14ac:dyDescent="0.25">
      <c r="A2369" s="163">
        <v>45495</v>
      </c>
      <c r="B2369" s="116">
        <v>2374.4</v>
      </c>
      <c r="C2369" s="116">
        <v>2367.9</v>
      </c>
      <c r="D2369" s="116">
        <v>2310</v>
      </c>
      <c r="E2369" s="116">
        <v>2339.9</v>
      </c>
      <c r="F2369" s="116">
        <v>2367.9</v>
      </c>
      <c r="G2369">
        <v>5458</v>
      </c>
      <c r="H2369" s="116"/>
      <c r="I2369" s="116"/>
      <c r="L2369" s="163">
        <v>45495</v>
      </c>
      <c r="M2369" s="116">
        <v>2367.5500000000002</v>
      </c>
      <c r="N2369" s="116">
        <v>2375</v>
      </c>
      <c r="O2369" s="116">
        <v>2309.3000000000002</v>
      </c>
      <c r="P2369" s="116">
        <v>2315</v>
      </c>
      <c r="Q2369" s="116">
        <v>2367.5500000000002</v>
      </c>
      <c r="R2369">
        <v>470369</v>
      </c>
    </row>
    <row r="2370" spans="1:18" x14ac:dyDescent="0.25">
      <c r="A2370" s="163">
        <v>45496</v>
      </c>
      <c r="B2370" s="116">
        <v>2395</v>
      </c>
      <c r="C2370" s="116">
        <v>2352.1</v>
      </c>
      <c r="D2370" s="116">
        <v>2283.85</v>
      </c>
      <c r="E2370" s="116">
        <v>2395</v>
      </c>
      <c r="F2370" s="116">
        <v>2352.1</v>
      </c>
      <c r="G2370">
        <v>30312</v>
      </c>
      <c r="H2370" s="116"/>
      <c r="I2370" s="116"/>
      <c r="L2370" s="163">
        <v>45496</v>
      </c>
      <c r="M2370" s="116">
        <v>2361.0500000000002</v>
      </c>
      <c r="N2370" s="116">
        <v>2394</v>
      </c>
      <c r="O2370" s="116">
        <v>2283.1</v>
      </c>
      <c r="P2370" s="116">
        <v>2378.9</v>
      </c>
      <c r="Q2370" s="116">
        <v>2361.0500000000002</v>
      </c>
      <c r="R2370">
        <v>1467130</v>
      </c>
    </row>
    <row r="2371" spans="1:18" x14ac:dyDescent="0.25">
      <c r="A2371" s="163">
        <v>45497</v>
      </c>
      <c r="B2371" s="116">
        <v>2380</v>
      </c>
      <c r="C2371" s="116">
        <v>2368.35</v>
      </c>
      <c r="D2371" s="116">
        <v>2319.4</v>
      </c>
      <c r="E2371" s="116">
        <v>2340.0500000000002</v>
      </c>
      <c r="F2371" s="116">
        <v>2368.35</v>
      </c>
      <c r="G2371">
        <v>7323</v>
      </c>
      <c r="H2371" s="116"/>
      <c r="I2371" s="116"/>
      <c r="L2371" s="163">
        <v>45497</v>
      </c>
      <c r="M2371" s="116">
        <v>2367.65</v>
      </c>
      <c r="N2371" s="116">
        <v>2379.9499999999998</v>
      </c>
      <c r="O2371" s="116">
        <v>2317.25</v>
      </c>
      <c r="P2371" s="116">
        <v>2330</v>
      </c>
      <c r="Q2371" s="116">
        <v>2367.65</v>
      </c>
      <c r="R2371">
        <v>1175151</v>
      </c>
    </row>
    <row r="2372" spans="1:18" x14ac:dyDescent="0.25">
      <c r="A2372" s="163">
        <v>45498</v>
      </c>
      <c r="B2372" s="116">
        <v>2411</v>
      </c>
      <c r="C2372" s="116">
        <v>2399.1999999999998</v>
      </c>
      <c r="D2372" s="116">
        <v>2344.9499999999998</v>
      </c>
      <c r="E2372" s="116">
        <v>2350</v>
      </c>
      <c r="F2372" s="116">
        <v>2399.1999999999998</v>
      </c>
      <c r="G2372">
        <v>18543</v>
      </c>
      <c r="H2372" s="116"/>
      <c r="I2372" s="116"/>
      <c r="L2372" s="163">
        <v>45498</v>
      </c>
      <c r="M2372" s="116">
        <v>2399.8000000000002</v>
      </c>
      <c r="N2372" s="116">
        <v>2412</v>
      </c>
      <c r="O2372" s="116">
        <v>2342.3000000000002</v>
      </c>
      <c r="P2372" s="116">
        <v>2345</v>
      </c>
      <c r="Q2372" s="116">
        <v>2399.8000000000002</v>
      </c>
      <c r="R2372">
        <v>1150332</v>
      </c>
    </row>
    <row r="2373" spans="1:18" x14ac:dyDescent="0.25">
      <c r="A2373" s="163">
        <v>45499</v>
      </c>
      <c r="B2373" s="116">
        <v>2475</v>
      </c>
      <c r="C2373" s="116">
        <v>2456.65</v>
      </c>
      <c r="D2373" s="116">
        <v>2402</v>
      </c>
      <c r="E2373" s="116">
        <v>2421.25</v>
      </c>
      <c r="F2373" s="116">
        <v>2456.65</v>
      </c>
      <c r="G2373">
        <v>12210</v>
      </c>
      <c r="H2373" s="116"/>
      <c r="I2373" s="116"/>
      <c r="L2373" s="163">
        <v>45499</v>
      </c>
      <c r="M2373" s="116">
        <v>2456.15</v>
      </c>
      <c r="N2373" s="116">
        <v>2476</v>
      </c>
      <c r="O2373" s="116">
        <v>2400</v>
      </c>
      <c r="P2373" s="116">
        <v>2405.15</v>
      </c>
      <c r="Q2373" s="116">
        <v>2456.15</v>
      </c>
      <c r="R2373">
        <v>1359673</v>
      </c>
    </row>
    <row r="2374" spans="1:18" x14ac:dyDescent="0.25">
      <c r="A2374" s="163">
        <v>45502</v>
      </c>
      <c r="B2374" s="116">
        <v>2542.9</v>
      </c>
      <c r="C2374" s="116">
        <v>2508.1</v>
      </c>
      <c r="D2374" s="116">
        <v>2465</v>
      </c>
      <c r="E2374" s="116">
        <v>2465</v>
      </c>
      <c r="F2374" s="116">
        <v>2508.1</v>
      </c>
      <c r="G2374">
        <v>45581</v>
      </c>
      <c r="H2374" s="116"/>
      <c r="I2374" s="116"/>
      <c r="L2374" s="163">
        <v>45502</v>
      </c>
      <c r="M2374" s="116">
        <v>2509.0500000000002</v>
      </c>
      <c r="N2374" s="116">
        <v>2543.5</v>
      </c>
      <c r="O2374" s="116">
        <v>2466.15</v>
      </c>
      <c r="P2374" s="116">
        <v>2471.85</v>
      </c>
      <c r="Q2374" s="116">
        <v>2509.0500000000002</v>
      </c>
      <c r="R2374">
        <v>895078</v>
      </c>
    </row>
    <row r="2375" spans="1:18" x14ac:dyDescent="0.25">
      <c r="A2375" s="163">
        <v>45503</v>
      </c>
      <c r="B2375" s="116">
        <v>2564.4499999999998</v>
      </c>
      <c r="C2375" s="116">
        <v>2551.1</v>
      </c>
      <c r="D2375" s="116">
        <v>2502.15</v>
      </c>
      <c r="E2375" s="116">
        <v>2513.5</v>
      </c>
      <c r="F2375" s="116">
        <v>2551.1</v>
      </c>
      <c r="G2375">
        <v>14201</v>
      </c>
      <c r="H2375" s="116"/>
      <c r="I2375" s="116"/>
      <c r="L2375" s="163">
        <v>45503</v>
      </c>
      <c r="M2375" s="116">
        <v>2552.35</v>
      </c>
      <c r="N2375" s="116">
        <v>2563.3000000000002</v>
      </c>
      <c r="O2375" s="116">
        <v>2500.0500000000002</v>
      </c>
      <c r="P2375" s="116">
        <v>2510.0500000000002</v>
      </c>
      <c r="Q2375" s="116">
        <v>2552.35</v>
      </c>
      <c r="R2375">
        <v>406480</v>
      </c>
    </row>
    <row r="2376" spans="1:18" x14ac:dyDescent="0.25">
      <c r="A2376" s="163">
        <v>45504</v>
      </c>
      <c r="B2376" s="116">
        <v>2658</v>
      </c>
      <c r="C2376" s="116">
        <v>2644.65</v>
      </c>
      <c r="D2376" s="116">
        <v>2557.9499999999998</v>
      </c>
      <c r="E2376" s="116">
        <v>2558</v>
      </c>
      <c r="F2376" s="116">
        <v>2644.65</v>
      </c>
      <c r="G2376">
        <v>42653</v>
      </c>
      <c r="H2376" s="116"/>
      <c r="I2376" s="116"/>
      <c r="L2376" s="163">
        <v>45504</v>
      </c>
      <c r="M2376" s="116">
        <v>2644.9</v>
      </c>
      <c r="N2376" s="116">
        <v>2659</v>
      </c>
      <c r="O2376" s="116">
        <v>2557.3000000000002</v>
      </c>
      <c r="P2376" s="116">
        <v>2560</v>
      </c>
      <c r="Q2376" s="116">
        <v>2644.9</v>
      </c>
      <c r="R2376">
        <v>1734449</v>
      </c>
    </row>
    <row r="2377" spans="1:18" x14ac:dyDescent="0.25">
      <c r="A2377" s="163">
        <v>45505</v>
      </c>
      <c r="B2377" s="116">
        <v>2656.9</v>
      </c>
      <c r="C2377" s="116">
        <v>2625</v>
      </c>
      <c r="D2377" s="116">
        <v>2601.3000000000002</v>
      </c>
      <c r="E2377" s="116">
        <v>2608.4</v>
      </c>
      <c r="F2377" s="116">
        <v>2625</v>
      </c>
      <c r="G2377">
        <v>21361</v>
      </c>
      <c r="H2377" s="116"/>
      <c r="I2377" s="116"/>
      <c r="L2377" s="163">
        <v>45505</v>
      </c>
      <c r="M2377" s="116">
        <v>2624.9</v>
      </c>
      <c r="N2377" s="116">
        <v>2653.55</v>
      </c>
      <c r="O2377" s="116">
        <v>2601.4499999999998</v>
      </c>
      <c r="P2377" s="116">
        <v>2631.5</v>
      </c>
      <c r="Q2377" s="116">
        <v>2624.9</v>
      </c>
      <c r="R2377">
        <v>810488</v>
      </c>
    </row>
    <row r="2378" spans="1:18" x14ac:dyDescent="0.25">
      <c r="A2378" s="163">
        <v>45506</v>
      </c>
      <c r="B2378" s="116">
        <v>2617.5</v>
      </c>
      <c r="C2378" s="116">
        <v>2521.5500000000002</v>
      </c>
      <c r="D2378" s="116">
        <v>2512.15</v>
      </c>
      <c r="E2378" s="116">
        <v>2572.5500000000002</v>
      </c>
      <c r="F2378" s="116">
        <v>2521.5500000000002</v>
      </c>
      <c r="G2378">
        <v>23069</v>
      </c>
      <c r="H2378" s="116"/>
      <c r="I2378" s="116"/>
      <c r="L2378" s="163">
        <v>45506</v>
      </c>
      <c r="M2378" s="116">
        <v>2522.8000000000002</v>
      </c>
      <c r="N2378" s="116">
        <v>2618.65</v>
      </c>
      <c r="O2378" s="116">
        <v>2514.15</v>
      </c>
      <c r="P2378" s="116">
        <v>2585</v>
      </c>
      <c r="Q2378" s="116">
        <v>2522.8000000000002</v>
      </c>
      <c r="R2378">
        <v>460619</v>
      </c>
    </row>
    <row r="2379" spans="1:18" x14ac:dyDescent="0.25">
      <c r="A2379" s="163">
        <v>45509</v>
      </c>
      <c r="B2379" s="116">
        <v>2504.15</v>
      </c>
      <c r="C2379" s="116">
        <v>2474.5</v>
      </c>
      <c r="D2379" s="116">
        <v>2402.0500000000002</v>
      </c>
      <c r="E2379" s="116">
        <v>2402.0500000000002</v>
      </c>
      <c r="F2379" s="116">
        <v>2474.5</v>
      </c>
      <c r="G2379">
        <v>12157</v>
      </c>
      <c r="H2379" s="116"/>
      <c r="I2379" s="116"/>
      <c r="L2379" s="163">
        <v>45509</v>
      </c>
      <c r="M2379" s="116">
        <v>2473</v>
      </c>
      <c r="N2379" s="116">
        <v>2504.5500000000002</v>
      </c>
      <c r="O2379" s="116">
        <v>2418</v>
      </c>
      <c r="P2379" s="116">
        <v>2460.1</v>
      </c>
      <c r="Q2379" s="116">
        <v>2473</v>
      </c>
      <c r="R2379">
        <v>1311990</v>
      </c>
    </row>
    <row r="2380" spans="1:18" x14ac:dyDescent="0.25">
      <c r="A2380" s="163">
        <v>45510</v>
      </c>
      <c r="B2380" s="116">
        <v>2555</v>
      </c>
      <c r="C2380" s="116">
        <v>2487.4</v>
      </c>
      <c r="D2380" s="116">
        <v>2475.1</v>
      </c>
      <c r="E2380" s="116">
        <v>2475.1</v>
      </c>
      <c r="F2380" s="116">
        <v>2487.4</v>
      </c>
      <c r="G2380">
        <v>15231</v>
      </c>
      <c r="H2380" s="116"/>
      <c r="I2380" s="116"/>
      <c r="L2380" s="163">
        <v>45510</v>
      </c>
      <c r="M2380" s="116">
        <v>2488.9499999999998</v>
      </c>
      <c r="N2380" s="116">
        <v>2555</v>
      </c>
      <c r="O2380" s="116">
        <v>2481.65</v>
      </c>
      <c r="P2380" s="116">
        <v>2497.15</v>
      </c>
      <c r="Q2380" s="116">
        <v>2488.9499999999998</v>
      </c>
      <c r="R2380">
        <v>731638</v>
      </c>
    </row>
    <row r="2381" spans="1:18" x14ac:dyDescent="0.25">
      <c r="A2381" s="163">
        <v>45511</v>
      </c>
      <c r="B2381" s="116">
        <v>2595</v>
      </c>
      <c r="C2381" s="116">
        <v>2590.1999999999998</v>
      </c>
      <c r="D2381" s="116">
        <v>2502</v>
      </c>
      <c r="E2381" s="116">
        <v>2507.4499999999998</v>
      </c>
      <c r="F2381" s="116">
        <v>2590.1999999999998</v>
      </c>
      <c r="G2381">
        <v>7643</v>
      </c>
      <c r="H2381" s="116"/>
      <c r="I2381" s="116"/>
      <c r="L2381" s="163">
        <v>45511</v>
      </c>
      <c r="M2381" s="116">
        <v>2590.1</v>
      </c>
      <c r="N2381" s="116">
        <v>2595.75</v>
      </c>
      <c r="O2381" s="116">
        <v>2488.9499999999998</v>
      </c>
      <c r="P2381" s="116">
        <v>2507</v>
      </c>
      <c r="Q2381" s="116">
        <v>2590.1</v>
      </c>
      <c r="R2381">
        <v>604727</v>
      </c>
    </row>
    <row r="2382" spans="1:18" x14ac:dyDescent="0.25">
      <c r="A2382" s="163">
        <v>45512</v>
      </c>
      <c r="B2382" s="116">
        <v>2602.0500000000002</v>
      </c>
      <c r="C2382" s="116">
        <v>2537.1999999999998</v>
      </c>
      <c r="D2382" s="116">
        <v>2530.15</v>
      </c>
      <c r="E2382" s="116">
        <v>2591.9</v>
      </c>
      <c r="F2382" s="116">
        <v>2537.1999999999998</v>
      </c>
      <c r="G2382">
        <v>9403</v>
      </c>
      <c r="H2382" s="116"/>
      <c r="I2382" s="116"/>
      <c r="L2382" s="163">
        <v>45512</v>
      </c>
      <c r="M2382" s="116">
        <v>2537.1</v>
      </c>
      <c r="N2382" s="116">
        <v>2615</v>
      </c>
      <c r="O2382" s="116">
        <v>2531</v>
      </c>
      <c r="P2382" s="116">
        <v>2615</v>
      </c>
      <c r="Q2382" s="116">
        <v>2537.1</v>
      </c>
      <c r="R2382">
        <v>252629</v>
      </c>
    </row>
    <row r="2383" spans="1:18" x14ac:dyDescent="0.25">
      <c r="A2383" s="163">
        <v>45513</v>
      </c>
      <c r="B2383" s="116">
        <v>2599.65</v>
      </c>
      <c r="C2383" s="116">
        <v>2555.1</v>
      </c>
      <c r="D2383" s="116">
        <v>2540.4</v>
      </c>
      <c r="E2383" s="116">
        <v>2540.4</v>
      </c>
      <c r="F2383" s="116">
        <v>2555.1</v>
      </c>
      <c r="G2383">
        <v>11265</v>
      </c>
      <c r="H2383" s="116"/>
      <c r="I2383" s="116"/>
      <c r="L2383" s="163">
        <v>45513</v>
      </c>
      <c r="M2383" s="116">
        <v>2553.65</v>
      </c>
      <c r="N2383" s="116">
        <v>2600</v>
      </c>
      <c r="O2383" s="116">
        <v>2538</v>
      </c>
      <c r="P2383" s="116">
        <v>2560</v>
      </c>
      <c r="Q2383" s="116">
        <v>2553.65</v>
      </c>
      <c r="R2383">
        <v>243182</v>
      </c>
    </row>
    <row r="2384" spans="1:18" x14ac:dyDescent="0.25">
      <c r="A2384" s="163">
        <v>45516</v>
      </c>
      <c r="B2384" s="116">
        <v>2581</v>
      </c>
      <c r="C2384" s="116">
        <v>2568.4499999999998</v>
      </c>
      <c r="D2384" s="116">
        <v>2527.65</v>
      </c>
      <c r="E2384" s="116">
        <v>2555</v>
      </c>
      <c r="F2384" s="116">
        <v>2568.4499999999998</v>
      </c>
      <c r="G2384">
        <v>8154</v>
      </c>
      <c r="H2384" s="116"/>
      <c r="I2384" s="116"/>
      <c r="L2384" s="163">
        <v>45516</v>
      </c>
      <c r="M2384" s="116">
        <v>2568.5</v>
      </c>
      <c r="N2384" s="116">
        <v>2583.9499999999998</v>
      </c>
      <c r="O2384" s="116">
        <v>2525.35</v>
      </c>
      <c r="P2384" s="116">
        <v>2553.5500000000002</v>
      </c>
      <c r="Q2384" s="116">
        <v>2568.5</v>
      </c>
      <c r="R2384">
        <v>262274</v>
      </c>
    </row>
    <row r="2385" spans="1:18" x14ac:dyDescent="0.25">
      <c r="A2385" s="163">
        <v>45517</v>
      </c>
      <c r="B2385" s="116">
        <v>2595</v>
      </c>
      <c r="C2385" s="116">
        <v>2520.25</v>
      </c>
      <c r="D2385" s="116">
        <v>2515</v>
      </c>
      <c r="E2385" s="116">
        <v>2595</v>
      </c>
      <c r="F2385" s="116">
        <v>2520.25</v>
      </c>
      <c r="G2385">
        <v>3997</v>
      </c>
      <c r="H2385" s="116"/>
      <c r="I2385" s="116"/>
      <c r="L2385" s="163">
        <v>45517</v>
      </c>
      <c r="M2385" s="116">
        <v>2521.0500000000002</v>
      </c>
      <c r="N2385" s="116">
        <v>2592.1999999999998</v>
      </c>
      <c r="O2385" s="116">
        <v>2512.1999999999998</v>
      </c>
      <c r="P2385" s="116">
        <v>2592.1999999999998</v>
      </c>
      <c r="Q2385" s="116">
        <v>2521.0500000000002</v>
      </c>
      <c r="R2385">
        <v>337336</v>
      </c>
    </row>
    <row r="2386" spans="1:18" x14ac:dyDescent="0.25">
      <c r="A2386" s="163">
        <v>45518</v>
      </c>
      <c r="B2386" s="116">
        <v>2540.4499999999998</v>
      </c>
      <c r="C2386" s="116">
        <v>2491.65</v>
      </c>
      <c r="D2386" s="116">
        <v>2449.9</v>
      </c>
      <c r="E2386" s="116">
        <v>2520.25</v>
      </c>
      <c r="F2386" s="116">
        <v>2491.65</v>
      </c>
      <c r="G2386">
        <v>2847</v>
      </c>
      <c r="H2386" s="116"/>
      <c r="I2386" s="116"/>
      <c r="L2386" s="163">
        <v>45518</v>
      </c>
      <c r="M2386" s="116">
        <v>2491.75</v>
      </c>
      <c r="N2386" s="116">
        <v>2525.0500000000002</v>
      </c>
      <c r="O2386" s="116">
        <v>2445.0500000000002</v>
      </c>
      <c r="P2386" s="116">
        <v>2525</v>
      </c>
      <c r="Q2386" s="116">
        <v>2491.75</v>
      </c>
      <c r="R2386">
        <v>261492</v>
      </c>
    </row>
    <row r="2387" spans="1:18" x14ac:dyDescent="0.25">
      <c r="A2387" s="163">
        <v>45520</v>
      </c>
      <c r="B2387" s="116">
        <v>2517.1999999999998</v>
      </c>
      <c r="C2387" s="116">
        <v>2480</v>
      </c>
      <c r="D2387" s="116">
        <v>2472.35</v>
      </c>
      <c r="E2387" s="116">
        <v>2511.6999999999998</v>
      </c>
      <c r="F2387" s="116">
        <v>2480</v>
      </c>
      <c r="G2387">
        <v>3142</v>
      </c>
      <c r="H2387" s="116"/>
      <c r="I2387" s="116"/>
      <c r="L2387" s="163">
        <v>45520</v>
      </c>
      <c r="M2387" s="116">
        <v>2481.1999999999998</v>
      </c>
      <c r="N2387" s="116">
        <v>2519.9499999999998</v>
      </c>
      <c r="O2387" s="116">
        <v>2470.4499999999998</v>
      </c>
      <c r="P2387" s="116">
        <v>2519.9499999999998</v>
      </c>
      <c r="Q2387" s="116">
        <v>2481.1999999999998</v>
      </c>
      <c r="R2387">
        <v>445311</v>
      </c>
    </row>
    <row r="2388" spans="1:18" x14ac:dyDescent="0.25">
      <c r="A2388" s="163">
        <v>45523</v>
      </c>
      <c r="B2388" s="116">
        <v>2499.35</v>
      </c>
      <c r="C2388" s="116">
        <v>2475.6</v>
      </c>
      <c r="D2388" s="116">
        <v>2452.4499999999998</v>
      </c>
      <c r="E2388" s="116">
        <v>2499.35</v>
      </c>
      <c r="F2388" s="116">
        <v>2475.6</v>
      </c>
      <c r="G2388">
        <v>3036</v>
      </c>
      <c r="H2388" s="116"/>
      <c r="I2388" s="116"/>
      <c r="L2388" s="163">
        <v>45523</v>
      </c>
      <c r="M2388" s="116">
        <v>2476.15</v>
      </c>
      <c r="N2388" s="116">
        <v>2492</v>
      </c>
      <c r="O2388" s="116">
        <v>2451.6</v>
      </c>
      <c r="P2388" s="116">
        <v>2492</v>
      </c>
      <c r="Q2388" s="116">
        <v>2476.15</v>
      </c>
      <c r="R2388">
        <v>227333</v>
      </c>
    </row>
    <row r="2389" spans="1:18" x14ac:dyDescent="0.25">
      <c r="A2389" s="163">
        <v>45524</v>
      </c>
      <c r="B2389" s="116">
        <v>2492.6999999999998</v>
      </c>
      <c r="C2389" s="116">
        <v>2472.0500000000002</v>
      </c>
      <c r="D2389" s="116">
        <v>2452</v>
      </c>
      <c r="E2389" s="116">
        <v>2475</v>
      </c>
      <c r="F2389" s="116">
        <v>2472.0500000000002</v>
      </c>
      <c r="G2389">
        <v>3155</v>
      </c>
      <c r="H2389" s="116"/>
      <c r="I2389" s="116"/>
      <c r="L2389" s="163">
        <v>45524</v>
      </c>
      <c r="M2389" s="116">
        <v>2473.5</v>
      </c>
      <c r="N2389" s="116">
        <v>2487.9</v>
      </c>
      <c r="O2389" s="116">
        <v>2452.35</v>
      </c>
      <c r="P2389" s="116">
        <v>2476.15</v>
      </c>
      <c r="Q2389" s="116">
        <v>2473.5</v>
      </c>
      <c r="R2389">
        <v>253516</v>
      </c>
    </row>
    <row r="2390" spans="1:18" x14ac:dyDescent="0.25">
      <c r="A2390" s="163">
        <v>45525</v>
      </c>
      <c r="B2390" s="116">
        <v>2487</v>
      </c>
      <c r="C2390" s="116">
        <v>2479.5500000000002</v>
      </c>
      <c r="D2390" s="116">
        <v>2459</v>
      </c>
      <c r="E2390" s="116">
        <v>2472.0500000000002</v>
      </c>
      <c r="F2390" s="116">
        <v>2479.5500000000002</v>
      </c>
      <c r="G2390">
        <v>3248</v>
      </c>
      <c r="H2390" s="116"/>
      <c r="I2390" s="116"/>
      <c r="L2390" s="163">
        <v>45525</v>
      </c>
      <c r="M2390" s="116">
        <v>2480.15</v>
      </c>
      <c r="N2390" s="116">
        <v>2487.5</v>
      </c>
      <c r="O2390" s="116">
        <v>2458.4499999999998</v>
      </c>
      <c r="P2390" s="116">
        <v>2473.5</v>
      </c>
      <c r="Q2390" s="116">
        <v>2480.15</v>
      </c>
      <c r="R2390">
        <v>297048</v>
      </c>
    </row>
    <row r="2391" spans="1:18" x14ac:dyDescent="0.25">
      <c r="A2391" s="163">
        <v>45526</v>
      </c>
      <c r="B2391" s="116">
        <v>2566.75</v>
      </c>
      <c r="C2391" s="116">
        <v>2532.4499999999998</v>
      </c>
      <c r="D2391" s="116">
        <v>2490</v>
      </c>
      <c r="E2391" s="116">
        <v>2490</v>
      </c>
      <c r="F2391" s="116">
        <v>2532.4499999999998</v>
      </c>
      <c r="G2391">
        <v>14692</v>
      </c>
      <c r="H2391" s="116"/>
      <c r="I2391" s="116"/>
      <c r="L2391" s="163">
        <v>45526</v>
      </c>
      <c r="M2391" s="116">
        <v>2533.1</v>
      </c>
      <c r="N2391" s="116">
        <v>2566</v>
      </c>
      <c r="O2391" s="116">
        <v>2488.3000000000002</v>
      </c>
      <c r="P2391" s="116">
        <v>2491</v>
      </c>
      <c r="Q2391" s="116">
        <v>2533.1</v>
      </c>
      <c r="R2391">
        <v>825960</v>
      </c>
    </row>
    <row r="2392" spans="1:18" x14ac:dyDescent="0.25">
      <c r="A2392" s="163">
        <v>45527</v>
      </c>
      <c r="B2392" s="116">
        <v>2552</v>
      </c>
      <c r="C2392" s="116">
        <v>2490</v>
      </c>
      <c r="D2392" s="116">
        <v>2480.4</v>
      </c>
      <c r="E2392" s="116">
        <v>2551.9499999999998</v>
      </c>
      <c r="F2392" s="116">
        <v>2490</v>
      </c>
      <c r="G2392">
        <v>83645</v>
      </c>
      <c r="H2392" s="116"/>
      <c r="I2392" s="116"/>
      <c r="L2392" s="163">
        <v>45527</v>
      </c>
      <c r="M2392" s="116">
        <v>2490.65</v>
      </c>
      <c r="N2392" s="116">
        <v>2559</v>
      </c>
      <c r="O2392" s="116">
        <v>2480.5</v>
      </c>
      <c r="P2392" s="116">
        <v>2558</v>
      </c>
      <c r="Q2392" s="116">
        <v>2490.65</v>
      </c>
      <c r="R2392">
        <v>576226</v>
      </c>
    </row>
    <row r="2393" spans="1:18" x14ac:dyDescent="0.25">
      <c r="A2393" s="163">
        <v>45530</v>
      </c>
      <c r="B2393" s="116">
        <v>2544.6999999999998</v>
      </c>
      <c r="C2393" s="116">
        <v>2540.35</v>
      </c>
      <c r="D2393" s="116">
        <v>2487.15</v>
      </c>
      <c r="E2393" s="116">
        <v>2491</v>
      </c>
      <c r="F2393" s="116">
        <v>2540.35</v>
      </c>
      <c r="G2393">
        <v>4215</v>
      </c>
      <c r="H2393" s="116"/>
      <c r="I2393" s="116"/>
      <c r="L2393" s="163">
        <v>45530</v>
      </c>
      <c r="M2393" s="116">
        <v>2538.5500000000002</v>
      </c>
      <c r="N2393" s="116">
        <v>2545.0500000000002</v>
      </c>
      <c r="O2393" s="116">
        <v>2486.65</v>
      </c>
      <c r="P2393" s="116">
        <v>2490.65</v>
      </c>
      <c r="Q2393" s="116">
        <v>2538.5500000000002</v>
      </c>
      <c r="R2393">
        <v>466741</v>
      </c>
    </row>
    <row r="2394" spans="1:18" x14ac:dyDescent="0.25">
      <c r="A2394" s="163">
        <v>45531</v>
      </c>
      <c r="B2394" s="116">
        <v>2590</v>
      </c>
      <c r="C2394" s="116">
        <v>2554.65</v>
      </c>
      <c r="D2394" s="116">
        <v>2540.4</v>
      </c>
      <c r="E2394" s="116">
        <v>2540.4</v>
      </c>
      <c r="F2394" s="116">
        <v>2554.65</v>
      </c>
      <c r="G2394">
        <v>15640</v>
      </c>
      <c r="H2394" s="116"/>
      <c r="I2394" s="116"/>
      <c r="L2394" s="163">
        <v>45531</v>
      </c>
      <c r="M2394" s="116">
        <v>2555.6</v>
      </c>
      <c r="N2394" s="116">
        <v>2592</v>
      </c>
      <c r="O2394" s="116">
        <v>2541.5</v>
      </c>
      <c r="P2394" s="116">
        <v>2557</v>
      </c>
      <c r="Q2394" s="116">
        <v>2555.6</v>
      </c>
      <c r="R2394">
        <v>598139</v>
      </c>
    </row>
    <row r="2395" spans="1:18" x14ac:dyDescent="0.25">
      <c r="A2395" s="163">
        <v>45532</v>
      </c>
      <c r="B2395" s="116">
        <v>2561.3000000000002</v>
      </c>
      <c r="C2395" s="116">
        <v>2537.75</v>
      </c>
      <c r="D2395" s="116">
        <v>2517.4</v>
      </c>
      <c r="E2395" s="116">
        <v>2560</v>
      </c>
      <c r="F2395" s="116">
        <v>2537.75</v>
      </c>
      <c r="G2395">
        <v>2061</v>
      </c>
      <c r="H2395" s="116"/>
      <c r="I2395" s="116"/>
      <c r="L2395" s="163">
        <v>45532</v>
      </c>
      <c r="M2395" s="116">
        <v>2539.0500000000002</v>
      </c>
      <c r="N2395" s="116">
        <v>2568.85</v>
      </c>
      <c r="O2395" s="116">
        <v>2518</v>
      </c>
      <c r="P2395" s="116">
        <v>2565</v>
      </c>
      <c r="Q2395" s="116">
        <v>2539.0500000000002</v>
      </c>
      <c r="R2395">
        <v>362347</v>
      </c>
    </row>
    <row r="2396" spans="1:18" x14ac:dyDescent="0.25">
      <c r="A2396" s="163">
        <v>45533</v>
      </c>
      <c r="B2396" s="116">
        <v>2548.5</v>
      </c>
      <c r="C2396" s="116">
        <v>2540.4</v>
      </c>
      <c r="D2396" s="116">
        <v>2505</v>
      </c>
      <c r="E2396" s="116">
        <v>2537.75</v>
      </c>
      <c r="F2396" s="116">
        <v>2540.4</v>
      </c>
      <c r="G2396">
        <v>2514</v>
      </c>
      <c r="H2396" s="116"/>
      <c r="I2396" s="116"/>
      <c r="L2396" s="163">
        <v>45533</v>
      </c>
      <c r="M2396" s="116">
        <v>2540.35</v>
      </c>
      <c r="N2396" s="116">
        <v>2549.25</v>
      </c>
      <c r="O2396" s="116">
        <v>2503.9499999999998</v>
      </c>
      <c r="P2396" s="116">
        <v>2538</v>
      </c>
      <c r="Q2396" s="116">
        <v>2540.35</v>
      </c>
      <c r="R2396">
        <v>326129</v>
      </c>
    </row>
    <row r="2397" spans="1:18" x14ac:dyDescent="0.25">
      <c r="A2397" s="163">
        <v>45534</v>
      </c>
      <c r="B2397" s="116">
        <v>2586</v>
      </c>
      <c r="C2397" s="116">
        <v>2564.4499999999998</v>
      </c>
      <c r="D2397" s="116">
        <v>2530.4</v>
      </c>
      <c r="E2397" s="116">
        <v>2530.4</v>
      </c>
      <c r="F2397" s="116">
        <v>2564.4499999999998</v>
      </c>
      <c r="G2397">
        <v>23518</v>
      </c>
      <c r="H2397" s="116"/>
      <c r="I2397" s="116"/>
      <c r="L2397" s="163">
        <v>45534</v>
      </c>
      <c r="M2397" s="116">
        <v>2564.6</v>
      </c>
      <c r="N2397" s="116">
        <v>2599.9499999999998</v>
      </c>
      <c r="O2397" s="116">
        <v>2539</v>
      </c>
      <c r="P2397" s="116">
        <v>2539</v>
      </c>
      <c r="Q2397" s="116">
        <v>2564.6</v>
      </c>
      <c r="R2397">
        <v>2180896</v>
      </c>
    </row>
    <row r="2398" spans="1:18" x14ac:dyDescent="0.25">
      <c r="A2398" s="163">
        <v>45537</v>
      </c>
      <c r="B2398" s="116">
        <v>2607.75</v>
      </c>
      <c r="C2398" s="116">
        <v>2591.0500000000002</v>
      </c>
      <c r="D2398" s="116">
        <v>2561.4</v>
      </c>
      <c r="E2398" s="116">
        <v>2575.3000000000002</v>
      </c>
      <c r="F2398" s="116">
        <v>2591.0500000000002</v>
      </c>
      <c r="G2398">
        <v>17032</v>
      </c>
      <c r="H2398" s="116"/>
      <c r="I2398" s="116"/>
      <c r="L2398" s="163">
        <v>45537</v>
      </c>
      <c r="M2398" s="116">
        <v>2590.3000000000002</v>
      </c>
      <c r="N2398" s="116">
        <v>2608.6999999999998</v>
      </c>
      <c r="O2398" s="116">
        <v>2561</v>
      </c>
      <c r="P2398" s="116">
        <v>2579.9</v>
      </c>
      <c r="Q2398" s="116">
        <v>2590.3000000000002</v>
      </c>
      <c r="R2398">
        <v>635476</v>
      </c>
    </row>
    <row r="2399" spans="1:18" x14ac:dyDescent="0.25">
      <c r="A2399" s="163">
        <v>45538</v>
      </c>
      <c r="B2399" s="116">
        <v>2620</v>
      </c>
      <c r="C2399" s="116">
        <v>2586.25</v>
      </c>
      <c r="D2399" s="116">
        <v>2576.0500000000002</v>
      </c>
      <c r="E2399" s="116">
        <v>2608.5500000000002</v>
      </c>
      <c r="F2399" s="116">
        <v>2586.25</v>
      </c>
      <c r="G2399">
        <v>18197</v>
      </c>
      <c r="H2399" s="116"/>
      <c r="I2399" s="116"/>
      <c r="L2399" s="163">
        <v>45538</v>
      </c>
      <c r="M2399" s="116">
        <v>2586</v>
      </c>
      <c r="N2399" s="116">
        <v>2621.95</v>
      </c>
      <c r="O2399" s="116">
        <v>2575.4499999999998</v>
      </c>
      <c r="P2399" s="116">
        <v>2599</v>
      </c>
      <c r="Q2399" s="116">
        <v>2586</v>
      </c>
      <c r="R2399">
        <v>666148</v>
      </c>
    </row>
    <row r="2400" spans="1:18" x14ac:dyDescent="0.25">
      <c r="A2400" s="163">
        <v>45539</v>
      </c>
      <c r="B2400" s="116">
        <v>2607.4</v>
      </c>
      <c r="C2400" s="116">
        <v>2601.3000000000002</v>
      </c>
      <c r="D2400" s="116">
        <v>2540.6</v>
      </c>
      <c r="E2400" s="116">
        <v>2579.6999999999998</v>
      </c>
      <c r="F2400" s="116">
        <v>2601.3000000000002</v>
      </c>
      <c r="G2400">
        <v>10536</v>
      </c>
      <c r="H2400" s="116"/>
      <c r="I2400" s="116"/>
      <c r="L2400" s="163">
        <v>45539</v>
      </c>
      <c r="M2400" s="116">
        <v>2602.3000000000002</v>
      </c>
      <c r="N2400" s="116">
        <v>2608</v>
      </c>
      <c r="O2400" s="116">
        <v>2541.8000000000002</v>
      </c>
      <c r="P2400" s="116">
        <v>2570.0500000000002</v>
      </c>
      <c r="Q2400" s="116">
        <v>2602.3000000000002</v>
      </c>
      <c r="R2400">
        <v>486482</v>
      </c>
    </row>
    <row r="2401" spans="1:18" x14ac:dyDescent="0.25">
      <c r="A2401" s="163">
        <v>45540</v>
      </c>
      <c r="B2401" s="116">
        <v>2647.75</v>
      </c>
      <c r="C2401" s="116">
        <v>2617.25</v>
      </c>
      <c r="D2401" s="116">
        <v>2592.0500000000002</v>
      </c>
      <c r="E2401" s="116">
        <v>2592.0500000000002</v>
      </c>
      <c r="F2401" s="116">
        <v>2617.25</v>
      </c>
      <c r="G2401">
        <v>8998</v>
      </c>
      <c r="H2401" s="116"/>
      <c r="I2401" s="116"/>
      <c r="L2401" s="163">
        <v>45540</v>
      </c>
      <c r="M2401" s="116">
        <v>2618.5</v>
      </c>
      <c r="N2401" s="116">
        <v>2649</v>
      </c>
      <c r="O2401" s="116">
        <v>2603</v>
      </c>
      <c r="P2401" s="116">
        <v>2603</v>
      </c>
      <c r="Q2401" s="116">
        <v>2618.5</v>
      </c>
      <c r="R2401">
        <v>699368</v>
      </c>
    </row>
    <row r="2402" spans="1:18" x14ac:dyDescent="0.25">
      <c r="A2402" s="163">
        <v>45541</v>
      </c>
      <c r="B2402" s="116">
        <v>2618.5</v>
      </c>
      <c r="C2402" s="116">
        <v>2509.8000000000002</v>
      </c>
      <c r="D2402" s="116">
        <v>2502.0500000000002</v>
      </c>
      <c r="E2402" s="116">
        <v>2618</v>
      </c>
      <c r="F2402" s="116">
        <v>2509.8000000000002</v>
      </c>
      <c r="G2402">
        <v>10462</v>
      </c>
      <c r="H2402" s="116"/>
      <c r="I2402" s="116"/>
      <c r="L2402" s="163">
        <v>45541</v>
      </c>
      <c r="M2402" s="116">
        <v>2509.0500000000002</v>
      </c>
      <c r="N2402" s="116">
        <v>2618.5500000000002</v>
      </c>
      <c r="O2402" s="116">
        <v>2501.1999999999998</v>
      </c>
      <c r="P2402" s="116">
        <v>2618.5500000000002</v>
      </c>
      <c r="Q2402" s="116">
        <v>2509.0500000000002</v>
      </c>
      <c r="R2402">
        <v>714721</v>
      </c>
    </row>
    <row r="2403" spans="1:18" x14ac:dyDescent="0.25">
      <c r="A2403" s="163">
        <v>45544</v>
      </c>
      <c r="B2403" s="116">
        <v>2536.0500000000002</v>
      </c>
      <c r="C2403" s="116">
        <v>2530.25</v>
      </c>
      <c r="D2403" s="116">
        <v>2468.1</v>
      </c>
      <c r="E2403" s="116">
        <v>2506</v>
      </c>
      <c r="F2403" s="116">
        <v>2530.25</v>
      </c>
      <c r="G2403">
        <v>11470</v>
      </c>
      <c r="H2403" s="116"/>
      <c r="I2403" s="116"/>
      <c r="L2403" s="163">
        <v>45544</v>
      </c>
      <c r="M2403" s="116">
        <v>2529.15</v>
      </c>
      <c r="N2403" s="116">
        <v>2534.4499999999998</v>
      </c>
      <c r="O2403" s="116">
        <v>2464.85</v>
      </c>
      <c r="P2403" s="116">
        <v>2499.3000000000002</v>
      </c>
      <c r="Q2403" s="116">
        <v>2529.15</v>
      </c>
      <c r="R2403">
        <v>523188</v>
      </c>
    </row>
    <row r="2404" spans="1:18" x14ac:dyDescent="0.25">
      <c r="A2404" s="163">
        <v>45545</v>
      </c>
      <c r="B2404" s="116">
        <v>2565</v>
      </c>
      <c r="C2404" s="116">
        <v>2537.5</v>
      </c>
      <c r="D2404" s="116">
        <v>2529</v>
      </c>
      <c r="E2404" s="116">
        <v>2536.5500000000002</v>
      </c>
      <c r="F2404" s="116">
        <v>2537.5</v>
      </c>
      <c r="G2404">
        <v>17674</v>
      </c>
      <c r="H2404" s="116"/>
      <c r="I2404" s="116"/>
      <c r="L2404" s="163">
        <v>45545</v>
      </c>
      <c r="M2404" s="116">
        <v>2536.15</v>
      </c>
      <c r="N2404" s="116">
        <v>2564.9499999999998</v>
      </c>
      <c r="O2404" s="116">
        <v>2525</v>
      </c>
      <c r="P2404" s="116">
        <v>2527.5</v>
      </c>
      <c r="Q2404" s="116">
        <v>2536.15</v>
      </c>
      <c r="R2404">
        <v>351145</v>
      </c>
    </row>
    <row r="2405" spans="1:18" x14ac:dyDescent="0.25">
      <c r="A2405" s="163">
        <v>45546</v>
      </c>
      <c r="B2405" s="116">
        <v>2540.0500000000002</v>
      </c>
      <c r="C2405" s="116">
        <v>2481.8000000000002</v>
      </c>
      <c r="D2405" s="116">
        <v>2477.3000000000002</v>
      </c>
      <c r="E2405" s="116">
        <v>2539.5</v>
      </c>
      <c r="F2405" s="116">
        <v>2481.8000000000002</v>
      </c>
      <c r="G2405">
        <v>9413</v>
      </c>
      <c r="H2405" s="116"/>
      <c r="I2405" s="116"/>
      <c r="L2405" s="163">
        <v>45546</v>
      </c>
      <c r="M2405" s="116">
        <v>2482.4</v>
      </c>
      <c r="N2405" s="116">
        <v>2549</v>
      </c>
      <c r="O2405" s="116">
        <v>2476.85</v>
      </c>
      <c r="P2405" s="116">
        <v>2549</v>
      </c>
      <c r="Q2405" s="116">
        <v>2482.4</v>
      </c>
      <c r="R2405">
        <v>426132</v>
      </c>
    </row>
    <row r="2406" spans="1:18" x14ac:dyDescent="0.25">
      <c r="A2406" s="163">
        <v>45547</v>
      </c>
      <c r="B2406" s="116">
        <v>2495.6</v>
      </c>
      <c r="C2406" s="116">
        <v>2486.3000000000002</v>
      </c>
      <c r="D2406" s="116">
        <v>2470.5500000000002</v>
      </c>
      <c r="E2406" s="116">
        <v>2495</v>
      </c>
      <c r="F2406" s="116">
        <v>2486.3000000000002</v>
      </c>
      <c r="G2406">
        <v>2798</v>
      </c>
      <c r="H2406" s="116"/>
      <c r="I2406" s="116"/>
      <c r="L2406" s="163">
        <v>45547</v>
      </c>
      <c r="M2406" s="116">
        <v>2488.1999999999998</v>
      </c>
      <c r="N2406" s="116">
        <v>2499</v>
      </c>
      <c r="O2406" s="116">
        <v>2470.6</v>
      </c>
      <c r="P2406" s="116">
        <v>2499</v>
      </c>
      <c r="Q2406" s="116">
        <v>2488.1999999999998</v>
      </c>
      <c r="R2406">
        <v>231262</v>
      </c>
    </row>
    <row r="2407" spans="1:18" x14ac:dyDescent="0.25">
      <c r="A2407" s="163">
        <v>45548</v>
      </c>
      <c r="B2407" s="116">
        <v>2506.5500000000002</v>
      </c>
      <c r="C2407" s="116">
        <v>2467.0500000000002</v>
      </c>
      <c r="D2407" s="116">
        <v>2462</v>
      </c>
      <c r="E2407" s="116">
        <v>2496.6</v>
      </c>
      <c r="F2407" s="116">
        <v>2467.0500000000002</v>
      </c>
      <c r="G2407">
        <v>3200</v>
      </c>
      <c r="H2407" s="116"/>
      <c r="I2407" s="116"/>
      <c r="L2407" s="163">
        <v>45548</v>
      </c>
      <c r="M2407" s="116">
        <v>2466.4</v>
      </c>
      <c r="N2407" s="116">
        <v>2506.4499999999998</v>
      </c>
      <c r="O2407" s="116">
        <v>2460.8000000000002</v>
      </c>
      <c r="P2407" s="116">
        <v>2504</v>
      </c>
      <c r="Q2407" s="116">
        <v>2466.4</v>
      </c>
      <c r="R2407">
        <v>279878</v>
      </c>
    </row>
    <row r="2408" spans="1:18" x14ac:dyDescent="0.25">
      <c r="A2408" s="163">
        <v>45551</v>
      </c>
      <c r="B2408" s="116">
        <v>2476</v>
      </c>
      <c r="C2408" s="116">
        <v>2436.75</v>
      </c>
      <c r="D2408" s="116">
        <v>2433.15</v>
      </c>
      <c r="E2408" s="116">
        <v>2472.0500000000002</v>
      </c>
      <c r="F2408" s="116">
        <v>2436.75</v>
      </c>
      <c r="G2408">
        <v>11992</v>
      </c>
      <c r="H2408" s="116"/>
      <c r="I2408" s="116"/>
      <c r="L2408" s="163">
        <v>45551</v>
      </c>
      <c r="M2408" s="116">
        <v>2436.9</v>
      </c>
      <c r="N2408" s="116">
        <v>2475.9499999999998</v>
      </c>
      <c r="O2408" s="116">
        <v>2433.1999999999998</v>
      </c>
      <c r="P2408" s="116">
        <v>2459.8000000000002</v>
      </c>
      <c r="Q2408" s="116">
        <v>2436.9</v>
      </c>
      <c r="R2408">
        <v>401767</v>
      </c>
    </row>
    <row r="2409" spans="1:18" x14ac:dyDescent="0.25">
      <c r="A2409" s="163">
        <v>45552</v>
      </c>
      <c r="B2409" s="116">
        <v>2447.5500000000002</v>
      </c>
      <c r="C2409" s="116">
        <v>2430.35</v>
      </c>
      <c r="D2409" s="116">
        <v>2401</v>
      </c>
      <c r="E2409" s="116">
        <v>2444.15</v>
      </c>
      <c r="F2409" s="116">
        <v>2430.35</v>
      </c>
      <c r="G2409">
        <v>11721</v>
      </c>
      <c r="H2409" s="116"/>
      <c r="I2409" s="116"/>
      <c r="L2409" s="163">
        <v>45552</v>
      </c>
      <c r="M2409" s="116">
        <v>2431.15</v>
      </c>
      <c r="N2409" s="116">
        <v>2460.65</v>
      </c>
      <c r="O2409" s="116">
        <v>2401.1</v>
      </c>
      <c r="P2409" s="116">
        <v>2436.9</v>
      </c>
      <c r="Q2409" s="116">
        <v>2431.15</v>
      </c>
      <c r="R2409">
        <v>927267</v>
      </c>
    </row>
    <row r="2410" spans="1:18" x14ac:dyDescent="0.25">
      <c r="A2410" s="163">
        <v>45553</v>
      </c>
      <c r="B2410" s="116">
        <v>2447.15</v>
      </c>
      <c r="C2410" s="116">
        <v>2388.65</v>
      </c>
      <c r="D2410" s="116">
        <v>2373.8000000000002</v>
      </c>
      <c r="E2410" s="116">
        <v>2430.35</v>
      </c>
      <c r="F2410" s="116">
        <v>2388.65</v>
      </c>
      <c r="G2410">
        <v>10392</v>
      </c>
      <c r="H2410" s="116"/>
      <c r="I2410" s="116"/>
      <c r="L2410" s="163">
        <v>45553</v>
      </c>
      <c r="M2410" s="116">
        <v>2388.35</v>
      </c>
      <c r="N2410" s="116">
        <v>2447.9</v>
      </c>
      <c r="O2410" s="116">
        <v>2372.6</v>
      </c>
      <c r="P2410" s="116">
        <v>2425.5</v>
      </c>
      <c r="Q2410" s="116">
        <v>2388.35</v>
      </c>
      <c r="R2410">
        <v>575364</v>
      </c>
    </row>
    <row r="2411" spans="1:18" x14ac:dyDescent="0.25">
      <c r="A2411" s="163">
        <v>45554</v>
      </c>
      <c r="B2411" s="116">
        <v>2411</v>
      </c>
      <c r="C2411" s="116">
        <v>2402.5500000000002</v>
      </c>
      <c r="D2411" s="116">
        <v>2360.9</v>
      </c>
      <c r="E2411" s="116">
        <v>2399</v>
      </c>
      <c r="F2411" s="116">
        <v>2402.5500000000002</v>
      </c>
      <c r="G2411">
        <v>45082</v>
      </c>
      <c r="H2411" s="116"/>
      <c r="I2411" s="116"/>
      <c r="L2411" s="163">
        <v>45554</v>
      </c>
      <c r="M2411" s="116">
        <v>2402</v>
      </c>
      <c r="N2411" s="116">
        <v>2411.15</v>
      </c>
      <c r="O2411" s="116">
        <v>2360.3000000000002</v>
      </c>
      <c r="P2411" s="116">
        <v>2395.1</v>
      </c>
      <c r="Q2411" s="116">
        <v>2402</v>
      </c>
      <c r="R2411">
        <v>641706</v>
      </c>
    </row>
    <row r="2412" spans="1:18" x14ac:dyDescent="0.25">
      <c r="A2412" s="163">
        <v>45555</v>
      </c>
      <c r="B2412" s="116">
        <v>2440.15</v>
      </c>
      <c r="C2412" s="116">
        <v>2420.0500000000002</v>
      </c>
      <c r="D2412" s="116">
        <v>2403.6</v>
      </c>
      <c r="E2412" s="116">
        <v>2415</v>
      </c>
      <c r="F2412" s="116">
        <v>2420.0500000000002</v>
      </c>
      <c r="G2412">
        <v>13063</v>
      </c>
      <c r="H2412" s="116"/>
      <c r="I2412" s="116"/>
      <c r="L2412" s="163">
        <v>45555</v>
      </c>
      <c r="M2412" s="116">
        <v>2419.6999999999998</v>
      </c>
      <c r="N2412" s="116">
        <v>2440.8000000000002</v>
      </c>
      <c r="O2412" s="116">
        <v>2403</v>
      </c>
      <c r="P2412" s="116">
        <v>2410</v>
      </c>
      <c r="Q2412" s="116">
        <v>2419.6999999999998</v>
      </c>
      <c r="R2412">
        <v>733741</v>
      </c>
    </row>
    <row r="2413" spans="1:18" x14ac:dyDescent="0.25">
      <c r="A2413" s="163">
        <v>45558</v>
      </c>
      <c r="B2413" s="116">
        <v>2455.75</v>
      </c>
      <c r="C2413" s="116">
        <v>2439.75</v>
      </c>
      <c r="D2413" s="116">
        <v>2412.0500000000002</v>
      </c>
      <c r="E2413" s="116">
        <v>2421.25</v>
      </c>
      <c r="F2413" s="116">
        <v>2439.75</v>
      </c>
      <c r="G2413">
        <v>32719</v>
      </c>
      <c r="H2413" s="116"/>
      <c r="I2413" s="116"/>
      <c r="L2413" s="163">
        <v>45558</v>
      </c>
      <c r="M2413" s="116">
        <v>2439.9499999999998</v>
      </c>
      <c r="N2413" s="116">
        <v>2452.6999999999998</v>
      </c>
      <c r="O2413" s="116">
        <v>2411.1999999999998</v>
      </c>
      <c r="P2413" s="116">
        <v>2435</v>
      </c>
      <c r="Q2413" s="116">
        <v>2439.9499999999998</v>
      </c>
      <c r="R2413">
        <v>943175</v>
      </c>
    </row>
    <row r="2414" spans="1:18" x14ac:dyDescent="0.25">
      <c r="A2414" s="163">
        <v>45559</v>
      </c>
      <c r="B2414" s="116">
        <v>2458</v>
      </c>
      <c r="C2414" s="116">
        <v>2432.9499999999998</v>
      </c>
      <c r="D2414" s="116">
        <v>2428.4499999999998</v>
      </c>
      <c r="E2414" s="116">
        <v>2440</v>
      </c>
      <c r="F2414" s="116">
        <v>2432.9499999999998</v>
      </c>
      <c r="G2414">
        <v>8068</v>
      </c>
      <c r="H2414" s="116"/>
      <c r="I2414" s="116"/>
      <c r="L2414" s="163">
        <v>45559</v>
      </c>
      <c r="M2414" s="116">
        <v>2432.5</v>
      </c>
      <c r="N2414" s="116">
        <v>2458.85</v>
      </c>
      <c r="O2414" s="116">
        <v>2426.5</v>
      </c>
      <c r="P2414" s="116">
        <v>2441</v>
      </c>
      <c r="Q2414" s="116">
        <v>2432.5</v>
      </c>
      <c r="R2414">
        <v>490479</v>
      </c>
    </row>
    <row r="2415" spans="1:18" x14ac:dyDescent="0.25">
      <c r="A2415" s="163">
        <v>45560</v>
      </c>
      <c r="B2415" s="116">
        <v>2462.0500000000002</v>
      </c>
      <c r="C2415" s="116">
        <v>2451.6</v>
      </c>
      <c r="D2415" s="116">
        <v>2415</v>
      </c>
      <c r="E2415" s="116">
        <v>2439.8000000000002</v>
      </c>
      <c r="F2415" s="116">
        <v>2451.6</v>
      </c>
      <c r="G2415">
        <v>109435</v>
      </c>
      <c r="H2415" s="116"/>
      <c r="I2415" s="116"/>
      <c r="L2415" s="163">
        <v>45560</v>
      </c>
      <c r="M2415" s="116">
        <v>2451.75</v>
      </c>
      <c r="N2415" s="116">
        <v>2462.4</v>
      </c>
      <c r="O2415" s="116">
        <v>2414.25</v>
      </c>
      <c r="P2415" s="116">
        <v>2432.5</v>
      </c>
      <c r="Q2415" s="116">
        <v>2451.75</v>
      </c>
      <c r="R2415">
        <v>1055909</v>
      </c>
    </row>
    <row r="2416" spans="1:18" x14ac:dyDescent="0.25">
      <c r="A2416" s="163">
        <v>45561</v>
      </c>
      <c r="B2416" s="116">
        <v>2476.65</v>
      </c>
      <c r="C2416" s="116">
        <v>2456.85</v>
      </c>
      <c r="D2416" s="116">
        <v>2435</v>
      </c>
      <c r="E2416" s="116">
        <v>2460</v>
      </c>
      <c r="F2416" s="116">
        <v>2456.85</v>
      </c>
      <c r="G2416">
        <v>323775</v>
      </c>
      <c r="H2416" s="116"/>
      <c r="I2416" s="116"/>
      <c r="L2416" s="163">
        <v>45561</v>
      </c>
      <c r="M2416" s="116">
        <v>2458.25</v>
      </c>
      <c r="N2416" s="116">
        <v>2477.15</v>
      </c>
      <c r="O2416" s="116">
        <v>2434.4</v>
      </c>
      <c r="P2416" s="116">
        <v>2454.4499999999998</v>
      </c>
      <c r="Q2416" s="116">
        <v>2458.25</v>
      </c>
      <c r="R2416">
        <v>994116</v>
      </c>
    </row>
    <row r="2417" spans="1:18" x14ac:dyDescent="0.25">
      <c r="A2417" s="163">
        <v>45562</v>
      </c>
      <c r="B2417" s="116">
        <v>2499</v>
      </c>
      <c r="C2417" s="116">
        <v>2462.25</v>
      </c>
      <c r="D2417" s="116">
        <v>2451.75</v>
      </c>
      <c r="E2417" s="116">
        <v>2466.4</v>
      </c>
      <c r="F2417" s="116">
        <v>2462.25</v>
      </c>
      <c r="G2417">
        <v>6833</v>
      </c>
      <c r="H2417" s="116"/>
      <c r="I2417" s="116"/>
      <c r="L2417" s="163">
        <v>45562</v>
      </c>
      <c r="M2417" s="116">
        <v>2461.5500000000002</v>
      </c>
      <c r="N2417" s="116">
        <v>2498.85</v>
      </c>
      <c r="O2417" s="116">
        <v>2450.15</v>
      </c>
      <c r="P2417" s="116">
        <v>2459</v>
      </c>
      <c r="Q2417" s="116">
        <v>2461.5500000000002</v>
      </c>
      <c r="R2417">
        <v>3003981</v>
      </c>
    </row>
    <row r="2418" spans="1:18" x14ac:dyDescent="0.25">
      <c r="A2418" s="163">
        <v>45565</v>
      </c>
      <c r="B2418" s="116">
        <v>2518.3000000000002</v>
      </c>
      <c r="C2418" s="116">
        <v>2497.3000000000002</v>
      </c>
      <c r="D2418" s="116">
        <v>2469.8000000000002</v>
      </c>
      <c r="E2418" s="116">
        <v>2469.8000000000002</v>
      </c>
      <c r="F2418" s="116">
        <v>2497.3000000000002</v>
      </c>
      <c r="G2418">
        <v>14897</v>
      </c>
      <c r="H2418" s="116"/>
      <c r="I2418" s="116"/>
      <c r="L2418" s="163">
        <v>45565</v>
      </c>
      <c r="M2418" s="116">
        <v>2497.85</v>
      </c>
      <c r="N2418" s="116">
        <v>2519.9499999999998</v>
      </c>
      <c r="O2418" s="116">
        <v>2470.1</v>
      </c>
      <c r="P2418" s="116">
        <v>2474.9499999999998</v>
      </c>
      <c r="Q2418" s="116">
        <v>2497.85</v>
      </c>
      <c r="R2418">
        <v>520872</v>
      </c>
    </row>
    <row r="2419" spans="1:18" x14ac:dyDescent="0.25">
      <c r="A2419" s="163">
        <v>45566</v>
      </c>
      <c r="B2419" s="116">
        <v>2497.35</v>
      </c>
      <c r="C2419" s="116">
        <v>2482.65</v>
      </c>
      <c r="D2419" s="116">
        <v>2428</v>
      </c>
      <c r="E2419" s="116">
        <v>2497.35</v>
      </c>
      <c r="F2419" s="116">
        <v>2482.65</v>
      </c>
      <c r="G2419">
        <v>9348</v>
      </c>
      <c r="H2419" s="116"/>
      <c r="I2419" s="116"/>
      <c r="L2419" s="163">
        <v>45566</v>
      </c>
      <c r="M2419" s="116">
        <v>2481.35</v>
      </c>
      <c r="N2419" s="116">
        <v>2494</v>
      </c>
      <c r="O2419" s="116">
        <v>2428.5</v>
      </c>
      <c r="P2419" s="116">
        <v>2494</v>
      </c>
      <c r="Q2419" s="116">
        <v>2481.35</v>
      </c>
      <c r="R2419">
        <v>724115</v>
      </c>
    </row>
    <row r="2420" spans="1:18" x14ac:dyDescent="0.25">
      <c r="A2420" s="163">
        <v>45568</v>
      </c>
      <c r="B2420" s="116">
        <v>2498.9</v>
      </c>
      <c r="C2420" s="116">
        <v>2420.3000000000002</v>
      </c>
      <c r="D2420" s="116">
        <v>2413</v>
      </c>
      <c r="E2420" s="116">
        <v>2433</v>
      </c>
      <c r="F2420" s="116">
        <v>2420.3000000000002</v>
      </c>
      <c r="G2420">
        <v>13458</v>
      </c>
      <c r="H2420" s="116"/>
      <c r="I2420" s="116"/>
      <c r="L2420" s="163">
        <v>45568</v>
      </c>
      <c r="M2420" s="116">
        <v>2421</v>
      </c>
      <c r="N2420" s="116">
        <v>2499.5</v>
      </c>
      <c r="O2420" s="116">
        <v>2412.5</v>
      </c>
      <c r="P2420" s="116">
        <v>2450</v>
      </c>
      <c r="Q2420" s="116">
        <v>2421</v>
      </c>
      <c r="R2420">
        <v>358947</v>
      </c>
    </row>
    <row r="2421" spans="1:18" x14ac:dyDescent="0.25">
      <c r="A2421" s="163">
        <v>45569</v>
      </c>
      <c r="B2421" s="116">
        <v>2431.6999999999998</v>
      </c>
      <c r="C2421" s="116">
        <v>2350.25</v>
      </c>
      <c r="D2421" s="116">
        <v>2344</v>
      </c>
      <c r="E2421" s="116">
        <v>2416</v>
      </c>
      <c r="F2421" s="116">
        <v>2350.25</v>
      </c>
      <c r="G2421">
        <v>7233</v>
      </c>
      <c r="H2421" s="116"/>
      <c r="I2421" s="116"/>
      <c r="L2421" s="163">
        <v>45569</v>
      </c>
      <c r="M2421" s="116">
        <v>2350.35</v>
      </c>
      <c r="N2421" s="116">
        <v>2434</v>
      </c>
      <c r="O2421" s="116">
        <v>2345</v>
      </c>
      <c r="P2421" s="116">
        <v>2421.9</v>
      </c>
      <c r="Q2421" s="116">
        <v>2350.35</v>
      </c>
      <c r="R2421">
        <v>450520</v>
      </c>
    </row>
    <row r="2422" spans="1:18" x14ac:dyDescent="0.25">
      <c r="A2422" s="163">
        <v>45572</v>
      </c>
      <c r="B2422" s="116">
        <v>2365.65</v>
      </c>
      <c r="C2422" s="116">
        <v>2307.4499999999998</v>
      </c>
      <c r="D2422" s="116">
        <v>2292.4499999999998</v>
      </c>
      <c r="E2422" s="116">
        <v>2360</v>
      </c>
      <c r="F2422" s="116">
        <v>2307.4499999999998</v>
      </c>
      <c r="G2422">
        <v>9752</v>
      </c>
      <c r="H2422" s="116"/>
      <c r="I2422" s="116"/>
      <c r="L2422" s="163">
        <v>45572</v>
      </c>
      <c r="M2422" s="116">
        <v>2307.8000000000002</v>
      </c>
      <c r="N2422" s="116">
        <v>2366.9499999999998</v>
      </c>
      <c r="O2422" s="116">
        <v>2292.3000000000002</v>
      </c>
      <c r="P2422" s="116">
        <v>2350.35</v>
      </c>
      <c r="Q2422" s="116">
        <v>2307.8000000000002</v>
      </c>
      <c r="R2422">
        <v>327402</v>
      </c>
    </row>
    <row r="2423" spans="1:18" x14ac:dyDescent="0.25">
      <c r="A2423" s="163">
        <v>45573</v>
      </c>
      <c r="B2423" s="116">
        <v>2345.65</v>
      </c>
      <c r="C2423" s="116">
        <v>2331.8000000000002</v>
      </c>
      <c r="D2423" s="116">
        <v>2290</v>
      </c>
      <c r="E2423" s="116">
        <v>2290</v>
      </c>
      <c r="F2423" s="116">
        <v>2331.8000000000002</v>
      </c>
      <c r="G2423">
        <v>4121</v>
      </c>
      <c r="H2423" s="116"/>
      <c r="I2423" s="116"/>
      <c r="L2423" s="163">
        <v>45573</v>
      </c>
      <c r="M2423" s="116">
        <v>2328.4</v>
      </c>
      <c r="N2423" s="116">
        <v>2345</v>
      </c>
      <c r="O2423" s="116">
        <v>2298.8000000000002</v>
      </c>
      <c r="P2423" s="116">
        <v>2300</v>
      </c>
      <c r="Q2423" s="116">
        <v>2328.4</v>
      </c>
      <c r="R2423">
        <v>314627</v>
      </c>
    </row>
    <row r="2424" spans="1:18" x14ac:dyDescent="0.25">
      <c r="A2424" s="163">
        <v>45574</v>
      </c>
      <c r="B2424" s="116">
        <v>2357.65</v>
      </c>
      <c r="C2424" s="116">
        <v>2333.9499999999998</v>
      </c>
      <c r="D2424" s="116">
        <v>2322.5500000000002</v>
      </c>
      <c r="E2424" s="116">
        <v>2345</v>
      </c>
      <c r="F2424" s="116">
        <v>2333.9499999999998</v>
      </c>
      <c r="G2424">
        <v>18183</v>
      </c>
      <c r="H2424" s="116"/>
      <c r="I2424" s="116"/>
      <c r="L2424" s="163">
        <v>45574</v>
      </c>
      <c r="M2424" s="116">
        <v>2334.6</v>
      </c>
      <c r="N2424" s="116">
        <v>2357.0500000000002</v>
      </c>
      <c r="O2424" s="116">
        <v>2321.6</v>
      </c>
      <c r="P2424" s="116">
        <v>2339</v>
      </c>
      <c r="Q2424" s="116">
        <v>2334.6</v>
      </c>
      <c r="R2424">
        <v>375497</v>
      </c>
    </row>
    <row r="2425" spans="1:18" x14ac:dyDescent="0.25">
      <c r="A2425" s="163">
        <v>45575</v>
      </c>
      <c r="B2425" s="116">
        <v>2364.4499999999998</v>
      </c>
      <c r="C2425" s="116">
        <v>2343.5</v>
      </c>
      <c r="D2425" s="116">
        <v>2330</v>
      </c>
      <c r="E2425" s="116">
        <v>2339.0500000000002</v>
      </c>
      <c r="F2425" s="116">
        <v>2343.5</v>
      </c>
      <c r="G2425">
        <v>15959</v>
      </c>
      <c r="H2425" s="116"/>
      <c r="I2425" s="116"/>
      <c r="L2425" s="163">
        <v>45575</v>
      </c>
      <c r="M2425" s="116">
        <v>2342.3000000000002</v>
      </c>
      <c r="N2425" s="116">
        <v>2364.9499999999998</v>
      </c>
      <c r="O2425" s="116">
        <v>2329</v>
      </c>
      <c r="P2425" s="116">
        <v>2345</v>
      </c>
      <c r="Q2425" s="116">
        <v>2342.3000000000002</v>
      </c>
      <c r="R2425">
        <v>303852</v>
      </c>
    </row>
    <row r="2426" spans="1:18" x14ac:dyDescent="0.25">
      <c r="A2426" s="163">
        <v>45576</v>
      </c>
      <c r="B2426" s="116">
        <v>2365</v>
      </c>
      <c r="C2426" s="116">
        <v>2347.6999999999998</v>
      </c>
      <c r="D2426" s="116">
        <v>2327.5500000000002</v>
      </c>
      <c r="E2426" s="116">
        <v>2350</v>
      </c>
      <c r="F2426" s="116">
        <v>2347.6999999999998</v>
      </c>
      <c r="G2426">
        <v>6097</v>
      </c>
      <c r="H2426" s="116"/>
      <c r="I2426" s="116"/>
      <c r="L2426" s="163">
        <v>45576</v>
      </c>
      <c r="M2426" s="116">
        <v>2348.75</v>
      </c>
      <c r="N2426" s="116">
        <v>2365.65</v>
      </c>
      <c r="O2426" s="116">
        <v>2327.75</v>
      </c>
      <c r="P2426" s="116">
        <v>2349</v>
      </c>
      <c r="Q2426" s="116">
        <v>2348.75</v>
      </c>
      <c r="R2426">
        <v>216675</v>
      </c>
    </row>
    <row r="2427" spans="1:18" x14ac:dyDescent="0.25">
      <c r="A2427" s="163">
        <v>45579</v>
      </c>
      <c r="B2427" s="116">
        <v>2362.35</v>
      </c>
      <c r="C2427" s="116">
        <v>2341.35</v>
      </c>
      <c r="D2427" s="116">
        <v>2321</v>
      </c>
      <c r="E2427" s="116">
        <v>2352.0500000000002</v>
      </c>
      <c r="F2427" s="116">
        <v>2341.35</v>
      </c>
      <c r="G2427">
        <v>5905</v>
      </c>
      <c r="H2427" s="116"/>
      <c r="I2427" s="116"/>
      <c r="L2427" s="163">
        <v>45579</v>
      </c>
      <c r="M2427" s="116">
        <v>2342.85</v>
      </c>
      <c r="N2427" s="116">
        <v>2363.6</v>
      </c>
      <c r="O2427" s="116">
        <v>2319</v>
      </c>
      <c r="P2427" s="116">
        <v>2359</v>
      </c>
      <c r="Q2427" s="116">
        <v>2342.85</v>
      </c>
      <c r="R2427">
        <v>317281</v>
      </c>
    </row>
    <row r="2428" spans="1:18" x14ac:dyDescent="0.25">
      <c r="A2428" s="163">
        <v>45580</v>
      </c>
      <c r="B2428" s="116">
        <v>2355.1</v>
      </c>
      <c r="C2428" s="116">
        <v>2350.5</v>
      </c>
      <c r="D2428" s="116">
        <v>2336.5500000000002</v>
      </c>
      <c r="E2428" s="116">
        <v>2343.5</v>
      </c>
      <c r="F2428" s="116">
        <v>2350.5</v>
      </c>
      <c r="G2428">
        <v>2591</v>
      </c>
      <c r="H2428" s="116"/>
      <c r="I2428" s="116"/>
      <c r="L2428" s="163">
        <v>45580</v>
      </c>
      <c r="M2428" s="116">
        <v>2351.4</v>
      </c>
      <c r="N2428" s="116">
        <v>2355</v>
      </c>
      <c r="O2428" s="116">
        <v>2334.8000000000002</v>
      </c>
      <c r="P2428" s="116">
        <v>2348</v>
      </c>
      <c r="Q2428" s="116">
        <v>2351.4</v>
      </c>
      <c r="R2428">
        <v>288552</v>
      </c>
    </row>
    <row r="2429" spans="1:18" x14ac:dyDescent="0.25">
      <c r="A2429" s="163">
        <v>45581</v>
      </c>
      <c r="B2429" s="116">
        <v>2356.4</v>
      </c>
      <c r="C2429" s="116">
        <v>2303.3000000000002</v>
      </c>
      <c r="D2429" s="116">
        <v>2287.8000000000002</v>
      </c>
      <c r="E2429" s="116">
        <v>2350</v>
      </c>
      <c r="F2429" s="116">
        <v>2303.3000000000002</v>
      </c>
      <c r="G2429">
        <v>5727</v>
      </c>
      <c r="H2429" s="116"/>
      <c r="I2429" s="116"/>
      <c r="L2429" s="163">
        <v>45581</v>
      </c>
      <c r="M2429" s="116">
        <v>2306.1</v>
      </c>
      <c r="N2429" s="116">
        <v>2358.1999999999998</v>
      </c>
      <c r="O2429" s="116">
        <v>2287.15</v>
      </c>
      <c r="P2429" s="116">
        <v>2342.0500000000002</v>
      </c>
      <c r="Q2429" s="116">
        <v>2306.1</v>
      </c>
      <c r="R2429">
        <v>1139467</v>
      </c>
    </row>
    <row r="2430" spans="1:18" x14ac:dyDescent="0.25">
      <c r="A2430" s="163">
        <v>45582</v>
      </c>
      <c r="B2430" s="116">
        <v>2290</v>
      </c>
      <c r="C2430" s="116">
        <v>2262.8000000000002</v>
      </c>
      <c r="D2430" s="116">
        <v>2210.5</v>
      </c>
      <c r="E2430" s="116">
        <v>2230</v>
      </c>
      <c r="F2430" s="116">
        <v>2262.8000000000002</v>
      </c>
      <c r="G2430">
        <v>23797</v>
      </c>
      <c r="H2430" s="116"/>
      <c r="I2430" s="116"/>
      <c r="L2430" s="163">
        <v>45582</v>
      </c>
      <c r="M2430" s="116">
        <v>2262.9499999999998</v>
      </c>
      <c r="N2430" s="116">
        <v>2292</v>
      </c>
      <c r="O2430" s="116">
        <v>2206.3000000000002</v>
      </c>
      <c r="P2430" s="116">
        <v>2206.3000000000002</v>
      </c>
      <c r="Q2430" s="116">
        <v>2262.9499999999998</v>
      </c>
      <c r="R2430">
        <v>1243914</v>
      </c>
    </row>
    <row r="2431" spans="1:18" x14ac:dyDescent="0.25">
      <c r="A2431" s="163">
        <v>45583</v>
      </c>
      <c r="B2431" s="116">
        <v>2331.8000000000002</v>
      </c>
      <c r="C2431" s="116">
        <v>2325.5</v>
      </c>
      <c r="D2431" s="116">
        <v>2261.65</v>
      </c>
      <c r="E2431" s="116">
        <v>2265</v>
      </c>
      <c r="F2431" s="116">
        <v>2325.5</v>
      </c>
      <c r="G2431">
        <v>5187</v>
      </c>
      <c r="H2431" s="116"/>
      <c r="I2431" s="116"/>
      <c r="L2431" s="163">
        <v>45583</v>
      </c>
      <c r="M2431" s="116">
        <v>2325.6999999999998</v>
      </c>
      <c r="N2431" s="116">
        <v>2333.35</v>
      </c>
      <c r="O2431" s="116">
        <v>2259.9499999999998</v>
      </c>
      <c r="P2431" s="116">
        <v>2262.9499999999998</v>
      </c>
      <c r="Q2431" s="116">
        <v>2325.6999999999998</v>
      </c>
      <c r="R2431">
        <v>601744</v>
      </c>
    </row>
    <row r="2432" spans="1:18" x14ac:dyDescent="0.25">
      <c r="A2432" s="163">
        <v>45586</v>
      </c>
      <c r="B2432" s="116">
        <v>2335</v>
      </c>
      <c r="C2432" s="116">
        <v>2277.6</v>
      </c>
      <c r="D2432" s="116">
        <v>2257.6</v>
      </c>
      <c r="E2432" s="116">
        <v>2335</v>
      </c>
      <c r="F2432" s="116">
        <v>2277.6</v>
      </c>
      <c r="G2432">
        <v>6493</v>
      </c>
      <c r="H2432" s="116"/>
      <c r="I2432" s="116"/>
      <c r="L2432" s="163">
        <v>45586</v>
      </c>
      <c r="M2432" s="116">
        <v>2277.9499999999998</v>
      </c>
      <c r="N2432" s="116">
        <v>2336</v>
      </c>
      <c r="O2432" s="116">
        <v>2256.75</v>
      </c>
      <c r="P2432" s="116">
        <v>2331.9499999999998</v>
      </c>
      <c r="Q2432" s="116">
        <v>2277.9499999999998</v>
      </c>
      <c r="R2432">
        <v>1464849</v>
      </c>
    </row>
    <row r="2433" spans="1:18" x14ac:dyDescent="0.25">
      <c r="A2433" s="163">
        <v>45587</v>
      </c>
      <c r="B2433" s="116">
        <v>2299.9499999999998</v>
      </c>
      <c r="C2433" s="116">
        <v>2176.4499999999998</v>
      </c>
      <c r="D2433" s="116">
        <v>2146.25</v>
      </c>
      <c r="E2433" s="116">
        <v>2299.9499999999998</v>
      </c>
      <c r="F2433" s="116">
        <v>2176.4499999999998</v>
      </c>
      <c r="G2433">
        <v>15377</v>
      </c>
      <c r="H2433" s="116"/>
      <c r="I2433" s="116"/>
      <c r="L2433" s="163">
        <v>45587</v>
      </c>
      <c r="M2433" s="116">
        <v>2178.1</v>
      </c>
      <c r="N2433" s="116">
        <v>2288</v>
      </c>
      <c r="O2433" s="116">
        <v>2146.5</v>
      </c>
      <c r="P2433" s="116">
        <v>2258.8000000000002</v>
      </c>
      <c r="Q2433" s="116">
        <v>2178.1</v>
      </c>
      <c r="R2433">
        <v>837878</v>
      </c>
    </row>
    <row r="2434" spans="1:18" x14ac:dyDescent="0.25">
      <c r="A2434" s="163">
        <v>45588</v>
      </c>
      <c r="B2434" s="116">
        <v>2330</v>
      </c>
      <c r="C2434" s="116">
        <v>2246.6</v>
      </c>
      <c r="D2434" s="116">
        <v>2150.0500000000002</v>
      </c>
      <c r="E2434" s="116">
        <v>2150.0500000000002</v>
      </c>
      <c r="F2434" s="116">
        <v>2246.6</v>
      </c>
      <c r="G2434">
        <v>31927</v>
      </c>
      <c r="H2434" s="116"/>
      <c r="I2434" s="116"/>
      <c r="L2434" s="163">
        <v>45588</v>
      </c>
      <c r="M2434" s="116">
        <v>2248.1999999999998</v>
      </c>
      <c r="N2434" s="116">
        <v>2329.9</v>
      </c>
      <c r="O2434" s="116">
        <v>2167.3000000000002</v>
      </c>
      <c r="P2434" s="116">
        <v>2167.3000000000002</v>
      </c>
      <c r="Q2434" s="116">
        <v>2248.1999999999998</v>
      </c>
      <c r="R2434">
        <v>1698381</v>
      </c>
    </row>
    <row r="2435" spans="1:18" x14ac:dyDescent="0.25">
      <c r="A2435" s="163">
        <v>45589</v>
      </c>
      <c r="B2435" s="116">
        <v>2267</v>
      </c>
      <c r="C2435" s="116">
        <v>2256</v>
      </c>
      <c r="D2435" s="116">
        <v>2160</v>
      </c>
      <c r="E2435" s="116">
        <v>2216.6</v>
      </c>
      <c r="F2435" s="116">
        <v>2256</v>
      </c>
      <c r="G2435">
        <v>11295</v>
      </c>
      <c r="H2435" s="116"/>
      <c r="I2435" s="116"/>
      <c r="L2435" s="163">
        <v>45589</v>
      </c>
      <c r="M2435" s="116">
        <v>2257.3000000000002</v>
      </c>
      <c r="N2435" s="116">
        <v>2268.75</v>
      </c>
      <c r="O2435" s="116">
        <v>2158.4499999999998</v>
      </c>
      <c r="P2435" s="116">
        <v>2210</v>
      </c>
      <c r="Q2435" s="116">
        <v>2257.3000000000002</v>
      </c>
      <c r="R2435">
        <v>1241116</v>
      </c>
    </row>
    <row r="2436" spans="1:18" x14ac:dyDescent="0.25">
      <c r="A2436" s="163">
        <v>45590</v>
      </c>
      <c r="B2436" s="116">
        <v>2255.6</v>
      </c>
      <c r="C2436" s="116">
        <v>2206.85</v>
      </c>
      <c r="D2436" s="116">
        <v>2190.1</v>
      </c>
      <c r="E2436" s="116">
        <v>2250</v>
      </c>
      <c r="F2436" s="116">
        <v>2206.85</v>
      </c>
      <c r="G2436">
        <v>5698</v>
      </c>
      <c r="H2436" s="116"/>
      <c r="I2436" s="116"/>
      <c r="L2436" s="163">
        <v>45590</v>
      </c>
      <c r="M2436" s="116">
        <v>2206.9</v>
      </c>
      <c r="N2436" s="116">
        <v>2257.5500000000002</v>
      </c>
      <c r="O2436" s="116">
        <v>2190</v>
      </c>
      <c r="P2436" s="116">
        <v>2246.4</v>
      </c>
      <c r="Q2436" s="116">
        <v>2206.9</v>
      </c>
      <c r="R2436">
        <v>720087</v>
      </c>
    </row>
    <row r="2437" spans="1:18" x14ac:dyDescent="0.25">
      <c r="A2437" s="163">
        <v>45593</v>
      </c>
      <c r="B2437" s="116">
        <v>2270</v>
      </c>
      <c r="C2437" s="116">
        <v>2256.35</v>
      </c>
      <c r="D2437" s="116">
        <v>2209.25</v>
      </c>
      <c r="E2437" s="116">
        <v>2210.6999999999998</v>
      </c>
      <c r="F2437" s="116">
        <v>2256.35</v>
      </c>
      <c r="G2437">
        <v>4190</v>
      </c>
      <c r="H2437" s="116"/>
      <c r="I2437" s="116"/>
      <c r="L2437" s="163">
        <v>45593</v>
      </c>
      <c r="M2437" s="116">
        <v>2257.25</v>
      </c>
      <c r="N2437" s="116">
        <v>2269.9499999999998</v>
      </c>
      <c r="O2437" s="116">
        <v>2206.9</v>
      </c>
      <c r="P2437" s="116">
        <v>2214.9499999999998</v>
      </c>
      <c r="Q2437" s="116">
        <v>2257.25</v>
      </c>
      <c r="R2437">
        <v>405459</v>
      </c>
    </row>
    <row r="2438" spans="1:18" x14ac:dyDescent="0.25">
      <c r="A2438" s="163">
        <v>45594</v>
      </c>
      <c r="B2438" s="116">
        <v>2273.6999999999998</v>
      </c>
      <c r="C2438" s="116">
        <v>2258.75</v>
      </c>
      <c r="D2438" s="116">
        <v>2226.9499999999998</v>
      </c>
      <c r="E2438" s="116">
        <v>2245.25</v>
      </c>
      <c r="F2438" s="116">
        <v>2258.75</v>
      </c>
      <c r="G2438">
        <v>4630</v>
      </c>
      <c r="H2438" s="116"/>
      <c r="I2438" s="116"/>
      <c r="L2438" s="163">
        <v>45594</v>
      </c>
      <c r="M2438" s="116">
        <v>2260.4499999999998</v>
      </c>
      <c r="N2438" s="116">
        <v>2275</v>
      </c>
      <c r="O2438" s="116">
        <v>2226.0500000000002</v>
      </c>
      <c r="P2438" s="116">
        <v>2251</v>
      </c>
      <c r="Q2438" s="116">
        <v>2260.4499999999998</v>
      </c>
      <c r="R2438">
        <v>227838</v>
      </c>
    </row>
    <row r="2439" spans="1:18" x14ac:dyDescent="0.25">
      <c r="A2439" s="163">
        <v>45595</v>
      </c>
      <c r="B2439" s="116">
        <v>2281.6</v>
      </c>
      <c r="C2439" s="116">
        <v>2260.65</v>
      </c>
      <c r="D2439" s="116">
        <v>2247.75</v>
      </c>
      <c r="E2439" s="116">
        <v>2258.6999999999998</v>
      </c>
      <c r="F2439" s="116">
        <v>2260.65</v>
      </c>
      <c r="G2439">
        <v>4460</v>
      </c>
      <c r="H2439" s="116"/>
      <c r="I2439" s="116"/>
      <c r="L2439" s="163">
        <v>45595</v>
      </c>
      <c r="M2439" s="116">
        <v>2261.9499999999998</v>
      </c>
      <c r="N2439" s="116">
        <v>2282.5500000000002</v>
      </c>
      <c r="O2439" s="116">
        <v>2244.15</v>
      </c>
      <c r="P2439" s="116">
        <v>2252.35</v>
      </c>
      <c r="Q2439" s="116">
        <v>2261.9499999999998</v>
      </c>
      <c r="R2439">
        <v>480085</v>
      </c>
    </row>
    <row r="2440" spans="1:18" x14ac:dyDescent="0.25">
      <c r="A2440" s="163">
        <v>45596</v>
      </c>
      <c r="B2440" s="116">
        <v>2262</v>
      </c>
      <c r="C2440" s="116">
        <v>2243.5</v>
      </c>
      <c r="D2440" s="116">
        <v>2225.4499999999998</v>
      </c>
      <c r="E2440" s="116">
        <v>2262</v>
      </c>
      <c r="F2440" s="116">
        <v>2243.5</v>
      </c>
      <c r="G2440">
        <v>2415</v>
      </c>
      <c r="H2440" s="116"/>
      <c r="I2440" s="116"/>
      <c r="L2440" s="163">
        <v>45596</v>
      </c>
      <c r="M2440" s="116">
        <v>2243.15</v>
      </c>
      <c r="N2440" s="116">
        <v>2267.1999999999998</v>
      </c>
      <c r="O2440" s="116">
        <v>2225.0500000000002</v>
      </c>
      <c r="P2440" s="116">
        <v>2262.6</v>
      </c>
      <c r="Q2440" s="116">
        <v>2243.15</v>
      </c>
      <c r="R2440">
        <v>402886</v>
      </c>
    </row>
    <row r="2441" spans="1:18" x14ac:dyDescent="0.25">
      <c r="A2441" s="163">
        <v>45597</v>
      </c>
      <c r="B2441" s="116">
        <v>2262.9</v>
      </c>
      <c r="C2441" s="116">
        <v>2251.4</v>
      </c>
      <c r="D2441" s="116">
        <v>2238.0500000000002</v>
      </c>
      <c r="E2441" s="116">
        <v>2238.0500000000002</v>
      </c>
      <c r="F2441" s="116">
        <v>2251.4</v>
      </c>
      <c r="G2441">
        <v>4280</v>
      </c>
      <c r="H2441" s="116"/>
      <c r="I2441" s="116"/>
      <c r="L2441" s="163">
        <v>45597</v>
      </c>
      <c r="M2441" s="116">
        <v>2252.3000000000002</v>
      </c>
      <c r="N2441" s="116">
        <v>2259.9499999999998</v>
      </c>
      <c r="O2441" s="116">
        <v>2242</v>
      </c>
      <c r="P2441" s="116">
        <v>2243.15</v>
      </c>
      <c r="Q2441" s="116">
        <v>2252.3000000000002</v>
      </c>
      <c r="R2441">
        <v>19850</v>
      </c>
    </row>
    <row r="2442" spans="1:18" x14ac:dyDescent="0.25">
      <c r="A2442" s="163">
        <v>45600</v>
      </c>
      <c r="B2442" s="116">
        <v>2256.5</v>
      </c>
      <c r="C2442" s="116">
        <v>2245.9499999999998</v>
      </c>
      <c r="D2442" s="116">
        <v>2223</v>
      </c>
      <c r="E2442" s="116">
        <v>2243.25</v>
      </c>
      <c r="F2442" s="116">
        <v>2245.9499999999998</v>
      </c>
      <c r="G2442">
        <v>4045</v>
      </c>
      <c r="H2442" s="116"/>
      <c r="I2442" s="116"/>
      <c r="L2442" s="163">
        <v>45600</v>
      </c>
      <c r="M2442" s="116">
        <v>2246.6999999999998</v>
      </c>
      <c r="N2442" s="116">
        <v>2259</v>
      </c>
      <c r="O2442" s="116">
        <v>2220.25</v>
      </c>
      <c r="P2442" s="116">
        <v>2249</v>
      </c>
      <c r="Q2442" s="116">
        <v>2246.6999999999998</v>
      </c>
      <c r="R2442">
        <v>321161</v>
      </c>
    </row>
    <row r="2443" spans="1:18" x14ac:dyDescent="0.25">
      <c r="A2443" s="163">
        <v>45601</v>
      </c>
      <c r="B2443" s="116">
        <v>2303.6999999999998</v>
      </c>
      <c r="C2443" s="116">
        <v>2298.5500000000002</v>
      </c>
      <c r="D2443" s="116">
        <v>2233.35</v>
      </c>
      <c r="E2443" s="116">
        <v>2233.35</v>
      </c>
      <c r="F2443" s="116">
        <v>2298.5500000000002</v>
      </c>
      <c r="G2443">
        <v>3562</v>
      </c>
      <c r="H2443" s="116"/>
      <c r="I2443" s="116"/>
      <c r="L2443" s="163">
        <v>45601</v>
      </c>
      <c r="M2443" s="116">
        <v>2299.15</v>
      </c>
      <c r="N2443" s="116">
        <v>2305.1999999999998</v>
      </c>
      <c r="O2443" s="116">
        <v>2235.5</v>
      </c>
      <c r="P2443" s="116">
        <v>2242</v>
      </c>
      <c r="Q2443" s="116">
        <v>2299.15</v>
      </c>
      <c r="R2443">
        <v>334191</v>
      </c>
    </row>
    <row r="2444" spans="1:18" x14ac:dyDescent="0.25">
      <c r="A2444" s="163">
        <v>45602</v>
      </c>
      <c r="B2444" s="116">
        <v>2351.1</v>
      </c>
      <c r="C2444" s="116">
        <v>2344.3000000000002</v>
      </c>
      <c r="D2444" s="116">
        <v>2305.65</v>
      </c>
      <c r="E2444" s="116">
        <v>2323.0500000000002</v>
      </c>
      <c r="F2444" s="116">
        <v>2344.3000000000002</v>
      </c>
      <c r="G2444">
        <v>6490</v>
      </c>
      <c r="H2444" s="116"/>
      <c r="I2444" s="116"/>
      <c r="L2444" s="163">
        <v>45602</v>
      </c>
      <c r="M2444" s="116">
        <v>2343.0500000000002</v>
      </c>
      <c r="N2444" s="116">
        <v>2351.9499999999998</v>
      </c>
      <c r="O2444" s="116">
        <v>2301</v>
      </c>
      <c r="P2444" s="116">
        <v>2334.5</v>
      </c>
      <c r="Q2444" s="116">
        <v>2343.0500000000002</v>
      </c>
      <c r="R2444">
        <v>305081</v>
      </c>
    </row>
    <row r="2445" spans="1:18" x14ac:dyDescent="0.25">
      <c r="A2445" s="163">
        <v>45603</v>
      </c>
      <c r="B2445" s="116">
        <v>2382</v>
      </c>
      <c r="C2445" s="116">
        <v>2373.9499999999998</v>
      </c>
      <c r="D2445" s="116">
        <v>2230.0500000000002</v>
      </c>
      <c r="E2445" s="116">
        <v>2230.0500000000002</v>
      </c>
      <c r="F2445" s="116">
        <v>2373.9499999999998</v>
      </c>
      <c r="G2445">
        <v>17381</v>
      </c>
      <c r="H2445" s="116"/>
      <c r="I2445" s="116"/>
      <c r="L2445" s="163">
        <v>45603</v>
      </c>
      <c r="M2445" s="116">
        <v>2378.4499999999998</v>
      </c>
      <c r="N2445" s="116">
        <v>2383.5</v>
      </c>
      <c r="O2445" s="116">
        <v>2336.5500000000002</v>
      </c>
      <c r="P2445" s="116">
        <v>2350</v>
      </c>
      <c r="Q2445" s="116">
        <v>2378.4499999999998</v>
      </c>
      <c r="R2445">
        <v>564529</v>
      </c>
    </row>
    <row r="2446" spans="1:18" x14ac:dyDescent="0.25">
      <c r="A2446" s="163">
        <v>45604</v>
      </c>
      <c r="B2446" s="116">
        <v>2400</v>
      </c>
      <c r="C2446" s="116">
        <v>2299.3000000000002</v>
      </c>
      <c r="D2446" s="116">
        <v>2286.85</v>
      </c>
      <c r="E2446" s="116">
        <v>2400</v>
      </c>
      <c r="F2446" s="116">
        <v>2299.3000000000002</v>
      </c>
      <c r="G2446">
        <v>3860</v>
      </c>
      <c r="H2446" s="116"/>
      <c r="I2446" s="116"/>
      <c r="L2446" s="163">
        <v>45604</v>
      </c>
      <c r="M2446" s="116">
        <v>2305.9499999999998</v>
      </c>
      <c r="N2446" s="116">
        <v>2389</v>
      </c>
      <c r="O2446" s="116">
        <v>2285</v>
      </c>
      <c r="P2446" s="116">
        <v>2389</v>
      </c>
      <c r="Q2446" s="116">
        <v>2305.9499999999998</v>
      </c>
      <c r="R2446">
        <v>205396</v>
      </c>
    </row>
    <row r="2447" spans="1:18" x14ac:dyDescent="0.25">
      <c r="A2447" s="163">
        <v>45607</v>
      </c>
      <c r="B2447" s="116">
        <v>2297.1</v>
      </c>
      <c r="C2447" s="116">
        <v>2293.3000000000002</v>
      </c>
      <c r="D2447" s="116">
        <v>2258.25</v>
      </c>
      <c r="E2447" s="116">
        <v>2288</v>
      </c>
      <c r="F2447" s="116">
        <v>2293.3000000000002</v>
      </c>
      <c r="G2447">
        <v>4270</v>
      </c>
      <c r="H2447" s="116"/>
      <c r="I2447" s="116"/>
      <c r="L2447" s="163">
        <v>45607</v>
      </c>
      <c r="M2447" s="116">
        <v>2294.1999999999998</v>
      </c>
      <c r="N2447" s="116">
        <v>2301.6999999999998</v>
      </c>
      <c r="O2447" s="116">
        <v>2258.15</v>
      </c>
      <c r="P2447" s="116">
        <v>2295.25</v>
      </c>
      <c r="Q2447" s="116">
        <v>2294.1999999999998</v>
      </c>
      <c r="R2447">
        <v>253339</v>
      </c>
    </row>
    <row r="2448" spans="1:18" x14ac:dyDescent="0.25">
      <c r="A2448" s="163">
        <v>45608</v>
      </c>
      <c r="B2448" s="116">
        <v>2328</v>
      </c>
      <c r="C2448" s="116">
        <v>2250.6</v>
      </c>
      <c r="D2448" s="116">
        <v>2240</v>
      </c>
      <c r="E2448" s="116">
        <v>2328</v>
      </c>
      <c r="F2448" s="116">
        <v>2250.6</v>
      </c>
      <c r="G2448">
        <v>4402</v>
      </c>
      <c r="H2448" s="116"/>
      <c r="I2448" s="116"/>
      <c r="L2448" s="163">
        <v>45608</v>
      </c>
      <c r="M2448" s="116">
        <v>2253.0500000000002</v>
      </c>
      <c r="N2448" s="116">
        <v>2308.9499999999998</v>
      </c>
      <c r="O2448" s="116">
        <v>2238.5</v>
      </c>
      <c r="P2448" s="116">
        <v>2298.0500000000002</v>
      </c>
      <c r="Q2448" s="116">
        <v>2253.0500000000002</v>
      </c>
      <c r="R2448">
        <v>222545</v>
      </c>
    </row>
    <row r="2449" spans="1:18" x14ac:dyDescent="0.25">
      <c r="A2449" s="163">
        <v>45609</v>
      </c>
      <c r="B2449" s="116">
        <v>2244.9499999999998</v>
      </c>
      <c r="C2449" s="116">
        <v>2201</v>
      </c>
      <c r="D2449" s="116">
        <v>2188</v>
      </c>
      <c r="E2449" s="116">
        <v>2238.75</v>
      </c>
      <c r="F2449" s="116">
        <v>2201</v>
      </c>
      <c r="G2449">
        <v>17896</v>
      </c>
      <c r="H2449" s="116"/>
      <c r="I2449" s="116"/>
      <c r="L2449" s="163">
        <v>45609</v>
      </c>
      <c r="M2449" s="116">
        <v>2197.9</v>
      </c>
      <c r="N2449" s="116">
        <v>2247</v>
      </c>
      <c r="O2449" s="116">
        <v>2187.75</v>
      </c>
      <c r="P2449" s="116">
        <v>2230</v>
      </c>
      <c r="Q2449" s="116">
        <v>2197.9</v>
      </c>
      <c r="R2449">
        <v>417811</v>
      </c>
    </row>
    <row r="2450" spans="1:18" x14ac:dyDescent="0.25">
      <c r="A2450" s="163">
        <v>45610</v>
      </c>
      <c r="B2450" s="116">
        <v>2244.75</v>
      </c>
      <c r="C2450" s="116">
        <v>2236.15</v>
      </c>
      <c r="D2450" s="116">
        <v>2190.65</v>
      </c>
      <c r="E2450" s="116">
        <v>2200.9499999999998</v>
      </c>
      <c r="F2450" s="116">
        <v>2236.15</v>
      </c>
      <c r="G2450">
        <v>5884</v>
      </c>
      <c r="H2450" s="116"/>
      <c r="I2450" s="116"/>
      <c r="L2450" s="163">
        <v>45610</v>
      </c>
      <c r="M2450" s="116">
        <v>2235.1999999999998</v>
      </c>
      <c r="N2450" s="116">
        <v>2244.0500000000002</v>
      </c>
      <c r="O2450" s="116">
        <v>2191</v>
      </c>
      <c r="P2450" s="116">
        <v>2195</v>
      </c>
      <c r="Q2450" s="116">
        <v>2235.1999999999998</v>
      </c>
      <c r="R2450">
        <v>152578</v>
      </c>
    </row>
    <row r="2451" spans="1:18" x14ac:dyDescent="0.25">
      <c r="A2451" s="163">
        <v>45614</v>
      </c>
      <c r="B2451" s="116">
        <v>2238.5500000000002</v>
      </c>
      <c r="C2451" s="116">
        <v>2179.3000000000002</v>
      </c>
      <c r="D2451" s="116">
        <v>2172</v>
      </c>
      <c r="E2451" s="116">
        <v>2202.75</v>
      </c>
      <c r="F2451" s="116">
        <v>2179.3000000000002</v>
      </c>
      <c r="G2451">
        <v>8243</v>
      </c>
      <c r="H2451" s="116"/>
      <c r="I2451" s="116"/>
      <c r="L2451" s="163">
        <v>45614</v>
      </c>
      <c r="M2451" s="116">
        <v>2179.35</v>
      </c>
      <c r="N2451" s="116">
        <v>2242.3000000000002</v>
      </c>
      <c r="O2451" s="116">
        <v>2171.85</v>
      </c>
      <c r="P2451" s="116">
        <v>2238</v>
      </c>
      <c r="Q2451" s="116">
        <v>2179.35</v>
      </c>
      <c r="R2451">
        <v>294619</v>
      </c>
    </row>
    <row r="2452" spans="1:18" x14ac:dyDescent="0.25">
      <c r="A2452" s="163">
        <v>45615</v>
      </c>
      <c r="B2452" s="116">
        <v>2225.1999999999998</v>
      </c>
      <c r="C2452" s="116">
        <v>2198.6999999999998</v>
      </c>
      <c r="D2452" s="116">
        <v>2188</v>
      </c>
      <c r="E2452" s="116">
        <v>2195</v>
      </c>
      <c r="F2452" s="116">
        <v>2198.6999999999998</v>
      </c>
      <c r="G2452">
        <v>3684</v>
      </c>
      <c r="H2452" s="116"/>
      <c r="I2452" s="116"/>
      <c r="L2452" s="163">
        <v>45615</v>
      </c>
      <c r="M2452" s="116">
        <v>2199.5</v>
      </c>
      <c r="N2452" s="116">
        <v>2226</v>
      </c>
      <c r="O2452" s="116">
        <v>2185</v>
      </c>
      <c r="P2452" s="116">
        <v>2186</v>
      </c>
      <c r="Q2452" s="116">
        <v>2199.5</v>
      </c>
      <c r="R2452">
        <v>315906</v>
      </c>
    </row>
    <row r="2453" spans="1:18" x14ac:dyDescent="0.25">
      <c r="A2453" s="163">
        <v>45617</v>
      </c>
      <c r="B2453" s="116">
        <v>2193</v>
      </c>
      <c r="C2453" s="116">
        <v>2142.25</v>
      </c>
      <c r="D2453" s="116">
        <v>2134.15</v>
      </c>
      <c r="E2453" s="116">
        <v>2185.0500000000002</v>
      </c>
      <c r="F2453" s="116">
        <v>2142.25</v>
      </c>
      <c r="G2453">
        <v>3876</v>
      </c>
      <c r="H2453" s="116"/>
      <c r="I2453" s="116"/>
      <c r="L2453" s="163">
        <v>45617</v>
      </c>
      <c r="M2453" s="116">
        <v>2143.65</v>
      </c>
      <c r="N2453" s="116">
        <v>2195.25</v>
      </c>
      <c r="O2453" s="116">
        <v>2133.9499999999998</v>
      </c>
      <c r="P2453" s="116">
        <v>2180</v>
      </c>
      <c r="Q2453" s="116">
        <v>2143.65</v>
      </c>
      <c r="R2453">
        <v>238869</v>
      </c>
    </row>
    <row r="2454" spans="1:18" x14ac:dyDescent="0.25">
      <c r="A2454" s="163">
        <v>45618</v>
      </c>
      <c r="B2454" s="116">
        <v>2180.1999999999998</v>
      </c>
      <c r="C2454" s="116">
        <v>2165.85</v>
      </c>
      <c r="D2454" s="116">
        <v>2127.5500000000002</v>
      </c>
      <c r="E2454" s="116">
        <v>2144.4</v>
      </c>
      <c r="F2454" s="116">
        <v>2165.85</v>
      </c>
      <c r="G2454">
        <v>3220</v>
      </c>
      <c r="H2454" s="116"/>
      <c r="I2454" s="116"/>
      <c r="L2454" s="163">
        <v>45618</v>
      </c>
      <c r="M2454" s="116">
        <v>2163.25</v>
      </c>
      <c r="N2454" s="116">
        <v>2182.1999999999998</v>
      </c>
      <c r="O2454" s="116">
        <v>2126.85</v>
      </c>
      <c r="P2454" s="116">
        <v>2135.5</v>
      </c>
      <c r="Q2454" s="116">
        <v>2163.25</v>
      </c>
      <c r="R2454">
        <v>357851</v>
      </c>
    </row>
    <row r="2455" spans="1:18" x14ac:dyDescent="0.25">
      <c r="A2455" s="163">
        <v>45621</v>
      </c>
      <c r="B2455" s="116">
        <v>2233.5</v>
      </c>
      <c r="C2455" s="116">
        <v>2222.9</v>
      </c>
      <c r="D2455" s="116">
        <v>2188.5</v>
      </c>
      <c r="E2455" s="116">
        <v>2206.5500000000002</v>
      </c>
      <c r="F2455" s="116">
        <v>2222.9</v>
      </c>
      <c r="G2455">
        <v>7719</v>
      </c>
      <c r="H2455" s="116"/>
      <c r="I2455" s="116"/>
      <c r="L2455" s="163">
        <v>45621</v>
      </c>
      <c r="M2455" s="116">
        <v>2223.5500000000002</v>
      </c>
      <c r="N2455" s="116">
        <v>2235</v>
      </c>
      <c r="O2455" s="116">
        <v>2185.5</v>
      </c>
      <c r="P2455" s="116">
        <v>2190.1</v>
      </c>
      <c r="Q2455" s="116">
        <v>2223.5500000000002</v>
      </c>
      <c r="R2455">
        <v>791995</v>
      </c>
    </row>
    <row r="2456" spans="1:18" x14ac:dyDescent="0.25">
      <c r="A2456" s="163">
        <v>45622</v>
      </c>
      <c r="B2456" s="116">
        <v>2250.0500000000002</v>
      </c>
      <c r="C2456" s="116">
        <v>2231.8000000000002</v>
      </c>
      <c r="D2456" s="116">
        <v>2226.4499999999998</v>
      </c>
      <c r="E2456" s="116">
        <v>2230.3000000000002</v>
      </c>
      <c r="F2456" s="116">
        <v>2231.8000000000002</v>
      </c>
      <c r="G2456">
        <v>2765</v>
      </c>
      <c r="H2456" s="116"/>
      <c r="I2456" s="116"/>
      <c r="L2456" s="163">
        <v>45622</v>
      </c>
      <c r="M2456" s="116">
        <v>2234.65</v>
      </c>
      <c r="N2456" s="116">
        <v>2252.3000000000002</v>
      </c>
      <c r="O2456" s="116">
        <v>2223.6</v>
      </c>
      <c r="P2456" s="116">
        <v>2223.6</v>
      </c>
      <c r="Q2456" s="116">
        <v>2234.65</v>
      </c>
      <c r="R2456">
        <v>124184</v>
      </c>
    </row>
    <row r="2457" spans="1:18" x14ac:dyDescent="0.25">
      <c r="A2457" s="163">
        <v>45623</v>
      </c>
      <c r="B2457" s="116">
        <v>2298.8000000000002</v>
      </c>
      <c r="C2457" s="116">
        <v>2296.1999999999998</v>
      </c>
      <c r="D2457" s="116">
        <v>2224.6999999999998</v>
      </c>
      <c r="E2457" s="116">
        <v>2275</v>
      </c>
      <c r="F2457" s="116">
        <v>2296.1999999999998</v>
      </c>
      <c r="G2457">
        <v>3858</v>
      </c>
      <c r="H2457" s="116"/>
      <c r="I2457" s="116"/>
      <c r="L2457" s="163">
        <v>45623</v>
      </c>
      <c r="M2457" s="116">
        <v>2296.6</v>
      </c>
      <c r="N2457" s="116">
        <v>2300</v>
      </c>
      <c r="O2457" s="116">
        <v>2225</v>
      </c>
      <c r="P2457" s="116">
        <v>2250.3000000000002</v>
      </c>
      <c r="Q2457" s="116">
        <v>2296.6</v>
      </c>
      <c r="R2457">
        <v>298675</v>
      </c>
    </row>
    <row r="2458" spans="1:18" x14ac:dyDescent="0.25">
      <c r="A2458" s="163">
        <v>45624</v>
      </c>
      <c r="B2458" s="116">
        <v>2308.3000000000002</v>
      </c>
      <c r="C2458" s="116">
        <v>2263.4</v>
      </c>
      <c r="D2458" s="116">
        <v>2255</v>
      </c>
      <c r="E2458" s="116">
        <v>2306.0500000000002</v>
      </c>
      <c r="F2458" s="116">
        <v>2263.4</v>
      </c>
      <c r="G2458">
        <v>3959</v>
      </c>
      <c r="H2458" s="116"/>
      <c r="I2458" s="116"/>
      <c r="L2458" s="163">
        <v>45624</v>
      </c>
      <c r="M2458" s="116">
        <v>2262.4</v>
      </c>
      <c r="N2458" s="116">
        <v>2311.4499999999998</v>
      </c>
      <c r="O2458" s="116">
        <v>2254.5</v>
      </c>
      <c r="P2458" s="116">
        <v>2299.3000000000002</v>
      </c>
      <c r="Q2458" s="116">
        <v>2262.4</v>
      </c>
      <c r="R2458">
        <v>260810</v>
      </c>
    </row>
    <row r="2459" spans="1:18" x14ac:dyDescent="0.25">
      <c r="A2459" s="163">
        <v>45625</v>
      </c>
      <c r="B2459" s="116">
        <v>2282.1999999999998</v>
      </c>
      <c r="C2459" s="116">
        <v>2263.9499999999998</v>
      </c>
      <c r="D2459" s="116">
        <v>2251</v>
      </c>
      <c r="E2459" s="116">
        <v>2263.4</v>
      </c>
      <c r="F2459" s="116">
        <v>2263.9499999999998</v>
      </c>
      <c r="G2459">
        <v>6961</v>
      </c>
      <c r="H2459" s="116"/>
      <c r="I2459" s="116"/>
      <c r="L2459" s="163">
        <v>45625</v>
      </c>
      <c r="M2459" s="116">
        <v>2265</v>
      </c>
      <c r="N2459" s="116">
        <v>2284</v>
      </c>
      <c r="O2459" s="116">
        <v>2250.5500000000002</v>
      </c>
      <c r="P2459" s="116">
        <v>2265</v>
      </c>
      <c r="Q2459" s="116">
        <v>2265</v>
      </c>
      <c r="R2459">
        <v>583686</v>
      </c>
    </row>
    <row r="2460" spans="1:18" x14ac:dyDescent="0.25">
      <c r="A2460" s="163">
        <v>45628</v>
      </c>
      <c r="B2460" s="116">
        <v>2310</v>
      </c>
      <c r="C2460" s="116">
        <v>2296.1999999999998</v>
      </c>
      <c r="D2460" s="116">
        <v>2247.8000000000002</v>
      </c>
      <c r="E2460" s="116">
        <v>2250.1</v>
      </c>
      <c r="F2460" s="116">
        <v>2296.1999999999998</v>
      </c>
      <c r="G2460">
        <v>4476</v>
      </c>
      <c r="H2460" s="116"/>
      <c r="I2460" s="116"/>
      <c r="L2460" s="163">
        <v>45628</v>
      </c>
      <c r="M2460" s="116">
        <v>2296.9499999999998</v>
      </c>
      <c r="N2460" s="116">
        <v>2310.9</v>
      </c>
      <c r="O2460" s="116">
        <v>2245.1</v>
      </c>
      <c r="P2460" s="116">
        <v>2264.9499999999998</v>
      </c>
      <c r="Q2460" s="116">
        <v>2296.9499999999998</v>
      </c>
      <c r="R2460">
        <v>401509</v>
      </c>
    </row>
    <row r="2461" spans="1:18" x14ac:dyDescent="0.25">
      <c r="A2461" s="163">
        <v>45629</v>
      </c>
      <c r="B2461" s="116">
        <v>2320.85</v>
      </c>
      <c r="C2461" s="116">
        <v>2311.1</v>
      </c>
      <c r="D2461" s="116">
        <v>2287.6</v>
      </c>
      <c r="E2461" s="116">
        <v>2288.6</v>
      </c>
      <c r="F2461" s="116">
        <v>2311.1</v>
      </c>
      <c r="G2461">
        <v>4054</v>
      </c>
      <c r="H2461" s="116"/>
      <c r="I2461" s="116"/>
      <c r="L2461" s="163">
        <v>45629</v>
      </c>
      <c r="M2461" s="116">
        <v>2311.25</v>
      </c>
      <c r="N2461" s="116">
        <v>2322</v>
      </c>
      <c r="O2461" s="116">
        <v>2287.75</v>
      </c>
      <c r="P2461" s="116">
        <v>2297</v>
      </c>
      <c r="Q2461" s="116">
        <v>2311.25</v>
      </c>
      <c r="R2461">
        <v>318080</v>
      </c>
    </row>
    <row r="2462" spans="1:18" x14ac:dyDescent="0.25">
      <c r="A2462" s="163">
        <v>45630</v>
      </c>
      <c r="B2462" s="116">
        <v>2346.4</v>
      </c>
      <c r="C2462" s="116">
        <v>2332.6</v>
      </c>
      <c r="D2462" s="116">
        <v>2313.5500000000002</v>
      </c>
      <c r="E2462" s="116">
        <v>2314</v>
      </c>
      <c r="F2462" s="116">
        <v>2332.6</v>
      </c>
      <c r="G2462">
        <v>3846</v>
      </c>
      <c r="H2462" s="116"/>
      <c r="I2462" s="116"/>
      <c r="L2462" s="163">
        <v>45630</v>
      </c>
      <c r="M2462" s="116">
        <v>2333.6999999999998</v>
      </c>
      <c r="N2462" s="116">
        <v>2348</v>
      </c>
      <c r="O2462" s="116">
        <v>2311.3000000000002</v>
      </c>
      <c r="P2462" s="116">
        <v>2311.3000000000002</v>
      </c>
      <c r="Q2462" s="116">
        <v>2333.6999999999998</v>
      </c>
      <c r="R2462">
        <v>466142</v>
      </c>
    </row>
    <row r="2463" spans="1:18" x14ac:dyDescent="0.25">
      <c r="A2463" s="163">
        <v>45631</v>
      </c>
      <c r="B2463" s="116">
        <v>2334.3000000000002</v>
      </c>
      <c r="C2463" s="116">
        <v>2320.4</v>
      </c>
      <c r="D2463" s="116">
        <v>2306.15</v>
      </c>
      <c r="E2463" s="116">
        <v>2330</v>
      </c>
      <c r="F2463" s="116">
        <v>2320.4</v>
      </c>
      <c r="G2463">
        <v>2698</v>
      </c>
      <c r="H2463" s="116"/>
      <c r="I2463" s="116"/>
      <c r="L2463" s="163">
        <v>45631</v>
      </c>
      <c r="M2463" s="116">
        <v>2319.75</v>
      </c>
      <c r="N2463" s="116">
        <v>2338.0500000000002</v>
      </c>
      <c r="O2463" s="116">
        <v>2305.5500000000002</v>
      </c>
      <c r="P2463" s="116">
        <v>2325.0500000000002</v>
      </c>
      <c r="Q2463" s="116">
        <v>2319.75</v>
      </c>
      <c r="R2463">
        <v>180013</v>
      </c>
    </row>
    <row r="2464" spans="1:18" x14ac:dyDescent="0.25">
      <c r="A2464" s="163">
        <v>45632</v>
      </c>
      <c r="B2464" s="116">
        <v>2332.65</v>
      </c>
      <c r="C2464" s="116">
        <v>2294.4499999999998</v>
      </c>
      <c r="D2464" s="116">
        <v>2285.1</v>
      </c>
      <c r="E2464" s="116">
        <v>2322</v>
      </c>
      <c r="F2464" s="116">
        <v>2294.4499999999998</v>
      </c>
      <c r="G2464">
        <v>5357</v>
      </c>
      <c r="H2464" s="116"/>
      <c r="I2464" s="116"/>
      <c r="L2464" s="163">
        <v>45632</v>
      </c>
      <c r="M2464" s="116">
        <v>2294.6999999999998</v>
      </c>
      <c r="N2464" s="116">
        <v>2336</v>
      </c>
      <c r="O2464" s="116">
        <v>2286.4</v>
      </c>
      <c r="P2464" s="116">
        <v>2319.9499999999998</v>
      </c>
      <c r="Q2464" s="116">
        <v>2294.6999999999998</v>
      </c>
      <c r="R2464">
        <v>203158</v>
      </c>
    </row>
    <row r="2465" spans="1:18" x14ac:dyDescent="0.25">
      <c r="A2465" s="163">
        <v>45635</v>
      </c>
      <c r="B2465" s="116">
        <v>2317.75</v>
      </c>
      <c r="C2465" s="116">
        <v>2306.5500000000002</v>
      </c>
      <c r="D2465" s="116">
        <v>2259.5500000000002</v>
      </c>
      <c r="E2465" s="116">
        <v>2294.4499999999998</v>
      </c>
      <c r="F2465" s="116">
        <v>2306.5500000000002</v>
      </c>
      <c r="G2465">
        <v>5404</v>
      </c>
      <c r="H2465" s="116"/>
      <c r="I2465" s="116"/>
      <c r="L2465" s="163">
        <v>45635</v>
      </c>
      <c r="M2465" s="116">
        <v>2302.35</v>
      </c>
      <c r="N2465" s="116">
        <v>2318.15</v>
      </c>
      <c r="O2465" s="116">
        <v>2257.8000000000002</v>
      </c>
      <c r="P2465" s="116">
        <v>2290</v>
      </c>
      <c r="Q2465" s="116">
        <v>2302.35</v>
      </c>
      <c r="R2465">
        <v>393791</v>
      </c>
    </row>
    <row r="2466" spans="1:18" x14ac:dyDescent="0.25">
      <c r="A2466" s="163">
        <v>45636</v>
      </c>
      <c r="B2466" s="116">
        <v>2369</v>
      </c>
      <c r="C2466" s="116">
        <v>2345.5500000000002</v>
      </c>
      <c r="D2466" s="116">
        <v>2302.0500000000002</v>
      </c>
      <c r="E2466" s="116">
        <v>2302.0500000000002</v>
      </c>
      <c r="F2466" s="116">
        <v>2345.5500000000002</v>
      </c>
      <c r="G2466">
        <v>15230</v>
      </c>
      <c r="H2466" s="116"/>
      <c r="I2466" s="116"/>
      <c r="L2466" s="163">
        <v>45636</v>
      </c>
      <c r="M2466" s="116">
        <v>2343.6</v>
      </c>
      <c r="N2466" s="116">
        <v>2367.6999999999998</v>
      </c>
      <c r="O2466" s="116">
        <v>2295</v>
      </c>
      <c r="P2466" s="116">
        <v>2320</v>
      </c>
      <c r="Q2466" s="116">
        <v>2343.6</v>
      </c>
      <c r="R2466">
        <v>551490</v>
      </c>
    </row>
    <row r="2467" spans="1:18" x14ac:dyDescent="0.25">
      <c r="A2467" s="163">
        <v>45637</v>
      </c>
      <c r="B2467" s="116">
        <v>2369.85</v>
      </c>
      <c r="C2467" s="116">
        <v>2337.0500000000002</v>
      </c>
      <c r="D2467" s="116">
        <v>2332.9</v>
      </c>
      <c r="E2467" s="116">
        <v>2365.6</v>
      </c>
      <c r="F2467" s="116">
        <v>2337.0500000000002</v>
      </c>
      <c r="G2467">
        <v>6347</v>
      </c>
      <c r="H2467" s="116"/>
      <c r="I2467" s="116"/>
      <c r="L2467" s="163">
        <v>45637</v>
      </c>
      <c r="M2467" s="116">
        <v>2336.4499999999998</v>
      </c>
      <c r="N2467" s="116">
        <v>2369.9</v>
      </c>
      <c r="O2467" s="116">
        <v>2332.5500000000002</v>
      </c>
      <c r="P2467" s="116">
        <v>2355</v>
      </c>
      <c r="Q2467" s="116">
        <v>2336.4499999999998</v>
      </c>
      <c r="R2467">
        <v>97773</v>
      </c>
    </row>
    <row r="2468" spans="1:18" x14ac:dyDescent="0.25">
      <c r="A2468" s="163">
        <v>45638</v>
      </c>
      <c r="B2468" s="116">
        <v>2363.6</v>
      </c>
      <c r="C2468" s="116">
        <v>2298.1</v>
      </c>
      <c r="D2468" s="116">
        <v>2295</v>
      </c>
      <c r="E2468" s="116">
        <v>2363.6</v>
      </c>
      <c r="F2468" s="116">
        <v>2298.1</v>
      </c>
      <c r="G2468">
        <v>5993</v>
      </c>
      <c r="H2468" s="116"/>
      <c r="I2468" s="116"/>
      <c r="L2468" s="163">
        <v>45638</v>
      </c>
      <c r="M2468" s="116">
        <v>2298.8000000000002</v>
      </c>
      <c r="N2468" s="116">
        <v>2345</v>
      </c>
      <c r="O2468" s="116">
        <v>2294.0500000000002</v>
      </c>
      <c r="P2468" s="116">
        <v>2345</v>
      </c>
      <c r="Q2468" s="116">
        <v>2298.8000000000002</v>
      </c>
      <c r="R2468">
        <v>321800</v>
      </c>
    </row>
    <row r="2469" spans="1:18" x14ac:dyDescent="0.25">
      <c r="A2469" s="163">
        <v>45639</v>
      </c>
      <c r="B2469" s="116">
        <v>2301.9</v>
      </c>
      <c r="C2469" s="116">
        <v>2296.6999999999998</v>
      </c>
      <c r="D2469" s="116">
        <v>2259.0500000000002</v>
      </c>
      <c r="E2469" s="116">
        <v>2270.0500000000002</v>
      </c>
      <c r="F2469" s="116">
        <v>2296.6999999999998</v>
      </c>
      <c r="G2469">
        <v>3655</v>
      </c>
      <c r="H2469" s="116"/>
      <c r="I2469" s="116"/>
      <c r="L2469" s="163">
        <v>45639</v>
      </c>
      <c r="M2469" s="116">
        <v>2296.6999999999998</v>
      </c>
      <c r="N2469" s="116">
        <v>2307</v>
      </c>
      <c r="O2469" s="116">
        <v>2257.5500000000002</v>
      </c>
      <c r="P2469" s="116">
        <v>2300</v>
      </c>
      <c r="Q2469" s="116">
        <v>2296.6999999999998</v>
      </c>
      <c r="R2469">
        <v>621830</v>
      </c>
    </row>
    <row r="2470" spans="1:18" x14ac:dyDescent="0.25">
      <c r="A2470" s="163">
        <v>45642</v>
      </c>
      <c r="B2470" s="116">
        <v>2312.4499999999998</v>
      </c>
      <c r="C2470" s="116">
        <v>2306.3000000000002</v>
      </c>
      <c r="D2470" s="116">
        <v>2289.4499999999998</v>
      </c>
      <c r="E2470" s="116">
        <v>2300.8000000000002</v>
      </c>
      <c r="F2470" s="116">
        <v>2306.3000000000002</v>
      </c>
      <c r="G2470">
        <v>4495</v>
      </c>
      <c r="H2470" s="116"/>
      <c r="I2470" s="116"/>
      <c r="L2470" s="163">
        <v>45642</v>
      </c>
      <c r="M2470" s="116">
        <v>2306.4499999999998</v>
      </c>
      <c r="N2470" s="116">
        <v>2314.8000000000002</v>
      </c>
      <c r="O2470" s="116">
        <v>2287.5</v>
      </c>
      <c r="P2470" s="116">
        <v>2300</v>
      </c>
      <c r="Q2470" s="116">
        <v>2306.4499999999998</v>
      </c>
      <c r="R2470">
        <v>107599</v>
      </c>
    </row>
    <row r="2471" spans="1:18" x14ac:dyDescent="0.25">
      <c r="A2471" s="163">
        <v>45643</v>
      </c>
      <c r="B2471" s="116">
        <v>2311.1</v>
      </c>
      <c r="C2471" s="116">
        <v>2280.5500000000002</v>
      </c>
      <c r="D2471" s="116">
        <v>2270</v>
      </c>
      <c r="E2471" s="116">
        <v>2308.5</v>
      </c>
      <c r="F2471" s="116">
        <v>2280.5500000000002</v>
      </c>
      <c r="G2471">
        <v>3207</v>
      </c>
      <c r="H2471" s="116"/>
      <c r="I2471" s="116"/>
      <c r="L2471" s="163">
        <v>45643</v>
      </c>
      <c r="M2471" s="116">
        <v>2280</v>
      </c>
      <c r="N2471" s="116">
        <v>2314.4</v>
      </c>
      <c r="O2471" s="116">
        <v>2268.3000000000002</v>
      </c>
      <c r="P2471" s="116">
        <v>2306.6</v>
      </c>
      <c r="Q2471" s="116">
        <v>2280</v>
      </c>
      <c r="R2471">
        <v>514460</v>
      </c>
    </row>
    <row r="2472" spans="1:18" x14ac:dyDescent="0.25">
      <c r="A2472" s="163">
        <v>45644</v>
      </c>
      <c r="B2472" s="116">
        <v>2306.1999999999998</v>
      </c>
      <c r="C2472" s="116">
        <v>2269.5500000000002</v>
      </c>
      <c r="D2472" s="116">
        <v>2265.9499999999998</v>
      </c>
      <c r="E2472" s="116">
        <v>2280.5500000000002</v>
      </c>
      <c r="F2472" s="116">
        <v>2269.5500000000002</v>
      </c>
      <c r="G2472">
        <v>6037</v>
      </c>
      <c r="H2472" s="116"/>
      <c r="I2472" s="116"/>
      <c r="L2472" s="163">
        <v>45644</v>
      </c>
      <c r="M2472" s="116">
        <v>2272.0500000000002</v>
      </c>
      <c r="N2472" s="116">
        <v>2308.5</v>
      </c>
      <c r="O2472" s="116">
        <v>2266.75</v>
      </c>
      <c r="P2472" s="116">
        <v>2280</v>
      </c>
      <c r="Q2472" s="116">
        <v>2272.0500000000002</v>
      </c>
      <c r="R2472">
        <v>163735</v>
      </c>
    </row>
    <row r="2473" spans="1:18" x14ac:dyDescent="0.25">
      <c r="A2473" s="163">
        <v>45645</v>
      </c>
      <c r="B2473" s="116">
        <v>2289</v>
      </c>
      <c r="C2473" s="116">
        <v>2285.4499999999998</v>
      </c>
      <c r="D2473" s="116">
        <v>2227</v>
      </c>
      <c r="E2473" s="116">
        <v>2227</v>
      </c>
      <c r="F2473" s="116">
        <v>2285.4499999999998</v>
      </c>
      <c r="G2473">
        <v>3299</v>
      </c>
      <c r="H2473" s="116"/>
      <c r="I2473" s="116"/>
      <c r="L2473" s="163">
        <v>45645</v>
      </c>
      <c r="M2473" s="116">
        <v>2283.9499999999998</v>
      </c>
      <c r="N2473" s="116">
        <v>2292.0500000000002</v>
      </c>
      <c r="O2473" s="116">
        <v>2202.0500000000002</v>
      </c>
      <c r="P2473" s="116">
        <v>2249.9499999999998</v>
      </c>
      <c r="Q2473" s="116">
        <v>2283.9499999999998</v>
      </c>
      <c r="R2473">
        <v>296346</v>
      </c>
    </row>
    <row r="2474" spans="1:18" x14ac:dyDescent="0.25">
      <c r="A2474" s="163">
        <v>45646</v>
      </c>
      <c r="B2474" s="116">
        <v>2337</v>
      </c>
      <c r="C2474" s="116">
        <v>2276.8000000000002</v>
      </c>
      <c r="D2474" s="116">
        <v>2266</v>
      </c>
      <c r="E2474" s="116">
        <v>2295.1</v>
      </c>
      <c r="F2474" s="116">
        <v>2276.8000000000002</v>
      </c>
      <c r="G2474">
        <v>18299</v>
      </c>
      <c r="H2474" s="116"/>
      <c r="I2474" s="116"/>
      <c r="L2474" s="163">
        <v>45646</v>
      </c>
      <c r="M2474" s="116">
        <v>2277.6</v>
      </c>
      <c r="N2474" s="116">
        <v>2337.15</v>
      </c>
      <c r="O2474" s="116">
        <v>2266.15</v>
      </c>
      <c r="P2474" s="116">
        <v>2292</v>
      </c>
      <c r="Q2474" s="116">
        <v>2277.6</v>
      </c>
      <c r="R2474">
        <v>712404</v>
      </c>
    </row>
    <row r="2475" spans="1:18" x14ac:dyDescent="0.25">
      <c r="A2475" s="163">
        <v>45649</v>
      </c>
      <c r="B2475" s="116">
        <v>2294.9499999999998</v>
      </c>
      <c r="C2475" s="116">
        <v>2283.0500000000002</v>
      </c>
      <c r="D2475" s="116">
        <v>2249.9</v>
      </c>
      <c r="E2475" s="116">
        <v>2289.35</v>
      </c>
      <c r="F2475" s="116">
        <v>2283.0500000000002</v>
      </c>
      <c r="G2475">
        <v>6555</v>
      </c>
      <c r="H2475" s="116"/>
      <c r="I2475" s="116"/>
      <c r="L2475" s="163">
        <v>45649</v>
      </c>
      <c r="M2475" s="116">
        <v>2286.5500000000002</v>
      </c>
      <c r="N2475" s="116">
        <v>2298.5500000000002</v>
      </c>
      <c r="O2475" s="116">
        <v>2250.5500000000002</v>
      </c>
      <c r="P2475" s="116">
        <v>2280</v>
      </c>
      <c r="Q2475" s="116">
        <v>2286.5500000000002</v>
      </c>
      <c r="R2475">
        <v>392750</v>
      </c>
    </row>
    <row r="2476" spans="1:18" x14ac:dyDescent="0.25">
      <c r="A2476" s="163">
        <v>45650</v>
      </c>
      <c r="B2476" s="116">
        <v>2300</v>
      </c>
      <c r="C2476" s="116">
        <v>2275.5</v>
      </c>
      <c r="D2476" s="116">
        <v>2269</v>
      </c>
      <c r="E2476" s="116">
        <v>2284</v>
      </c>
      <c r="F2476" s="116">
        <v>2275.5</v>
      </c>
      <c r="G2476">
        <v>1736</v>
      </c>
      <c r="H2476" s="116"/>
      <c r="I2476" s="116"/>
      <c r="L2476" s="163">
        <v>45650</v>
      </c>
      <c r="M2476" s="116">
        <v>2277.85</v>
      </c>
      <c r="N2476" s="116">
        <v>2300.85</v>
      </c>
      <c r="O2476" s="116">
        <v>2259.9</v>
      </c>
      <c r="P2476" s="116">
        <v>2286.5</v>
      </c>
      <c r="Q2476" s="116">
        <v>2277.85</v>
      </c>
      <c r="R2476">
        <v>310188</v>
      </c>
    </row>
    <row r="2477" spans="1:18" x14ac:dyDescent="0.25">
      <c r="A2477" s="163">
        <v>45652</v>
      </c>
      <c r="B2477" s="116">
        <v>2300</v>
      </c>
      <c r="C2477" s="116">
        <v>2261.1999999999998</v>
      </c>
      <c r="D2477" s="116">
        <v>2243.1999999999998</v>
      </c>
      <c r="E2477" s="116">
        <v>2300</v>
      </c>
      <c r="F2477" s="116">
        <v>2261.1999999999998</v>
      </c>
      <c r="G2477">
        <v>1605</v>
      </c>
      <c r="H2477" s="116"/>
      <c r="I2477" s="116"/>
      <c r="L2477" s="163">
        <v>45652</v>
      </c>
      <c r="M2477" s="116">
        <v>2262.15</v>
      </c>
      <c r="N2477" s="116">
        <v>2286.75</v>
      </c>
      <c r="O2477" s="116">
        <v>2240.1999999999998</v>
      </c>
      <c r="P2477" s="116">
        <v>2279.5</v>
      </c>
      <c r="Q2477" s="116">
        <v>2262.15</v>
      </c>
      <c r="R2477">
        <v>151734</v>
      </c>
    </row>
    <row r="2478" spans="1:18" x14ac:dyDescent="0.25">
      <c r="A2478" s="163">
        <v>45653</v>
      </c>
      <c r="B2478" s="116">
        <v>2277.4</v>
      </c>
      <c r="C2478" s="116">
        <v>2259.9499999999998</v>
      </c>
      <c r="D2478" s="116">
        <v>2252.4</v>
      </c>
      <c r="E2478" s="116">
        <v>2267.25</v>
      </c>
      <c r="F2478" s="116">
        <v>2259.9499999999998</v>
      </c>
      <c r="G2478">
        <v>1101</v>
      </c>
      <c r="H2478" s="116"/>
      <c r="I2478" s="116"/>
      <c r="L2478" s="163">
        <v>45653</v>
      </c>
      <c r="M2478" s="116">
        <v>2264.4499999999998</v>
      </c>
      <c r="N2478" s="116">
        <v>2279.1999999999998</v>
      </c>
      <c r="O2478" s="116">
        <v>2251.1</v>
      </c>
      <c r="P2478" s="116">
        <v>2274</v>
      </c>
      <c r="Q2478" s="116">
        <v>2264.4499999999998</v>
      </c>
      <c r="R2478">
        <v>149646</v>
      </c>
    </row>
    <row r="2479" spans="1:18" x14ac:dyDescent="0.25">
      <c r="A2479" s="163">
        <v>45656</v>
      </c>
      <c r="B2479" s="116">
        <v>2267</v>
      </c>
      <c r="C2479" s="116">
        <v>2248</v>
      </c>
      <c r="D2479" s="116">
        <v>2197.1999999999998</v>
      </c>
      <c r="E2479" s="116">
        <v>2258.25</v>
      </c>
      <c r="F2479" s="116">
        <v>2248</v>
      </c>
      <c r="G2479">
        <v>107909</v>
      </c>
      <c r="H2479" s="116"/>
      <c r="I2479" s="116"/>
      <c r="L2479" s="163">
        <v>45656</v>
      </c>
      <c r="M2479" s="116">
        <v>2255.15</v>
      </c>
      <c r="N2479" s="116">
        <v>2270</v>
      </c>
      <c r="O2479" s="116">
        <v>2196.85</v>
      </c>
      <c r="P2479" s="116">
        <v>2265</v>
      </c>
      <c r="Q2479" s="116">
        <v>2255.15</v>
      </c>
      <c r="R2479">
        <v>824666</v>
      </c>
    </row>
    <row r="2480" spans="1:18" x14ac:dyDescent="0.25">
      <c r="A2480" s="163">
        <v>45657</v>
      </c>
      <c r="B2480" s="116">
        <v>2259.15</v>
      </c>
      <c r="C2480" s="116">
        <v>2237.5</v>
      </c>
      <c r="D2480" s="116">
        <v>2206.4</v>
      </c>
      <c r="E2480" s="116">
        <v>2248</v>
      </c>
      <c r="F2480" s="116">
        <v>2237.5</v>
      </c>
      <c r="G2480">
        <v>2787</v>
      </c>
      <c r="H2480" s="116"/>
      <c r="I2480" s="116"/>
      <c r="L2480" s="163">
        <v>45657</v>
      </c>
      <c r="M2480" s="116">
        <v>2237.9499999999998</v>
      </c>
      <c r="N2480" s="116">
        <v>2259.8000000000002</v>
      </c>
      <c r="O2480" s="116">
        <v>2205</v>
      </c>
      <c r="P2480" s="116">
        <v>2255.0500000000002</v>
      </c>
      <c r="Q2480" s="116">
        <v>2237.9499999999998</v>
      </c>
      <c r="R2480">
        <v>226673</v>
      </c>
    </row>
    <row r="2481" spans="1:18" x14ac:dyDescent="0.25">
      <c r="A2481" s="163">
        <v>45658</v>
      </c>
      <c r="B2481" s="116">
        <v>2239.85</v>
      </c>
      <c r="C2481" s="116">
        <v>2212.15</v>
      </c>
      <c r="D2481" s="116">
        <v>2210</v>
      </c>
      <c r="E2481" s="116">
        <v>2231.3000000000002</v>
      </c>
      <c r="F2481" s="116">
        <v>2212.15</v>
      </c>
      <c r="G2481">
        <v>1420</v>
      </c>
      <c r="H2481" s="116"/>
      <c r="I2481" s="116"/>
      <c r="L2481" s="163">
        <v>45658</v>
      </c>
      <c r="M2481" s="116">
        <v>2211.3000000000002</v>
      </c>
      <c r="N2481" s="116">
        <v>2243.5</v>
      </c>
      <c r="O2481" s="116">
        <v>2209.1999999999998</v>
      </c>
      <c r="P2481" s="116">
        <v>2237</v>
      </c>
      <c r="Q2481" s="116">
        <v>2211.3000000000002</v>
      </c>
      <c r="R2481">
        <v>136970</v>
      </c>
    </row>
    <row r="2482" spans="1:18" x14ac:dyDescent="0.25">
      <c r="A2482" s="163">
        <v>45659</v>
      </c>
      <c r="B2482" s="116">
        <v>2228.8000000000002</v>
      </c>
      <c r="C2482" s="116">
        <v>2223.0500000000002</v>
      </c>
      <c r="D2482" s="116">
        <v>2200</v>
      </c>
      <c r="E2482" s="116">
        <v>2211</v>
      </c>
      <c r="F2482" s="116">
        <v>2223.0500000000002</v>
      </c>
      <c r="G2482">
        <v>5482</v>
      </c>
      <c r="H2482" s="116"/>
      <c r="I2482" s="116"/>
      <c r="L2482" s="163">
        <v>45659</v>
      </c>
      <c r="M2482" s="116">
        <v>2224.75</v>
      </c>
      <c r="N2482" s="116">
        <v>2232.4499999999998</v>
      </c>
      <c r="O2482" s="116">
        <v>2200.4499999999998</v>
      </c>
      <c r="P2482" s="116">
        <v>2228.3000000000002</v>
      </c>
      <c r="Q2482" s="116">
        <v>2224.75</v>
      </c>
      <c r="R2482">
        <v>128080</v>
      </c>
    </row>
    <row r="2483" spans="1:18" x14ac:dyDescent="0.25">
      <c r="A2483" s="163">
        <v>45660</v>
      </c>
      <c r="B2483" s="116">
        <v>2291.1</v>
      </c>
      <c r="C2483" s="116">
        <v>2284.9499999999998</v>
      </c>
      <c r="D2483" s="116">
        <v>2216.4499999999998</v>
      </c>
      <c r="E2483" s="116">
        <v>2250</v>
      </c>
      <c r="F2483" s="116">
        <v>2284.9499999999998</v>
      </c>
      <c r="G2483">
        <v>4244</v>
      </c>
      <c r="H2483" s="116"/>
      <c r="I2483" s="116"/>
      <c r="L2483" s="163">
        <v>45660</v>
      </c>
      <c r="M2483" s="116">
        <v>2284.9</v>
      </c>
      <c r="N2483" s="116">
        <v>2290</v>
      </c>
      <c r="O2483" s="116">
        <v>2216.0500000000002</v>
      </c>
      <c r="P2483" s="116">
        <v>2234</v>
      </c>
      <c r="Q2483" s="116">
        <v>2284.9</v>
      </c>
      <c r="R2483">
        <v>504499</v>
      </c>
    </row>
    <row r="2484" spans="1:18" x14ac:dyDescent="0.25">
      <c r="A2484" s="163">
        <v>45663</v>
      </c>
      <c r="B2484" s="116">
        <v>2299.1</v>
      </c>
      <c r="C2484" s="116">
        <v>2273.5500000000002</v>
      </c>
      <c r="D2484" s="116">
        <v>2260</v>
      </c>
      <c r="E2484" s="116">
        <v>2290.0500000000002</v>
      </c>
      <c r="F2484" s="116">
        <v>2273.5500000000002</v>
      </c>
      <c r="G2484">
        <v>13405</v>
      </c>
      <c r="H2484" s="116"/>
      <c r="I2484" s="116"/>
      <c r="L2484" s="163">
        <v>45663</v>
      </c>
      <c r="M2484" s="116">
        <v>2277.4499999999998</v>
      </c>
      <c r="N2484" s="116">
        <v>2300</v>
      </c>
      <c r="O2484" s="116">
        <v>2260</v>
      </c>
      <c r="P2484" s="116">
        <v>2296.25</v>
      </c>
      <c r="Q2484" s="116">
        <v>2277.4499999999998</v>
      </c>
      <c r="R2484">
        <v>579516</v>
      </c>
    </row>
    <row r="2485" spans="1:18" x14ac:dyDescent="0.25">
      <c r="A2485" s="163">
        <v>45664</v>
      </c>
      <c r="B2485" s="116">
        <v>2358</v>
      </c>
      <c r="C2485" s="116">
        <v>2306.75</v>
      </c>
      <c r="D2485" s="116">
        <v>2264.35</v>
      </c>
      <c r="E2485" s="116">
        <v>2264.35</v>
      </c>
      <c r="F2485" s="116">
        <v>2306.75</v>
      </c>
      <c r="G2485">
        <v>10770</v>
      </c>
      <c r="H2485" s="116"/>
      <c r="I2485" s="116"/>
      <c r="L2485" s="163">
        <v>45664</v>
      </c>
      <c r="M2485" s="116">
        <v>2308.4499999999998</v>
      </c>
      <c r="N2485" s="116">
        <v>2359.9</v>
      </c>
      <c r="O2485" s="116">
        <v>2271</v>
      </c>
      <c r="P2485" s="116">
        <v>2271</v>
      </c>
      <c r="Q2485" s="116">
        <v>2308.4499999999998</v>
      </c>
      <c r="R2485">
        <v>505414</v>
      </c>
    </row>
    <row r="2486" spans="1:18" x14ac:dyDescent="0.25">
      <c r="A2486" s="163">
        <v>45665</v>
      </c>
      <c r="B2486" s="116">
        <v>2370</v>
      </c>
      <c r="C2486" s="116">
        <v>2350.9</v>
      </c>
      <c r="D2486" s="116">
        <v>2300.9499999999998</v>
      </c>
      <c r="E2486" s="116">
        <v>2306.9499999999998</v>
      </c>
      <c r="F2486" s="116">
        <v>2350.9</v>
      </c>
      <c r="G2486">
        <v>12579</v>
      </c>
      <c r="H2486" s="116"/>
      <c r="I2486" s="116"/>
      <c r="L2486" s="163">
        <v>45665</v>
      </c>
      <c r="M2486" s="116">
        <v>2350.9499999999998</v>
      </c>
      <c r="N2486" s="116">
        <v>2371.9499999999998</v>
      </c>
      <c r="O2486" s="116">
        <v>2298.1</v>
      </c>
      <c r="P2486" s="116">
        <v>2298.1</v>
      </c>
      <c r="Q2486" s="116">
        <v>2350.9499999999998</v>
      </c>
      <c r="R2486">
        <v>977298</v>
      </c>
    </row>
    <row r="2487" spans="1:18" x14ac:dyDescent="0.25">
      <c r="A2487" s="163">
        <v>45666</v>
      </c>
      <c r="B2487" s="116">
        <v>2697</v>
      </c>
      <c r="C2487" s="116">
        <v>2672.25</v>
      </c>
      <c r="D2487" s="116">
        <v>2478.0500000000002</v>
      </c>
      <c r="E2487" s="116">
        <v>2478.0500000000002</v>
      </c>
      <c r="F2487" s="116">
        <v>2672.25</v>
      </c>
      <c r="G2487">
        <v>216630</v>
      </c>
      <c r="H2487" s="116"/>
      <c r="I2487" s="116"/>
      <c r="L2487" s="163">
        <v>45666</v>
      </c>
      <c r="M2487" s="116">
        <v>2673.9</v>
      </c>
      <c r="N2487" s="116">
        <v>2697.7</v>
      </c>
      <c r="O2487" s="116">
        <v>2480</v>
      </c>
      <c r="P2487" s="116">
        <v>2500</v>
      </c>
      <c r="Q2487" s="116">
        <v>2673.9</v>
      </c>
      <c r="R2487">
        <v>10340857</v>
      </c>
    </row>
    <row r="2488" spans="1:18" x14ac:dyDescent="0.25">
      <c r="A2488" s="163">
        <v>45667</v>
      </c>
      <c r="B2488" s="116">
        <v>2618.85</v>
      </c>
      <c r="C2488" s="116">
        <v>2602.9499999999998</v>
      </c>
      <c r="D2488" s="116">
        <v>2513.15</v>
      </c>
      <c r="E2488" s="116">
        <v>2549.8000000000002</v>
      </c>
      <c r="F2488" s="116">
        <v>2602.9499999999998</v>
      </c>
      <c r="G2488">
        <v>51869</v>
      </c>
      <c r="H2488" s="116"/>
      <c r="I2488" s="116"/>
      <c r="L2488" s="163">
        <v>45667</v>
      </c>
      <c r="M2488" s="116">
        <v>2601.1</v>
      </c>
      <c r="N2488" s="116">
        <v>2620.4</v>
      </c>
      <c r="O2488" s="116">
        <v>2512.4</v>
      </c>
      <c r="P2488" s="116">
        <v>2527.0500000000002</v>
      </c>
      <c r="Q2488" s="116">
        <v>2601.1</v>
      </c>
      <c r="R2488">
        <v>2152573</v>
      </c>
    </row>
    <row r="2489" spans="1:18" x14ac:dyDescent="0.25">
      <c r="A2489" s="163">
        <v>45670</v>
      </c>
      <c r="B2489" s="116">
        <v>2597.35</v>
      </c>
      <c r="C2489" s="116">
        <v>2516.9</v>
      </c>
      <c r="D2489" s="116">
        <v>2504.6999999999998</v>
      </c>
      <c r="E2489" s="116">
        <v>2565.6</v>
      </c>
      <c r="F2489" s="116">
        <v>2516.9</v>
      </c>
      <c r="G2489">
        <v>29662</v>
      </c>
      <c r="H2489" s="116"/>
      <c r="I2489" s="116"/>
      <c r="L2489" s="163">
        <v>45670</v>
      </c>
      <c r="M2489" s="116">
        <v>2516</v>
      </c>
      <c r="N2489" s="116">
        <v>2597.5</v>
      </c>
      <c r="O2489" s="116">
        <v>2506.0500000000002</v>
      </c>
      <c r="P2489" s="116">
        <v>2557</v>
      </c>
      <c r="Q2489" s="116">
        <v>2516</v>
      </c>
      <c r="R2489">
        <v>773391</v>
      </c>
    </row>
    <row r="2490" spans="1:18" x14ac:dyDescent="0.25">
      <c r="A2490" s="163">
        <v>45671</v>
      </c>
      <c r="B2490" s="116">
        <v>2542.5</v>
      </c>
      <c r="C2490" s="116">
        <v>2509.8000000000002</v>
      </c>
      <c r="D2490" s="116">
        <v>2493.1</v>
      </c>
      <c r="E2490" s="116">
        <v>2495.0500000000002</v>
      </c>
      <c r="F2490" s="116">
        <v>2509.8000000000002</v>
      </c>
      <c r="G2490">
        <v>12787</v>
      </c>
      <c r="H2490" s="116"/>
      <c r="I2490" s="116"/>
      <c r="L2490" s="163">
        <v>45671</v>
      </c>
      <c r="M2490" s="116">
        <v>2509.75</v>
      </c>
      <c r="N2490" s="116">
        <v>2545.15</v>
      </c>
      <c r="O2490" s="116">
        <v>2492.1999999999998</v>
      </c>
      <c r="P2490" s="116">
        <v>2505.5</v>
      </c>
      <c r="Q2490" s="116">
        <v>2509.75</v>
      </c>
      <c r="R2490">
        <v>289433</v>
      </c>
    </row>
    <row r="2491" spans="1:18" x14ac:dyDescent="0.25">
      <c r="A2491" s="163">
        <v>45672</v>
      </c>
      <c r="B2491" s="116">
        <v>2528</v>
      </c>
      <c r="C2491" s="116">
        <v>2491.5500000000002</v>
      </c>
      <c r="D2491" s="116">
        <v>2483.65</v>
      </c>
      <c r="E2491" s="116">
        <v>2500</v>
      </c>
      <c r="F2491" s="116">
        <v>2491.5500000000002</v>
      </c>
      <c r="G2491">
        <v>6300</v>
      </c>
      <c r="H2491" s="116"/>
      <c r="I2491" s="116"/>
      <c r="L2491" s="163">
        <v>45672</v>
      </c>
      <c r="M2491" s="116">
        <v>2491.6999999999998</v>
      </c>
      <c r="N2491" s="116">
        <v>2529.25</v>
      </c>
      <c r="O2491" s="116">
        <v>2484.5</v>
      </c>
      <c r="P2491" s="116">
        <v>2505.25</v>
      </c>
      <c r="Q2491" s="116">
        <v>2491.6999999999998</v>
      </c>
      <c r="R2491">
        <v>311184</v>
      </c>
    </row>
    <row r="2492" spans="1:18" x14ac:dyDescent="0.25">
      <c r="A2492" s="163">
        <v>45673</v>
      </c>
      <c r="B2492" s="116">
        <v>2594.0500000000002</v>
      </c>
      <c r="C2492" s="116">
        <v>2585.5</v>
      </c>
      <c r="D2492" s="116">
        <v>2492.1999999999998</v>
      </c>
      <c r="E2492" s="116">
        <v>2492.1999999999998</v>
      </c>
      <c r="F2492" s="116">
        <v>2585.5</v>
      </c>
      <c r="G2492">
        <v>8412</v>
      </c>
      <c r="H2492" s="116"/>
      <c r="I2492" s="116"/>
      <c r="L2492" s="163">
        <v>45673</v>
      </c>
      <c r="M2492" s="116">
        <v>2583.8000000000002</v>
      </c>
      <c r="N2492" s="116">
        <v>2595.85</v>
      </c>
      <c r="O2492" s="116">
        <v>2501.5500000000002</v>
      </c>
      <c r="P2492" s="116">
        <v>2505</v>
      </c>
      <c r="Q2492" s="116">
        <v>2583.8000000000002</v>
      </c>
      <c r="R2492">
        <v>445214</v>
      </c>
    </row>
    <row r="2493" spans="1:18" x14ac:dyDescent="0.25">
      <c r="A2493" s="163">
        <v>45674</v>
      </c>
      <c r="B2493" s="116">
        <v>2631.55</v>
      </c>
      <c r="C2493" s="116">
        <v>2604.85</v>
      </c>
      <c r="D2493" s="116">
        <v>2571.1</v>
      </c>
      <c r="E2493" s="116">
        <v>2580</v>
      </c>
      <c r="F2493" s="116">
        <v>2604.85</v>
      </c>
      <c r="G2493">
        <v>12794</v>
      </c>
      <c r="H2493" s="116"/>
      <c r="I2493" s="116"/>
      <c r="L2493" s="163">
        <v>45674</v>
      </c>
      <c r="M2493" s="116">
        <v>2606.4499999999998</v>
      </c>
      <c r="N2493" s="116">
        <v>2632.65</v>
      </c>
      <c r="O2493" s="116">
        <v>2572.25</v>
      </c>
      <c r="P2493" s="116">
        <v>2583</v>
      </c>
      <c r="Q2493" s="116">
        <v>2606.4499999999998</v>
      </c>
      <c r="R2493">
        <v>543374</v>
      </c>
    </row>
    <row r="2494" spans="1:18" x14ac:dyDescent="0.25">
      <c r="A2494" s="163">
        <v>45677</v>
      </c>
      <c r="B2494" s="116">
        <v>2629.25</v>
      </c>
      <c r="C2494" s="116">
        <v>2610.8000000000002</v>
      </c>
      <c r="D2494" s="116">
        <v>2576.8000000000002</v>
      </c>
      <c r="E2494" s="116">
        <v>2629.25</v>
      </c>
      <c r="F2494" s="116">
        <v>2610.8000000000002</v>
      </c>
      <c r="G2494">
        <v>4598</v>
      </c>
      <c r="H2494" s="116"/>
      <c r="I2494" s="116"/>
      <c r="L2494" s="163">
        <v>45677</v>
      </c>
      <c r="M2494" s="116">
        <v>2612.1</v>
      </c>
      <c r="N2494" s="116">
        <v>2632</v>
      </c>
      <c r="O2494" s="116">
        <v>2575.9499999999998</v>
      </c>
      <c r="P2494" s="116">
        <v>2620</v>
      </c>
      <c r="Q2494" s="116">
        <v>2612.1</v>
      </c>
      <c r="R2494">
        <v>420656</v>
      </c>
    </row>
    <row r="2495" spans="1:18" x14ac:dyDescent="0.25">
      <c r="A2495" s="163">
        <v>45678</v>
      </c>
      <c r="B2495" s="116">
        <v>2631.5</v>
      </c>
      <c r="C2495" s="116">
        <v>2574.35</v>
      </c>
      <c r="D2495" s="116">
        <v>2572.25</v>
      </c>
      <c r="E2495" s="116">
        <v>2614.0500000000002</v>
      </c>
      <c r="F2495" s="116">
        <v>2574.35</v>
      </c>
      <c r="G2495">
        <v>2527</v>
      </c>
      <c r="H2495" s="116"/>
      <c r="I2495" s="116"/>
      <c r="L2495" s="163">
        <v>45678</v>
      </c>
      <c r="M2495" s="116">
        <v>2575.15</v>
      </c>
      <c r="N2495" s="116">
        <v>2632</v>
      </c>
      <c r="O2495" s="116">
        <v>2571.4</v>
      </c>
      <c r="P2495" s="116">
        <v>2614</v>
      </c>
      <c r="Q2495" s="116">
        <v>2575.15</v>
      </c>
      <c r="R2495">
        <v>337461</v>
      </c>
    </row>
    <row r="2496" spans="1:18" x14ac:dyDescent="0.25">
      <c r="A2496" s="163">
        <v>45679</v>
      </c>
      <c r="B2496" s="116">
        <v>2579.4499999999998</v>
      </c>
      <c r="C2496" s="116">
        <v>2521.8000000000002</v>
      </c>
      <c r="D2496" s="116">
        <v>2489.25</v>
      </c>
      <c r="E2496" s="116">
        <v>2559</v>
      </c>
      <c r="F2496" s="116">
        <v>2521.8000000000002</v>
      </c>
      <c r="G2496">
        <v>2838</v>
      </c>
      <c r="H2496" s="116"/>
      <c r="I2496" s="116"/>
      <c r="L2496" s="163">
        <v>45679</v>
      </c>
      <c r="M2496" s="116">
        <v>2523.15</v>
      </c>
      <c r="N2496" s="116">
        <v>2587.1999999999998</v>
      </c>
      <c r="O2496" s="116">
        <v>2487</v>
      </c>
      <c r="P2496" s="116">
        <v>2570</v>
      </c>
      <c r="Q2496" s="116">
        <v>2523.15</v>
      </c>
      <c r="R2496">
        <v>486965</v>
      </c>
    </row>
    <row r="2497" spans="1:18" x14ac:dyDescent="0.25">
      <c r="A2497" s="163">
        <v>45680</v>
      </c>
      <c r="B2497" s="116">
        <v>2617.5</v>
      </c>
      <c r="C2497" s="116">
        <v>2596.6999999999998</v>
      </c>
      <c r="D2497" s="116">
        <v>2505.6</v>
      </c>
      <c r="E2497" s="116">
        <v>2524.8000000000002</v>
      </c>
      <c r="F2497" s="116">
        <v>2596.6999999999998</v>
      </c>
      <c r="G2497">
        <v>6515</v>
      </c>
      <c r="H2497" s="116"/>
      <c r="I2497" s="116"/>
      <c r="L2497" s="163">
        <v>45680</v>
      </c>
      <c r="M2497" s="116">
        <v>2596.75</v>
      </c>
      <c r="N2497" s="116">
        <v>2617.6</v>
      </c>
      <c r="O2497" s="116">
        <v>2505.1</v>
      </c>
      <c r="P2497" s="116">
        <v>2520</v>
      </c>
      <c r="Q2497" s="116">
        <v>2596.75</v>
      </c>
      <c r="R2497">
        <v>448201</v>
      </c>
    </row>
    <row r="2498" spans="1:18" x14ac:dyDescent="0.25">
      <c r="A2498" s="163">
        <v>45681</v>
      </c>
      <c r="B2498" s="116">
        <v>2611</v>
      </c>
      <c r="C2498" s="116">
        <v>2582.5500000000002</v>
      </c>
      <c r="D2498" s="116">
        <v>2551.5</v>
      </c>
      <c r="E2498" s="116">
        <v>2610.6</v>
      </c>
      <c r="F2498" s="116">
        <v>2582.5500000000002</v>
      </c>
      <c r="G2498">
        <v>1667</v>
      </c>
      <c r="H2498" s="116"/>
      <c r="I2498" s="116"/>
      <c r="L2498" s="163">
        <v>45681</v>
      </c>
      <c r="M2498" s="116">
        <v>2583.9499999999998</v>
      </c>
      <c r="N2498" s="116">
        <v>2614.1</v>
      </c>
      <c r="O2498" s="116">
        <v>2552</v>
      </c>
      <c r="P2498" s="116">
        <v>2601</v>
      </c>
      <c r="Q2498" s="116">
        <v>2583.9499999999998</v>
      </c>
      <c r="R2498">
        <v>260384</v>
      </c>
    </row>
    <row r="2499" spans="1:18" x14ac:dyDescent="0.25">
      <c r="A2499" s="163">
        <v>45684</v>
      </c>
      <c r="B2499" s="116">
        <v>2626</v>
      </c>
      <c r="C2499" s="116">
        <v>2569.65</v>
      </c>
      <c r="D2499" s="116">
        <v>2555.0500000000002</v>
      </c>
      <c r="E2499" s="116">
        <v>2584</v>
      </c>
      <c r="F2499" s="116">
        <v>2569.65</v>
      </c>
      <c r="G2499">
        <v>6201</v>
      </c>
      <c r="H2499" s="116"/>
      <c r="I2499" s="116"/>
      <c r="L2499" s="163">
        <v>45684</v>
      </c>
      <c r="M2499" s="116">
        <v>2570.4</v>
      </c>
      <c r="N2499" s="116">
        <v>2628</v>
      </c>
      <c r="O2499" s="116">
        <v>2547</v>
      </c>
      <c r="P2499" s="116">
        <v>2575</v>
      </c>
      <c r="Q2499" s="116">
        <v>2570.4</v>
      </c>
      <c r="R2499">
        <v>651779</v>
      </c>
    </row>
    <row r="2500" spans="1:18" x14ac:dyDescent="0.25">
      <c r="A2500" s="163">
        <v>45685</v>
      </c>
      <c r="B2500" s="116">
        <v>2619</v>
      </c>
      <c r="C2500" s="116">
        <v>2600</v>
      </c>
      <c r="D2500" s="116">
        <v>2550.0500000000002</v>
      </c>
      <c r="E2500" s="116">
        <v>2550.0500000000002</v>
      </c>
      <c r="F2500" s="116">
        <v>2600</v>
      </c>
      <c r="G2500">
        <v>9883</v>
      </c>
      <c r="H2500" s="116"/>
      <c r="I2500" s="116"/>
      <c r="L2500" s="163">
        <v>45685</v>
      </c>
      <c r="M2500" s="116">
        <v>2600.1999999999998</v>
      </c>
      <c r="N2500" s="116">
        <v>2620.9499999999998</v>
      </c>
      <c r="O2500" s="116">
        <v>2569.9</v>
      </c>
      <c r="P2500" s="116">
        <v>2569.9499999999998</v>
      </c>
      <c r="Q2500" s="116">
        <v>2600.1999999999998</v>
      </c>
      <c r="R2500">
        <v>773278</v>
      </c>
    </row>
    <row r="2501" spans="1:18" x14ac:dyDescent="0.25">
      <c r="A2501" s="163">
        <v>45686</v>
      </c>
      <c r="B2501" s="116">
        <v>2676.55</v>
      </c>
      <c r="C2501" s="116">
        <v>2666.55</v>
      </c>
      <c r="D2501" s="116">
        <v>2558.6999999999998</v>
      </c>
      <c r="E2501" s="116">
        <v>2602.1</v>
      </c>
      <c r="F2501" s="116">
        <v>2666.55</v>
      </c>
      <c r="G2501">
        <v>20495</v>
      </c>
      <c r="H2501" s="116"/>
      <c r="I2501" s="116"/>
      <c r="L2501" s="163">
        <v>45686</v>
      </c>
      <c r="M2501" s="116">
        <v>2664.85</v>
      </c>
      <c r="N2501" s="116">
        <v>2677.9</v>
      </c>
      <c r="O2501" s="116">
        <v>2557.75</v>
      </c>
      <c r="P2501" s="116">
        <v>2612</v>
      </c>
      <c r="Q2501" s="116">
        <v>2664.85</v>
      </c>
      <c r="R2501">
        <v>921481</v>
      </c>
    </row>
    <row r="2502" spans="1:18" x14ac:dyDescent="0.25">
      <c r="A2502" s="163">
        <v>45687</v>
      </c>
      <c r="B2502" s="116">
        <v>2848</v>
      </c>
      <c r="C2502" s="116">
        <v>2829.75</v>
      </c>
      <c r="D2502" s="116">
        <v>2637.35</v>
      </c>
      <c r="E2502" s="116">
        <v>2696</v>
      </c>
      <c r="F2502" s="116">
        <v>2829.75</v>
      </c>
      <c r="G2502">
        <v>106952</v>
      </c>
      <c r="H2502" s="116"/>
      <c r="I2502" s="116"/>
      <c r="L2502" s="163">
        <v>45687</v>
      </c>
      <c r="M2502" s="116">
        <v>2831.15</v>
      </c>
      <c r="N2502" s="116">
        <v>2849</v>
      </c>
      <c r="O2502" s="116">
        <v>2636.05</v>
      </c>
      <c r="P2502" s="116">
        <v>2700</v>
      </c>
      <c r="Q2502" s="116">
        <v>2831.15</v>
      </c>
      <c r="R2502">
        <v>3252957</v>
      </c>
    </row>
    <row r="2503" spans="1:18" x14ac:dyDescent="0.25">
      <c r="A2503" s="163">
        <v>45688</v>
      </c>
      <c r="B2503" s="116">
        <v>2893.2</v>
      </c>
      <c r="C2503" s="116">
        <v>2809.55</v>
      </c>
      <c r="D2503" s="116">
        <v>2782.4</v>
      </c>
      <c r="E2503" s="116">
        <v>2831.2</v>
      </c>
      <c r="F2503" s="116">
        <v>2809.55</v>
      </c>
      <c r="G2503">
        <v>44352</v>
      </c>
      <c r="H2503" s="116"/>
      <c r="I2503" s="116"/>
      <c r="L2503" s="163">
        <v>45688</v>
      </c>
      <c r="M2503" s="116">
        <v>2809.85</v>
      </c>
      <c r="N2503" s="116">
        <v>2895</v>
      </c>
      <c r="O2503" s="116">
        <v>2782</v>
      </c>
      <c r="P2503" s="116">
        <v>2840</v>
      </c>
      <c r="Q2503" s="116">
        <v>2809.85</v>
      </c>
      <c r="R2503">
        <v>1649633</v>
      </c>
    </row>
    <row r="2504" spans="1:18" x14ac:dyDescent="0.25">
      <c r="A2504" s="163">
        <v>45689</v>
      </c>
      <c r="B2504" s="116">
        <v>2864.4</v>
      </c>
      <c r="C2504" s="116">
        <v>2826.55</v>
      </c>
      <c r="D2504" s="116">
        <v>2768.2</v>
      </c>
      <c r="E2504" s="116">
        <v>2810</v>
      </c>
      <c r="F2504" s="116">
        <v>2826.55</v>
      </c>
      <c r="G2504">
        <v>8572</v>
      </c>
      <c r="H2504" s="116"/>
      <c r="I2504" s="116"/>
      <c r="L2504" s="163">
        <v>45689</v>
      </c>
      <c r="M2504" s="116">
        <v>2826.05</v>
      </c>
      <c r="N2504" s="116">
        <v>2862.45</v>
      </c>
      <c r="O2504" s="116">
        <v>2764.05</v>
      </c>
      <c r="P2504" s="116">
        <v>2820</v>
      </c>
      <c r="Q2504" s="116">
        <v>2826.05</v>
      </c>
      <c r="R2504">
        <v>409517</v>
      </c>
    </row>
    <row r="2505" spans="1:18" x14ac:dyDescent="0.25">
      <c r="A2505" s="163">
        <v>45691</v>
      </c>
      <c r="B2505" s="116">
        <v>2970</v>
      </c>
      <c r="C2505" s="116">
        <v>2944.45</v>
      </c>
      <c r="D2505" s="116">
        <v>2826.3</v>
      </c>
      <c r="E2505" s="116">
        <v>2876.35</v>
      </c>
      <c r="F2505" s="116">
        <v>2944.45</v>
      </c>
      <c r="G2505">
        <v>58044</v>
      </c>
      <c r="H2505" s="116"/>
      <c r="I2505" s="116"/>
      <c r="L2505" s="163">
        <v>45691</v>
      </c>
      <c r="M2505" s="116">
        <v>2942.7</v>
      </c>
      <c r="N2505" s="116">
        <v>2970</v>
      </c>
      <c r="O2505" s="116">
        <v>2826.05</v>
      </c>
      <c r="P2505" s="116">
        <v>2875</v>
      </c>
      <c r="Q2505" s="116">
        <v>2942.7</v>
      </c>
      <c r="R2505">
        <v>2457417</v>
      </c>
    </row>
    <row r="2506" spans="1:18" x14ac:dyDescent="0.25">
      <c r="A2506" s="163">
        <v>45692</v>
      </c>
      <c r="B2506" s="116">
        <v>2980</v>
      </c>
      <c r="C2506" s="116">
        <v>2968.15</v>
      </c>
      <c r="D2506" s="116">
        <v>2922.5</v>
      </c>
      <c r="E2506" s="116">
        <v>2939.95</v>
      </c>
      <c r="F2506" s="116">
        <v>2968.15</v>
      </c>
      <c r="G2506">
        <v>25466</v>
      </c>
      <c r="H2506" s="116"/>
      <c r="I2506" s="116"/>
      <c r="L2506" s="163">
        <v>45692</v>
      </c>
      <c r="M2506" s="116">
        <v>2970.25</v>
      </c>
      <c r="N2506" s="116">
        <v>2980</v>
      </c>
      <c r="O2506" s="116">
        <v>2917.9</v>
      </c>
      <c r="P2506" s="116">
        <v>2920</v>
      </c>
      <c r="Q2506" s="116">
        <v>2970.25</v>
      </c>
      <c r="R2506">
        <v>1166529</v>
      </c>
    </row>
    <row r="2507" spans="1:18" x14ac:dyDescent="0.25">
      <c r="A2507" s="163">
        <v>45693</v>
      </c>
      <c r="B2507" s="116">
        <v>2994.85</v>
      </c>
      <c r="C2507" s="116">
        <v>2960.05</v>
      </c>
      <c r="D2507" s="116">
        <v>2935.25</v>
      </c>
      <c r="E2507" s="116">
        <v>2994.85</v>
      </c>
      <c r="F2507" s="116">
        <v>2960.05</v>
      </c>
      <c r="G2507">
        <v>14373</v>
      </c>
      <c r="H2507" s="116"/>
      <c r="I2507" s="116"/>
      <c r="L2507" s="163">
        <v>45693</v>
      </c>
      <c r="M2507" s="116">
        <v>2958.75</v>
      </c>
      <c r="N2507" s="116">
        <v>2983.9</v>
      </c>
      <c r="O2507" s="116">
        <v>2932.5</v>
      </c>
      <c r="P2507" s="116">
        <v>2965.25</v>
      </c>
      <c r="Q2507" s="116">
        <v>2958.75</v>
      </c>
      <c r="R2507">
        <v>554628</v>
      </c>
    </row>
    <row r="2508" spans="1:18" x14ac:dyDescent="0.25">
      <c r="A2508" s="163">
        <v>45694</v>
      </c>
      <c r="B2508" s="116">
        <v>2958</v>
      </c>
      <c r="C2508" s="116">
        <v>2894.45</v>
      </c>
      <c r="D2508" s="116">
        <v>2875.15</v>
      </c>
      <c r="E2508" s="116">
        <v>2957.95</v>
      </c>
      <c r="F2508" s="116">
        <v>2894.45</v>
      </c>
      <c r="G2508">
        <v>22415</v>
      </c>
      <c r="H2508" s="116"/>
      <c r="I2508" s="116"/>
      <c r="L2508" s="163">
        <v>45694</v>
      </c>
      <c r="M2508" s="116">
        <v>2894.3</v>
      </c>
      <c r="N2508" s="116">
        <v>2958.75</v>
      </c>
      <c r="O2508" s="116">
        <v>2874.8</v>
      </c>
      <c r="P2508" s="116">
        <v>2935</v>
      </c>
      <c r="Q2508" s="116">
        <v>2894.3</v>
      </c>
      <c r="R2508">
        <v>479146</v>
      </c>
    </row>
    <row r="2509" spans="1:18" x14ac:dyDescent="0.25">
      <c r="A2509" s="163">
        <v>45695</v>
      </c>
      <c r="B2509" s="116">
        <v>2912.8</v>
      </c>
      <c r="C2509" s="116">
        <v>2881.5</v>
      </c>
      <c r="D2509" s="116">
        <v>2852.55</v>
      </c>
      <c r="E2509" s="116">
        <v>2894.55</v>
      </c>
      <c r="F2509" s="116">
        <v>2881.5</v>
      </c>
      <c r="G2509">
        <v>13215</v>
      </c>
      <c r="H2509" s="116"/>
      <c r="I2509" s="116"/>
      <c r="L2509" s="163">
        <v>45695</v>
      </c>
      <c r="M2509" s="116">
        <v>2879.95</v>
      </c>
      <c r="N2509" s="116">
        <v>2915.3</v>
      </c>
      <c r="O2509" s="116">
        <v>2852.6</v>
      </c>
      <c r="P2509" s="116">
        <v>2909.5</v>
      </c>
      <c r="Q2509" s="116">
        <v>2879.95</v>
      </c>
      <c r="R2509">
        <v>316963</v>
      </c>
    </row>
    <row r="2510" spans="1:18" x14ac:dyDescent="0.25">
      <c r="A2510" s="163">
        <v>45698</v>
      </c>
      <c r="B2510" s="116">
        <v>2909.95</v>
      </c>
      <c r="C2510" s="116">
        <v>2857.15</v>
      </c>
      <c r="D2510" s="116">
        <v>2842.6</v>
      </c>
      <c r="E2510" s="116">
        <v>2909.95</v>
      </c>
      <c r="F2510" s="116">
        <v>2857.15</v>
      </c>
      <c r="G2510">
        <v>18223</v>
      </c>
      <c r="H2510" s="116"/>
      <c r="I2510" s="116"/>
      <c r="L2510" s="163">
        <v>45698</v>
      </c>
      <c r="M2510" s="116">
        <v>2856.05</v>
      </c>
      <c r="N2510" s="116">
        <v>2909.95</v>
      </c>
      <c r="O2510" s="116">
        <v>2843.05</v>
      </c>
      <c r="P2510" s="116">
        <v>2899</v>
      </c>
      <c r="Q2510" s="116">
        <v>2856.05</v>
      </c>
      <c r="R2510">
        <v>334621</v>
      </c>
    </row>
    <row r="2511" spans="1:18" x14ac:dyDescent="0.25">
      <c r="A2511" s="163">
        <v>45699</v>
      </c>
      <c r="B2511" s="116">
        <v>2864.75</v>
      </c>
      <c r="C2511" s="116">
        <v>2809.35</v>
      </c>
      <c r="D2511" s="116">
        <v>2769.65</v>
      </c>
      <c r="E2511" s="116">
        <v>2828.05</v>
      </c>
      <c r="F2511" s="116">
        <v>2809.35</v>
      </c>
      <c r="G2511">
        <v>27620</v>
      </c>
      <c r="H2511" s="116"/>
      <c r="I2511" s="116"/>
      <c r="L2511" s="163">
        <v>45699</v>
      </c>
      <c r="M2511" s="116">
        <v>2812.15</v>
      </c>
      <c r="N2511" s="116">
        <v>2868.8</v>
      </c>
      <c r="O2511" s="116">
        <v>2771.65</v>
      </c>
      <c r="P2511" s="116">
        <v>2860</v>
      </c>
      <c r="Q2511" s="116">
        <v>2812.15</v>
      </c>
      <c r="R2511">
        <v>385518</v>
      </c>
    </row>
    <row r="2512" spans="1:18" x14ac:dyDescent="0.25">
      <c r="A2512" s="163">
        <v>45700</v>
      </c>
      <c r="B2512" s="116">
        <v>2865</v>
      </c>
      <c r="C2512" s="116">
        <v>2823.8</v>
      </c>
      <c r="D2512" s="116">
        <v>2752.3</v>
      </c>
      <c r="E2512" s="116">
        <v>2809.95</v>
      </c>
      <c r="F2512" s="116">
        <v>2823.8</v>
      </c>
      <c r="G2512">
        <v>9981</v>
      </c>
      <c r="H2512" s="116"/>
      <c r="I2512" s="116"/>
      <c r="L2512" s="163">
        <v>45700</v>
      </c>
      <c r="M2512" s="116">
        <v>2828.35</v>
      </c>
      <c r="N2512" s="116">
        <v>2866</v>
      </c>
      <c r="O2512" s="116">
        <v>2752.45</v>
      </c>
      <c r="P2512" s="116">
        <v>2795</v>
      </c>
      <c r="Q2512" s="116">
        <v>2828.35</v>
      </c>
      <c r="R2512">
        <v>764079</v>
      </c>
    </row>
    <row r="2513" spans="1:18" x14ac:dyDescent="0.25">
      <c r="A2513" s="163">
        <v>45701</v>
      </c>
      <c r="B2513" s="116">
        <v>2885.1</v>
      </c>
      <c r="C2513" s="116">
        <v>2841.4</v>
      </c>
      <c r="D2513" s="116">
        <v>2812.25</v>
      </c>
      <c r="E2513" s="116">
        <v>2859.95</v>
      </c>
      <c r="F2513" s="116">
        <v>2841.4</v>
      </c>
      <c r="G2513">
        <v>5669</v>
      </c>
      <c r="H2513" s="116"/>
      <c r="I2513" s="116"/>
      <c r="L2513" s="163">
        <v>45701</v>
      </c>
      <c r="M2513" s="116">
        <v>2841.45</v>
      </c>
      <c r="N2513" s="116">
        <v>2885</v>
      </c>
      <c r="O2513" s="116">
        <v>2810</v>
      </c>
      <c r="P2513" s="116">
        <v>2856</v>
      </c>
      <c r="Q2513" s="116">
        <v>2841.45</v>
      </c>
      <c r="R2513">
        <v>584788</v>
      </c>
    </row>
    <row r="2514" spans="1:18" x14ac:dyDescent="0.25">
      <c r="A2514" s="163">
        <v>45702</v>
      </c>
      <c r="B2514" s="116">
        <v>2853.05</v>
      </c>
      <c r="C2514" s="116">
        <v>2751.35</v>
      </c>
      <c r="D2514" s="116">
        <v>2725</v>
      </c>
      <c r="E2514" s="116">
        <v>2853.05</v>
      </c>
      <c r="F2514" s="116">
        <v>2751.35</v>
      </c>
      <c r="G2514">
        <v>74849</v>
      </c>
      <c r="H2514" s="116"/>
      <c r="I2514" s="116"/>
      <c r="L2514" s="163">
        <v>45702</v>
      </c>
      <c r="M2514" s="116">
        <v>2752.25</v>
      </c>
      <c r="N2514" s="116">
        <v>2849.95</v>
      </c>
      <c r="O2514" s="116">
        <v>2723.6</v>
      </c>
      <c r="P2514" s="116">
        <v>2849</v>
      </c>
      <c r="Q2514" s="116">
        <v>2752.25</v>
      </c>
      <c r="R2514">
        <v>619621</v>
      </c>
    </row>
    <row r="2515" spans="1:18" x14ac:dyDescent="0.25">
      <c r="A2515" s="163">
        <v>45705</v>
      </c>
      <c r="B2515" s="116">
        <v>2759.5</v>
      </c>
      <c r="C2515" s="116">
        <v>2748.85</v>
      </c>
      <c r="D2515" s="116">
        <v>2715.55</v>
      </c>
      <c r="E2515" s="116">
        <v>2751.35</v>
      </c>
      <c r="F2515" s="116">
        <v>2748.85</v>
      </c>
      <c r="G2515">
        <v>13317</v>
      </c>
      <c r="H2515" s="116"/>
      <c r="I2515" s="116"/>
      <c r="L2515" s="163">
        <v>45705</v>
      </c>
      <c r="M2515" s="116">
        <v>2747.8</v>
      </c>
      <c r="N2515" s="116">
        <v>2763.95</v>
      </c>
      <c r="O2515" s="116">
        <v>2707.45</v>
      </c>
      <c r="P2515" s="116">
        <v>2750</v>
      </c>
      <c r="Q2515" s="116">
        <v>2747.8</v>
      </c>
      <c r="R2515">
        <v>307026</v>
      </c>
    </row>
    <row r="2516" spans="1:18" x14ac:dyDescent="0.25">
      <c r="A2516" s="163">
        <v>45706</v>
      </c>
      <c r="B2516" s="116">
        <v>2764.75</v>
      </c>
      <c r="C2516" s="116">
        <v>2741.4</v>
      </c>
      <c r="D2516" s="116">
        <v>2725.25</v>
      </c>
      <c r="E2516" s="116">
        <v>2747.8</v>
      </c>
      <c r="F2516" s="116">
        <v>2741.4</v>
      </c>
      <c r="G2516">
        <v>6446</v>
      </c>
      <c r="H2516" s="116"/>
      <c r="I2516" s="116"/>
      <c r="L2516" s="163">
        <v>45706</v>
      </c>
      <c r="M2516" s="116">
        <v>2741.1</v>
      </c>
      <c r="N2516" s="116">
        <v>2765.45</v>
      </c>
      <c r="O2516" s="116">
        <v>2726.75</v>
      </c>
      <c r="P2516" s="116">
        <v>2749.25</v>
      </c>
      <c r="Q2516" s="116">
        <v>2741.1</v>
      </c>
      <c r="R2516">
        <v>292273</v>
      </c>
    </row>
    <row r="2517" spans="1:18" x14ac:dyDescent="0.25">
      <c r="A2517" s="163">
        <v>45707</v>
      </c>
      <c r="B2517" s="116">
        <v>2761.55</v>
      </c>
      <c r="C2517" s="116">
        <v>2727.25</v>
      </c>
      <c r="D2517" s="116">
        <v>2712.35</v>
      </c>
      <c r="E2517" s="116">
        <v>2730.45</v>
      </c>
      <c r="F2517" s="116">
        <v>2727.25</v>
      </c>
      <c r="G2517">
        <v>9978</v>
      </c>
      <c r="H2517" s="116"/>
      <c r="I2517" s="116"/>
      <c r="L2517" s="163">
        <v>45707</v>
      </c>
      <c r="M2517" s="116">
        <v>2728</v>
      </c>
      <c r="N2517" s="116">
        <v>2764</v>
      </c>
      <c r="O2517" s="116">
        <v>2711.8</v>
      </c>
      <c r="P2517" s="116">
        <v>2738.6</v>
      </c>
      <c r="Q2517" s="116">
        <v>2728</v>
      </c>
      <c r="R2517">
        <v>231538</v>
      </c>
    </row>
    <row r="2518" spans="1:18" x14ac:dyDescent="0.25">
      <c r="A2518" s="163">
        <v>45708</v>
      </c>
      <c r="B2518" s="116">
        <v>2803.85</v>
      </c>
      <c r="C2518" s="116">
        <v>2795.45</v>
      </c>
      <c r="D2518" s="116">
        <v>2711.85</v>
      </c>
      <c r="E2518" s="116">
        <v>2727.8</v>
      </c>
      <c r="F2518" s="116">
        <v>2795.45</v>
      </c>
      <c r="G2518">
        <v>6980</v>
      </c>
      <c r="H2518" s="116"/>
      <c r="I2518" s="116"/>
      <c r="L2518" s="163">
        <v>45708</v>
      </c>
      <c r="M2518" s="116">
        <v>2795.9</v>
      </c>
      <c r="N2518" s="116">
        <v>2806</v>
      </c>
      <c r="O2518" s="116">
        <v>2707.05</v>
      </c>
      <c r="P2518" s="116">
        <v>2714</v>
      </c>
      <c r="Q2518" s="116">
        <v>2795.9</v>
      </c>
      <c r="R2518">
        <v>351713</v>
      </c>
    </row>
    <row r="2519" spans="1:18" x14ac:dyDescent="0.25">
      <c r="A2519" s="163">
        <v>45709</v>
      </c>
      <c r="B2519" s="116">
        <v>2818</v>
      </c>
      <c r="C2519" s="116">
        <v>2776.2</v>
      </c>
      <c r="D2519" s="116">
        <v>2754.25</v>
      </c>
      <c r="E2519" s="116">
        <v>2807</v>
      </c>
      <c r="F2519" s="116">
        <v>2776.2</v>
      </c>
      <c r="G2519">
        <v>5547</v>
      </c>
      <c r="H2519" s="116"/>
      <c r="I2519" s="116"/>
      <c r="L2519" s="163">
        <v>45709</v>
      </c>
      <c r="M2519" s="116">
        <v>2778.9</v>
      </c>
      <c r="N2519" s="116">
        <v>2824.6</v>
      </c>
      <c r="O2519" s="116">
        <v>2754</v>
      </c>
      <c r="P2519" s="116">
        <v>2796</v>
      </c>
      <c r="Q2519" s="116">
        <v>2778.9</v>
      </c>
      <c r="R2519">
        <v>424887</v>
      </c>
    </row>
    <row r="2520" spans="1:18" x14ac:dyDescent="0.25">
      <c r="A2520" s="163">
        <v>45712</v>
      </c>
      <c r="B2520" s="116">
        <v>2798</v>
      </c>
      <c r="C2520" s="116">
        <v>2757.65</v>
      </c>
      <c r="D2520" s="116">
        <v>2742</v>
      </c>
      <c r="E2520" s="116">
        <v>2756.6</v>
      </c>
      <c r="F2520" s="116">
        <v>2757.65</v>
      </c>
      <c r="G2520">
        <v>3384</v>
      </c>
      <c r="H2520" s="116"/>
      <c r="I2520" s="116"/>
      <c r="L2520" s="163">
        <v>45712</v>
      </c>
      <c r="M2520" s="116">
        <v>2759.35</v>
      </c>
      <c r="N2520" s="116">
        <v>2796.6</v>
      </c>
      <c r="O2520" s="116">
        <v>2740.4</v>
      </c>
      <c r="P2520" s="116">
        <v>2772</v>
      </c>
      <c r="Q2520" s="116">
        <v>2759.35</v>
      </c>
      <c r="R2520">
        <v>366653</v>
      </c>
    </row>
    <row r="2521" spans="1:18" x14ac:dyDescent="0.25">
      <c r="A2521" s="163">
        <v>45713</v>
      </c>
      <c r="B2521" s="116">
        <v>2787.9</v>
      </c>
      <c r="C2521" s="116">
        <v>2762.9</v>
      </c>
      <c r="D2521" s="116">
        <v>2722.25</v>
      </c>
      <c r="E2521" s="116">
        <v>2754.75</v>
      </c>
      <c r="F2521" s="116">
        <v>2762.9</v>
      </c>
      <c r="G2521">
        <v>6188</v>
      </c>
      <c r="H2521" s="116"/>
      <c r="I2521" s="116"/>
      <c r="L2521" s="163">
        <v>45713</v>
      </c>
      <c r="M2521" s="116">
        <v>2768.05</v>
      </c>
      <c r="N2521" s="116">
        <v>2791.15</v>
      </c>
      <c r="O2521" s="116">
        <v>2720.1</v>
      </c>
      <c r="P2521" s="116">
        <v>2756.6</v>
      </c>
      <c r="Q2521" s="116">
        <v>2768.05</v>
      </c>
      <c r="R2521">
        <v>510161</v>
      </c>
    </row>
    <row r="2522" spans="1:18" x14ac:dyDescent="0.25">
      <c r="A2522" s="163">
        <v>45715</v>
      </c>
      <c r="B2522" s="116">
        <v>2864.35</v>
      </c>
      <c r="C2522" s="116">
        <v>2854</v>
      </c>
      <c r="D2522" s="116">
        <v>2795.1</v>
      </c>
      <c r="E2522" s="116">
        <v>2799.75</v>
      </c>
      <c r="F2522" s="116">
        <v>2854</v>
      </c>
      <c r="G2522">
        <v>19998</v>
      </c>
      <c r="H2522" s="116"/>
      <c r="I2522" s="116"/>
      <c r="L2522" s="163">
        <v>45715</v>
      </c>
      <c r="M2522" s="116">
        <v>2854</v>
      </c>
      <c r="N2522" s="116">
        <v>2864.5</v>
      </c>
      <c r="O2522" s="116">
        <v>2795.75</v>
      </c>
      <c r="P2522" s="116">
        <v>2798</v>
      </c>
      <c r="Q2522" s="116">
        <v>2854</v>
      </c>
      <c r="R2522">
        <v>1514535</v>
      </c>
    </row>
    <row r="2523" spans="1:18" x14ac:dyDescent="0.25">
      <c r="A2523" s="163">
        <v>45716</v>
      </c>
      <c r="B2523" s="116">
        <v>2829.25</v>
      </c>
      <c r="C2523" s="116">
        <v>2795.2</v>
      </c>
      <c r="D2523" s="116">
        <v>2760</v>
      </c>
      <c r="E2523" s="116">
        <v>2829.25</v>
      </c>
      <c r="F2523" s="116">
        <v>2795.2</v>
      </c>
      <c r="G2523">
        <v>16968</v>
      </c>
      <c r="H2523" s="116"/>
      <c r="I2523" s="116"/>
      <c r="L2523" s="163">
        <v>45716</v>
      </c>
      <c r="M2523" s="116">
        <v>2795.4</v>
      </c>
      <c r="N2523" s="116">
        <v>2831</v>
      </c>
      <c r="O2523" s="116">
        <v>2759.05</v>
      </c>
      <c r="P2523" s="116">
        <v>2826.1</v>
      </c>
      <c r="Q2523" s="116">
        <v>2795.4</v>
      </c>
      <c r="R2523">
        <v>1004086</v>
      </c>
    </row>
    <row r="2524" spans="1:18" x14ac:dyDescent="0.25">
      <c r="A2524" s="163">
        <v>45719</v>
      </c>
      <c r="B2524" s="116">
        <v>2835</v>
      </c>
      <c r="C2524" s="116">
        <v>2826.9</v>
      </c>
      <c r="D2524" s="116">
        <v>2728.75</v>
      </c>
      <c r="E2524" s="116">
        <v>2795</v>
      </c>
      <c r="F2524" s="116">
        <v>2826.9</v>
      </c>
      <c r="G2524">
        <v>6844</v>
      </c>
      <c r="H2524" s="116"/>
      <c r="I2524" s="116"/>
      <c r="L2524" s="163">
        <v>45719</v>
      </c>
      <c r="M2524" s="116">
        <v>2826.7</v>
      </c>
      <c r="N2524" s="116">
        <v>2835.95</v>
      </c>
      <c r="O2524" s="116">
        <v>2725.25</v>
      </c>
      <c r="P2524" s="116">
        <v>2790.1</v>
      </c>
      <c r="Q2524" s="116">
        <v>2826.7</v>
      </c>
      <c r="R2524">
        <v>445987</v>
      </c>
    </row>
    <row r="2525" spans="1:18" x14ac:dyDescent="0.25">
      <c r="A2525" s="163">
        <v>45720</v>
      </c>
      <c r="B2525" s="116">
        <v>2902.75</v>
      </c>
      <c r="C2525" s="116">
        <v>2853.55</v>
      </c>
      <c r="D2525" s="116">
        <v>2782</v>
      </c>
      <c r="E2525" s="116">
        <v>2800</v>
      </c>
      <c r="F2525" s="116">
        <v>2853.55</v>
      </c>
      <c r="G2525">
        <v>16490</v>
      </c>
      <c r="H2525" s="116"/>
      <c r="I2525" s="116"/>
      <c r="L2525" s="163">
        <v>45720</v>
      </c>
      <c r="M2525" s="116">
        <v>2853.3</v>
      </c>
      <c r="N2525" s="116">
        <v>2901.65</v>
      </c>
      <c r="O2525" s="116">
        <v>2782.15</v>
      </c>
      <c r="P2525" s="116">
        <v>2819.9</v>
      </c>
      <c r="Q2525" s="116">
        <v>2853.3</v>
      </c>
      <c r="R2525">
        <v>499754</v>
      </c>
    </row>
    <row r="2526" spans="1:18" x14ac:dyDescent="0.25">
      <c r="A2526" s="163">
        <v>45721</v>
      </c>
      <c r="B2526" s="116">
        <v>2885</v>
      </c>
      <c r="C2526" s="116">
        <v>2846.05</v>
      </c>
      <c r="D2526" s="116">
        <v>2834.3</v>
      </c>
      <c r="E2526" s="116">
        <v>2879.5</v>
      </c>
      <c r="F2526" s="116">
        <v>2846.05</v>
      </c>
      <c r="G2526">
        <v>11409</v>
      </c>
      <c r="H2526" s="116"/>
      <c r="I2526" s="116"/>
      <c r="L2526" s="163">
        <v>45721</v>
      </c>
      <c r="M2526" s="116">
        <v>2844.85</v>
      </c>
      <c r="N2526" s="116">
        <v>2885</v>
      </c>
      <c r="O2526" s="116">
        <v>2834.15</v>
      </c>
      <c r="P2526" s="116">
        <v>2853.3</v>
      </c>
      <c r="Q2526" s="116">
        <v>2844.85</v>
      </c>
      <c r="R2526">
        <v>534732</v>
      </c>
    </row>
    <row r="2527" spans="1:18" x14ac:dyDescent="0.25">
      <c r="A2527" s="163">
        <v>45722</v>
      </c>
      <c r="B2527" s="116">
        <v>2872.3</v>
      </c>
      <c r="C2527" s="116">
        <v>2848.75</v>
      </c>
      <c r="D2527" s="116">
        <v>2823.2</v>
      </c>
      <c r="E2527" s="116">
        <v>2853.2</v>
      </c>
      <c r="F2527" s="116">
        <v>2848.75</v>
      </c>
      <c r="G2527">
        <v>10230</v>
      </c>
      <c r="H2527" s="116"/>
      <c r="I2527" s="116"/>
      <c r="L2527" s="163">
        <v>45722</v>
      </c>
      <c r="M2527" s="116">
        <v>2851.6</v>
      </c>
      <c r="N2527" s="116">
        <v>2879</v>
      </c>
      <c r="O2527" s="116">
        <v>2822.95</v>
      </c>
      <c r="P2527" s="116">
        <v>2859.95</v>
      </c>
      <c r="Q2527" s="116">
        <v>2851.6</v>
      </c>
      <c r="R2527">
        <v>404634</v>
      </c>
    </row>
    <row r="2528" spans="1:18" x14ac:dyDescent="0.25">
      <c r="A2528" s="163">
        <v>45723</v>
      </c>
      <c r="B2528" s="116">
        <v>2944.85</v>
      </c>
      <c r="C2528" s="116">
        <v>2934.35</v>
      </c>
      <c r="D2528" s="116">
        <v>2849.35</v>
      </c>
      <c r="E2528" s="116">
        <v>2852.45</v>
      </c>
      <c r="F2528" s="116">
        <v>2934.35</v>
      </c>
      <c r="G2528">
        <v>18934</v>
      </c>
      <c r="H2528" s="116"/>
      <c r="I2528" s="116"/>
      <c r="L2528" s="163">
        <v>45723</v>
      </c>
      <c r="M2528" s="116">
        <v>2935.35</v>
      </c>
      <c r="N2528" s="116">
        <v>2945.1</v>
      </c>
      <c r="O2528" s="116">
        <v>2847.1</v>
      </c>
      <c r="P2528" s="116">
        <v>2860.9</v>
      </c>
      <c r="Q2528" s="116">
        <v>2935.35</v>
      </c>
      <c r="R2528">
        <v>1417602</v>
      </c>
    </row>
    <row r="2529" spans="1:18" x14ac:dyDescent="0.25">
      <c r="A2529" s="163">
        <v>45726</v>
      </c>
      <c r="B2529" s="116">
        <v>2963</v>
      </c>
      <c r="C2529" s="116">
        <v>2925.3</v>
      </c>
      <c r="D2529" s="116">
        <v>2890.3</v>
      </c>
      <c r="E2529" s="116">
        <v>2961.9</v>
      </c>
      <c r="F2529" s="116">
        <v>2925.3</v>
      </c>
      <c r="G2529">
        <v>10894</v>
      </c>
      <c r="H2529" s="116"/>
      <c r="I2529" s="116"/>
      <c r="L2529" s="163">
        <v>45726</v>
      </c>
      <c r="M2529" s="116">
        <v>2938.15</v>
      </c>
      <c r="N2529" s="116">
        <v>2964.85</v>
      </c>
      <c r="O2529" s="116">
        <v>2887.3</v>
      </c>
      <c r="P2529" s="116">
        <v>2945</v>
      </c>
      <c r="Q2529" s="116">
        <v>2938.15</v>
      </c>
      <c r="R2529">
        <v>863371</v>
      </c>
    </row>
    <row r="2530" spans="1:18" x14ac:dyDescent="0.25">
      <c r="A2530" s="163">
        <v>45727</v>
      </c>
      <c r="B2530" s="116">
        <v>2948</v>
      </c>
      <c r="C2530" s="116">
        <v>2928.5</v>
      </c>
      <c r="D2530" s="116">
        <v>2866.5</v>
      </c>
      <c r="E2530" s="116">
        <v>2920.45</v>
      </c>
      <c r="F2530" s="116">
        <v>2928.5</v>
      </c>
      <c r="G2530">
        <v>7302</v>
      </c>
      <c r="H2530" s="116"/>
      <c r="I2530" s="116"/>
      <c r="L2530" s="163">
        <v>45727</v>
      </c>
      <c r="M2530" s="116">
        <v>2921.25</v>
      </c>
      <c r="N2530" s="116">
        <v>2950</v>
      </c>
      <c r="O2530" s="116">
        <v>2862.7</v>
      </c>
      <c r="P2530" s="116">
        <v>2938.15</v>
      </c>
      <c r="Q2530" s="116">
        <v>2921.25</v>
      </c>
      <c r="R2530">
        <v>787457</v>
      </c>
    </row>
    <row r="2531" spans="1:18" x14ac:dyDescent="0.25">
      <c r="A2531" s="163">
        <v>45728</v>
      </c>
      <c r="B2531" s="116">
        <v>2971.5</v>
      </c>
      <c r="C2531" s="116">
        <v>2957.2</v>
      </c>
      <c r="D2531" s="116">
        <v>2910.9</v>
      </c>
      <c r="E2531" s="116">
        <v>2971.5</v>
      </c>
      <c r="F2531" s="116">
        <v>2957.2</v>
      </c>
      <c r="G2531">
        <v>12334</v>
      </c>
      <c r="H2531" s="116"/>
      <c r="I2531" s="116"/>
      <c r="L2531" s="163">
        <v>45728</v>
      </c>
      <c r="M2531" s="116">
        <v>2958.6</v>
      </c>
      <c r="N2531" s="116">
        <v>2969.95</v>
      </c>
      <c r="O2531" s="116">
        <v>2911</v>
      </c>
      <c r="P2531" s="116">
        <v>2955.6</v>
      </c>
      <c r="Q2531" s="116">
        <v>2958.6</v>
      </c>
      <c r="R2531">
        <v>750676</v>
      </c>
    </row>
    <row r="2532" spans="1:18" x14ac:dyDescent="0.25">
      <c r="A2532" s="163">
        <v>45729</v>
      </c>
      <c r="B2532" s="116">
        <v>2961.85</v>
      </c>
      <c r="C2532" s="116">
        <v>2946.4</v>
      </c>
      <c r="D2532" s="116">
        <v>2914.5</v>
      </c>
      <c r="E2532" s="116">
        <v>2932.85</v>
      </c>
      <c r="F2532" s="116">
        <v>2946.4</v>
      </c>
      <c r="G2532">
        <v>6478</v>
      </c>
      <c r="H2532" s="116"/>
      <c r="I2532" s="116"/>
      <c r="L2532" s="163">
        <v>45729</v>
      </c>
      <c r="M2532" s="116">
        <v>2951.8</v>
      </c>
      <c r="N2532" s="116">
        <v>2969</v>
      </c>
      <c r="O2532" s="116">
        <v>2913.1</v>
      </c>
      <c r="P2532" s="116">
        <v>2965</v>
      </c>
      <c r="Q2532" s="116">
        <v>2951.8</v>
      </c>
      <c r="R2532">
        <v>522503</v>
      </c>
    </row>
    <row r="2533" spans="1:18" x14ac:dyDescent="0.25">
      <c r="A2533" s="163">
        <v>45733</v>
      </c>
      <c r="B2533" s="116">
        <v>3028.65</v>
      </c>
      <c r="C2533" s="116">
        <v>3016.3</v>
      </c>
      <c r="D2533" s="116">
        <v>2950</v>
      </c>
      <c r="E2533" s="116">
        <v>2977.7</v>
      </c>
      <c r="F2533" s="116">
        <v>3016.3</v>
      </c>
      <c r="G2533">
        <v>12507</v>
      </c>
      <c r="H2533" s="116"/>
      <c r="I2533" s="116"/>
      <c r="L2533" s="163">
        <v>45733</v>
      </c>
      <c r="M2533" s="116">
        <v>3011.3</v>
      </c>
      <c r="N2533" s="116">
        <v>3029.85</v>
      </c>
      <c r="O2533" s="116">
        <v>2946.1</v>
      </c>
      <c r="P2533" s="116">
        <v>2959.05</v>
      </c>
      <c r="Q2533" s="116">
        <v>3011.3</v>
      </c>
      <c r="R2533">
        <v>882944</v>
      </c>
    </row>
    <row r="2534" spans="1:18" x14ac:dyDescent="0.25">
      <c r="A2534" s="163">
        <v>45734</v>
      </c>
      <c r="B2534" s="116">
        <v>3039.9</v>
      </c>
      <c r="C2534" s="116">
        <v>2987.85</v>
      </c>
      <c r="D2534" s="116">
        <v>2972.95</v>
      </c>
      <c r="E2534" s="116">
        <v>3039.9</v>
      </c>
      <c r="F2534" s="116">
        <v>2987.85</v>
      </c>
      <c r="G2534">
        <v>17751</v>
      </c>
      <c r="H2534" s="116"/>
      <c r="I2534" s="116"/>
      <c r="L2534" s="163">
        <v>45734</v>
      </c>
      <c r="M2534" s="116">
        <v>2989.9</v>
      </c>
      <c r="N2534" s="116">
        <v>3038.5</v>
      </c>
      <c r="O2534" s="116">
        <v>2972</v>
      </c>
      <c r="P2534" s="116">
        <v>3032.6</v>
      </c>
      <c r="Q2534" s="116">
        <v>2989.9</v>
      </c>
      <c r="R2534">
        <v>562367</v>
      </c>
    </row>
    <row r="2535" spans="1:18" x14ac:dyDescent="0.25">
      <c r="A2535" s="163">
        <v>45735</v>
      </c>
      <c r="B2535" s="116">
        <v>3032.9</v>
      </c>
      <c r="C2535" s="116">
        <v>3001.7</v>
      </c>
      <c r="D2535" s="116">
        <v>2982.3</v>
      </c>
      <c r="E2535" s="116">
        <v>2987.05</v>
      </c>
      <c r="F2535" s="116">
        <v>3001.7</v>
      </c>
      <c r="G2535">
        <v>45231</v>
      </c>
      <c r="H2535" s="116"/>
      <c r="I2535" s="116"/>
      <c r="L2535" s="163">
        <v>45735</v>
      </c>
      <c r="M2535" s="116">
        <v>3005.35</v>
      </c>
      <c r="N2535" s="116">
        <v>3032.5</v>
      </c>
      <c r="O2535" s="116">
        <v>2981.4</v>
      </c>
      <c r="P2535" s="116">
        <v>3005</v>
      </c>
      <c r="Q2535" s="116">
        <v>3005.35</v>
      </c>
      <c r="R2535">
        <v>650397</v>
      </c>
    </row>
    <row r="2536" spans="1:18" x14ac:dyDescent="0.25">
      <c r="A2536" s="163">
        <v>45736</v>
      </c>
      <c r="B2536" s="116">
        <v>3036.25</v>
      </c>
      <c r="C2536" s="116">
        <v>2989.7</v>
      </c>
      <c r="D2536" s="116">
        <v>2985.75</v>
      </c>
      <c r="E2536" s="116">
        <v>3031.7</v>
      </c>
      <c r="F2536" s="116">
        <v>2989.7</v>
      </c>
      <c r="G2536">
        <v>4715</v>
      </c>
      <c r="H2536" s="116"/>
      <c r="I2536" s="116"/>
      <c r="L2536" s="163">
        <v>45736</v>
      </c>
      <c r="M2536" s="116">
        <v>2993.1</v>
      </c>
      <c r="N2536" s="116">
        <v>3038</v>
      </c>
      <c r="O2536" s="116">
        <v>2987.85</v>
      </c>
      <c r="P2536" s="116">
        <v>3006.8</v>
      </c>
      <c r="Q2536" s="116">
        <v>2993.1</v>
      </c>
      <c r="R2536">
        <v>682335</v>
      </c>
    </row>
    <row r="2537" spans="1:18" x14ac:dyDescent="0.25">
      <c r="A2537" s="163">
        <v>45737</v>
      </c>
      <c r="B2537" s="116">
        <v>3050</v>
      </c>
      <c r="C2537" s="116">
        <v>3023.9</v>
      </c>
      <c r="D2537" s="116">
        <v>2979.9</v>
      </c>
      <c r="E2537" s="116">
        <v>2995.45</v>
      </c>
      <c r="F2537" s="116">
        <v>3023.9</v>
      </c>
      <c r="G2537">
        <v>36549</v>
      </c>
      <c r="H2537" s="116"/>
      <c r="I2537" s="116"/>
      <c r="L2537" s="163">
        <v>45737</v>
      </c>
      <c r="M2537" s="116">
        <v>3024.35</v>
      </c>
      <c r="N2537" s="116">
        <v>3051.9</v>
      </c>
      <c r="O2537" s="116">
        <v>2978.65</v>
      </c>
      <c r="P2537" s="116">
        <v>3002</v>
      </c>
      <c r="Q2537" s="116">
        <v>3024.35</v>
      </c>
      <c r="R2537">
        <v>701613</v>
      </c>
    </row>
    <row r="2538" spans="1:18" x14ac:dyDescent="0.25">
      <c r="A2538" s="163">
        <v>45740</v>
      </c>
      <c r="B2538" s="116">
        <v>3074.95</v>
      </c>
      <c r="C2538" s="116">
        <v>2991.75</v>
      </c>
      <c r="D2538" s="116">
        <v>2989</v>
      </c>
      <c r="E2538" s="116">
        <v>3074.95</v>
      </c>
      <c r="F2538" s="116">
        <v>2991.75</v>
      </c>
      <c r="G2538">
        <v>4500</v>
      </c>
      <c r="H2538" s="116"/>
      <c r="I2538" s="116"/>
      <c r="L2538" s="163">
        <v>45740</v>
      </c>
      <c r="M2538" s="116">
        <v>2991.35</v>
      </c>
      <c r="N2538" s="116">
        <v>3054.9</v>
      </c>
      <c r="O2538" s="116">
        <v>2987.05</v>
      </c>
      <c r="P2538" s="116">
        <v>3047</v>
      </c>
      <c r="Q2538" s="116">
        <v>2991.35</v>
      </c>
      <c r="R2538">
        <v>473659</v>
      </c>
    </row>
    <row r="2539" spans="1:18" x14ac:dyDescent="0.25">
      <c r="A2539" s="163">
        <v>45741</v>
      </c>
      <c r="B2539" s="116">
        <v>3015.15</v>
      </c>
      <c r="C2539" s="116">
        <v>2944.25</v>
      </c>
      <c r="D2539" s="116">
        <v>2929.6</v>
      </c>
      <c r="E2539" s="116">
        <v>2995.05</v>
      </c>
      <c r="F2539" s="116">
        <v>2944.25</v>
      </c>
      <c r="G2539">
        <v>20571</v>
      </c>
      <c r="H2539" s="116"/>
      <c r="I2539" s="116"/>
      <c r="L2539" s="163">
        <v>45741</v>
      </c>
      <c r="M2539" s="116">
        <v>2945.65</v>
      </c>
      <c r="N2539" s="116">
        <v>3014</v>
      </c>
      <c r="O2539" s="116">
        <v>2930.55</v>
      </c>
      <c r="P2539" s="116">
        <v>3014</v>
      </c>
      <c r="Q2539" s="116">
        <v>2945.65</v>
      </c>
      <c r="R2539">
        <v>556612</v>
      </c>
    </row>
    <row r="2540" spans="1:18" x14ac:dyDescent="0.25">
      <c r="A2540" s="163">
        <v>45742</v>
      </c>
      <c r="B2540" s="116">
        <v>2968.05</v>
      </c>
      <c r="C2540" s="116">
        <v>2870.45</v>
      </c>
      <c r="D2540" s="116">
        <v>2835.45</v>
      </c>
      <c r="E2540" s="116">
        <v>2938.9</v>
      </c>
      <c r="F2540" s="116">
        <v>2870.45</v>
      </c>
      <c r="G2540">
        <v>17994</v>
      </c>
      <c r="H2540" s="116"/>
      <c r="I2540" s="116"/>
      <c r="L2540" s="163">
        <v>45742</v>
      </c>
      <c r="M2540" s="116">
        <v>2893.9</v>
      </c>
      <c r="N2540" s="116">
        <v>2968.5</v>
      </c>
      <c r="O2540" s="116">
        <v>2808.3</v>
      </c>
      <c r="P2540" s="116">
        <v>2937.1</v>
      </c>
      <c r="Q2540" s="116">
        <v>2893.9</v>
      </c>
      <c r="R2540">
        <v>779036</v>
      </c>
    </row>
    <row r="2541" spans="1:18" x14ac:dyDescent="0.25">
      <c r="A2541" s="163">
        <v>45743</v>
      </c>
      <c r="B2541" s="116">
        <v>2961.9</v>
      </c>
      <c r="C2541" s="116">
        <v>2940.5</v>
      </c>
      <c r="D2541" s="116">
        <v>2851.4</v>
      </c>
      <c r="E2541" s="116">
        <v>2851.4</v>
      </c>
      <c r="F2541" s="116">
        <v>2940.5</v>
      </c>
      <c r="G2541">
        <v>49045</v>
      </c>
      <c r="H2541" s="116"/>
      <c r="I2541" s="116"/>
      <c r="L2541" s="163">
        <v>45743</v>
      </c>
      <c r="M2541" s="116">
        <v>2946.45</v>
      </c>
      <c r="N2541" s="116">
        <v>2959</v>
      </c>
      <c r="O2541" s="116">
        <v>2878.05</v>
      </c>
      <c r="P2541" s="116">
        <v>2878.5</v>
      </c>
      <c r="Q2541" s="116">
        <v>2946.45</v>
      </c>
      <c r="R2541">
        <v>847677</v>
      </c>
    </row>
    <row r="2542" spans="1:18" x14ac:dyDescent="0.25">
      <c r="A2542" s="163">
        <v>45744</v>
      </c>
      <c r="B2542" s="116">
        <v>2990</v>
      </c>
      <c r="C2542" s="116">
        <v>2939.35</v>
      </c>
      <c r="D2542" s="116">
        <v>2932.75</v>
      </c>
      <c r="E2542" s="116">
        <v>2963.45</v>
      </c>
      <c r="F2542" s="116">
        <v>2939.35</v>
      </c>
      <c r="G2542">
        <v>5934</v>
      </c>
      <c r="H2542" s="116"/>
      <c r="I2542" s="116"/>
      <c r="L2542" s="163">
        <v>45744</v>
      </c>
      <c r="M2542" s="116">
        <v>2939.15</v>
      </c>
      <c r="N2542" s="116">
        <v>2990.1</v>
      </c>
      <c r="O2542" s="116">
        <v>2931.5</v>
      </c>
      <c r="P2542" s="116">
        <v>2949.7</v>
      </c>
      <c r="Q2542" s="116">
        <v>2939.15</v>
      </c>
      <c r="R2542">
        <v>299741</v>
      </c>
    </row>
    <row r="2543" spans="1:18" x14ac:dyDescent="0.25">
      <c r="A2543" s="163">
        <v>45748</v>
      </c>
      <c r="B2543" s="116">
        <v>2938.8</v>
      </c>
      <c r="C2543" s="116">
        <v>2878.5</v>
      </c>
      <c r="D2543" s="116">
        <v>2854.6</v>
      </c>
      <c r="E2543" s="116">
        <v>2938.8</v>
      </c>
      <c r="F2543" s="116">
        <v>2878.5</v>
      </c>
      <c r="G2543">
        <v>14254</v>
      </c>
      <c r="H2543" s="116"/>
      <c r="I2543" s="116"/>
      <c r="L2543" s="163">
        <v>45748</v>
      </c>
      <c r="M2543" s="116">
        <v>2879.5</v>
      </c>
      <c r="N2543" s="116">
        <v>2937.95</v>
      </c>
      <c r="O2543" s="116">
        <v>2854</v>
      </c>
      <c r="P2543" s="116">
        <v>2931</v>
      </c>
      <c r="Q2543" s="116">
        <v>2879.5</v>
      </c>
      <c r="R2543">
        <v>603406</v>
      </c>
    </row>
    <row r="2544" spans="1:18" x14ac:dyDescent="0.25">
      <c r="A2544" s="163">
        <v>45749</v>
      </c>
      <c r="B2544" s="116">
        <v>2986.25</v>
      </c>
      <c r="C2544" s="116">
        <v>2981.15</v>
      </c>
      <c r="D2544" s="116">
        <v>2851.6</v>
      </c>
      <c r="E2544" s="116">
        <v>2939</v>
      </c>
      <c r="F2544" s="116">
        <v>2981.15</v>
      </c>
      <c r="G2544">
        <v>216150</v>
      </c>
      <c r="H2544" s="116"/>
      <c r="I2544" s="116"/>
      <c r="L2544" s="163">
        <v>45749</v>
      </c>
      <c r="M2544" s="116">
        <v>2981.6</v>
      </c>
      <c r="N2544" s="116">
        <v>2987</v>
      </c>
      <c r="O2544" s="116">
        <v>2851</v>
      </c>
      <c r="P2544" s="116">
        <v>2889</v>
      </c>
      <c r="Q2544" s="116">
        <v>2981.6</v>
      </c>
      <c r="R2544">
        <v>715592</v>
      </c>
    </row>
    <row r="2545" spans="1:18" x14ac:dyDescent="0.25">
      <c r="A2545" s="163">
        <v>45750</v>
      </c>
      <c r="B2545" s="116">
        <v>2963.6</v>
      </c>
      <c r="C2545" s="116">
        <v>2898.75</v>
      </c>
      <c r="D2545" s="116">
        <v>2807</v>
      </c>
      <c r="E2545" s="116">
        <v>2963.6</v>
      </c>
      <c r="F2545" s="116">
        <v>2898.75</v>
      </c>
      <c r="G2545">
        <v>70579</v>
      </c>
      <c r="H2545" s="116"/>
      <c r="I2545" s="116"/>
      <c r="L2545" s="163">
        <v>45750</v>
      </c>
      <c r="M2545" s="116">
        <v>2901.2</v>
      </c>
      <c r="N2545" s="116">
        <v>2960</v>
      </c>
      <c r="O2545" s="116">
        <v>2803.75</v>
      </c>
      <c r="P2545" s="116">
        <v>2960</v>
      </c>
      <c r="Q2545" s="116">
        <v>2901.2</v>
      </c>
      <c r="R2545">
        <v>1345843</v>
      </c>
    </row>
    <row r="2546" spans="1:18" x14ac:dyDescent="0.25">
      <c r="A2546" s="163">
        <v>45751</v>
      </c>
      <c r="B2546" s="116">
        <v>2931</v>
      </c>
      <c r="C2546" s="116">
        <v>2855.5</v>
      </c>
      <c r="D2546" s="116">
        <v>2823.55</v>
      </c>
      <c r="E2546" s="116">
        <v>2890</v>
      </c>
      <c r="F2546" s="116">
        <v>2855.5</v>
      </c>
      <c r="G2546">
        <v>14618</v>
      </c>
      <c r="H2546" s="116"/>
      <c r="I2546" s="116"/>
      <c r="L2546" s="163">
        <v>45751</v>
      </c>
      <c r="M2546" s="116">
        <v>2854.85</v>
      </c>
      <c r="N2546" s="116">
        <v>2933</v>
      </c>
      <c r="O2546" s="116">
        <v>2822</v>
      </c>
      <c r="P2546" s="116">
        <v>2888.1</v>
      </c>
      <c r="Q2546" s="116">
        <v>2854.85</v>
      </c>
      <c r="R2546">
        <v>703507</v>
      </c>
    </row>
    <row r="2547" spans="1:18" x14ac:dyDescent="0.25">
      <c r="A2547" s="163">
        <v>45754</v>
      </c>
      <c r="B2547" s="116">
        <v>2771.25</v>
      </c>
      <c r="C2547" s="116">
        <v>2713.65</v>
      </c>
      <c r="D2547" s="116">
        <v>2569.9499999999998</v>
      </c>
      <c r="E2547" s="116">
        <v>2569.9499999999998</v>
      </c>
      <c r="F2547" s="116">
        <v>2713.65</v>
      </c>
      <c r="G2547">
        <v>35409</v>
      </c>
      <c r="H2547" s="116"/>
      <c r="I2547" s="116"/>
      <c r="L2547" s="163">
        <v>45754</v>
      </c>
      <c r="M2547" s="116">
        <v>2715.2</v>
      </c>
      <c r="N2547" s="116">
        <v>2768.7</v>
      </c>
      <c r="O2547" s="116">
        <v>2570.1999999999998</v>
      </c>
      <c r="P2547" s="116">
        <v>2570.1999999999998</v>
      </c>
      <c r="Q2547" s="116">
        <v>2715.2</v>
      </c>
      <c r="R2547">
        <v>1368024</v>
      </c>
    </row>
    <row r="2548" spans="1:18" x14ac:dyDescent="0.25">
      <c r="A2548" s="163">
        <v>45755</v>
      </c>
      <c r="B2548" s="116">
        <v>2802.75</v>
      </c>
      <c r="C2548" s="116">
        <v>2759.5</v>
      </c>
      <c r="D2548" s="116">
        <v>2722.85</v>
      </c>
      <c r="E2548" s="116">
        <v>2728.6</v>
      </c>
      <c r="F2548" s="116">
        <v>2759.5</v>
      </c>
      <c r="G2548">
        <v>11886</v>
      </c>
      <c r="H2548" s="116"/>
      <c r="I2548" s="116"/>
      <c r="L2548" s="163">
        <v>45755</v>
      </c>
      <c r="M2548" s="116">
        <v>2760.15</v>
      </c>
      <c r="N2548" s="116">
        <v>2806.25</v>
      </c>
      <c r="O2548" s="116">
        <v>2722</v>
      </c>
      <c r="P2548" s="116">
        <v>2740</v>
      </c>
      <c r="Q2548" s="116">
        <v>2760.15</v>
      </c>
      <c r="R2548">
        <v>626510</v>
      </c>
    </row>
    <row r="2549" spans="1:18" x14ac:dyDescent="0.25">
      <c r="A2549" s="163">
        <v>45756</v>
      </c>
      <c r="B2549" s="116">
        <v>2774.1</v>
      </c>
      <c r="C2549" s="116">
        <v>2743.8</v>
      </c>
      <c r="D2549" s="116">
        <v>2705</v>
      </c>
      <c r="E2549" s="116">
        <v>2765</v>
      </c>
      <c r="F2549" s="116">
        <v>2743.8</v>
      </c>
      <c r="G2549">
        <v>3850</v>
      </c>
      <c r="H2549" s="116"/>
      <c r="I2549" s="116"/>
      <c r="L2549" s="163">
        <v>45756</v>
      </c>
      <c r="M2549" s="116">
        <v>2744.4</v>
      </c>
      <c r="N2549" s="116">
        <v>2774.95</v>
      </c>
      <c r="O2549" s="116">
        <v>2705</v>
      </c>
      <c r="P2549" s="116">
        <v>2760.55</v>
      </c>
      <c r="Q2549" s="116">
        <v>2744.4</v>
      </c>
      <c r="R2549">
        <v>367531</v>
      </c>
    </row>
    <row r="2550" spans="1:18" x14ac:dyDescent="0.25">
      <c r="A2550" s="163">
        <v>45758</v>
      </c>
      <c r="B2550" s="116">
        <v>2968</v>
      </c>
      <c r="C2550" s="116">
        <v>2946.35</v>
      </c>
      <c r="D2550" s="116">
        <v>2807</v>
      </c>
      <c r="E2550" s="116">
        <v>2879</v>
      </c>
      <c r="F2550" s="116">
        <v>2946.35</v>
      </c>
      <c r="G2550">
        <v>28884</v>
      </c>
      <c r="H2550" s="116"/>
      <c r="I2550" s="116"/>
      <c r="L2550" s="163">
        <v>45758</v>
      </c>
      <c r="M2550" s="116">
        <v>2947.35</v>
      </c>
      <c r="N2550" s="116">
        <v>2968.4</v>
      </c>
      <c r="O2550" s="116">
        <v>2806.55</v>
      </c>
      <c r="P2550" s="116">
        <v>2838.7</v>
      </c>
      <c r="Q2550" s="116">
        <v>2947.35</v>
      </c>
      <c r="R2550">
        <v>1615027</v>
      </c>
    </row>
    <row r="2551" spans="1:18" x14ac:dyDescent="0.25">
      <c r="A2551" s="163">
        <v>45762</v>
      </c>
      <c r="B2551" s="116">
        <v>3021</v>
      </c>
      <c r="C2551" s="116">
        <v>3009.25</v>
      </c>
      <c r="D2551" s="116">
        <v>2946.5</v>
      </c>
      <c r="E2551" s="116">
        <v>3002.55</v>
      </c>
      <c r="F2551" s="116">
        <v>3009.25</v>
      </c>
      <c r="G2551">
        <v>12182</v>
      </c>
      <c r="H2551" s="116"/>
      <c r="I2551" s="116"/>
      <c r="L2551" s="163">
        <v>45762</v>
      </c>
      <c r="M2551" s="116">
        <v>3007.2</v>
      </c>
      <c r="N2551" s="116">
        <v>3023.1</v>
      </c>
      <c r="O2551" s="116">
        <v>2945</v>
      </c>
      <c r="P2551" s="116">
        <v>3005</v>
      </c>
      <c r="Q2551" s="116">
        <v>3007.2</v>
      </c>
      <c r="R2551">
        <v>781388</v>
      </c>
    </row>
    <row r="2552" spans="1:18" x14ac:dyDescent="0.25">
      <c r="A2552" s="163">
        <v>45763</v>
      </c>
      <c r="B2552" s="116">
        <v>3025.4</v>
      </c>
      <c r="C2552" s="116">
        <v>2991.85</v>
      </c>
      <c r="D2552" s="116">
        <v>2980.6</v>
      </c>
      <c r="E2552" s="116">
        <v>3010</v>
      </c>
      <c r="F2552" s="116">
        <v>2991.85</v>
      </c>
      <c r="G2552">
        <v>8861</v>
      </c>
      <c r="H2552" s="116"/>
      <c r="I2552" s="116"/>
      <c r="L2552" s="163">
        <v>45763</v>
      </c>
      <c r="M2552" s="116">
        <v>2991.6</v>
      </c>
      <c r="N2552" s="116">
        <v>3025</v>
      </c>
      <c r="O2552" s="116">
        <v>2982</v>
      </c>
      <c r="P2552" s="116">
        <v>3011.9</v>
      </c>
      <c r="Q2552" s="116">
        <v>2991.6</v>
      </c>
      <c r="R2552">
        <v>527369</v>
      </c>
    </row>
    <row r="2553" spans="1:18" x14ac:dyDescent="0.25">
      <c r="A2553" s="163">
        <v>45764</v>
      </c>
      <c r="B2553" s="116">
        <v>3024.15</v>
      </c>
      <c r="C2553" s="116">
        <v>2989.35</v>
      </c>
      <c r="D2553" s="116">
        <v>2972.4</v>
      </c>
      <c r="E2553" s="116">
        <v>2984.85</v>
      </c>
      <c r="F2553" s="116">
        <v>2989.35</v>
      </c>
      <c r="G2553">
        <v>10125</v>
      </c>
      <c r="H2553" s="116"/>
      <c r="I2553" s="116"/>
      <c r="L2553" s="163">
        <v>45764</v>
      </c>
      <c r="M2553" s="116">
        <v>2990.4</v>
      </c>
      <c r="N2553" s="116">
        <v>3022.8</v>
      </c>
      <c r="O2553" s="116">
        <v>2971.1</v>
      </c>
      <c r="P2553" s="116">
        <v>2972</v>
      </c>
      <c r="Q2553" s="116">
        <v>2990.4</v>
      </c>
      <c r="R2553">
        <v>608478</v>
      </c>
    </row>
    <row r="2554" spans="1:18" x14ac:dyDescent="0.25">
      <c r="A2554" s="163">
        <v>45768</v>
      </c>
      <c r="B2554" s="116">
        <v>3048.3</v>
      </c>
      <c r="C2554" s="116">
        <v>3030.8</v>
      </c>
      <c r="D2554" s="116">
        <v>2977.85</v>
      </c>
      <c r="E2554" s="116">
        <v>2998.25</v>
      </c>
      <c r="F2554" s="116">
        <v>3030.8</v>
      </c>
      <c r="G2554">
        <v>10467</v>
      </c>
      <c r="H2554" s="116"/>
      <c r="I2554" s="116"/>
      <c r="L2554" s="163">
        <v>45768</v>
      </c>
      <c r="M2554" s="116">
        <v>3029.3</v>
      </c>
      <c r="N2554" s="116">
        <v>3044</v>
      </c>
      <c r="O2554" s="116">
        <v>2976.9</v>
      </c>
      <c r="P2554" s="116">
        <v>2990.4</v>
      </c>
      <c r="Q2554" s="116">
        <v>3029.3</v>
      </c>
      <c r="R2554">
        <v>634268</v>
      </c>
    </row>
    <row r="2555" spans="1:18" x14ac:dyDescent="0.25">
      <c r="A2555" s="163">
        <v>45769</v>
      </c>
      <c r="B2555" s="116">
        <v>3084.85</v>
      </c>
      <c r="C2555" s="116">
        <v>3011.45</v>
      </c>
      <c r="D2555" s="116">
        <v>3006.2</v>
      </c>
      <c r="E2555" s="116">
        <v>3040.35</v>
      </c>
      <c r="F2555" s="116">
        <v>3011.45</v>
      </c>
      <c r="G2555">
        <v>19312</v>
      </c>
      <c r="H2555" s="116"/>
      <c r="I2555" s="116"/>
      <c r="L2555" s="163">
        <v>45769</v>
      </c>
      <c r="M2555" s="116">
        <v>3015</v>
      </c>
      <c r="N2555" s="116">
        <v>3085</v>
      </c>
      <c r="O2555" s="116">
        <v>3007</v>
      </c>
      <c r="P2555" s="116">
        <v>3050</v>
      </c>
      <c r="Q2555" s="116">
        <v>3015</v>
      </c>
      <c r="R2555">
        <v>630973</v>
      </c>
    </row>
    <row r="2556" spans="1:18" x14ac:dyDescent="0.25">
      <c r="A2556" s="163">
        <v>45770</v>
      </c>
      <c r="B2556" s="116">
        <v>3069.95</v>
      </c>
      <c r="C2556" s="116">
        <v>3001.8</v>
      </c>
      <c r="D2556" s="116">
        <v>2975</v>
      </c>
      <c r="E2556" s="116">
        <v>3069.95</v>
      </c>
      <c r="F2556" s="116">
        <v>3001.8</v>
      </c>
      <c r="G2556">
        <v>3272</v>
      </c>
      <c r="H2556" s="116"/>
      <c r="I2556" s="116"/>
      <c r="L2556" s="163">
        <v>45770</v>
      </c>
      <c r="M2556" s="116">
        <v>3000.6</v>
      </c>
      <c r="N2556" s="116">
        <v>3036.5</v>
      </c>
      <c r="O2556" s="116">
        <v>2969.7</v>
      </c>
      <c r="P2556" s="116">
        <v>3022.5</v>
      </c>
      <c r="Q2556" s="116">
        <v>3000.6</v>
      </c>
      <c r="R2556">
        <v>568241</v>
      </c>
    </row>
    <row r="2557" spans="1:18" x14ac:dyDescent="0.25">
      <c r="A2557" s="163">
        <v>45771</v>
      </c>
      <c r="B2557" s="116">
        <v>3056.8</v>
      </c>
      <c r="C2557" s="116">
        <v>3038.2</v>
      </c>
      <c r="D2557" s="116">
        <v>2962.15</v>
      </c>
      <c r="E2557" s="116">
        <v>2962.15</v>
      </c>
      <c r="F2557" s="116">
        <v>3038.2</v>
      </c>
      <c r="G2557">
        <v>10059</v>
      </c>
      <c r="H2557" s="116"/>
      <c r="I2557" s="116"/>
      <c r="L2557" s="163">
        <v>45771</v>
      </c>
      <c r="M2557" s="116">
        <v>3038.5</v>
      </c>
      <c r="N2557" s="116">
        <v>3057.5</v>
      </c>
      <c r="O2557" s="116">
        <v>2975.1</v>
      </c>
      <c r="P2557" s="116">
        <v>2981</v>
      </c>
      <c r="Q2557" s="116">
        <v>3038.5</v>
      </c>
      <c r="R2557">
        <v>646223</v>
      </c>
    </row>
    <row r="2558" spans="1:18" x14ac:dyDescent="0.25">
      <c r="A2558" s="163">
        <v>45772</v>
      </c>
      <c r="B2558" s="116">
        <v>3072.6</v>
      </c>
      <c r="C2558" s="116">
        <v>2970.5</v>
      </c>
      <c r="D2558" s="116">
        <v>2944.3</v>
      </c>
      <c r="E2558" s="116">
        <v>3050.6</v>
      </c>
      <c r="F2558" s="116">
        <v>2970.5</v>
      </c>
      <c r="G2558">
        <v>8354</v>
      </c>
      <c r="H2558" s="116"/>
      <c r="I2558" s="116"/>
      <c r="L2558" s="163">
        <v>45772</v>
      </c>
      <c r="M2558" s="116">
        <v>2968.1</v>
      </c>
      <c r="N2558" s="116">
        <v>3073</v>
      </c>
      <c r="O2558" s="116">
        <v>2943</v>
      </c>
      <c r="P2558" s="116">
        <v>3051.8</v>
      </c>
      <c r="Q2558" s="116">
        <v>2968.1</v>
      </c>
      <c r="R2558">
        <v>333048</v>
      </c>
    </row>
    <row r="2559" spans="1:18" x14ac:dyDescent="0.25">
      <c r="A2559" s="163">
        <v>45775</v>
      </c>
      <c r="B2559" s="116">
        <v>3053</v>
      </c>
      <c r="C2559" s="116">
        <v>3043.7</v>
      </c>
      <c r="D2559" s="116">
        <v>2950.45</v>
      </c>
      <c r="E2559" s="116">
        <v>2950.7</v>
      </c>
      <c r="F2559" s="116">
        <v>3043.7</v>
      </c>
      <c r="G2559">
        <v>40162</v>
      </c>
      <c r="H2559" s="116"/>
      <c r="I2559" s="116"/>
      <c r="L2559" s="163">
        <v>45775</v>
      </c>
      <c r="M2559" s="116">
        <v>3040.3</v>
      </c>
      <c r="N2559" s="116">
        <v>3055.7</v>
      </c>
      <c r="O2559" s="116">
        <v>2950</v>
      </c>
      <c r="P2559" s="116">
        <v>2950</v>
      </c>
      <c r="Q2559" s="116">
        <v>3040.3</v>
      </c>
      <c r="R2559">
        <v>771565</v>
      </c>
    </row>
    <row r="2560" spans="1:18" x14ac:dyDescent="0.25">
      <c r="A2560" s="163">
        <v>45776</v>
      </c>
      <c r="B2560" s="116">
        <v>3056.15</v>
      </c>
      <c r="C2560" s="116">
        <v>3021.1</v>
      </c>
      <c r="D2560" s="116">
        <v>2995.5</v>
      </c>
      <c r="E2560" s="116">
        <v>3044.55</v>
      </c>
      <c r="F2560" s="116">
        <v>3021.1</v>
      </c>
      <c r="G2560">
        <v>28785</v>
      </c>
      <c r="H2560" s="116"/>
      <c r="I2560" s="116"/>
      <c r="L2560" s="163">
        <v>45776</v>
      </c>
      <c r="M2560" s="116">
        <v>3020.5</v>
      </c>
      <c r="N2560" s="116">
        <v>3056.5</v>
      </c>
      <c r="O2560" s="116">
        <v>2996</v>
      </c>
      <c r="P2560" s="116">
        <v>3055</v>
      </c>
      <c r="Q2560" s="116">
        <v>3020.5</v>
      </c>
      <c r="R2560">
        <v>779242</v>
      </c>
    </row>
    <row r="2561" spans="1:18" x14ac:dyDescent="0.25">
      <c r="A2561" s="163">
        <v>45777</v>
      </c>
      <c r="B2561" s="116">
        <v>3048.95</v>
      </c>
      <c r="C2561" s="116">
        <v>3006.25</v>
      </c>
      <c r="D2561" s="116">
        <v>2996.3</v>
      </c>
      <c r="E2561" s="116">
        <v>3021.2</v>
      </c>
      <c r="F2561" s="116">
        <v>3006.25</v>
      </c>
      <c r="G2561">
        <v>10371</v>
      </c>
      <c r="H2561" s="116"/>
      <c r="I2561" s="116"/>
      <c r="L2561" s="163">
        <v>45777</v>
      </c>
      <c r="M2561" s="116">
        <v>3008.9</v>
      </c>
      <c r="N2561" s="116">
        <v>3049</v>
      </c>
      <c r="O2561" s="116">
        <v>2995.5</v>
      </c>
      <c r="P2561" s="116">
        <v>3020.4</v>
      </c>
      <c r="Q2561" s="116">
        <v>3008.9</v>
      </c>
      <c r="R2561">
        <v>439545</v>
      </c>
    </row>
    <row r="2562" spans="1:18" x14ac:dyDescent="0.25">
      <c r="A2562" s="163">
        <v>45779</v>
      </c>
      <c r="B2562" s="116">
        <v>3047.15</v>
      </c>
      <c r="C2562" s="116">
        <v>2969.85</v>
      </c>
      <c r="D2562" s="116">
        <v>2966.75</v>
      </c>
      <c r="E2562" s="116">
        <v>3006.25</v>
      </c>
      <c r="F2562" s="116">
        <v>2969.85</v>
      </c>
      <c r="G2562">
        <v>5383</v>
      </c>
      <c r="H2562" s="116"/>
      <c r="I2562" s="116"/>
      <c r="L2562" s="163">
        <v>45779</v>
      </c>
      <c r="M2562" s="116">
        <v>2970.2</v>
      </c>
      <c r="N2562" s="116">
        <v>3047.8</v>
      </c>
      <c r="O2562" s="116">
        <v>2965.8</v>
      </c>
      <c r="P2562" s="116">
        <v>3009</v>
      </c>
      <c r="Q2562" s="116">
        <v>2970.2</v>
      </c>
      <c r="R2562">
        <v>453383</v>
      </c>
    </row>
    <row r="2563" spans="1:18" x14ac:dyDescent="0.25">
      <c r="A2563" s="163">
        <v>45782</v>
      </c>
      <c r="B2563" s="116">
        <v>3030.1</v>
      </c>
      <c r="C2563" s="116">
        <v>2980.45</v>
      </c>
      <c r="D2563" s="116">
        <v>2971.9</v>
      </c>
      <c r="E2563" s="116">
        <v>2971.9</v>
      </c>
      <c r="F2563" s="116">
        <v>2980.45</v>
      </c>
      <c r="G2563">
        <v>4584</v>
      </c>
      <c r="H2563" s="116"/>
      <c r="I2563" s="116"/>
      <c r="L2563" s="163">
        <v>45782</v>
      </c>
      <c r="M2563" s="116">
        <v>2980.6</v>
      </c>
      <c r="N2563" s="116">
        <v>3032.9</v>
      </c>
      <c r="O2563" s="116">
        <v>2977</v>
      </c>
      <c r="P2563" s="116">
        <v>2983</v>
      </c>
      <c r="Q2563" s="116">
        <v>2980.6</v>
      </c>
      <c r="R2563">
        <v>282980</v>
      </c>
    </row>
    <row r="2564" spans="1:18" x14ac:dyDescent="0.25">
      <c r="A2564" s="163">
        <v>45783</v>
      </c>
      <c r="B2564" s="116">
        <v>2980</v>
      </c>
      <c r="C2564" s="116">
        <v>2924.85</v>
      </c>
      <c r="D2564" s="116">
        <v>2920</v>
      </c>
      <c r="E2564" s="116">
        <v>2969.7</v>
      </c>
      <c r="F2564" s="116">
        <v>2924.85</v>
      </c>
      <c r="G2564">
        <v>4217</v>
      </c>
      <c r="H2564" s="116"/>
      <c r="I2564" s="116"/>
      <c r="L2564" s="163">
        <v>45783</v>
      </c>
      <c r="M2564" s="116">
        <v>2928.1</v>
      </c>
      <c r="N2564" s="116">
        <v>2986.8</v>
      </c>
      <c r="O2564" s="116">
        <v>2918</v>
      </c>
      <c r="P2564" s="116">
        <v>2980.6</v>
      </c>
      <c r="Q2564" s="116">
        <v>2928.1</v>
      </c>
      <c r="R2564">
        <v>300291</v>
      </c>
    </row>
    <row r="2565" spans="1:18" x14ac:dyDescent="0.25">
      <c r="A2565" s="163">
        <v>45784</v>
      </c>
      <c r="B2565" s="116">
        <v>3086.25</v>
      </c>
      <c r="C2565" s="116">
        <v>3053.25</v>
      </c>
      <c r="D2565" s="116">
        <v>2902</v>
      </c>
      <c r="E2565" s="116">
        <v>2902</v>
      </c>
      <c r="F2565" s="116">
        <v>3053.25</v>
      </c>
      <c r="G2565">
        <v>36998</v>
      </c>
      <c r="H2565" s="116"/>
      <c r="I2565" s="116"/>
      <c r="L2565" s="163">
        <v>45784</v>
      </c>
      <c r="M2565" s="116">
        <v>3055.7</v>
      </c>
      <c r="N2565" s="116">
        <v>3087</v>
      </c>
      <c r="O2565" s="116">
        <v>2905</v>
      </c>
      <c r="P2565" s="116">
        <v>2916</v>
      </c>
      <c r="Q2565" s="116">
        <v>3055.7</v>
      </c>
      <c r="R2565">
        <v>940206</v>
      </c>
    </row>
    <row r="2566" spans="1:18" x14ac:dyDescent="0.25">
      <c r="A2566" s="163">
        <v>45785</v>
      </c>
      <c r="B2566" s="116">
        <v>3084.2</v>
      </c>
      <c r="C2566" s="116">
        <v>2947.35</v>
      </c>
      <c r="D2566" s="116">
        <v>2930</v>
      </c>
      <c r="E2566" s="116">
        <v>3067.65</v>
      </c>
      <c r="F2566" s="116">
        <v>2947.35</v>
      </c>
      <c r="G2566">
        <v>6695</v>
      </c>
      <c r="H2566" s="116"/>
      <c r="I2566" s="116"/>
      <c r="L2566" s="163">
        <v>45785</v>
      </c>
      <c r="M2566" s="116">
        <v>2952.8</v>
      </c>
      <c r="N2566" s="116">
        <v>3084.8</v>
      </c>
      <c r="O2566" s="116">
        <v>2928.7</v>
      </c>
      <c r="P2566" s="116">
        <v>3060</v>
      </c>
      <c r="Q2566" s="116">
        <v>2952.8</v>
      </c>
      <c r="R2566">
        <v>486574</v>
      </c>
    </row>
    <row r="2567" spans="1:18" x14ac:dyDescent="0.25">
      <c r="A2567" s="163">
        <v>45786</v>
      </c>
      <c r="B2567" s="116">
        <v>3025.4</v>
      </c>
      <c r="C2567" s="116">
        <v>3007.6</v>
      </c>
      <c r="D2567" s="116">
        <v>2884.75</v>
      </c>
      <c r="E2567" s="116">
        <v>2888.35</v>
      </c>
      <c r="F2567" s="116">
        <v>3007.6</v>
      </c>
      <c r="G2567">
        <v>12111</v>
      </c>
      <c r="H2567" s="116"/>
      <c r="I2567" s="116"/>
      <c r="L2567" s="163">
        <v>45786</v>
      </c>
      <c r="M2567" s="116">
        <v>3004.3</v>
      </c>
      <c r="N2567" s="116">
        <v>3029</v>
      </c>
      <c r="O2567" s="116">
        <v>2876.1</v>
      </c>
      <c r="P2567" s="116">
        <v>2880</v>
      </c>
      <c r="Q2567" s="116">
        <v>3004.3</v>
      </c>
      <c r="R2567">
        <v>634185</v>
      </c>
    </row>
    <row r="2568" spans="1:18" x14ac:dyDescent="0.25">
      <c r="A2568" s="163">
        <v>45789</v>
      </c>
      <c r="B2568" s="116">
        <v>3095.75</v>
      </c>
      <c r="C2568" s="116">
        <v>3013.35</v>
      </c>
      <c r="D2568" s="116">
        <v>2949.65</v>
      </c>
      <c r="E2568" s="116">
        <v>3039.9</v>
      </c>
      <c r="F2568" s="116">
        <v>3013.35</v>
      </c>
      <c r="G2568">
        <v>23843</v>
      </c>
      <c r="H2568" s="116"/>
      <c r="I2568" s="116"/>
      <c r="L2568" s="163">
        <v>45789</v>
      </c>
      <c r="M2568" s="116">
        <v>3014.5</v>
      </c>
      <c r="N2568" s="116">
        <v>3098.5</v>
      </c>
      <c r="O2568" s="116">
        <v>2947.5</v>
      </c>
      <c r="P2568" s="116">
        <v>3056</v>
      </c>
      <c r="Q2568" s="116">
        <v>3014.5</v>
      </c>
      <c r="R2568">
        <v>1132381</v>
      </c>
    </row>
    <row r="2569" spans="1:18" x14ac:dyDescent="0.25">
      <c r="A2569" s="163">
        <v>45790</v>
      </c>
      <c r="B2569" s="116">
        <v>3033.65</v>
      </c>
      <c r="C2569" s="116">
        <v>2924.85</v>
      </c>
      <c r="D2569" s="116">
        <v>2870</v>
      </c>
      <c r="E2569" s="116">
        <v>3033.65</v>
      </c>
      <c r="F2569" s="116">
        <v>2924.85</v>
      </c>
      <c r="G2569">
        <v>57583</v>
      </c>
      <c r="H2569" s="116"/>
      <c r="I2569" s="116"/>
      <c r="L2569" s="163">
        <v>45790</v>
      </c>
      <c r="M2569" s="116">
        <v>2928.2</v>
      </c>
      <c r="N2569" s="116">
        <v>3014.5</v>
      </c>
      <c r="O2569" s="116">
        <v>2871.2</v>
      </c>
      <c r="P2569" s="116">
        <v>3014.5</v>
      </c>
      <c r="Q2569" s="116">
        <v>2928.2</v>
      </c>
      <c r="R2569">
        <v>1695420</v>
      </c>
    </row>
    <row r="2570" spans="1:18" x14ac:dyDescent="0.25">
      <c r="A2570" s="163">
        <v>45791</v>
      </c>
      <c r="B2570" s="116">
        <v>2946.15</v>
      </c>
      <c r="C2570" s="116">
        <v>2881.95</v>
      </c>
      <c r="D2570" s="116">
        <v>2862</v>
      </c>
      <c r="E2570" s="116">
        <v>2933.7</v>
      </c>
      <c r="F2570" s="116">
        <v>2881.95</v>
      </c>
      <c r="G2570">
        <v>14803</v>
      </c>
      <c r="H2570" s="116"/>
      <c r="I2570" s="116"/>
      <c r="L2570" s="163">
        <v>45791</v>
      </c>
      <c r="M2570" s="116">
        <v>2882.6</v>
      </c>
      <c r="N2570" s="116">
        <v>2947</v>
      </c>
      <c r="O2570" s="116">
        <v>2860</v>
      </c>
      <c r="P2570" s="116">
        <v>2925</v>
      </c>
      <c r="Q2570" s="116">
        <v>2882.6</v>
      </c>
      <c r="R2570">
        <v>975213</v>
      </c>
    </row>
    <row r="2571" spans="1:18" x14ac:dyDescent="0.25">
      <c r="A2571" s="163">
        <v>45792</v>
      </c>
      <c r="B2571" s="116">
        <v>2901.5</v>
      </c>
      <c r="C2571" s="116">
        <v>2875.5</v>
      </c>
      <c r="D2571" s="116">
        <v>2850</v>
      </c>
      <c r="E2571" s="116">
        <v>2880.05</v>
      </c>
      <c r="F2571" s="116">
        <v>2875.5</v>
      </c>
      <c r="G2571">
        <v>11282</v>
      </c>
      <c r="H2571" s="116"/>
      <c r="I2571" s="116"/>
      <c r="L2571" s="163">
        <v>45792</v>
      </c>
      <c r="M2571" s="116">
        <v>2876.6</v>
      </c>
      <c r="N2571" s="116">
        <v>2901.9</v>
      </c>
      <c r="O2571" s="116">
        <v>2849</v>
      </c>
      <c r="P2571" s="116">
        <v>2875</v>
      </c>
      <c r="Q2571" s="116">
        <v>2876.6</v>
      </c>
      <c r="R2571">
        <v>585591</v>
      </c>
    </row>
    <row r="2572" spans="1:18" x14ac:dyDescent="0.25">
      <c r="A2572" s="163">
        <v>45793</v>
      </c>
      <c r="B2572" s="116">
        <v>2925</v>
      </c>
      <c r="C2572" s="116">
        <v>2918.1</v>
      </c>
      <c r="D2572" s="116">
        <v>2881.55</v>
      </c>
      <c r="E2572" s="116">
        <v>2889.8</v>
      </c>
      <c r="F2572" s="116">
        <v>2918.1</v>
      </c>
      <c r="G2572">
        <v>5396</v>
      </c>
      <c r="H2572" s="116"/>
      <c r="I2572" s="116"/>
      <c r="L2572" s="163">
        <v>45793</v>
      </c>
      <c r="M2572" s="116">
        <v>2914.9</v>
      </c>
      <c r="N2572" s="116">
        <v>2925</v>
      </c>
      <c r="O2572" s="116">
        <v>2877</v>
      </c>
      <c r="P2572" s="116">
        <v>2890</v>
      </c>
      <c r="Q2572" s="116">
        <v>2914.9</v>
      </c>
      <c r="R2572">
        <v>594192</v>
      </c>
    </row>
    <row r="2573" spans="1:18" x14ac:dyDescent="0.25">
      <c r="A2573" s="163">
        <v>45796</v>
      </c>
      <c r="B2573" s="116">
        <v>3032.45</v>
      </c>
      <c r="C2573" s="116">
        <v>2979.3</v>
      </c>
      <c r="D2573" s="116">
        <v>2900.35</v>
      </c>
      <c r="E2573" s="116">
        <v>2900.35</v>
      </c>
      <c r="F2573" s="116">
        <v>2979.3</v>
      </c>
      <c r="G2573">
        <v>43541</v>
      </c>
      <c r="H2573" s="116"/>
      <c r="I2573" s="116"/>
      <c r="L2573" s="163">
        <v>45796</v>
      </c>
      <c r="M2573" s="116">
        <v>2977</v>
      </c>
      <c r="N2573" s="116">
        <v>3032</v>
      </c>
      <c r="O2573" s="116">
        <v>2914.9</v>
      </c>
      <c r="P2573" s="116">
        <v>2919</v>
      </c>
      <c r="Q2573" s="116">
        <v>2977</v>
      </c>
      <c r="R2573">
        <v>1085462</v>
      </c>
    </row>
    <row r="2574" spans="1:18" x14ac:dyDescent="0.25">
      <c r="A2574" s="163">
        <v>45797</v>
      </c>
      <c r="B2574" s="116">
        <v>3013.15</v>
      </c>
      <c r="C2574" s="116">
        <v>2949.25</v>
      </c>
      <c r="D2574" s="116">
        <v>2940.05</v>
      </c>
      <c r="E2574" s="116">
        <v>3010</v>
      </c>
      <c r="F2574" s="116">
        <v>2949.25</v>
      </c>
      <c r="G2574">
        <v>14015</v>
      </c>
      <c r="H2574" s="116"/>
      <c r="I2574" s="116"/>
      <c r="L2574" s="163">
        <v>45797</v>
      </c>
      <c r="M2574" s="116">
        <v>2950.3</v>
      </c>
      <c r="N2574" s="116">
        <v>3015</v>
      </c>
      <c r="O2574" s="116">
        <v>2942.9</v>
      </c>
      <c r="P2574" s="116">
        <v>3000</v>
      </c>
      <c r="Q2574" s="116">
        <v>2950.3</v>
      </c>
      <c r="R2574">
        <v>911805</v>
      </c>
    </row>
    <row r="2575" spans="1:18" x14ac:dyDescent="0.25">
      <c r="A2575" s="163">
        <v>45798</v>
      </c>
      <c r="B2575" s="116">
        <v>2992.85</v>
      </c>
      <c r="C2575" s="116">
        <v>2949.9</v>
      </c>
      <c r="D2575" s="116">
        <v>2936.25</v>
      </c>
      <c r="E2575" s="116">
        <v>2959.6</v>
      </c>
      <c r="F2575" s="116">
        <v>2949.9</v>
      </c>
      <c r="G2575">
        <v>26820</v>
      </c>
      <c r="H2575" s="116"/>
      <c r="I2575" s="116"/>
      <c r="L2575" s="163">
        <v>45798</v>
      </c>
      <c r="M2575" s="116">
        <v>2951.3</v>
      </c>
      <c r="N2575" s="116">
        <v>2993</v>
      </c>
      <c r="O2575" s="116">
        <v>2935.4</v>
      </c>
      <c r="P2575" s="116">
        <v>2945</v>
      </c>
      <c r="Q2575" s="116">
        <v>2951.3</v>
      </c>
      <c r="R2575">
        <v>684690</v>
      </c>
    </row>
    <row r="2576" spans="1:18" x14ac:dyDescent="0.25">
      <c r="A2576" s="163">
        <v>45799</v>
      </c>
      <c r="B2576" s="116">
        <v>2948.9</v>
      </c>
      <c r="C2576" s="116">
        <v>2904.95</v>
      </c>
      <c r="D2576" s="116">
        <v>2889.05</v>
      </c>
      <c r="E2576" s="116">
        <v>2937</v>
      </c>
      <c r="F2576" s="116">
        <v>2904.95</v>
      </c>
      <c r="G2576">
        <v>5541</v>
      </c>
      <c r="H2576" s="116"/>
      <c r="I2576" s="116"/>
      <c r="L2576" s="163">
        <v>45799</v>
      </c>
      <c r="M2576" s="116">
        <v>2905.2</v>
      </c>
      <c r="N2576" s="116">
        <v>2951.4</v>
      </c>
      <c r="O2576" s="116">
        <v>2886.5</v>
      </c>
      <c r="P2576" s="116">
        <v>2933.8</v>
      </c>
      <c r="Q2576" s="116">
        <v>2905.2</v>
      </c>
      <c r="R2576">
        <v>372982</v>
      </c>
    </row>
    <row r="2577" spans="1:18" x14ac:dyDescent="0.25">
      <c r="A2577" s="163">
        <v>45800</v>
      </c>
      <c r="B2577" s="116">
        <v>2937.1</v>
      </c>
      <c r="C2577" s="116">
        <v>2900.1</v>
      </c>
      <c r="D2577" s="116">
        <v>2890</v>
      </c>
      <c r="E2577" s="116">
        <v>2937.1</v>
      </c>
      <c r="F2577" s="116">
        <v>2900.1</v>
      </c>
      <c r="G2577">
        <v>36151</v>
      </c>
      <c r="H2577" s="116"/>
      <c r="I2577" s="116"/>
      <c r="L2577" s="163">
        <v>45800</v>
      </c>
      <c r="M2577" s="116">
        <v>2900.2</v>
      </c>
      <c r="N2577" s="116">
        <v>2949</v>
      </c>
      <c r="O2577" s="116">
        <v>2887.7</v>
      </c>
      <c r="P2577" s="116">
        <v>2924</v>
      </c>
      <c r="Q2577" s="116">
        <v>2900.2</v>
      </c>
      <c r="R2577">
        <v>882446</v>
      </c>
    </row>
    <row r="2578" spans="1:18" x14ac:dyDescent="0.25">
      <c r="A2578" s="163">
        <v>45803</v>
      </c>
      <c r="B2578" s="116">
        <v>2934.4</v>
      </c>
      <c r="C2578" s="116">
        <v>2891.3</v>
      </c>
      <c r="D2578" s="116">
        <v>2886</v>
      </c>
      <c r="E2578" s="116">
        <v>2934.4</v>
      </c>
      <c r="F2578" s="116">
        <v>2891.3</v>
      </c>
      <c r="G2578">
        <v>43415</v>
      </c>
      <c r="H2578" s="116"/>
      <c r="I2578" s="116"/>
      <c r="L2578" s="163">
        <v>45803</v>
      </c>
      <c r="M2578" s="116">
        <v>2891.4</v>
      </c>
      <c r="N2578" s="116">
        <v>2924</v>
      </c>
      <c r="O2578" s="116">
        <v>2880</v>
      </c>
      <c r="P2578" s="116">
        <v>2924</v>
      </c>
      <c r="Q2578" s="116">
        <v>2891.4</v>
      </c>
      <c r="R2578">
        <v>616838</v>
      </c>
    </row>
    <row r="2579" spans="1:18" x14ac:dyDescent="0.25">
      <c r="A2579" s="163">
        <v>45804</v>
      </c>
      <c r="B2579" s="116">
        <v>2904.3</v>
      </c>
      <c r="C2579" s="116">
        <v>2882.8</v>
      </c>
      <c r="D2579" s="116">
        <v>2873</v>
      </c>
      <c r="E2579" s="116">
        <v>2885.35</v>
      </c>
      <c r="F2579" s="116">
        <v>2882.8</v>
      </c>
      <c r="G2579">
        <v>5750</v>
      </c>
      <c r="H2579" s="116"/>
      <c r="I2579" s="116"/>
      <c r="L2579" s="163">
        <v>45804</v>
      </c>
      <c r="M2579" s="116">
        <v>2880.3</v>
      </c>
      <c r="N2579" s="116">
        <v>2907.9</v>
      </c>
      <c r="O2579" s="116">
        <v>2871.5</v>
      </c>
      <c r="P2579" s="116">
        <v>2881.7</v>
      </c>
      <c r="Q2579" s="116">
        <v>2880.3</v>
      </c>
      <c r="R2579">
        <v>335215</v>
      </c>
    </row>
    <row r="2580" spans="1:18" x14ac:dyDescent="0.25">
      <c r="A2580" s="163">
        <v>45805</v>
      </c>
      <c r="B2580" s="116">
        <v>2924.65</v>
      </c>
      <c r="C2580" s="116">
        <v>2892.4</v>
      </c>
      <c r="D2580" s="116">
        <v>2875.8</v>
      </c>
      <c r="E2580" s="116">
        <v>2881.65</v>
      </c>
      <c r="F2580" s="116">
        <v>2892.4</v>
      </c>
      <c r="G2580">
        <v>7891</v>
      </c>
      <c r="H2580" s="116"/>
      <c r="I2580" s="116"/>
      <c r="L2580" s="163">
        <v>45805</v>
      </c>
      <c r="M2580" s="116">
        <v>2897.4</v>
      </c>
      <c r="N2580" s="116">
        <v>2927.7</v>
      </c>
      <c r="O2580" s="116">
        <v>2876</v>
      </c>
      <c r="P2580" s="116">
        <v>2885.9</v>
      </c>
      <c r="Q2580" s="116">
        <v>2897.4</v>
      </c>
      <c r="R2580">
        <v>342652</v>
      </c>
    </row>
    <row r="2581" spans="1:18" x14ac:dyDescent="0.25">
      <c r="A2581" s="163">
        <v>45806</v>
      </c>
      <c r="B2581" s="116">
        <v>2904</v>
      </c>
      <c r="C2581" s="116">
        <v>2892.1</v>
      </c>
      <c r="D2581" s="116">
        <v>2872.1</v>
      </c>
      <c r="E2581" s="116">
        <v>2876.05</v>
      </c>
      <c r="F2581" s="116">
        <v>2892.1</v>
      </c>
      <c r="G2581">
        <v>3025</v>
      </c>
      <c r="H2581" s="116"/>
      <c r="I2581" s="116"/>
      <c r="L2581" s="163">
        <v>45806</v>
      </c>
      <c r="M2581" s="116">
        <v>2892.3</v>
      </c>
      <c r="N2581" s="116">
        <v>2905</v>
      </c>
      <c r="O2581" s="116">
        <v>2872</v>
      </c>
      <c r="P2581" s="116">
        <v>2897</v>
      </c>
      <c r="Q2581" s="116">
        <v>2892.3</v>
      </c>
      <c r="R2581">
        <v>284002</v>
      </c>
    </row>
    <row r="2582" spans="1:18" x14ac:dyDescent="0.25">
      <c r="A2582" s="163">
        <v>45807</v>
      </c>
      <c r="B2582" s="116">
        <v>2902.95</v>
      </c>
      <c r="C2582" s="116">
        <v>2859.2</v>
      </c>
      <c r="D2582" s="116">
        <v>2853.5</v>
      </c>
      <c r="E2582" s="116">
        <v>2902.95</v>
      </c>
      <c r="F2582" s="116">
        <v>2859.2</v>
      </c>
      <c r="G2582">
        <v>3757</v>
      </c>
      <c r="H2582" s="116"/>
      <c r="I2582" s="116"/>
      <c r="L2582" s="163">
        <v>45807</v>
      </c>
      <c r="M2582" s="116">
        <v>2861</v>
      </c>
      <c r="N2582" s="116">
        <v>2899.9</v>
      </c>
      <c r="O2582" s="116">
        <v>2851.1</v>
      </c>
      <c r="P2582" s="116">
        <v>2895</v>
      </c>
      <c r="Q2582" s="116">
        <v>2861</v>
      </c>
      <c r="R2582">
        <v>1434127</v>
      </c>
    </row>
    <row r="2583" spans="1:18" x14ac:dyDescent="0.25">
      <c r="A2583" s="163">
        <v>45810</v>
      </c>
      <c r="B2583" s="116">
        <v>2903.4</v>
      </c>
      <c r="C2583" s="116">
        <v>2899.3</v>
      </c>
      <c r="D2583" s="116">
        <v>2785.2</v>
      </c>
      <c r="E2583" s="116">
        <v>2785.2</v>
      </c>
      <c r="F2583" s="116">
        <v>2899.3</v>
      </c>
      <c r="G2583">
        <v>4047</v>
      </c>
      <c r="H2583" s="116"/>
      <c r="I2583" s="116"/>
      <c r="L2583" s="163">
        <v>45810</v>
      </c>
      <c r="M2583" s="116">
        <v>2898.9</v>
      </c>
      <c r="N2583" s="116">
        <v>2903.7</v>
      </c>
      <c r="O2583" s="116">
        <v>2819.2</v>
      </c>
      <c r="P2583" s="116">
        <v>2825.1</v>
      </c>
      <c r="Q2583" s="116">
        <v>2898.9</v>
      </c>
      <c r="R2583">
        <v>566766</v>
      </c>
    </row>
    <row r="2584" spans="1:18" x14ac:dyDescent="0.25">
      <c r="A2584" s="163">
        <v>45811</v>
      </c>
      <c r="B2584" s="116">
        <v>2984</v>
      </c>
      <c r="C2584" s="116">
        <v>2955.95</v>
      </c>
      <c r="D2584" s="116">
        <v>2901.95</v>
      </c>
      <c r="E2584" s="116">
        <v>2905.25</v>
      </c>
      <c r="F2584" s="116">
        <v>2955.95</v>
      </c>
      <c r="G2584">
        <v>23127</v>
      </c>
      <c r="H2584" s="116"/>
      <c r="I2584" s="116"/>
      <c r="L2584" s="163">
        <v>45811</v>
      </c>
      <c r="M2584" s="116">
        <v>2954.3</v>
      </c>
      <c r="N2584" s="116">
        <v>2984.5</v>
      </c>
      <c r="O2584" s="116">
        <v>2900.3</v>
      </c>
      <c r="P2584" s="116">
        <v>2903</v>
      </c>
      <c r="Q2584" s="116">
        <v>2954.3</v>
      </c>
      <c r="R2584">
        <v>832396</v>
      </c>
    </row>
    <row r="2585" spans="1:18" x14ac:dyDescent="0.25">
      <c r="A2585" s="163">
        <v>45812</v>
      </c>
      <c r="B2585" s="116">
        <v>3057.9</v>
      </c>
      <c r="C2585" s="116">
        <v>3047.35</v>
      </c>
      <c r="D2585" s="116">
        <v>2965</v>
      </c>
      <c r="E2585" s="116">
        <v>2969.1</v>
      </c>
      <c r="F2585" s="116">
        <v>3047.35</v>
      </c>
      <c r="G2585">
        <v>39332</v>
      </c>
      <c r="H2585" s="116"/>
      <c r="I2585" s="116"/>
      <c r="L2585" s="163">
        <v>45812</v>
      </c>
      <c r="M2585" s="116">
        <v>3046.9</v>
      </c>
      <c r="N2585" s="116">
        <v>3058.7</v>
      </c>
      <c r="O2585" s="116">
        <v>2961.3</v>
      </c>
      <c r="P2585" s="116">
        <v>2965</v>
      </c>
      <c r="Q2585" s="116">
        <v>3046.9</v>
      </c>
      <c r="R2585">
        <v>1225479</v>
      </c>
    </row>
    <row r="2586" spans="1:18" x14ac:dyDescent="0.25">
      <c r="A2586" s="163">
        <v>45813</v>
      </c>
      <c r="B2586" s="116">
        <v>3127.5</v>
      </c>
      <c r="C2586" s="116">
        <v>3104.4</v>
      </c>
      <c r="D2586" s="116">
        <v>3031</v>
      </c>
      <c r="E2586" s="116">
        <v>3070.95</v>
      </c>
      <c r="F2586" s="116">
        <v>3104.4</v>
      </c>
      <c r="G2586">
        <v>49050</v>
      </c>
      <c r="H2586" s="116"/>
      <c r="I2586" s="116"/>
      <c r="L2586" s="163">
        <v>45813</v>
      </c>
      <c r="M2586" s="116">
        <v>3106.7</v>
      </c>
      <c r="N2586" s="116">
        <v>3127</v>
      </c>
      <c r="O2586" s="116">
        <v>3028.3</v>
      </c>
      <c r="P2586" s="116">
        <v>3057</v>
      </c>
      <c r="Q2586" s="116">
        <v>3106.7</v>
      </c>
      <c r="R2586">
        <v>1208524</v>
      </c>
    </row>
    <row r="2587" spans="1:18" x14ac:dyDescent="0.25">
      <c r="A2587" s="163">
        <v>45814</v>
      </c>
      <c r="B2587" s="116">
        <v>3136.3</v>
      </c>
      <c r="C2587" s="116">
        <v>3122.5</v>
      </c>
      <c r="D2587" s="116">
        <v>3086.35</v>
      </c>
      <c r="E2587" s="116">
        <v>3123.65</v>
      </c>
      <c r="F2587" s="116">
        <v>3122.5</v>
      </c>
      <c r="G2587">
        <v>9220</v>
      </c>
      <c r="H2587" s="116"/>
      <c r="I2587" s="116"/>
      <c r="L2587" s="163">
        <v>45814</v>
      </c>
      <c r="M2587" s="116">
        <v>3123.5</v>
      </c>
      <c r="N2587" s="116">
        <v>3139</v>
      </c>
      <c r="O2587" s="116">
        <v>3084.8</v>
      </c>
      <c r="P2587" s="116">
        <v>3119.8</v>
      </c>
      <c r="Q2587" s="116">
        <v>3123.5</v>
      </c>
      <c r="R2587">
        <v>749424</v>
      </c>
    </row>
    <row r="2588" spans="1:18" x14ac:dyDescent="0.25">
      <c r="A2588" s="163">
        <v>45817</v>
      </c>
      <c r="B2588" s="116">
        <v>3149.8</v>
      </c>
      <c r="C2588" s="116">
        <v>3130.55</v>
      </c>
      <c r="D2588" s="116">
        <v>3102</v>
      </c>
      <c r="E2588" s="116">
        <v>3131</v>
      </c>
      <c r="F2588" s="116">
        <v>3130.55</v>
      </c>
      <c r="G2588">
        <v>8115</v>
      </c>
      <c r="H2588" s="116"/>
      <c r="I2588" s="116"/>
      <c r="L2588" s="163">
        <v>45817</v>
      </c>
      <c r="M2588" s="116">
        <v>3126.3</v>
      </c>
      <c r="N2588" s="116">
        <v>3149.6</v>
      </c>
      <c r="O2588" s="116">
        <v>3100.8</v>
      </c>
      <c r="P2588" s="116">
        <v>3123.5</v>
      </c>
      <c r="Q2588" s="116">
        <v>3126.3</v>
      </c>
      <c r="R2588">
        <v>528063</v>
      </c>
    </row>
    <row r="2589" spans="1:18" x14ac:dyDescent="0.25">
      <c r="A2589" s="163">
        <v>45818</v>
      </c>
      <c r="B2589" s="116">
        <v>3167.9</v>
      </c>
      <c r="C2589" s="116">
        <v>3089.8</v>
      </c>
      <c r="D2589" s="116">
        <v>3084.25</v>
      </c>
      <c r="E2589" s="116">
        <v>3140</v>
      </c>
      <c r="F2589" s="116">
        <v>3089.8</v>
      </c>
      <c r="G2589">
        <v>11433</v>
      </c>
      <c r="H2589" s="116"/>
      <c r="I2589" s="116"/>
      <c r="L2589" s="163">
        <v>45818</v>
      </c>
      <c r="M2589" s="116">
        <v>3091.8</v>
      </c>
      <c r="N2589" s="116">
        <v>3169.9</v>
      </c>
      <c r="O2589" s="116">
        <v>3084.5</v>
      </c>
      <c r="P2589" s="116">
        <v>3135</v>
      </c>
      <c r="Q2589" s="116">
        <v>3091.8</v>
      </c>
      <c r="R2589">
        <v>435324</v>
      </c>
    </row>
    <row r="2590" spans="1:18" x14ac:dyDescent="0.25">
      <c r="A2590" s="163">
        <v>45819</v>
      </c>
      <c r="B2590" s="116">
        <v>3099.95</v>
      </c>
      <c r="C2590" s="116">
        <v>3084.35</v>
      </c>
      <c r="D2590" s="116">
        <v>3063.4</v>
      </c>
      <c r="E2590" s="116">
        <v>3079.35</v>
      </c>
      <c r="F2590" s="116">
        <v>3084.35</v>
      </c>
      <c r="G2590">
        <v>5372</v>
      </c>
      <c r="H2590" s="116"/>
      <c r="I2590" s="116"/>
      <c r="L2590" s="163">
        <v>45819</v>
      </c>
      <c r="M2590" s="116">
        <v>3085.2</v>
      </c>
      <c r="N2590" s="116">
        <v>3099.6</v>
      </c>
      <c r="O2590" s="116">
        <v>3065</v>
      </c>
      <c r="P2590" s="116">
        <v>3087.9</v>
      </c>
      <c r="Q2590" s="116">
        <v>3085.2</v>
      </c>
      <c r="R2590">
        <v>740161</v>
      </c>
    </row>
    <row r="2591" spans="1:18" x14ac:dyDescent="0.25">
      <c r="A2591" s="163">
        <v>45820</v>
      </c>
      <c r="B2591" s="116">
        <v>3123.45</v>
      </c>
      <c r="C2591" s="116">
        <v>3106.8</v>
      </c>
      <c r="D2591" s="116">
        <v>3090</v>
      </c>
      <c r="E2591" s="116">
        <v>3090.2</v>
      </c>
      <c r="F2591" s="116">
        <v>3106.8</v>
      </c>
      <c r="G2591">
        <v>69658</v>
      </c>
      <c r="H2591" s="116"/>
      <c r="I2591" s="116"/>
      <c r="L2591" s="163">
        <v>45820</v>
      </c>
      <c r="M2591" s="116">
        <v>3105.7</v>
      </c>
      <c r="N2591" s="116">
        <v>3124.8</v>
      </c>
      <c r="O2591" s="116">
        <v>3086.8</v>
      </c>
      <c r="P2591" s="116">
        <v>3090</v>
      </c>
      <c r="Q2591" s="116">
        <v>3105.7</v>
      </c>
      <c r="R2591">
        <v>463581</v>
      </c>
    </row>
    <row r="2592" spans="1:18" x14ac:dyDescent="0.25">
      <c r="A2592" s="163">
        <v>45821</v>
      </c>
      <c r="B2592" s="116">
        <v>3119.25</v>
      </c>
      <c r="C2592" s="116">
        <v>3098.1</v>
      </c>
      <c r="D2592" s="116">
        <v>3059.15</v>
      </c>
      <c r="E2592" s="116">
        <v>3068.85</v>
      </c>
      <c r="F2592" s="116">
        <v>3098.1</v>
      </c>
      <c r="G2592">
        <v>9333</v>
      </c>
      <c r="H2592" s="116"/>
      <c r="I2592" s="116"/>
      <c r="L2592" s="163">
        <v>45821</v>
      </c>
      <c r="M2592" s="116">
        <v>3099.6</v>
      </c>
      <c r="N2592" s="116">
        <v>3121.4</v>
      </c>
      <c r="O2592" s="116">
        <v>3055.6</v>
      </c>
      <c r="P2592" s="116">
        <v>3055.6</v>
      </c>
      <c r="Q2592" s="116">
        <v>3099.6</v>
      </c>
      <c r="R2592">
        <v>296569</v>
      </c>
    </row>
    <row r="2593" spans="1:18" x14ac:dyDescent="0.25">
      <c r="A2593" s="163">
        <v>45824</v>
      </c>
      <c r="B2593" s="116">
        <v>3130.05</v>
      </c>
      <c r="C2593" s="116">
        <v>3099.15</v>
      </c>
      <c r="D2593" s="116">
        <v>3059.05</v>
      </c>
      <c r="E2593" s="116">
        <v>3059.05</v>
      </c>
      <c r="F2593" s="116">
        <v>3099.15</v>
      </c>
      <c r="G2593">
        <v>2946</v>
      </c>
      <c r="H2593" s="116"/>
      <c r="I2593" s="116"/>
      <c r="L2593" s="163">
        <v>45824</v>
      </c>
      <c r="M2593" s="116">
        <v>3098.2</v>
      </c>
      <c r="N2593" s="116">
        <v>3130</v>
      </c>
      <c r="O2593" s="116">
        <v>3076</v>
      </c>
      <c r="P2593" s="116">
        <v>3099.5</v>
      </c>
      <c r="Q2593" s="116">
        <v>3098.2</v>
      </c>
      <c r="R2593">
        <v>279165</v>
      </c>
    </row>
    <row r="2594" spans="1:18" x14ac:dyDescent="0.25">
      <c r="A2594" s="163">
        <v>45825</v>
      </c>
      <c r="B2594" s="116">
        <v>3131</v>
      </c>
      <c r="C2594" s="116">
        <v>3095.15</v>
      </c>
      <c r="D2594" s="116">
        <v>3088.15</v>
      </c>
      <c r="E2594" s="116">
        <v>3100.2</v>
      </c>
      <c r="F2594" s="116">
        <v>3095.15</v>
      </c>
      <c r="G2594">
        <v>110763</v>
      </c>
      <c r="H2594" s="116"/>
      <c r="I2594" s="116"/>
      <c r="L2594" s="163">
        <v>45825</v>
      </c>
      <c r="M2594" s="116">
        <v>3096.4</v>
      </c>
      <c r="N2594" s="116">
        <v>3132.2</v>
      </c>
      <c r="O2594" s="116">
        <v>3088.7</v>
      </c>
      <c r="P2594" s="116">
        <v>3105</v>
      </c>
      <c r="Q2594" s="116">
        <v>3096.4</v>
      </c>
      <c r="R2594">
        <v>732105</v>
      </c>
    </row>
    <row r="2595" spans="1:18" x14ac:dyDescent="0.25">
      <c r="A2595" s="163">
        <v>45826</v>
      </c>
      <c r="B2595" s="116">
        <v>3142.6</v>
      </c>
      <c r="C2595" s="116">
        <v>3075.65</v>
      </c>
      <c r="D2595" s="116">
        <v>3069</v>
      </c>
      <c r="E2595" s="116">
        <v>3099</v>
      </c>
      <c r="F2595" s="116">
        <v>3075.65</v>
      </c>
      <c r="G2595">
        <v>56472</v>
      </c>
      <c r="H2595" s="116"/>
      <c r="I2595" s="116"/>
      <c r="L2595" s="163">
        <v>45826</v>
      </c>
      <c r="M2595" s="116">
        <v>3074.4</v>
      </c>
      <c r="N2595" s="116">
        <v>3141.8</v>
      </c>
      <c r="O2595" s="116">
        <v>3065.7</v>
      </c>
      <c r="P2595" s="116">
        <v>3096.4</v>
      </c>
      <c r="Q2595" s="116">
        <v>3074.4</v>
      </c>
      <c r="R2595">
        <v>562869</v>
      </c>
    </row>
    <row r="2596" spans="1:18" x14ac:dyDescent="0.25">
      <c r="A2596" s="163">
        <v>45827</v>
      </c>
      <c r="B2596" s="116">
        <v>3089.9</v>
      </c>
      <c r="C2596" s="116">
        <v>3008.6</v>
      </c>
      <c r="D2596" s="116">
        <v>2998.6</v>
      </c>
      <c r="E2596" s="116">
        <v>3075.8</v>
      </c>
      <c r="F2596" s="116">
        <v>3008.6</v>
      </c>
      <c r="G2596">
        <v>6867</v>
      </c>
      <c r="H2596" s="116"/>
      <c r="I2596" s="116"/>
      <c r="L2596" s="163">
        <v>45827</v>
      </c>
      <c r="M2596" s="116">
        <v>3013.2</v>
      </c>
      <c r="N2596" s="116">
        <v>3092.4</v>
      </c>
      <c r="O2596" s="116">
        <v>2998.5</v>
      </c>
      <c r="P2596" s="116">
        <v>3074.4</v>
      </c>
      <c r="Q2596" s="116">
        <v>3013.2</v>
      </c>
      <c r="R2596">
        <v>337009</v>
      </c>
    </row>
    <row r="2597" spans="1:18" x14ac:dyDescent="0.25">
      <c r="A2597" s="163">
        <v>45828</v>
      </c>
      <c r="B2597" s="116">
        <v>3045.25</v>
      </c>
      <c r="C2597" s="116">
        <v>3030.15</v>
      </c>
      <c r="D2597" s="116">
        <v>3004.05</v>
      </c>
      <c r="E2597" s="116">
        <v>3024.95</v>
      </c>
      <c r="F2597" s="116">
        <v>3030.15</v>
      </c>
      <c r="G2597">
        <v>19368</v>
      </c>
      <c r="H2597" s="116"/>
      <c r="I2597" s="116"/>
      <c r="L2597" s="163">
        <v>45828</v>
      </c>
      <c r="M2597" s="116">
        <v>3030.1</v>
      </c>
      <c r="N2597" s="116">
        <v>3050.7</v>
      </c>
      <c r="O2597" s="116">
        <v>3003.6</v>
      </c>
      <c r="P2597" s="116">
        <v>3010.1</v>
      </c>
      <c r="Q2597" s="116">
        <v>3030.1</v>
      </c>
      <c r="R2597">
        <v>755167</v>
      </c>
    </row>
    <row r="2598" spans="1:18" x14ac:dyDescent="0.25">
      <c r="A2598" s="163">
        <v>45831</v>
      </c>
      <c r="B2598" s="116">
        <v>3049</v>
      </c>
      <c r="C2598" s="116">
        <v>3033.3</v>
      </c>
      <c r="D2598" s="116">
        <v>2952.9</v>
      </c>
      <c r="E2598" s="116">
        <v>2952.9</v>
      </c>
      <c r="F2598" s="116">
        <v>3033.3</v>
      </c>
      <c r="G2598">
        <v>6661</v>
      </c>
      <c r="H2598" s="116"/>
      <c r="I2598" s="116"/>
      <c r="L2598" s="163">
        <v>45831</v>
      </c>
      <c r="M2598" s="116">
        <v>3032.5</v>
      </c>
      <c r="N2598" s="116">
        <v>3050</v>
      </c>
      <c r="O2598" s="116">
        <v>3000</v>
      </c>
      <c r="P2598" s="116">
        <v>3000</v>
      </c>
      <c r="Q2598" s="116">
        <v>3032.5</v>
      </c>
      <c r="R2598">
        <v>407716</v>
      </c>
    </row>
    <row r="2599" spans="1:18" x14ac:dyDescent="0.25">
      <c r="A2599" s="163">
        <v>45832</v>
      </c>
      <c r="B2599" s="116">
        <v>3087.2</v>
      </c>
      <c r="C2599" s="116">
        <v>3050.7</v>
      </c>
      <c r="D2599" s="116">
        <v>3037</v>
      </c>
      <c r="E2599" s="116">
        <v>3053</v>
      </c>
      <c r="F2599" s="116">
        <v>3050.7</v>
      </c>
      <c r="G2599">
        <v>14768</v>
      </c>
      <c r="H2599" s="116"/>
      <c r="I2599" s="116"/>
      <c r="L2599" s="163">
        <v>45832</v>
      </c>
      <c r="M2599" s="116">
        <v>3053.7</v>
      </c>
      <c r="N2599" s="116">
        <v>3088.8</v>
      </c>
      <c r="O2599" s="116">
        <v>3036</v>
      </c>
      <c r="P2599" s="116">
        <v>3049</v>
      </c>
      <c r="Q2599" s="116">
        <v>3053.7</v>
      </c>
      <c r="R2599">
        <v>424802</v>
      </c>
    </row>
    <row r="2600" spans="1:18" x14ac:dyDescent="0.25">
      <c r="A2600" s="163">
        <v>45833</v>
      </c>
      <c r="B2600" s="116">
        <v>3106.15</v>
      </c>
      <c r="C2600" s="116">
        <v>3081.55</v>
      </c>
      <c r="D2600" s="116">
        <v>3024.2</v>
      </c>
      <c r="E2600" s="116">
        <v>3050</v>
      </c>
      <c r="F2600" s="116">
        <v>3081.55</v>
      </c>
      <c r="G2600">
        <v>5823</v>
      </c>
      <c r="H2600" s="116"/>
      <c r="I2600" s="116"/>
      <c r="L2600" s="163">
        <v>45833</v>
      </c>
      <c r="M2600" s="116">
        <v>3080.5</v>
      </c>
      <c r="N2600" s="116">
        <v>3104.9</v>
      </c>
      <c r="O2600" s="116">
        <v>3025</v>
      </c>
      <c r="P2600" s="116">
        <v>3052</v>
      </c>
      <c r="Q2600" s="116">
        <v>3080.5</v>
      </c>
      <c r="R2600">
        <v>841549</v>
      </c>
    </row>
    <row r="2601" spans="1:18" x14ac:dyDescent="0.25">
      <c r="A2601" s="163">
        <v>45834</v>
      </c>
      <c r="B2601" s="116">
        <v>3146</v>
      </c>
      <c r="C2601" s="116">
        <v>3134.3</v>
      </c>
      <c r="D2601" s="116">
        <v>3057</v>
      </c>
      <c r="E2601" s="116">
        <v>3082.5</v>
      </c>
      <c r="F2601" s="116">
        <v>3134.3</v>
      </c>
      <c r="G2601">
        <v>21795</v>
      </c>
      <c r="H2601" s="116"/>
      <c r="I2601" s="116"/>
      <c r="L2601" s="163">
        <v>45834</v>
      </c>
      <c r="M2601" s="116">
        <v>3134.5</v>
      </c>
      <c r="N2601" s="116">
        <v>3146.5</v>
      </c>
      <c r="O2601" s="116">
        <v>3054.7</v>
      </c>
      <c r="P2601" s="116">
        <v>3088.8</v>
      </c>
      <c r="Q2601" s="116">
        <v>3134.5</v>
      </c>
      <c r="R2601">
        <v>942004</v>
      </c>
    </row>
    <row r="2602" spans="1:18" x14ac:dyDescent="0.25">
      <c r="A2602" s="163">
        <v>45835</v>
      </c>
      <c r="B2602" s="116">
        <v>3186</v>
      </c>
      <c r="C2602" s="116">
        <v>3169.55</v>
      </c>
      <c r="D2602" s="116">
        <v>3101.5</v>
      </c>
      <c r="E2602" s="116">
        <v>3136.05</v>
      </c>
      <c r="F2602" s="116">
        <v>3169.55</v>
      </c>
      <c r="G2602">
        <v>14372</v>
      </c>
      <c r="H2602" s="116"/>
      <c r="I2602" s="116"/>
      <c r="L2602" s="163">
        <v>45835</v>
      </c>
      <c r="M2602" s="116">
        <v>3174.8</v>
      </c>
      <c r="N2602" s="116">
        <v>3188.3</v>
      </c>
      <c r="O2602" s="116">
        <v>3100</v>
      </c>
      <c r="P2602" s="116">
        <v>3144.5</v>
      </c>
      <c r="Q2602" s="116">
        <v>3174.8</v>
      </c>
      <c r="R2602">
        <v>2238985</v>
      </c>
    </row>
    <row r="2603" spans="1:18" x14ac:dyDescent="0.25">
      <c r="A2603" s="163">
        <v>45838</v>
      </c>
      <c r="B2603" s="116">
        <v>3251.3</v>
      </c>
      <c r="C2603" s="116">
        <v>3244.85</v>
      </c>
      <c r="D2603" s="116">
        <v>3151</v>
      </c>
      <c r="E2603" s="116">
        <v>3196.65</v>
      </c>
      <c r="F2603" s="116">
        <v>3244.85</v>
      </c>
      <c r="G2603">
        <v>22876</v>
      </c>
      <c r="H2603" s="116"/>
      <c r="I2603" s="116"/>
      <c r="L2603" s="163">
        <v>45838</v>
      </c>
      <c r="M2603" s="116">
        <v>3242.1</v>
      </c>
      <c r="N2603" s="116">
        <v>3251.8</v>
      </c>
      <c r="O2603" s="116">
        <v>3151.8</v>
      </c>
      <c r="P2603" s="116">
        <v>3184.8</v>
      </c>
      <c r="Q2603" s="116">
        <v>3242.1</v>
      </c>
      <c r="R2603">
        <v>710534</v>
      </c>
    </row>
    <row r="2604" spans="1:18" x14ac:dyDescent="0.25">
      <c r="A2604" s="163">
        <v>45839</v>
      </c>
      <c r="B2604" s="116">
        <v>3249.6</v>
      </c>
      <c r="C2604" s="116">
        <v>3199.05</v>
      </c>
      <c r="D2604" s="116">
        <v>3176.7</v>
      </c>
      <c r="E2604" s="116">
        <v>3249</v>
      </c>
      <c r="F2604" s="116">
        <v>3199.05</v>
      </c>
      <c r="G2604">
        <v>13651</v>
      </c>
      <c r="H2604" s="116"/>
      <c r="I2604" s="116"/>
      <c r="L2604" s="163">
        <v>45839</v>
      </c>
      <c r="M2604" s="116">
        <v>3200</v>
      </c>
      <c r="N2604" s="116">
        <v>3250</v>
      </c>
      <c r="O2604" s="116">
        <v>3176.1</v>
      </c>
      <c r="P2604" s="116">
        <v>3250</v>
      </c>
      <c r="Q2604" s="116">
        <v>3200</v>
      </c>
      <c r="R2604">
        <v>374816</v>
      </c>
    </row>
    <row r="2605" spans="1:18" x14ac:dyDescent="0.25">
      <c r="A2605" s="163">
        <v>45840</v>
      </c>
      <c r="B2605" s="116">
        <v>3281.8</v>
      </c>
      <c r="C2605" s="116">
        <v>3251.8</v>
      </c>
      <c r="D2605" s="116">
        <v>3181.4</v>
      </c>
      <c r="E2605" s="116">
        <v>3199.05</v>
      </c>
      <c r="F2605" s="116">
        <v>3251.8</v>
      </c>
      <c r="G2605">
        <v>48435</v>
      </c>
      <c r="H2605" s="116"/>
      <c r="I2605" s="116"/>
      <c r="L2605" s="163">
        <v>45840</v>
      </c>
      <c r="M2605" s="116">
        <v>3255.6</v>
      </c>
      <c r="N2605" s="116">
        <v>3281.6</v>
      </c>
      <c r="O2605" s="116">
        <v>3180.7</v>
      </c>
      <c r="P2605" s="116">
        <v>3199</v>
      </c>
      <c r="Q2605" s="116">
        <v>3255.6</v>
      </c>
      <c r="R2605">
        <v>815060</v>
      </c>
    </row>
    <row r="2606" spans="1:18" x14ac:dyDescent="0.25">
      <c r="A2606" s="163">
        <v>45841</v>
      </c>
      <c r="B2606" s="116">
        <v>3290</v>
      </c>
      <c r="C2606" s="116">
        <v>3233.05</v>
      </c>
      <c r="D2606" s="116">
        <v>3221.6</v>
      </c>
      <c r="E2606" s="116">
        <v>3289.25</v>
      </c>
      <c r="F2606" s="116">
        <v>3233.05</v>
      </c>
      <c r="G2606">
        <v>9887</v>
      </c>
      <c r="H2606" s="116"/>
      <c r="I2606" s="116"/>
      <c r="L2606" s="163">
        <v>45841</v>
      </c>
      <c r="M2606" s="116">
        <v>3232</v>
      </c>
      <c r="N2606" s="116">
        <v>3288.9</v>
      </c>
      <c r="O2606" s="116">
        <v>3223.8</v>
      </c>
      <c r="P2606" s="116">
        <v>3275</v>
      </c>
      <c r="Q2606" s="116">
        <v>3232</v>
      </c>
      <c r="R2606">
        <v>438978</v>
      </c>
    </row>
    <row r="2607" spans="1:18" x14ac:dyDescent="0.25">
      <c r="A2607" s="163">
        <v>45842</v>
      </c>
      <c r="B2607" s="116">
        <v>3265</v>
      </c>
      <c r="C2607" s="116">
        <v>3229.9</v>
      </c>
      <c r="D2607" s="116">
        <v>3220.1</v>
      </c>
      <c r="E2607" s="116">
        <v>3263</v>
      </c>
      <c r="F2607" s="116">
        <v>3229.9</v>
      </c>
      <c r="G2607">
        <v>5711</v>
      </c>
      <c r="H2607" s="116"/>
      <c r="I2607" s="116"/>
      <c r="L2607" s="163">
        <v>45842</v>
      </c>
      <c r="M2607" s="116">
        <v>3230.5</v>
      </c>
      <c r="N2607" s="116">
        <v>3266.9</v>
      </c>
      <c r="O2607" s="116">
        <v>3219.1</v>
      </c>
      <c r="P2607" s="116">
        <v>3245</v>
      </c>
      <c r="Q2607" s="116">
        <v>3230.5</v>
      </c>
      <c r="R2607">
        <v>321665</v>
      </c>
    </row>
    <row r="2608" spans="1:18" x14ac:dyDescent="0.25">
      <c r="A2608" s="163">
        <v>45845</v>
      </c>
      <c r="B2608" s="116">
        <v>3245.8</v>
      </c>
      <c r="C2608" s="116">
        <v>3239.5</v>
      </c>
      <c r="D2608" s="116">
        <v>3202</v>
      </c>
      <c r="E2608" s="116">
        <v>3235.4</v>
      </c>
      <c r="F2608" s="116">
        <v>3239.5</v>
      </c>
      <c r="G2608">
        <v>2952</v>
      </c>
      <c r="H2608" s="116"/>
      <c r="I2608" s="116"/>
      <c r="L2608" s="163">
        <v>45845</v>
      </c>
      <c r="M2608" s="116">
        <v>3239.4</v>
      </c>
      <c r="N2608" s="116">
        <v>3246.9</v>
      </c>
      <c r="O2608" s="116">
        <v>3201</v>
      </c>
      <c r="P2608" s="116">
        <v>3227</v>
      </c>
      <c r="Q2608" s="116">
        <v>3239.4</v>
      </c>
      <c r="R2608">
        <v>218313</v>
      </c>
    </row>
    <row r="2609" spans="1:18" x14ac:dyDescent="0.25">
      <c r="A2609" s="163">
        <v>45846</v>
      </c>
      <c r="B2609" s="116">
        <v>3296</v>
      </c>
      <c r="C2609" s="116">
        <v>3286.9</v>
      </c>
      <c r="D2609" s="116">
        <v>3225</v>
      </c>
      <c r="E2609" s="116">
        <v>3239.35</v>
      </c>
      <c r="F2609" s="116">
        <v>3286.9</v>
      </c>
      <c r="G2609">
        <v>8506</v>
      </c>
      <c r="H2609" s="116"/>
      <c r="I2609" s="116"/>
      <c r="L2609" s="163">
        <v>45846</v>
      </c>
      <c r="M2609" s="116">
        <v>3286.5</v>
      </c>
      <c r="N2609" s="116">
        <v>3297.2</v>
      </c>
      <c r="O2609" s="116">
        <v>3224.9</v>
      </c>
      <c r="P2609" s="116">
        <v>3239</v>
      </c>
      <c r="Q2609" s="116">
        <v>3286.5</v>
      </c>
      <c r="R2609">
        <v>426634</v>
      </c>
    </row>
    <row r="2610" spans="1:18" x14ac:dyDescent="0.25">
      <c r="A2610" s="163">
        <v>45847</v>
      </c>
      <c r="B2610" s="116">
        <v>3292.55</v>
      </c>
      <c r="C2610" s="116">
        <v>3279.05</v>
      </c>
      <c r="D2610" s="116">
        <v>3261.1</v>
      </c>
      <c r="E2610" s="116">
        <v>3286.65</v>
      </c>
      <c r="F2610" s="116">
        <v>3279.05</v>
      </c>
      <c r="G2610">
        <v>7799</v>
      </c>
      <c r="H2610" s="116"/>
      <c r="I2610" s="116"/>
      <c r="L2610" s="163">
        <v>45847</v>
      </c>
      <c r="M2610" s="116">
        <v>3280.5</v>
      </c>
      <c r="N2610" s="116">
        <v>3294.9</v>
      </c>
      <c r="O2610" s="116">
        <v>3262.1</v>
      </c>
      <c r="P2610" s="116">
        <v>3286.5</v>
      </c>
      <c r="Q2610" s="116">
        <v>3280.5</v>
      </c>
      <c r="R2610">
        <v>345022</v>
      </c>
    </row>
    <row r="2611" spans="1:18" x14ac:dyDescent="0.25">
      <c r="A2611" s="163">
        <v>45848</v>
      </c>
      <c r="B2611" s="116">
        <v>3319</v>
      </c>
      <c r="C2611" s="116">
        <v>3254.8</v>
      </c>
      <c r="D2611" s="116">
        <v>3211.65</v>
      </c>
      <c r="E2611" s="116">
        <v>3266.05</v>
      </c>
      <c r="F2611" s="116">
        <v>3254.8</v>
      </c>
      <c r="G2611">
        <v>4344</v>
      </c>
      <c r="H2611" s="116"/>
      <c r="I2611" s="116"/>
      <c r="L2611" s="163">
        <v>45848</v>
      </c>
      <c r="M2611" s="116">
        <v>3259.6</v>
      </c>
      <c r="N2611" s="116">
        <v>3325</v>
      </c>
      <c r="O2611" s="116">
        <v>3211.6</v>
      </c>
      <c r="P2611" s="116">
        <v>3285</v>
      </c>
      <c r="Q2611" s="116">
        <v>3259.6</v>
      </c>
      <c r="R2611">
        <v>337783</v>
      </c>
    </row>
    <row r="2612" spans="1:18" x14ac:dyDescent="0.25">
      <c r="A2612" s="163">
        <v>45849</v>
      </c>
      <c r="B2612" s="116">
        <v>3263</v>
      </c>
      <c r="C2612" s="116">
        <v>3178.95</v>
      </c>
      <c r="D2612" s="116">
        <v>3160.85</v>
      </c>
      <c r="E2612" s="116">
        <v>3254.8</v>
      </c>
      <c r="F2612" s="116">
        <v>3178.95</v>
      </c>
      <c r="G2612">
        <v>3400</v>
      </c>
      <c r="H2612" s="116"/>
      <c r="I2612" s="116"/>
      <c r="L2612" s="163">
        <v>45849</v>
      </c>
      <c r="M2612" s="116">
        <v>3182.5</v>
      </c>
      <c r="N2612" s="116">
        <v>3265.7</v>
      </c>
      <c r="O2612" s="116">
        <v>3162.1</v>
      </c>
      <c r="P2612" s="116">
        <v>3256.9</v>
      </c>
      <c r="Q2612" s="116">
        <v>3182.5</v>
      </c>
      <c r="R2612">
        <v>238050</v>
      </c>
    </row>
    <row r="2613" spans="1:18" x14ac:dyDescent="0.25">
      <c r="A2613" s="163">
        <v>45852</v>
      </c>
      <c r="B2613" s="116">
        <v>3201.95</v>
      </c>
      <c r="C2613" s="116">
        <v>3167.95</v>
      </c>
      <c r="D2613" s="116">
        <v>3138.6</v>
      </c>
      <c r="E2613" s="116">
        <v>3189.5</v>
      </c>
      <c r="F2613" s="116">
        <v>3167.95</v>
      </c>
      <c r="G2613">
        <v>3305</v>
      </c>
      <c r="H2613" s="116"/>
      <c r="I2613" s="116"/>
      <c r="L2613" s="163">
        <v>45852</v>
      </c>
      <c r="M2613" s="116">
        <v>3169.4</v>
      </c>
      <c r="N2613" s="116">
        <v>3204.8</v>
      </c>
      <c r="O2613" s="116">
        <v>3136.1</v>
      </c>
      <c r="P2613" s="116">
        <v>3179</v>
      </c>
      <c r="Q2613" s="116">
        <v>3169.4</v>
      </c>
      <c r="R2613">
        <v>317199</v>
      </c>
    </row>
    <row r="2614" spans="1:18" x14ac:dyDescent="0.25">
      <c r="A2614" s="163">
        <v>45853</v>
      </c>
      <c r="B2614" s="116">
        <v>3234.95</v>
      </c>
      <c r="C2614" s="116">
        <v>3226.25</v>
      </c>
      <c r="D2614" s="116">
        <v>3175.4</v>
      </c>
      <c r="E2614" s="116">
        <v>3183.75</v>
      </c>
      <c r="F2614" s="116">
        <v>3226.25</v>
      </c>
      <c r="G2614">
        <v>2955</v>
      </c>
      <c r="H2614" s="116"/>
      <c r="I2614" s="116"/>
      <c r="L2614" s="163">
        <v>45853</v>
      </c>
      <c r="M2614" s="116">
        <v>3223.6</v>
      </c>
      <c r="N2614" s="116">
        <v>3235</v>
      </c>
      <c r="O2614" s="116">
        <v>3169.4</v>
      </c>
      <c r="P2614" s="116">
        <v>3169.4</v>
      </c>
      <c r="Q2614" s="116">
        <v>3223.6</v>
      </c>
      <c r="R2614">
        <v>350104</v>
      </c>
    </row>
    <row r="2615" spans="1:18" x14ac:dyDescent="0.25">
      <c r="A2615" s="163">
        <v>45854</v>
      </c>
      <c r="B2615" s="116">
        <v>3250</v>
      </c>
      <c r="C2615" s="116">
        <v>3201.25</v>
      </c>
      <c r="D2615" s="116">
        <v>3196.15</v>
      </c>
      <c r="E2615" s="116">
        <v>3208.95</v>
      </c>
      <c r="F2615" s="116">
        <v>3201.25</v>
      </c>
      <c r="G2615">
        <v>7261</v>
      </c>
      <c r="H2615" s="116"/>
      <c r="I2615" s="116"/>
      <c r="L2615" s="163">
        <v>45854</v>
      </c>
      <c r="M2615" s="116">
        <v>3201.2</v>
      </c>
      <c r="N2615" s="116">
        <v>3250</v>
      </c>
      <c r="O2615" s="116">
        <v>3195.1</v>
      </c>
      <c r="P2615" s="116">
        <v>3216.4</v>
      </c>
      <c r="Q2615" s="116">
        <v>3201.2</v>
      </c>
      <c r="R2615">
        <v>296922</v>
      </c>
    </row>
    <row r="2616" spans="1:18" x14ac:dyDescent="0.25">
      <c r="A2616" s="163">
        <v>45855</v>
      </c>
      <c r="B2616" s="116">
        <v>3239.55</v>
      </c>
      <c r="C2616" s="116">
        <v>3201.75</v>
      </c>
      <c r="D2616" s="116">
        <v>3194.2</v>
      </c>
      <c r="E2616" s="116">
        <v>3213.45</v>
      </c>
      <c r="F2616" s="116">
        <v>3201.75</v>
      </c>
      <c r="G2616">
        <v>4556</v>
      </c>
      <c r="H2616" s="116"/>
      <c r="I2616" s="116"/>
      <c r="L2616" s="163">
        <v>45855</v>
      </c>
      <c r="M2616" s="116">
        <v>3202.5</v>
      </c>
      <c r="N2616" s="116">
        <v>3240</v>
      </c>
      <c r="O2616" s="116">
        <v>3196</v>
      </c>
      <c r="P2616" s="116">
        <v>3217.2</v>
      </c>
      <c r="Q2616" s="116">
        <v>3202.5</v>
      </c>
      <c r="R2616">
        <v>278510</v>
      </c>
    </row>
    <row r="2617" spans="1:18" x14ac:dyDescent="0.25">
      <c r="A2617" s="163">
        <v>45856</v>
      </c>
      <c r="B2617" s="116">
        <v>3218.9</v>
      </c>
      <c r="C2617" s="116">
        <v>3185.75</v>
      </c>
      <c r="D2617" s="116">
        <v>3181.65</v>
      </c>
      <c r="E2617" s="116">
        <v>3210</v>
      </c>
      <c r="F2617" s="116">
        <v>3185.75</v>
      </c>
      <c r="G2617">
        <v>3331</v>
      </c>
      <c r="H2617" s="116"/>
      <c r="I2617" s="116"/>
      <c r="L2617" s="163">
        <v>45856</v>
      </c>
      <c r="M2617" s="116">
        <v>3187.1</v>
      </c>
      <c r="N2617" s="116">
        <v>3221.7</v>
      </c>
      <c r="O2617" s="116">
        <v>3178.9</v>
      </c>
      <c r="P2617" s="116">
        <v>3210.5</v>
      </c>
      <c r="Q2617" s="116">
        <v>3187.1</v>
      </c>
      <c r="R2617">
        <v>254046</v>
      </c>
    </row>
    <row r="2618" spans="1:18" x14ac:dyDescent="0.25">
      <c r="A2618" s="163">
        <v>45859</v>
      </c>
      <c r="B2618" s="116">
        <v>3208.25</v>
      </c>
      <c r="C2618" s="116">
        <v>3130.75</v>
      </c>
      <c r="D2618" s="116">
        <v>3093.9</v>
      </c>
      <c r="E2618" s="116">
        <v>3194.3</v>
      </c>
      <c r="F2618" s="116">
        <v>3130.75</v>
      </c>
      <c r="G2618">
        <v>28173</v>
      </c>
      <c r="H2618" s="116"/>
      <c r="I2618" s="116"/>
      <c r="L2618" s="163">
        <v>45859</v>
      </c>
      <c r="M2618" s="116">
        <v>3130.4</v>
      </c>
      <c r="N2618" s="116">
        <v>3209</v>
      </c>
      <c r="O2618" s="116">
        <v>3092.7</v>
      </c>
      <c r="P2618" s="116">
        <v>3185</v>
      </c>
      <c r="Q2618" s="116">
        <v>3130.4</v>
      </c>
      <c r="R2618">
        <v>492854</v>
      </c>
    </row>
    <row r="2619" spans="1:18" x14ac:dyDescent="0.25">
      <c r="A2619" s="163">
        <v>45860</v>
      </c>
      <c r="B2619" s="116">
        <v>3150</v>
      </c>
      <c r="C2619" s="116">
        <v>3137.55</v>
      </c>
      <c r="D2619" s="116">
        <v>3068</v>
      </c>
      <c r="E2619" s="116">
        <v>3146.4</v>
      </c>
      <c r="F2619" s="116">
        <v>3137.55</v>
      </c>
      <c r="G2619">
        <v>6579</v>
      </c>
      <c r="H2619" s="116"/>
      <c r="I2619" s="116"/>
      <c r="L2619" s="163">
        <v>45860</v>
      </c>
      <c r="M2619" s="116">
        <v>3136.5</v>
      </c>
      <c r="N2619" s="116">
        <v>3150</v>
      </c>
      <c r="O2619" s="116">
        <v>3067</v>
      </c>
      <c r="P2619" s="116">
        <v>3148</v>
      </c>
      <c r="Q2619" s="116">
        <v>3136.5</v>
      </c>
      <c r="R2619">
        <v>539351</v>
      </c>
    </row>
    <row r="2620" spans="1:18" x14ac:dyDescent="0.25">
      <c r="A2620" s="163">
        <v>45861</v>
      </c>
      <c r="B2620" s="116">
        <v>3222.95</v>
      </c>
      <c r="C2620" s="116">
        <v>3194.7</v>
      </c>
      <c r="D2620" s="116">
        <v>3095.45</v>
      </c>
      <c r="E2620" s="116">
        <v>3150.5</v>
      </c>
      <c r="F2620" s="116">
        <v>3194.7</v>
      </c>
      <c r="G2620">
        <v>46717</v>
      </c>
      <c r="H2620" s="116"/>
      <c r="I2620" s="116"/>
      <c r="L2620" s="163">
        <v>45861</v>
      </c>
      <c r="M2620" s="116">
        <v>3193</v>
      </c>
      <c r="N2620" s="116">
        <v>3222.1</v>
      </c>
      <c r="O2620" s="116">
        <v>3093</v>
      </c>
      <c r="P2620" s="116">
        <v>3152.1</v>
      </c>
      <c r="Q2620" s="116">
        <v>3193</v>
      </c>
      <c r="R2620">
        <v>1230831</v>
      </c>
    </row>
    <row r="2621" spans="1:18" x14ac:dyDescent="0.25">
      <c r="A2621" s="163">
        <v>45862</v>
      </c>
      <c r="B2621" s="116">
        <v>3257.95</v>
      </c>
      <c r="C2621" s="116">
        <v>3144.4</v>
      </c>
      <c r="D2621" s="116">
        <v>3137.2</v>
      </c>
      <c r="E2621" s="116">
        <v>3194.7</v>
      </c>
      <c r="F2621" s="116">
        <v>3144.4</v>
      </c>
      <c r="G2621">
        <v>27205</v>
      </c>
      <c r="H2621" s="116"/>
      <c r="I2621" s="116"/>
      <c r="L2621" s="163">
        <v>45862</v>
      </c>
      <c r="M2621" s="116">
        <v>3150.4</v>
      </c>
      <c r="N2621" s="116">
        <v>3260.4</v>
      </c>
      <c r="O2621" s="116">
        <v>3140.5</v>
      </c>
      <c r="P2621" s="116">
        <v>3190</v>
      </c>
      <c r="Q2621" s="116">
        <v>3150.4</v>
      </c>
      <c r="R2621">
        <v>848712</v>
      </c>
    </row>
    <row r="2622" spans="1:18" x14ac:dyDescent="0.25">
      <c r="A2622" s="163">
        <v>45863</v>
      </c>
      <c r="B2622" s="116">
        <v>3132.95</v>
      </c>
      <c r="C2622" s="116">
        <v>3039.85</v>
      </c>
      <c r="D2622" s="116">
        <v>3033.9</v>
      </c>
      <c r="E2622" s="116">
        <v>3132.95</v>
      </c>
      <c r="F2622" s="116">
        <v>3039.85</v>
      </c>
      <c r="G2622">
        <v>9230</v>
      </c>
      <c r="H2622" s="116"/>
      <c r="I2622" s="116"/>
      <c r="L2622" s="163">
        <v>45863</v>
      </c>
      <c r="M2622" s="116">
        <v>3040.8</v>
      </c>
      <c r="N2622" s="116">
        <v>3124.9</v>
      </c>
      <c r="O2622" s="116">
        <v>3033.8</v>
      </c>
      <c r="P2622" s="116">
        <v>3124.9</v>
      </c>
      <c r="Q2622" s="116">
        <v>3040.8</v>
      </c>
      <c r="R2622">
        <v>509398</v>
      </c>
    </row>
    <row r="2623" spans="1:18" x14ac:dyDescent="0.25">
      <c r="A2623" s="163">
        <v>45866</v>
      </c>
      <c r="B2623" s="116">
        <v>3113</v>
      </c>
      <c r="C2623" s="116">
        <v>3056.15</v>
      </c>
      <c r="D2623" s="116">
        <v>3016.1</v>
      </c>
      <c r="E2623" s="116">
        <v>3033.85</v>
      </c>
      <c r="F2623" s="116">
        <v>3056.15</v>
      </c>
      <c r="G2623">
        <v>5763</v>
      </c>
      <c r="H2623" s="116"/>
      <c r="I2623" s="116"/>
      <c r="L2623" s="163">
        <v>45866</v>
      </c>
      <c r="M2623" s="116">
        <v>3056.6</v>
      </c>
      <c r="N2623" s="116">
        <v>3114</v>
      </c>
      <c r="O2623" s="116">
        <v>3014</v>
      </c>
      <c r="P2623" s="116">
        <v>3030</v>
      </c>
      <c r="Q2623" s="116">
        <v>3056.6</v>
      </c>
      <c r="R2623">
        <v>390517</v>
      </c>
    </row>
    <row r="2624" spans="1:18" x14ac:dyDescent="0.25">
      <c r="A2624" s="163">
        <v>45867</v>
      </c>
      <c r="B2624" s="116">
        <v>3122.7</v>
      </c>
      <c r="C2624" s="116">
        <v>3112.1</v>
      </c>
      <c r="D2624" s="116">
        <v>3018.55</v>
      </c>
      <c r="E2624" s="116">
        <v>3018.55</v>
      </c>
      <c r="F2624" s="116">
        <v>3112.1</v>
      </c>
      <c r="G2624">
        <v>4957</v>
      </c>
      <c r="H2624" s="116"/>
      <c r="I2624" s="116"/>
      <c r="L2624" s="163">
        <v>45867</v>
      </c>
      <c r="M2624" s="116">
        <v>3110</v>
      </c>
      <c r="N2624" s="116">
        <v>3122.9</v>
      </c>
      <c r="O2624" s="116">
        <v>3042.1</v>
      </c>
      <c r="P2624" s="116">
        <v>3045</v>
      </c>
      <c r="Q2624" s="116">
        <v>3110</v>
      </c>
      <c r="R2624">
        <v>441091</v>
      </c>
    </row>
    <row r="2625" spans="1:18" x14ac:dyDescent="0.25">
      <c r="A2625" s="163">
        <v>45868</v>
      </c>
      <c r="B2625" s="116">
        <v>3144.7</v>
      </c>
      <c r="C2625" s="116">
        <v>3085.75</v>
      </c>
      <c r="D2625" s="116">
        <v>3080</v>
      </c>
      <c r="E2625" s="116">
        <v>3100.5</v>
      </c>
      <c r="F2625" s="116">
        <v>3085.75</v>
      </c>
      <c r="G2625">
        <v>5287</v>
      </c>
      <c r="H2625" s="116"/>
      <c r="I2625" s="116"/>
      <c r="L2625" s="163">
        <v>45868</v>
      </c>
      <c r="M2625" s="116">
        <v>3086.5</v>
      </c>
      <c r="N2625" s="116">
        <v>3143.9</v>
      </c>
      <c r="O2625" s="116">
        <v>3077.9</v>
      </c>
      <c r="P2625" s="116">
        <v>3109.8</v>
      </c>
      <c r="Q2625" s="116">
        <v>3086.5</v>
      </c>
      <c r="R2625">
        <v>462805</v>
      </c>
    </row>
    <row r="2626" spans="1:18" x14ac:dyDescent="0.25">
      <c r="A2626" s="163">
        <v>45869</v>
      </c>
      <c r="B2626" s="116">
        <v>3077.25</v>
      </c>
      <c r="C2626" s="116">
        <v>3037.75</v>
      </c>
      <c r="D2626" s="116">
        <v>2968.4</v>
      </c>
      <c r="E2626" s="116">
        <v>3005.55</v>
      </c>
      <c r="F2626" s="116">
        <v>3037.75</v>
      </c>
      <c r="G2626">
        <v>5060</v>
      </c>
      <c r="H2626" s="116"/>
      <c r="I2626" s="116"/>
      <c r="L2626" s="163">
        <v>45869</v>
      </c>
      <c r="M2626" s="116">
        <v>3040.8</v>
      </c>
      <c r="N2626" s="116">
        <v>3078</v>
      </c>
      <c r="O2626" s="116">
        <v>2965.3</v>
      </c>
      <c r="P2626" s="116">
        <v>3000</v>
      </c>
      <c r="Q2626" s="116">
        <v>3040.8</v>
      </c>
      <c r="R2626">
        <v>690148</v>
      </c>
    </row>
    <row r="2627" spans="1:18" x14ac:dyDescent="0.25">
      <c r="A2627" s="163">
        <v>45870</v>
      </c>
      <c r="B2627" s="116">
        <v>3048.1</v>
      </c>
      <c r="C2627" s="116">
        <v>2983.9</v>
      </c>
      <c r="D2627" s="116">
        <v>2977.8</v>
      </c>
      <c r="E2627" s="116">
        <v>3039.8</v>
      </c>
      <c r="F2627" s="116">
        <v>2983.9</v>
      </c>
      <c r="G2627">
        <v>5197</v>
      </c>
      <c r="H2627" s="116"/>
      <c r="I2627" s="116"/>
      <c r="L2627" s="163">
        <v>45870</v>
      </c>
      <c r="M2627" s="116">
        <v>2985.2</v>
      </c>
      <c r="N2627" s="116">
        <v>3047.4</v>
      </c>
      <c r="O2627" s="116">
        <v>2974.3</v>
      </c>
      <c r="P2627" s="116">
        <v>3036</v>
      </c>
      <c r="Q2627" s="116">
        <v>2985.2</v>
      </c>
      <c r="R2627">
        <v>435961</v>
      </c>
    </row>
    <row r="2628" spans="1:18" x14ac:dyDescent="0.25">
      <c r="A2628" s="163">
        <v>45873</v>
      </c>
      <c r="B2628" s="116">
        <v>3074.8</v>
      </c>
      <c r="C2628" s="116">
        <v>3050.95</v>
      </c>
      <c r="D2628" s="116">
        <v>2969.95</v>
      </c>
      <c r="E2628" s="116">
        <v>2969.95</v>
      </c>
      <c r="F2628" s="116">
        <v>3050.95</v>
      </c>
      <c r="G2628">
        <v>2537</v>
      </c>
      <c r="H2628" s="116"/>
      <c r="I2628" s="116"/>
      <c r="L2628" s="163">
        <v>45873</v>
      </c>
      <c r="M2628" s="116">
        <v>3050.4</v>
      </c>
      <c r="N2628" s="116">
        <v>3074</v>
      </c>
      <c r="O2628" s="116">
        <v>2965.1</v>
      </c>
      <c r="P2628" s="116">
        <v>2965.1</v>
      </c>
      <c r="Q2628" s="116">
        <v>3050.4</v>
      </c>
      <c r="R2628">
        <v>393203</v>
      </c>
    </row>
    <row r="2629" spans="1:18" x14ac:dyDescent="0.25">
      <c r="A2629" s="163">
        <v>45874</v>
      </c>
      <c r="B2629" s="116">
        <v>3095</v>
      </c>
      <c r="C2629" s="116">
        <v>3041.7</v>
      </c>
      <c r="D2629" s="116">
        <v>3033.55</v>
      </c>
      <c r="E2629" s="116">
        <v>3059.25</v>
      </c>
      <c r="F2629" s="116">
        <v>3041.7</v>
      </c>
      <c r="G2629">
        <v>5444</v>
      </c>
      <c r="H2629" s="116"/>
      <c r="I2629" s="116"/>
      <c r="L2629" s="163">
        <v>45874</v>
      </c>
      <c r="M2629" s="116">
        <v>3042.8</v>
      </c>
      <c r="N2629" s="116">
        <v>3095.4</v>
      </c>
      <c r="O2629" s="116">
        <v>3032</v>
      </c>
      <c r="P2629" s="116">
        <v>3060</v>
      </c>
      <c r="Q2629" s="116">
        <v>3042.8</v>
      </c>
      <c r="R2629">
        <v>418104</v>
      </c>
    </row>
    <row r="2630" spans="1:18" x14ac:dyDescent="0.25">
      <c r="A2630" s="163">
        <v>45875</v>
      </c>
      <c r="B2630" s="116">
        <v>3033.8</v>
      </c>
      <c r="C2630" s="116">
        <v>2968.8</v>
      </c>
      <c r="D2630" s="116">
        <v>2953.6</v>
      </c>
      <c r="E2630" s="116">
        <v>3031.55</v>
      </c>
      <c r="F2630" s="116">
        <v>2968.8</v>
      </c>
      <c r="G2630">
        <v>4764</v>
      </c>
      <c r="H2630" s="116"/>
      <c r="I2630" s="116"/>
      <c r="L2630" s="163">
        <v>45875</v>
      </c>
      <c r="M2630" s="116">
        <v>2968.9</v>
      </c>
      <c r="N2630" s="116">
        <v>3040</v>
      </c>
      <c r="O2630" s="116">
        <v>2950</v>
      </c>
      <c r="P2630" s="116">
        <v>3040</v>
      </c>
      <c r="Q2630" s="116">
        <v>2968.9</v>
      </c>
      <c r="R2630">
        <v>321329</v>
      </c>
    </row>
    <row r="2631" spans="1:18" x14ac:dyDescent="0.25">
      <c r="A2631" s="163">
        <v>45876</v>
      </c>
      <c r="B2631" s="116">
        <v>2951</v>
      </c>
      <c r="C2631" s="116">
        <v>2903.45</v>
      </c>
      <c r="D2631" s="116">
        <v>2874.95</v>
      </c>
      <c r="E2631" s="116">
        <v>2947.1</v>
      </c>
      <c r="F2631" s="116">
        <v>2903.45</v>
      </c>
      <c r="G2631">
        <v>60581</v>
      </c>
      <c r="H2631" s="116"/>
      <c r="I2631" s="116"/>
      <c r="L2631" s="163">
        <v>45876</v>
      </c>
      <c r="M2631" s="116">
        <v>2904.1</v>
      </c>
      <c r="N2631" s="116">
        <v>2965</v>
      </c>
      <c r="O2631" s="116">
        <v>2875</v>
      </c>
      <c r="P2631" s="116">
        <v>2965</v>
      </c>
      <c r="Q2631" s="116">
        <v>2904.1</v>
      </c>
      <c r="R2631">
        <v>479056</v>
      </c>
    </row>
    <row r="2632" spans="1:18" x14ac:dyDescent="0.25">
      <c r="A2632" s="163">
        <v>45877</v>
      </c>
      <c r="B2632" s="116">
        <v>2914</v>
      </c>
      <c r="C2632" s="116">
        <v>2859.75</v>
      </c>
      <c r="D2632" s="116">
        <v>2845.55</v>
      </c>
      <c r="E2632" s="116">
        <v>2883.05</v>
      </c>
      <c r="F2632" s="116">
        <v>2859.75</v>
      </c>
      <c r="G2632">
        <v>4871</v>
      </c>
      <c r="H2632" s="116"/>
      <c r="I2632" s="116"/>
      <c r="L2632" s="163">
        <v>45877</v>
      </c>
      <c r="M2632" s="116">
        <v>2861.2</v>
      </c>
      <c r="N2632" s="116">
        <v>2919.6</v>
      </c>
      <c r="O2632" s="116">
        <v>2844.9</v>
      </c>
      <c r="P2632" s="116">
        <v>2886</v>
      </c>
      <c r="Q2632" s="116">
        <v>2861.2</v>
      </c>
      <c r="R2632">
        <v>260157</v>
      </c>
    </row>
    <row r="2633" spans="1:18" x14ac:dyDescent="0.25">
      <c r="A2633" s="163">
        <v>45880</v>
      </c>
      <c r="B2633" s="116">
        <v>2891.75</v>
      </c>
      <c r="C2633" s="116">
        <v>2878.5</v>
      </c>
      <c r="D2633" s="116">
        <v>2819.45</v>
      </c>
      <c r="E2633" s="116">
        <v>2824.65</v>
      </c>
      <c r="F2633" s="116">
        <v>2878.5</v>
      </c>
      <c r="G2633">
        <v>9479</v>
      </c>
      <c r="H2633" s="116"/>
      <c r="I2633" s="116"/>
      <c r="L2633" s="163">
        <v>45880</v>
      </c>
      <c r="M2633" s="116">
        <v>2880</v>
      </c>
      <c r="N2633" s="116">
        <v>2892.9</v>
      </c>
      <c r="O2633" s="116">
        <v>2820</v>
      </c>
      <c r="P2633" s="116">
        <v>2840</v>
      </c>
      <c r="Q2633" s="116">
        <v>2880</v>
      </c>
      <c r="R2633">
        <v>244526</v>
      </c>
    </row>
    <row r="2634" spans="1:18" x14ac:dyDescent="0.25">
      <c r="A2634" s="163">
        <v>45881</v>
      </c>
      <c r="B2634" s="116">
        <v>2879.15</v>
      </c>
      <c r="C2634" s="116">
        <v>2842.3</v>
      </c>
      <c r="D2634" s="116">
        <v>2836</v>
      </c>
      <c r="E2634" s="116">
        <v>2878</v>
      </c>
      <c r="F2634" s="116">
        <v>2842.3</v>
      </c>
      <c r="G2634">
        <v>5633</v>
      </c>
      <c r="H2634" s="116"/>
      <c r="I2634" s="116"/>
      <c r="L2634" s="163">
        <v>45881</v>
      </c>
      <c r="M2634" s="116">
        <v>2846.2</v>
      </c>
      <c r="N2634" s="116">
        <v>2885</v>
      </c>
      <c r="O2634" s="116">
        <v>2832.2</v>
      </c>
      <c r="P2634" s="116">
        <v>2880</v>
      </c>
      <c r="Q2634" s="116">
        <v>2846.2</v>
      </c>
      <c r="R2634">
        <v>415408</v>
      </c>
    </row>
    <row r="2635" spans="1:18" x14ac:dyDescent="0.25">
      <c r="A2635" s="163">
        <v>45882</v>
      </c>
      <c r="B2635" s="116">
        <v>2884.5</v>
      </c>
      <c r="C2635" s="116">
        <v>2852.4</v>
      </c>
      <c r="D2635" s="116">
        <v>2842.65</v>
      </c>
      <c r="E2635" s="116">
        <v>2842.65</v>
      </c>
      <c r="F2635" s="116">
        <v>2852.4</v>
      </c>
      <c r="G2635">
        <v>5788</v>
      </c>
      <c r="H2635" s="116"/>
      <c r="I2635" s="116"/>
      <c r="L2635" s="163">
        <v>45882</v>
      </c>
      <c r="M2635" s="116">
        <v>2855.2</v>
      </c>
      <c r="N2635" s="116">
        <v>2887.3</v>
      </c>
      <c r="O2635" s="116">
        <v>2845.3</v>
      </c>
      <c r="P2635" s="116">
        <v>2859.9</v>
      </c>
      <c r="Q2635" s="116">
        <v>2855.2</v>
      </c>
      <c r="R2635">
        <v>220747</v>
      </c>
    </row>
    <row r="2636" spans="1:18" x14ac:dyDescent="0.25">
      <c r="A2636" s="163">
        <v>45883</v>
      </c>
      <c r="B2636" s="116">
        <v>2863.7</v>
      </c>
      <c r="C2636" s="116">
        <v>2842.75</v>
      </c>
      <c r="D2636" s="116">
        <v>2830.2</v>
      </c>
      <c r="E2636" s="116">
        <v>2863.7</v>
      </c>
      <c r="F2636" s="116">
        <v>2842.75</v>
      </c>
      <c r="G2636">
        <v>2572</v>
      </c>
      <c r="H2636" s="116"/>
      <c r="I2636" s="116"/>
      <c r="L2636" s="163">
        <v>45883</v>
      </c>
      <c r="M2636" s="116">
        <v>2841.9</v>
      </c>
      <c r="N2636" s="116">
        <v>2865.8</v>
      </c>
      <c r="O2636" s="116">
        <v>2830.5</v>
      </c>
      <c r="P2636" s="116">
        <v>2852.1</v>
      </c>
      <c r="Q2636" s="116">
        <v>2841.9</v>
      </c>
      <c r="R2636">
        <v>190742</v>
      </c>
    </row>
    <row r="2637" spans="1:18" x14ac:dyDescent="0.25">
      <c r="A2637" s="163">
        <v>45887</v>
      </c>
      <c r="B2637" s="116">
        <v>2945</v>
      </c>
      <c r="C2637" s="116">
        <v>2930.8</v>
      </c>
      <c r="D2637" s="116">
        <v>2843</v>
      </c>
      <c r="E2637" s="116">
        <v>2843</v>
      </c>
      <c r="F2637" s="116">
        <v>2930.8</v>
      </c>
      <c r="G2637">
        <v>13393</v>
      </c>
      <c r="H2637" s="116"/>
      <c r="I2637" s="116"/>
      <c r="L2637" s="163">
        <v>45887</v>
      </c>
      <c r="M2637" s="116">
        <v>2929.7</v>
      </c>
      <c r="N2637" s="116">
        <v>2945</v>
      </c>
      <c r="O2637" s="116">
        <v>2848.1</v>
      </c>
      <c r="P2637" s="116">
        <v>2860</v>
      </c>
      <c r="Q2637" s="116">
        <v>2929.7</v>
      </c>
      <c r="R2637">
        <v>306279</v>
      </c>
    </row>
    <row r="2638" spans="1:18" x14ac:dyDescent="0.25">
      <c r="A2638" s="163">
        <v>45888</v>
      </c>
      <c r="B2638" s="116">
        <v>2980</v>
      </c>
      <c r="C2638" s="116">
        <v>2928.8</v>
      </c>
      <c r="D2638" s="116">
        <v>2911.75</v>
      </c>
      <c r="E2638" s="116">
        <v>2977.95</v>
      </c>
      <c r="F2638" s="116">
        <v>2928.8</v>
      </c>
      <c r="G2638">
        <v>34850</v>
      </c>
      <c r="H2638" s="116"/>
      <c r="I2638" s="116"/>
      <c r="L2638" s="163">
        <v>45888</v>
      </c>
      <c r="M2638" s="116">
        <v>2929.6</v>
      </c>
      <c r="N2638" s="116">
        <v>2981.3</v>
      </c>
      <c r="O2638" s="116">
        <v>2911.6</v>
      </c>
      <c r="P2638" s="116">
        <v>2930</v>
      </c>
      <c r="Q2638" s="116">
        <v>2929.6</v>
      </c>
      <c r="R2638">
        <v>1004428</v>
      </c>
    </row>
    <row r="2639" spans="1:18" x14ac:dyDescent="0.25">
      <c r="A2639" s="163">
        <v>45889</v>
      </c>
      <c r="B2639" s="116">
        <v>3021.1</v>
      </c>
      <c r="C2639" s="116">
        <v>2925.35</v>
      </c>
      <c r="D2639" s="116">
        <v>2908.1</v>
      </c>
      <c r="E2639" s="116">
        <v>2940.15</v>
      </c>
      <c r="F2639" s="116">
        <v>2925.35</v>
      </c>
      <c r="G2639">
        <v>15969</v>
      </c>
      <c r="H2639" s="116"/>
      <c r="I2639" s="116"/>
      <c r="L2639" s="163">
        <v>45889</v>
      </c>
      <c r="M2639" s="116">
        <v>2924.2</v>
      </c>
      <c r="N2639" s="116">
        <v>3014.5</v>
      </c>
      <c r="O2639" s="116">
        <v>2906.1</v>
      </c>
      <c r="P2639" s="116">
        <v>2950</v>
      </c>
      <c r="Q2639" s="116">
        <v>2924.2</v>
      </c>
      <c r="R2639">
        <v>733614</v>
      </c>
    </row>
    <row r="2640" spans="1:18" x14ac:dyDescent="0.25">
      <c r="A2640" s="163">
        <v>45890</v>
      </c>
      <c r="B2640" s="116">
        <v>2928.15</v>
      </c>
      <c r="C2640" s="116">
        <v>2916.15</v>
      </c>
      <c r="D2640" s="116">
        <v>2904.6</v>
      </c>
      <c r="E2640" s="116">
        <v>2924.2</v>
      </c>
      <c r="F2640" s="116">
        <v>2916.15</v>
      </c>
      <c r="G2640">
        <v>6709</v>
      </c>
      <c r="H2640" s="116"/>
      <c r="I2640" s="116"/>
      <c r="L2640" s="163">
        <v>45890</v>
      </c>
      <c r="M2640" s="116">
        <v>2912.8</v>
      </c>
      <c r="N2640" s="116">
        <v>2938</v>
      </c>
      <c r="O2640" s="116">
        <v>2902.1</v>
      </c>
      <c r="P2640" s="116">
        <v>2938</v>
      </c>
      <c r="Q2640" s="116">
        <v>2912.8</v>
      </c>
      <c r="R2640">
        <v>306140</v>
      </c>
    </row>
    <row r="2641" spans="1:18" x14ac:dyDescent="0.25">
      <c r="A2641" s="163">
        <v>45891</v>
      </c>
      <c r="B2641" s="116">
        <v>2934.75</v>
      </c>
      <c r="C2641" s="116">
        <v>2916.1</v>
      </c>
      <c r="D2641" s="116">
        <v>2900</v>
      </c>
      <c r="E2641" s="116">
        <v>2911.4</v>
      </c>
      <c r="F2641" s="116">
        <v>2916.1</v>
      </c>
      <c r="G2641">
        <v>6151</v>
      </c>
      <c r="H2641" s="116"/>
      <c r="I2641" s="116"/>
      <c r="L2641" s="163">
        <v>45891</v>
      </c>
      <c r="M2641" s="116">
        <v>2917.5</v>
      </c>
      <c r="N2641" s="116">
        <v>2937.5</v>
      </c>
      <c r="O2641" s="116">
        <v>2901</v>
      </c>
      <c r="P2641" s="116">
        <v>2913</v>
      </c>
      <c r="Q2641" s="116">
        <v>2917.5</v>
      </c>
      <c r="R2641">
        <v>313233</v>
      </c>
    </row>
    <row r="2642" spans="1:18" x14ac:dyDescent="0.25">
      <c r="A2642" s="163">
        <v>45894</v>
      </c>
      <c r="B2642" s="116">
        <v>2952.65</v>
      </c>
      <c r="C2642" s="116">
        <v>2914.95</v>
      </c>
      <c r="D2642" s="116">
        <v>2907.25</v>
      </c>
      <c r="E2642" s="116">
        <v>2922.25</v>
      </c>
      <c r="F2642" s="116">
        <v>2914.95</v>
      </c>
      <c r="G2642">
        <v>3569</v>
      </c>
      <c r="H2642" s="116"/>
      <c r="I2642" s="116"/>
      <c r="L2642" s="163">
        <v>45894</v>
      </c>
      <c r="M2642" s="116">
        <v>2911.7</v>
      </c>
      <c r="N2642" s="116">
        <v>2954</v>
      </c>
      <c r="O2642" s="116">
        <v>2900</v>
      </c>
      <c r="P2642" s="116">
        <v>2930</v>
      </c>
      <c r="Q2642" s="116">
        <v>2911.7</v>
      </c>
      <c r="R2642">
        <v>355700</v>
      </c>
    </row>
    <row r="2643" spans="1:18" x14ac:dyDescent="0.25">
      <c r="A2643" s="163">
        <v>45895</v>
      </c>
      <c r="B2643" s="116">
        <v>2912.6</v>
      </c>
      <c r="C2643" s="116">
        <v>2845.6</v>
      </c>
      <c r="D2643" s="116">
        <v>2825.8</v>
      </c>
      <c r="E2643" s="116">
        <v>2891.4</v>
      </c>
      <c r="F2643" s="116">
        <v>2845.6</v>
      </c>
      <c r="G2643">
        <v>5667</v>
      </c>
      <c r="H2643" s="116"/>
      <c r="I2643" s="116"/>
      <c r="L2643" s="163">
        <v>45895</v>
      </c>
      <c r="M2643" s="116">
        <v>2849.2</v>
      </c>
      <c r="N2643" s="116">
        <v>2914.6</v>
      </c>
      <c r="O2643" s="116">
        <v>2826.3</v>
      </c>
      <c r="P2643" s="116">
        <v>2900</v>
      </c>
      <c r="Q2643" s="116">
        <v>2849.2</v>
      </c>
      <c r="R2643">
        <v>939512</v>
      </c>
    </row>
    <row r="2644" spans="1:18" x14ac:dyDescent="0.25">
      <c r="A2644" s="163">
        <v>45897</v>
      </c>
      <c r="B2644" s="116">
        <v>2858.8</v>
      </c>
      <c r="C2644" s="116">
        <v>2850.15</v>
      </c>
      <c r="D2644" s="116">
        <v>2801.35</v>
      </c>
      <c r="E2644" s="116">
        <v>2801.35</v>
      </c>
      <c r="F2644" s="116">
        <v>2850.15</v>
      </c>
      <c r="G2644">
        <v>2830</v>
      </c>
      <c r="H2644" s="116"/>
      <c r="I2644" s="116"/>
      <c r="L2644" s="163">
        <v>45897</v>
      </c>
      <c r="M2644" s="116">
        <v>2850.8</v>
      </c>
      <c r="N2644" s="116">
        <v>2858.4</v>
      </c>
      <c r="O2644" s="116">
        <v>2812.8</v>
      </c>
      <c r="P2644" s="116">
        <v>2830</v>
      </c>
      <c r="Q2644" s="116">
        <v>2850.8</v>
      </c>
      <c r="R2644">
        <v>363957</v>
      </c>
    </row>
    <row r="2645" spans="1:18" x14ac:dyDescent="0.25">
      <c r="A2645" s="163">
        <v>45898</v>
      </c>
      <c r="B2645" s="116">
        <v>2868.3</v>
      </c>
      <c r="C2645" s="116">
        <v>2841.35</v>
      </c>
      <c r="D2645" s="116">
        <v>2829.55</v>
      </c>
      <c r="E2645" s="116">
        <v>2850.8</v>
      </c>
      <c r="F2645" s="116">
        <v>2841.35</v>
      </c>
      <c r="G2645">
        <v>3956</v>
      </c>
      <c r="H2645" s="116"/>
      <c r="I2645" s="116"/>
      <c r="L2645" s="163">
        <v>45898</v>
      </c>
      <c r="M2645" s="116">
        <v>2836.4</v>
      </c>
      <c r="N2645" s="116">
        <v>2869.9</v>
      </c>
      <c r="O2645" s="116">
        <v>2828.6</v>
      </c>
      <c r="P2645" s="116">
        <v>2832</v>
      </c>
      <c r="Q2645" s="116">
        <v>2836.4</v>
      </c>
      <c r="R2645">
        <v>537875</v>
      </c>
    </row>
    <row r="2646" spans="1:18" x14ac:dyDescent="0.25">
      <c r="A2646" s="163">
        <v>45901</v>
      </c>
      <c r="B2646" s="116">
        <v>2902.8</v>
      </c>
      <c r="C2646" s="116">
        <v>2897.2</v>
      </c>
      <c r="D2646" s="116">
        <v>2831.45</v>
      </c>
      <c r="E2646" s="116">
        <v>2841.5</v>
      </c>
      <c r="F2646" s="116">
        <v>2897.2</v>
      </c>
      <c r="G2646">
        <v>6457</v>
      </c>
      <c r="H2646" s="116"/>
      <c r="I2646" s="116"/>
      <c r="L2646" s="163">
        <v>45901</v>
      </c>
      <c r="M2646" s="116">
        <v>2897.8</v>
      </c>
      <c r="N2646" s="116">
        <v>2902.8</v>
      </c>
      <c r="O2646" s="116">
        <v>2817.1</v>
      </c>
      <c r="P2646" s="116">
        <v>2849</v>
      </c>
      <c r="Q2646" s="116">
        <v>2897.8</v>
      </c>
      <c r="R2646">
        <v>220055</v>
      </c>
    </row>
    <row r="2647" spans="1:18" x14ac:dyDescent="0.25">
      <c r="A2647" s="163">
        <v>45902</v>
      </c>
      <c r="B2647" s="116">
        <v>2948.8</v>
      </c>
      <c r="C2647" s="116">
        <v>2903.15</v>
      </c>
      <c r="D2647" s="116">
        <v>2897.3</v>
      </c>
      <c r="E2647" s="116">
        <v>2948.8</v>
      </c>
      <c r="F2647" s="116">
        <v>2903.15</v>
      </c>
      <c r="G2647">
        <v>3360</v>
      </c>
      <c r="H2647" s="116"/>
      <c r="I2647" s="116"/>
      <c r="L2647" s="163">
        <v>45902</v>
      </c>
      <c r="M2647" s="116">
        <v>2903</v>
      </c>
      <c r="N2647" s="116">
        <v>2934</v>
      </c>
      <c r="O2647" s="116">
        <v>2894.2</v>
      </c>
      <c r="P2647" s="116">
        <v>2910</v>
      </c>
      <c r="Q2647" s="116">
        <v>2903</v>
      </c>
      <c r="R2647">
        <v>382174</v>
      </c>
    </row>
    <row r="2648" spans="1:18" x14ac:dyDescent="0.25">
      <c r="A2648" s="163">
        <v>45903</v>
      </c>
      <c r="B2648" s="116">
        <v>2952</v>
      </c>
      <c r="C2648" s="116">
        <v>2946.9</v>
      </c>
      <c r="D2648" s="116">
        <v>2902.3</v>
      </c>
      <c r="E2648" s="116">
        <v>2904.05</v>
      </c>
      <c r="F2648" s="116">
        <v>2946.9</v>
      </c>
      <c r="G2648">
        <v>4612</v>
      </c>
      <c r="H2648" s="116"/>
      <c r="I2648" s="116"/>
      <c r="L2648" s="163">
        <v>45903</v>
      </c>
      <c r="M2648" s="116">
        <v>2949</v>
      </c>
      <c r="N2648" s="116">
        <v>2952.8</v>
      </c>
      <c r="O2648" s="116">
        <v>2903.5</v>
      </c>
      <c r="P2648" s="116">
        <v>2919</v>
      </c>
      <c r="Q2648" s="116">
        <v>2949</v>
      </c>
      <c r="R2648">
        <v>382214</v>
      </c>
    </row>
    <row r="2649" spans="1:18" x14ac:dyDescent="0.25">
      <c r="A2649" s="163">
        <v>45904</v>
      </c>
      <c r="B2649" s="116">
        <v>2961.5</v>
      </c>
      <c r="C2649" s="116">
        <v>2888.05</v>
      </c>
      <c r="D2649" s="116">
        <v>2876.75</v>
      </c>
      <c r="E2649" s="116">
        <v>2932.15</v>
      </c>
      <c r="F2649" s="116">
        <v>2888.05</v>
      </c>
      <c r="G2649">
        <v>3037</v>
      </c>
      <c r="H2649" s="116"/>
      <c r="I2649" s="116"/>
      <c r="L2649" s="163">
        <v>45904</v>
      </c>
      <c r="M2649" s="116">
        <v>2889.9</v>
      </c>
      <c r="N2649" s="116">
        <v>2962.9</v>
      </c>
      <c r="O2649" s="116">
        <v>2875</v>
      </c>
      <c r="P2649" s="116">
        <v>2949</v>
      </c>
      <c r="Q2649" s="116">
        <v>2889.9</v>
      </c>
      <c r="R2649">
        <v>238063</v>
      </c>
    </row>
    <row r="2650" spans="1:18" x14ac:dyDescent="0.25">
      <c r="A2650" s="163">
        <v>45905</v>
      </c>
      <c r="B2650" s="116">
        <v>2894.55</v>
      </c>
      <c r="C2650" s="116">
        <v>2852.4</v>
      </c>
      <c r="D2650" s="116">
        <v>2837.45</v>
      </c>
      <c r="E2650" s="116">
        <v>2881.15</v>
      </c>
      <c r="F2650" s="116">
        <v>2852.4</v>
      </c>
      <c r="G2650">
        <v>2337</v>
      </c>
      <c r="H2650" s="116"/>
      <c r="I2650" s="116"/>
      <c r="L2650" s="163">
        <v>45905</v>
      </c>
      <c r="M2650" s="116">
        <v>2851.8</v>
      </c>
      <c r="N2650" s="116">
        <v>2899</v>
      </c>
      <c r="O2650" s="116">
        <v>2835.5</v>
      </c>
      <c r="P2650" s="116">
        <v>2899</v>
      </c>
      <c r="Q2650" s="116">
        <v>2851.8</v>
      </c>
      <c r="R2650">
        <v>132494</v>
      </c>
    </row>
    <row r="2651" spans="1:18" x14ac:dyDescent="0.25">
      <c r="A2651" s="163">
        <v>45908</v>
      </c>
      <c r="B2651" s="116">
        <v>2904.5</v>
      </c>
      <c r="C2651" s="116">
        <v>2888.5</v>
      </c>
      <c r="D2651" s="116">
        <v>2849</v>
      </c>
      <c r="E2651" s="116">
        <v>2855.1</v>
      </c>
      <c r="F2651" s="116">
        <v>2888.5</v>
      </c>
      <c r="G2651">
        <v>6169</v>
      </c>
      <c r="H2651" s="116"/>
      <c r="I2651" s="116"/>
      <c r="L2651" s="163">
        <v>45908</v>
      </c>
      <c r="M2651" s="116">
        <v>2887.2</v>
      </c>
      <c r="N2651" s="116">
        <v>2905</v>
      </c>
      <c r="O2651" s="116">
        <v>2847</v>
      </c>
      <c r="P2651" s="116">
        <v>2861</v>
      </c>
      <c r="Q2651" s="116">
        <v>2887.2</v>
      </c>
      <c r="R2651">
        <v>155621</v>
      </c>
    </row>
    <row r="2652" spans="1:18" x14ac:dyDescent="0.25">
      <c r="A2652" s="163">
        <v>45909</v>
      </c>
      <c r="B2652" s="116">
        <v>2937</v>
      </c>
      <c r="C2652" s="116">
        <v>2932.35</v>
      </c>
      <c r="D2652" s="116">
        <v>2875.95</v>
      </c>
      <c r="E2652" s="116">
        <v>2885.05</v>
      </c>
      <c r="F2652" s="116">
        <v>2932.35</v>
      </c>
      <c r="G2652">
        <v>4674</v>
      </c>
      <c r="H2652" s="116"/>
      <c r="I2652" s="116"/>
      <c r="L2652" s="163">
        <v>45909</v>
      </c>
      <c r="M2652" s="116">
        <v>2934</v>
      </c>
      <c r="N2652" s="116">
        <v>2939</v>
      </c>
      <c r="O2652" s="116">
        <v>2875</v>
      </c>
      <c r="P2652" s="116">
        <v>2904.8</v>
      </c>
      <c r="Q2652" s="116">
        <v>2934</v>
      </c>
      <c r="R2652">
        <v>312421</v>
      </c>
    </row>
    <row r="2653" spans="1:18" x14ac:dyDescent="0.25">
      <c r="A2653" s="163">
        <v>45910</v>
      </c>
      <c r="B2653" s="116">
        <v>3000</v>
      </c>
      <c r="C2653" s="116">
        <v>2977.2</v>
      </c>
      <c r="D2653" s="116">
        <v>2943.85</v>
      </c>
      <c r="E2653" s="116">
        <v>2967.95</v>
      </c>
      <c r="F2653" s="116">
        <v>2977.2</v>
      </c>
      <c r="G2653">
        <v>6240</v>
      </c>
      <c r="H2653" s="116"/>
      <c r="I2653" s="116"/>
      <c r="L2653" s="163">
        <v>45910</v>
      </c>
      <c r="M2653" s="116">
        <v>2978.2</v>
      </c>
      <c r="N2653" s="116">
        <v>3001.9</v>
      </c>
      <c r="O2653" s="116">
        <v>2938.5</v>
      </c>
      <c r="P2653" s="116">
        <v>2948</v>
      </c>
      <c r="Q2653" s="116">
        <v>2978.2</v>
      </c>
      <c r="R2653">
        <v>287653</v>
      </c>
    </row>
    <row r="2654" spans="1:18" x14ac:dyDescent="0.25">
      <c r="A2654" s="163">
        <v>45911</v>
      </c>
      <c r="B2654" s="116">
        <v>3009.85</v>
      </c>
      <c r="C2654" s="116">
        <v>2985.2</v>
      </c>
      <c r="D2654" s="116">
        <v>2963.9</v>
      </c>
      <c r="E2654" s="116">
        <v>2978.25</v>
      </c>
      <c r="F2654" s="116">
        <v>2985.2</v>
      </c>
      <c r="G2654">
        <v>4199</v>
      </c>
      <c r="H2654" s="116"/>
      <c r="I2654" s="116"/>
      <c r="L2654" s="163">
        <v>45911</v>
      </c>
      <c r="M2654" s="116">
        <v>2985.5</v>
      </c>
      <c r="N2654" s="116">
        <v>3008.7</v>
      </c>
      <c r="O2654" s="116">
        <v>2961</v>
      </c>
      <c r="P2654" s="116">
        <v>2987</v>
      </c>
      <c r="Q2654" s="116">
        <v>2985.5</v>
      </c>
      <c r="R2654">
        <v>166098</v>
      </c>
    </row>
    <row r="2655" spans="1:18" x14ac:dyDescent="0.25">
      <c r="A2655" s="163">
        <v>45912</v>
      </c>
      <c r="B2655" s="116">
        <v>2994.85</v>
      </c>
      <c r="C2655" s="116">
        <v>2971.35</v>
      </c>
      <c r="D2655" s="116">
        <v>2964.8</v>
      </c>
      <c r="E2655" s="116">
        <v>2989</v>
      </c>
      <c r="F2655" s="116">
        <v>2971.35</v>
      </c>
      <c r="G2655">
        <v>7770</v>
      </c>
      <c r="H2655" s="116"/>
      <c r="I2655" s="116"/>
      <c r="L2655" s="163">
        <v>45912</v>
      </c>
      <c r="M2655" s="116">
        <v>2971.7</v>
      </c>
      <c r="N2655" s="116">
        <v>2999</v>
      </c>
      <c r="O2655" s="116">
        <v>2962.9</v>
      </c>
      <c r="P2655" s="116">
        <v>2999</v>
      </c>
      <c r="Q2655" s="116">
        <v>2971.7</v>
      </c>
      <c r="R2655">
        <v>380611</v>
      </c>
    </row>
    <row r="2656" spans="1:18" x14ac:dyDescent="0.25">
      <c r="A2656" s="163">
        <v>45915</v>
      </c>
      <c r="B2656" s="116">
        <v>2984.05</v>
      </c>
      <c r="C2656" s="116">
        <v>2948.1</v>
      </c>
      <c r="D2656" s="116">
        <v>2939.15</v>
      </c>
      <c r="E2656" s="116">
        <v>2980</v>
      </c>
      <c r="F2656" s="116">
        <v>2948.1</v>
      </c>
      <c r="G2656">
        <v>1380</v>
      </c>
      <c r="H2656" s="116"/>
      <c r="I2656" s="116"/>
      <c r="L2656" s="163">
        <v>45915</v>
      </c>
      <c r="M2656" s="116">
        <v>2948.7</v>
      </c>
      <c r="N2656" s="116">
        <v>2985</v>
      </c>
      <c r="O2656" s="116">
        <v>2938</v>
      </c>
      <c r="P2656" s="116">
        <v>2971.7</v>
      </c>
      <c r="Q2656" s="116">
        <v>2948.7</v>
      </c>
      <c r="R2656">
        <v>150806</v>
      </c>
    </row>
    <row r="2657" spans="1:18" x14ac:dyDescent="0.25">
      <c r="A2657" s="163">
        <v>45916</v>
      </c>
      <c r="B2657" s="116">
        <v>2965.85</v>
      </c>
      <c r="C2657" s="116">
        <v>2951.05</v>
      </c>
      <c r="D2657" s="116">
        <v>2922.15</v>
      </c>
      <c r="E2657" s="116">
        <v>2922.15</v>
      </c>
      <c r="F2657" s="116">
        <v>2951.05</v>
      </c>
      <c r="G2657">
        <v>2916</v>
      </c>
      <c r="H2657" s="116"/>
      <c r="I2657" s="116"/>
      <c r="L2657" s="163">
        <v>45916</v>
      </c>
      <c r="M2657" s="116">
        <v>2951.8</v>
      </c>
      <c r="N2657" s="116">
        <v>2965</v>
      </c>
      <c r="O2657" s="116">
        <v>2925</v>
      </c>
      <c r="P2657" s="116">
        <v>2951.3</v>
      </c>
      <c r="Q2657" s="116">
        <v>2951.8</v>
      </c>
      <c r="R2657">
        <v>175894</v>
      </c>
    </row>
    <row r="2658" spans="1:18" x14ac:dyDescent="0.25">
      <c r="A2658" s="163">
        <v>45917</v>
      </c>
      <c r="B2658" s="116">
        <v>2985</v>
      </c>
      <c r="C2658" s="116">
        <v>2948.4</v>
      </c>
      <c r="D2658" s="116">
        <v>2938.7</v>
      </c>
      <c r="E2658" s="116">
        <v>2957.5</v>
      </c>
      <c r="F2658" s="116">
        <v>2948.4</v>
      </c>
      <c r="G2658">
        <v>59706</v>
      </c>
      <c r="H2658" s="116"/>
      <c r="I2658" s="116"/>
      <c r="L2658" s="163">
        <v>45917</v>
      </c>
      <c r="M2658" s="116">
        <v>2948</v>
      </c>
      <c r="N2658" s="116">
        <v>2985.5</v>
      </c>
      <c r="O2658" s="116">
        <v>2939.1</v>
      </c>
      <c r="P2658" s="116">
        <v>2959</v>
      </c>
      <c r="Q2658" s="116">
        <v>2948</v>
      </c>
      <c r="R2658">
        <v>337545</v>
      </c>
    </row>
    <row r="2659" spans="1:18" x14ac:dyDescent="0.25">
      <c r="A2659" s="163">
        <v>45918</v>
      </c>
      <c r="B2659" s="116">
        <v>2948</v>
      </c>
      <c r="C2659" s="116">
        <v>2936.8</v>
      </c>
      <c r="D2659" s="116">
        <v>2900.15</v>
      </c>
      <c r="E2659" s="116">
        <v>2948</v>
      </c>
      <c r="F2659" s="116">
        <v>2936.8</v>
      </c>
      <c r="G2659">
        <v>4461</v>
      </c>
      <c r="H2659" s="116"/>
      <c r="I2659" s="116"/>
      <c r="L2659" s="163">
        <v>45918</v>
      </c>
      <c r="M2659" s="116">
        <v>2937.5</v>
      </c>
      <c r="N2659" s="116">
        <v>2965</v>
      </c>
      <c r="O2659" s="116">
        <v>2902.3</v>
      </c>
      <c r="P2659" s="116">
        <v>2963.1</v>
      </c>
      <c r="Q2659" s="116">
        <v>2937.5</v>
      </c>
      <c r="R2659">
        <v>451723</v>
      </c>
    </row>
    <row r="2660" spans="1:18" x14ac:dyDescent="0.25">
      <c r="A2660" s="163">
        <v>45919</v>
      </c>
      <c r="B2660" s="116">
        <v>2957.45</v>
      </c>
      <c r="C2660" s="116">
        <v>2937.55</v>
      </c>
      <c r="D2660" s="116">
        <v>2929.9</v>
      </c>
      <c r="E2660" s="116">
        <v>2945.85</v>
      </c>
      <c r="F2660" s="116">
        <v>2937.55</v>
      </c>
      <c r="G2660">
        <v>1211</v>
      </c>
      <c r="H2660" s="116"/>
      <c r="I2660" s="116"/>
      <c r="L2660" s="163">
        <v>45919</v>
      </c>
      <c r="M2660" s="116">
        <v>2937.2</v>
      </c>
      <c r="N2660" s="116">
        <v>2958.9</v>
      </c>
      <c r="O2660" s="116">
        <v>2928.1</v>
      </c>
      <c r="P2660" s="116">
        <v>2937.5</v>
      </c>
      <c r="Q2660" s="116">
        <v>2937.2</v>
      </c>
      <c r="R2660">
        <v>254678</v>
      </c>
    </row>
    <row r="2661" spans="1:18" x14ac:dyDescent="0.25">
      <c r="A2661" s="163">
        <v>45922</v>
      </c>
      <c r="B2661" s="116">
        <v>2959.4</v>
      </c>
      <c r="C2661" s="116">
        <v>2913.9</v>
      </c>
      <c r="D2661" s="116">
        <v>2901.65</v>
      </c>
      <c r="E2661" s="116">
        <v>2936</v>
      </c>
      <c r="F2661" s="116">
        <v>2913.9</v>
      </c>
      <c r="G2661">
        <v>3137</v>
      </c>
      <c r="H2661" s="116"/>
      <c r="I2661" s="116"/>
      <c r="L2661" s="163">
        <v>45922</v>
      </c>
      <c r="M2661" s="116">
        <v>2914</v>
      </c>
      <c r="N2661" s="116">
        <v>2958.5</v>
      </c>
      <c r="O2661" s="116">
        <v>2901.6</v>
      </c>
      <c r="P2661" s="116">
        <v>2937</v>
      </c>
      <c r="Q2661" s="116">
        <v>2914</v>
      </c>
      <c r="R2661">
        <v>149602</v>
      </c>
    </row>
    <row r="2662" spans="1:18" x14ac:dyDescent="0.25">
      <c r="A2662" s="163">
        <v>45923</v>
      </c>
      <c r="B2662" s="116">
        <v>2936.45</v>
      </c>
      <c r="C2662" s="116">
        <v>2904.35</v>
      </c>
      <c r="D2662" s="116">
        <v>2866.2</v>
      </c>
      <c r="E2662" s="116">
        <v>2903.1</v>
      </c>
      <c r="F2662" s="116">
        <v>2904.35</v>
      </c>
      <c r="G2662">
        <v>7485</v>
      </c>
      <c r="H2662" s="116"/>
      <c r="I2662" s="116"/>
      <c r="L2662" s="163">
        <v>45923</v>
      </c>
      <c r="M2662" s="116">
        <v>2903.2</v>
      </c>
      <c r="N2662" s="116">
        <v>2936.5</v>
      </c>
      <c r="O2662" s="116">
        <v>2866.1</v>
      </c>
      <c r="P2662" s="116">
        <v>2919</v>
      </c>
      <c r="Q2662" s="116">
        <v>2903.2</v>
      </c>
      <c r="R2662">
        <v>256230</v>
      </c>
    </row>
    <row r="2663" spans="1:18" x14ac:dyDescent="0.25">
      <c r="A2663" s="163">
        <v>45924</v>
      </c>
      <c r="B2663" s="116">
        <v>2915.4</v>
      </c>
      <c r="C2663" s="116">
        <v>2907.15</v>
      </c>
      <c r="D2663" s="116">
        <v>2883.95</v>
      </c>
      <c r="E2663" s="116">
        <v>2903.05</v>
      </c>
      <c r="F2663" s="116">
        <v>2907.15</v>
      </c>
      <c r="G2663">
        <v>3673</v>
      </c>
      <c r="H2663" s="116"/>
      <c r="I2663" s="116"/>
      <c r="L2663" s="163">
        <v>45924</v>
      </c>
      <c r="M2663" s="116">
        <v>2907.1</v>
      </c>
      <c r="N2663" s="116">
        <v>2916</v>
      </c>
      <c r="O2663" s="116">
        <v>2882.6</v>
      </c>
      <c r="P2663" s="116">
        <v>2903.1</v>
      </c>
      <c r="Q2663" s="116">
        <v>2907.1</v>
      </c>
      <c r="R2663">
        <v>165782</v>
      </c>
    </row>
    <row r="2664" spans="1:18" x14ac:dyDescent="0.25">
      <c r="A2664" s="163">
        <v>45925</v>
      </c>
      <c r="B2664" s="116">
        <v>2919.55</v>
      </c>
      <c r="C2664" s="116">
        <v>2873.7</v>
      </c>
      <c r="D2664" s="116">
        <v>2868</v>
      </c>
      <c r="E2664" s="116">
        <v>2896</v>
      </c>
      <c r="F2664" s="116">
        <v>2873.7</v>
      </c>
      <c r="G2664">
        <v>2218</v>
      </c>
      <c r="H2664" s="116"/>
      <c r="I2664" s="116"/>
      <c r="L2664" s="163">
        <v>45925</v>
      </c>
      <c r="M2664" s="116">
        <v>2879.1</v>
      </c>
      <c r="N2664" s="116">
        <v>2919.9</v>
      </c>
      <c r="O2664" s="116">
        <v>2868.6</v>
      </c>
      <c r="P2664" s="116">
        <v>2892</v>
      </c>
      <c r="Q2664" s="116">
        <v>2879.1</v>
      </c>
      <c r="R2664">
        <v>237756</v>
      </c>
    </row>
    <row r="2665" spans="1:18" x14ac:dyDescent="0.25">
      <c r="A2665" s="163">
        <v>45926</v>
      </c>
      <c r="B2665" s="116">
        <v>2895.95</v>
      </c>
      <c r="C2665" s="116">
        <v>2803.8</v>
      </c>
      <c r="D2665" s="116">
        <v>2798.5</v>
      </c>
      <c r="E2665" s="116">
        <v>2895.95</v>
      </c>
      <c r="F2665" s="116">
        <v>2803.8</v>
      </c>
      <c r="G2665">
        <v>2676</v>
      </c>
      <c r="H2665" s="116"/>
      <c r="I2665" s="116"/>
      <c r="L2665" s="163">
        <v>45926</v>
      </c>
      <c r="M2665" s="116">
        <v>2806.9</v>
      </c>
      <c r="N2665" s="116">
        <v>2879.9</v>
      </c>
      <c r="O2665" s="116">
        <v>2795</v>
      </c>
      <c r="P2665" s="116">
        <v>2879</v>
      </c>
      <c r="Q2665" s="116">
        <v>2806.9</v>
      </c>
      <c r="R2665">
        <v>138769</v>
      </c>
    </row>
    <row r="2666" spans="1:18" x14ac:dyDescent="0.25">
      <c r="A2666" s="163">
        <v>45929</v>
      </c>
      <c r="B2666" s="116">
        <v>2849</v>
      </c>
      <c r="C2666" s="116">
        <v>2796.6</v>
      </c>
      <c r="D2666" s="116">
        <v>2790</v>
      </c>
      <c r="E2666" s="116">
        <v>2811.05</v>
      </c>
      <c r="F2666" s="116">
        <v>2796.6</v>
      </c>
      <c r="G2666">
        <v>1795</v>
      </c>
      <c r="H2666" s="116"/>
      <c r="I2666" s="116"/>
      <c r="L2666" s="163">
        <v>45929</v>
      </c>
      <c r="M2666" s="116">
        <v>2798</v>
      </c>
      <c r="N2666" s="116">
        <v>2850.8</v>
      </c>
      <c r="O2666" s="116">
        <v>2789</v>
      </c>
      <c r="P2666" s="116">
        <v>2798</v>
      </c>
      <c r="Q2666" s="116">
        <v>2798</v>
      </c>
      <c r="R2666">
        <v>221510</v>
      </c>
    </row>
    <row r="2667" spans="1:18" x14ac:dyDescent="0.25">
      <c r="A2667" s="163">
        <v>45930</v>
      </c>
      <c r="B2667" s="116">
        <v>2833.7</v>
      </c>
      <c r="C2667" s="116">
        <v>2823.35</v>
      </c>
      <c r="D2667" s="116">
        <v>2796.5</v>
      </c>
      <c r="E2667" s="116">
        <v>2822.4</v>
      </c>
      <c r="F2667" s="116">
        <v>2823.35</v>
      </c>
      <c r="G2667">
        <v>2231</v>
      </c>
      <c r="H2667" s="116"/>
      <c r="I2667" s="116"/>
      <c r="L2667" s="163">
        <v>45930</v>
      </c>
      <c r="M2667" s="116">
        <v>2823.6</v>
      </c>
      <c r="N2667" s="116">
        <v>2836.5</v>
      </c>
      <c r="O2667" s="116">
        <v>2794.5</v>
      </c>
      <c r="P2667" s="116">
        <v>2800</v>
      </c>
      <c r="Q2667" s="116">
        <v>2823.6</v>
      </c>
      <c r="R2667">
        <v>210831</v>
      </c>
    </row>
    <row r="2668" spans="1:18" x14ac:dyDescent="0.25">
      <c r="A2668" s="163">
        <v>45931</v>
      </c>
      <c r="B2668" s="116">
        <v>2915</v>
      </c>
      <c r="C2668" s="116">
        <v>2907.15</v>
      </c>
      <c r="D2668" s="116">
        <v>2781</v>
      </c>
      <c r="E2668" s="116">
        <v>2822</v>
      </c>
      <c r="F2668" s="116">
        <v>2907.15</v>
      </c>
      <c r="G2668">
        <v>6930</v>
      </c>
      <c r="H2668" s="116"/>
      <c r="I2668" s="116"/>
      <c r="L2668" s="163">
        <v>45931</v>
      </c>
      <c r="M2668" s="116">
        <v>2907.1</v>
      </c>
      <c r="N2668" s="116">
        <v>2916.1</v>
      </c>
      <c r="O2668" s="116">
        <v>2779.5</v>
      </c>
      <c r="P2668" s="116">
        <v>2823.5</v>
      </c>
      <c r="Q2668" s="116">
        <v>2907.1</v>
      </c>
      <c r="R2668">
        <v>391029</v>
      </c>
    </row>
    <row r="2669" spans="1:18" x14ac:dyDescent="0.25">
      <c r="A2669" s="163">
        <v>45933</v>
      </c>
      <c r="B2669" s="116">
        <v>2926.5</v>
      </c>
      <c r="C2669" s="116">
        <v>2919.3</v>
      </c>
      <c r="D2669" s="116">
        <v>2886.65</v>
      </c>
      <c r="E2669" s="116">
        <v>2926.5</v>
      </c>
      <c r="F2669" s="116">
        <v>2919.3</v>
      </c>
      <c r="G2669">
        <v>5696</v>
      </c>
      <c r="H2669" s="116"/>
      <c r="I2669" s="116"/>
      <c r="L2669" s="163">
        <v>45933</v>
      </c>
      <c r="M2669" s="116">
        <v>2919.4</v>
      </c>
      <c r="N2669" s="116">
        <v>2925.3</v>
      </c>
      <c r="O2669" s="116">
        <v>2885.3</v>
      </c>
      <c r="P2669" s="116">
        <v>2890.1</v>
      </c>
      <c r="Q2669" s="116">
        <v>2919.4</v>
      </c>
      <c r="R2669">
        <v>526268</v>
      </c>
    </row>
    <row r="2670" spans="1:18" x14ac:dyDescent="0.25">
      <c r="A2670" s="163">
        <v>45936</v>
      </c>
      <c r="B2670" s="116">
        <v>2951.15</v>
      </c>
      <c r="C2670" s="116">
        <v>2939.6</v>
      </c>
      <c r="D2670" s="116">
        <v>2900.55</v>
      </c>
      <c r="E2670" s="116">
        <v>2900.55</v>
      </c>
      <c r="F2670" s="116">
        <v>2939.6</v>
      </c>
      <c r="G2670">
        <v>3229</v>
      </c>
      <c r="H2670" s="116"/>
      <c r="I2670" s="116"/>
      <c r="L2670" s="163">
        <v>45936</v>
      </c>
      <c r="M2670" s="116">
        <v>2940.2</v>
      </c>
      <c r="N2670" s="116">
        <v>2951.5</v>
      </c>
      <c r="O2670" s="116">
        <v>2908.2</v>
      </c>
      <c r="P2670" s="116">
        <v>2919.4</v>
      </c>
      <c r="Q2670" s="116">
        <v>2940.2</v>
      </c>
      <c r="R2670">
        <v>252279</v>
      </c>
    </row>
    <row r="2671" spans="1:18" x14ac:dyDescent="0.25">
      <c r="A2671" s="163">
        <v>45937</v>
      </c>
      <c r="B2671" s="116">
        <v>2988.9</v>
      </c>
      <c r="C2671" s="116">
        <v>2967.95</v>
      </c>
      <c r="D2671" s="116">
        <v>2941.9</v>
      </c>
      <c r="E2671" s="116">
        <v>2988.9</v>
      </c>
      <c r="F2671" s="116">
        <v>2967.95</v>
      </c>
      <c r="G2671">
        <v>2328</v>
      </c>
      <c r="H2671" s="116"/>
      <c r="I2671" s="116"/>
      <c r="L2671" s="163">
        <v>45937</v>
      </c>
      <c r="M2671" s="116">
        <v>2964.8</v>
      </c>
      <c r="N2671" s="116">
        <v>2974</v>
      </c>
      <c r="O2671" s="116">
        <v>2940.2</v>
      </c>
      <c r="P2671" s="116">
        <v>2955.2</v>
      </c>
      <c r="Q2671" s="116">
        <v>2964.8</v>
      </c>
      <c r="R2671">
        <v>199476</v>
      </c>
    </row>
    <row r="2672" spans="1:18" x14ac:dyDescent="0.25">
      <c r="A2672" s="163">
        <v>45938</v>
      </c>
      <c r="B2672" s="116">
        <v>3020.55</v>
      </c>
      <c r="C2672" s="116">
        <v>2968.2</v>
      </c>
      <c r="D2672" s="116">
        <v>2958.45</v>
      </c>
      <c r="E2672" s="116">
        <v>2967.95</v>
      </c>
      <c r="F2672" s="116">
        <v>2968.2</v>
      </c>
      <c r="G2672">
        <v>20787</v>
      </c>
      <c r="H2672" s="116"/>
      <c r="I2672" s="116"/>
      <c r="L2672" s="163">
        <v>45938</v>
      </c>
      <c r="M2672" s="116">
        <v>2972.7</v>
      </c>
      <c r="N2672" s="116">
        <v>3021.7</v>
      </c>
      <c r="O2672" s="116">
        <v>2956.4</v>
      </c>
      <c r="P2672" s="116">
        <v>2965</v>
      </c>
      <c r="Q2672" s="116">
        <v>2972.7</v>
      </c>
      <c r="R2672">
        <v>774445</v>
      </c>
    </row>
    <row r="2673" spans="1:18" x14ac:dyDescent="0.25">
      <c r="A2673" s="163">
        <v>45939</v>
      </c>
      <c r="B2673" s="116">
        <v>3003.65</v>
      </c>
      <c r="C2673" s="116">
        <v>2997</v>
      </c>
      <c r="D2673" s="116">
        <v>2977.15</v>
      </c>
      <c r="E2673" s="116">
        <v>2981.9</v>
      </c>
      <c r="F2673" s="116">
        <v>2997</v>
      </c>
      <c r="G2673">
        <v>5111</v>
      </c>
      <c r="H2673" s="116"/>
      <c r="I2673" s="116"/>
      <c r="L2673" s="163">
        <v>45939</v>
      </c>
      <c r="M2673" s="116">
        <v>2996.9</v>
      </c>
      <c r="N2673" s="116">
        <v>3005</v>
      </c>
      <c r="O2673" s="116">
        <v>2977</v>
      </c>
      <c r="P2673" s="116">
        <v>2987.4</v>
      </c>
      <c r="Q2673" s="116">
        <v>2996.9</v>
      </c>
      <c r="R2673">
        <v>160223</v>
      </c>
    </row>
    <row r="2674" spans="1:18" x14ac:dyDescent="0.25">
      <c r="A2674" s="163">
        <v>45940</v>
      </c>
      <c r="B2674" s="116">
        <v>3031</v>
      </c>
      <c r="C2674" s="116">
        <v>3023.1</v>
      </c>
      <c r="D2674" s="116">
        <v>2987.05</v>
      </c>
      <c r="E2674" s="116">
        <v>2987.05</v>
      </c>
      <c r="F2674" s="116">
        <v>3023.1</v>
      </c>
      <c r="G2674">
        <v>9052</v>
      </c>
      <c r="H2674" s="116"/>
      <c r="I2674" s="116"/>
      <c r="L2674" s="163">
        <v>45940</v>
      </c>
      <c r="M2674" s="116">
        <v>3024.5</v>
      </c>
      <c r="N2674" s="116">
        <v>3031</v>
      </c>
      <c r="O2674" s="116">
        <v>2990.5</v>
      </c>
      <c r="P2674" s="116">
        <v>3008</v>
      </c>
      <c r="Q2674" s="116">
        <v>3024.5</v>
      </c>
      <c r="R2674">
        <v>733454</v>
      </c>
    </row>
    <row r="2675" spans="1:18" x14ac:dyDescent="0.25">
      <c r="A2675" s="163">
        <v>45943</v>
      </c>
      <c r="B2675" s="116">
        <v>3060</v>
      </c>
      <c r="C2675" s="116">
        <v>3048.05</v>
      </c>
      <c r="D2675" s="116">
        <v>2992.5</v>
      </c>
      <c r="E2675" s="116">
        <v>3022</v>
      </c>
      <c r="F2675" s="116">
        <v>3048.05</v>
      </c>
      <c r="G2675">
        <v>3298</v>
      </c>
      <c r="H2675" s="116"/>
      <c r="I2675" s="116"/>
      <c r="L2675" s="163">
        <v>45943</v>
      </c>
      <c r="M2675" s="116">
        <v>3047.4</v>
      </c>
      <c r="N2675" s="116">
        <v>3061.4</v>
      </c>
      <c r="O2675" s="116">
        <v>2990.6</v>
      </c>
      <c r="P2675" s="116">
        <v>3006</v>
      </c>
      <c r="Q2675" s="116">
        <v>3047.4</v>
      </c>
      <c r="R2675">
        <v>207693</v>
      </c>
    </row>
    <row r="2676" spans="1:18" x14ac:dyDescent="0.25">
      <c r="A2676" s="163">
        <v>45944</v>
      </c>
      <c r="B2676" s="116">
        <v>3060</v>
      </c>
      <c r="C2676" s="116">
        <v>3042.95</v>
      </c>
      <c r="D2676" s="116">
        <v>3026.6</v>
      </c>
      <c r="E2676" s="116">
        <v>3056.05</v>
      </c>
      <c r="F2676" s="116">
        <v>3042.95</v>
      </c>
      <c r="G2676">
        <v>5389</v>
      </c>
      <c r="H2676" s="116"/>
      <c r="I2676" s="116"/>
      <c r="L2676" s="163">
        <v>45944</v>
      </c>
      <c r="M2676" s="116">
        <v>3044</v>
      </c>
      <c r="N2676" s="116">
        <v>3066</v>
      </c>
      <c r="O2676" s="116">
        <v>3026.1</v>
      </c>
      <c r="P2676" s="116">
        <v>3061.6</v>
      </c>
      <c r="Q2676" s="116">
        <v>3044</v>
      </c>
      <c r="R2676">
        <v>328210</v>
      </c>
    </row>
    <row r="2677" spans="1:18" x14ac:dyDescent="0.25">
      <c r="A2677" s="163">
        <v>45945</v>
      </c>
      <c r="B2677" s="116">
        <v>3129</v>
      </c>
      <c r="C2677" s="116">
        <v>3087.8</v>
      </c>
      <c r="D2677" s="116">
        <v>3026.9</v>
      </c>
      <c r="E2677" s="116">
        <v>3026.9</v>
      </c>
      <c r="F2677" s="116">
        <v>3087.8</v>
      </c>
      <c r="G2677">
        <v>3567</v>
      </c>
      <c r="H2677" s="116"/>
      <c r="I2677" s="116"/>
      <c r="L2677" s="163">
        <v>45945</v>
      </c>
      <c r="M2677" s="116">
        <v>3088.6</v>
      </c>
      <c r="N2677" s="116">
        <v>3128.8</v>
      </c>
      <c r="O2677" s="116">
        <v>3046</v>
      </c>
      <c r="P2677" s="116">
        <v>3046</v>
      </c>
      <c r="Q2677" s="116">
        <v>3088.6</v>
      </c>
      <c r="R2677">
        <v>677209</v>
      </c>
    </row>
    <row r="2678" spans="1:18" x14ac:dyDescent="0.25">
      <c r="A2678" s="163">
        <v>45946</v>
      </c>
      <c r="B2678" s="116">
        <v>3205</v>
      </c>
      <c r="C2678" s="116">
        <v>3192.15</v>
      </c>
      <c r="D2678" s="116">
        <v>3097.85</v>
      </c>
      <c r="E2678" s="116">
        <v>3116.8</v>
      </c>
      <c r="F2678" s="116">
        <v>3192.15</v>
      </c>
      <c r="G2678">
        <v>14672</v>
      </c>
      <c r="H2678" s="116"/>
      <c r="I2678" s="116"/>
      <c r="L2678" s="163">
        <v>45946</v>
      </c>
      <c r="M2678" s="116">
        <v>3190</v>
      </c>
      <c r="N2678" s="116">
        <v>3205.8</v>
      </c>
      <c r="O2678" s="116">
        <v>3089.2</v>
      </c>
      <c r="P2678" s="116">
        <v>3100</v>
      </c>
      <c r="Q2678" s="116">
        <v>3190</v>
      </c>
      <c r="R2678">
        <v>632692</v>
      </c>
    </row>
    <row r="2679" spans="1:18" x14ac:dyDescent="0.25">
      <c r="A2679" s="163">
        <v>45947</v>
      </c>
      <c r="B2679" s="116">
        <v>3225.65</v>
      </c>
      <c r="C2679" s="116">
        <v>3169.15</v>
      </c>
      <c r="D2679" s="116">
        <v>3140.55</v>
      </c>
      <c r="E2679" s="116">
        <v>3225.65</v>
      </c>
      <c r="F2679" s="116">
        <v>3169.15</v>
      </c>
      <c r="G2679">
        <v>11084</v>
      </c>
      <c r="H2679" s="116"/>
      <c r="I2679" s="116"/>
      <c r="L2679" s="163">
        <v>45947</v>
      </c>
      <c r="M2679" s="116">
        <v>3169.4</v>
      </c>
      <c r="N2679" s="116">
        <v>3210</v>
      </c>
      <c r="O2679" s="116">
        <v>3159.4</v>
      </c>
      <c r="P2679" s="116">
        <v>3200.5</v>
      </c>
      <c r="Q2679" s="116">
        <v>3169.4</v>
      </c>
      <c r="R2679">
        <v>166406</v>
      </c>
    </row>
    <row r="2680" spans="1:18" x14ac:dyDescent="0.25">
      <c r="A2680" s="163">
        <v>45950</v>
      </c>
      <c r="B2680" s="116">
        <v>3207.85</v>
      </c>
      <c r="C2680" s="116">
        <v>3179.6</v>
      </c>
      <c r="D2680" s="116">
        <v>3171</v>
      </c>
      <c r="E2680" s="116">
        <v>3185.25</v>
      </c>
      <c r="F2680" s="116">
        <v>3179.6</v>
      </c>
      <c r="G2680">
        <v>7246</v>
      </c>
      <c r="H2680" s="116"/>
      <c r="I2680" s="116"/>
      <c r="L2680" s="163">
        <v>45950</v>
      </c>
      <c r="M2680" s="116">
        <v>3179.9</v>
      </c>
      <c r="N2680" s="116">
        <v>3207.4</v>
      </c>
      <c r="O2680" s="116">
        <v>3165.9</v>
      </c>
      <c r="P2680" s="116">
        <v>3169.4</v>
      </c>
      <c r="Q2680" s="116">
        <v>3179.9</v>
      </c>
      <c r="R2680">
        <v>178733</v>
      </c>
    </row>
    <row r="2681" spans="1:18" x14ac:dyDescent="0.25">
      <c r="A2681" s="163">
        <v>45951</v>
      </c>
      <c r="B2681" s="116">
        <v>3238.75</v>
      </c>
      <c r="C2681" s="116">
        <v>3151.1</v>
      </c>
      <c r="D2681" s="116">
        <v>3135.85</v>
      </c>
      <c r="E2681" s="116">
        <v>3238.75</v>
      </c>
      <c r="F2681" s="116">
        <v>3151.1</v>
      </c>
      <c r="G2681">
        <v>1352</v>
      </c>
      <c r="H2681" s="116"/>
      <c r="I2681" s="116"/>
      <c r="L2681" s="163">
        <v>45951</v>
      </c>
      <c r="M2681" s="116">
        <v>3148</v>
      </c>
      <c r="N2681" s="116">
        <v>3200.9</v>
      </c>
      <c r="O2681" s="116">
        <v>3130.9</v>
      </c>
      <c r="P2681" s="116">
        <v>3200</v>
      </c>
      <c r="Q2681" s="116">
        <v>3148</v>
      </c>
      <c r="R2681">
        <v>30569</v>
      </c>
    </row>
    <row r="2682" spans="1:18" x14ac:dyDescent="0.25">
      <c r="A2682" s="163">
        <v>45953</v>
      </c>
      <c r="B2682" s="116">
        <v>3197</v>
      </c>
      <c r="C2682" s="116">
        <v>3074.85</v>
      </c>
      <c r="D2682" s="116">
        <v>3061.6</v>
      </c>
      <c r="E2682" s="116">
        <v>3140.6</v>
      </c>
      <c r="F2682" s="116">
        <v>3074.85</v>
      </c>
      <c r="G2682">
        <v>12060</v>
      </c>
      <c r="H2682" s="116"/>
      <c r="I2682" s="116"/>
      <c r="L2682" s="163">
        <v>45953</v>
      </c>
      <c r="M2682" s="116">
        <v>3077.4</v>
      </c>
      <c r="N2682" s="116">
        <v>3198.9</v>
      </c>
      <c r="O2682" s="116">
        <v>3060.1</v>
      </c>
      <c r="P2682" s="116">
        <v>3149.9</v>
      </c>
      <c r="Q2682" s="116">
        <v>3077.4</v>
      </c>
      <c r="R2682">
        <v>592097</v>
      </c>
    </row>
    <row r="2683" spans="1:18" x14ac:dyDescent="0.25">
      <c r="A2683" s="163">
        <v>45954</v>
      </c>
      <c r="B2683" s="116">
        <v>3097.55</v>
      </c>
      <c r="C2683" s="116">
        <v>3085.35</v>
      </c>
      <c r="D2683" s="116">
        <v>3034.45</v>
      </c>
      <c r="E2683" s="116">
        <v>3074.85</v>
      </c>
      <c r="F2683" s="116">
        <v>3085.35</v>
      </c>
      <c r="G2683">
        <v>219391</v>
      </c>
      <c r="H2683" s="116"/>
      <c r="I2683" s="116"/>
      <c r="L2683" s="163">
        <v>45954</v>
      </c>
      <c r="M2683" s="116">
        <v>3082</v>
      </c>
      <c r="N2683" s="116">
        <v>3096.8</v>
      </c>
      <c r="O2683" s="116">
        <v>3033.4</v>
      </c>
      <c r="P2683" s="116">
        <v>3077.4</v>
      </c>
      <c r="Q2683" s="116">
        <v>3082</v>
      </c>
      <c r="R2683">
        <v>371337</v>
      </c>
    </row>
    <row r="2684" spans="1:18" x14ac:dyDescent="0.25">
      <c r="A2684" s="163">
        <v>45957</v>
      </c>
      <c r="B2684" s="116">
        <v>3128.2</v>
      </c>
      <c r="C2684" s="116">
        <v>3020.55</v>
      </c>
      <c r="D2684" s="116">
        <v>2985.3</v>
      </c>
      <c r="E2684" s="116">
        <v>3128.2</v>
      </c>
      <c r="F2684" s="116">
        <v>3020.55</v>
      </c>
      <c r="G2684">
        <v>24926</v>
      </c>
      <c r="H2684" s="116"/>
      <c r="I2684" s="116"/>
      <c r="L2684" s="163">
        <v>45957</v>
      </c>
      <c r="M2684" s="116">
        <v>3019.4</v>
      </c>
      <c r="N2684" s="116">
        <v>3103.6</v>
      </c>
      <c r="O2684" s="116">
        <v>2985.1</v>
      </c>
      <c r="P2684" s="116">
        <v>3096</v>
      </c>
      <c r="Q2684" s="116">
        <v>3019.4</v>
      </c>
      <c r="R2684">
        <v>1370317</v>
      </c>
    </row>
    <row r="2685" spans="1:18" x14ac:dyDescent="0.25">
      <c r="A2685" s="163">
        <v>45958</v>
      </c>
      <c r="B2685" s="116">
        <v>3040</v>
      </c>
      <c r="C2685" s="116">
        <v>3026.75</v>
      </c>
      <c r="D2685" s="116">
        <v>2996.45</v>
      </c>
      <c r="E2685" s="116">
        <v>3020.55</v>
      </c>
      <c r="F2685" s="116">
        <v>3026.75</v>
      </c>
      <c r="G2685">
        <v>15240</v>
      </c>
      <c r="H2685" s="116"/>
      <c r="I2685" s="116"/>
      <c r="L2685" s="163">
        <v>45958</v>
      </c>
      <c r="M2685" s="116">
        <v>3027.7</v>
      </c>
      <c r="N2685" s="116">
        <v>3042.8</v>
      </c>
      <c r="O2685" s="116">
        <v>2996</v>
      </c>
      <c r="P2685" s="116">
        <v>3019.9</v>
      </c>
      <c r="Q2685" s="116">
        <v>3027.7</v>
      </c>
      <c r="R2685">
        <v>781580</v>
      </c>
    </row>
    <row r="2686" spans="1:18" x14ac:dyDescent="0.25">
      <c r="A2686" s="163">
        <v>45959</v>
      </c>
      <c r="B2686" s="116">
        <v>3075</v>
      </c>
      <c r="C2686" s="116">
        <v>3027.1</v>
      </c>
      <c r="D2686" s="116">
        <v>3001</v>
      </c>
      <c r="E2686" s="116">
        <v>3017.35</v>
      </c>
      <c r="F2686" s="116">
        <v>3027.1</v>
      </c>
      <c r="G2686">
        <v>7999</v>
      </c>
      <c r="H2686" s="116"/>
      <c r="I2686" s="116"/>
      <c r="L2686" s="163">
        <v>45959</v>
      </c>
      <c r="M2686" s="116">
        <v>3027.8</v>
      </c>
      <c r="N2686" s="116">
        <v>3080</v>
      </c>
      <c r="O2686" s="116">
        <v>3000.3</v>
      </c>
      <c r="P2686" s="116">
        <v>3030.1</v>
      </c>
      <c r="Q2686" s="116">
        <v>3027.8</v>
      </c>
      <c r="R2686">
        <v>399615</v>
      </c>
    </row>
    <row r="2687" spans="1:18" x14ac:dyDescent="0.25">
      <c r="A2687" s="163">
        <v>45960</v>
      </c>
      <c r="B2687" s="116">
        <v>3030</v>
      </c>
      <c r="C2687" s="116">
        <v>2981.15</v>
      </c>
      <c r="D2687" s="116">
        <v>2962.25</v>
      </c>
      <c r="E2687" s="116">
        <v>3027.8</v>
      </c>
      <c r="F2687" s="116">
        <v>2981.15</v>
      </c>
      <c r="G2687">
        <v>3348</v>
      </c>
      <c r="H2687" s="116"/>
      <c r="I2687" s="116"/>
      <c r="L2687" s="163">
        <v>45960</v>
      </c>
      <c r="M2687" s="116">
        <v>2981.1</v>
      </c>
      <c r="N2687" s="116">
        <v>3032.9</v>
      </c>
      <c r="O2687" s="116">
        <v>2962.2</v>
      </c>
      <c r="P2687" s="116">
        <v>3027.8</v>
      </c>
      <c r="Q2687" s="116">
        <v>2981.1</v>
      </c>
      <c r="R2687">
        <v>396607</v>
      </c>
    </row>
    <row r="2688" spans="1:18" x14ac:dyDescent="0.25">
      <c r="A2688" s="163">
        <v>45961</v>
      </c>
      <c r="B2688" s="116">
        <v>2992.85</v>
      </c>
      <c r="C2688" s="116">
        <v>2927.4</v>
      </c>
      <c r="D2688" s="116">
        <v>2920.65</v>
      </c>
      <c r="E2688" s="116">
        <v>2977.25</v>
      </c>
      <c r="F2688" s="116">
        <v>2927.4</v>
      </c>
      <c r="G2688">
        <v>5903</v>
      </c>
      <c r="H2688" s="116"/>
      <c r="I2688" s="116"/>
      <c r="L2688" s="163">
        <v>45961</v>
      </c>
      <c r="M2688" s="116">
        <v>2930.5</v>
      </c>
      <c r="N2688" s="116">
        <v>2992</v>
      </c>
      <c r="O2688" s="116">
        <v>2921.4</v>
      </c>
      <c r="P2688" s="116">
        <v>2992</v>
      </c>
      <c r="Q2688" s="116">
        <v>2930.5</v>
      </c>
      <c r="R2688">
        <v>464296</v>
      </c>
    </row>
    <row r="2689" spans="1:18" x14ac:dyDescent="0.25">
      <c r="A2689" s="163">
        <v>45964</v>
      </c>
      <c r="B2689" s="116">
        <v>2978.1</v>
      </c>
      <c r="C2689" s="116">
        <v>2968.1</v>
      </c>
      <c r="D2689" s="116">
        <v>2909.2</v>
      </c>
      <c r="E2689" s="116">
        <v>2912.3</v>
      </c>
      <c r="F2689" s="116">
        <v>2968.1</v>
      </c>
      <c r="G2689">
        <v>4094</v>
      </c>
      <c r="H2689" s="116"/>
      <c r="I2689" s="116"/>
      <c r="L2689" s="163">
        <v>45964</v>
      </c>
      <c r="M2689" s="116">
        <v>2968.1</v>
      </c>
      <c r="N2689" s="116">
        <v>2976</v>
      </c>
      <c r="O2689" s="116">
        <v>2910</v>
      </c>
      <c r="P2689" s="116">
        <v>2910</v>
      </c>
      <c r="Q2689" s="116">
        <v>2968.1</v>
      </c>
      <c r="R2689">
        <v>543877</v>
      </c>
    </row>
    <row r="2690" spans="1:18" x14ac:dyDescent="0.25">
      <c r="A2690" s="163">
        <v>45965</v>
      </c>
      <c r="B2690" s="116">
        <v>2983.3</v>
      </c>
      <c r="C2690" s="116">
        <v>2940.6</v>
      </c>
      <c r="D2690" s="116">
        <v>2932.3</v>
      </c>
      <c r="E2690" s="116">
        <v>2968.05</v>
      </c>
      <c r="F2690" s="116">
        <v>2940.6</v>
      </c>
      <c r="G2690">
        <v>3716</v>
      </c>
      <c r="H2690" s="116"/>
      <c r="I2690" s="116"/>
      <c r="L2690" s="163">
        <v>45965</v>
      </c>
      <c r="M2690" s="116">
        <v>2941.7</v>
      </c>
      <c r="N2690" s="116">
        <v>2983.8</v>
      </c>
      <c r="O2690" s="116">
        <v>2933.2</v>
      </c>
      <c r="P2690" s="116">
        <v>2959.9</v>
      </c>
      <c r="Q2690" s="116">
        <v>2941.7</v>
      </c>
      <c r="R2690">
        <v>154862</v>
      </c>
    </row>
    <row r="2691" spans="1:18" x14ac:dyDescent="0.25">
      <c r="A2691" s="163">
        <v>45967</v>
      </c>
      <c r="B2691" s="116">
        <v>2943.8</v>
      </c>
      <c r="C2691" s="116">
        <v>2900.7</v>
      </c>
      <c r="D2691" s="116">
        <v>2895</v>
      </c>
      <c r="E2691" s="116">
        <v>2938.7</v>
      </c>
      <c r="F2691" s="116">
        <v>2900.7</v>
      </c>
      <c r="G2691">
        <v>2125</v>
      </c>
      <c r="H2691" s="116"/>
      <c r="I2691" s="116"/>
      <c r="L2691" s="163">
        <v>45967</v>
      </c>
      <c r="M2691" s="116">
        <v>2899.3</v>
      </c>
      <c r="N2691" s="116">
        <v>2949.4</v>
      </c>
      <c r="O2691" s="116">
        <v>2894.4</v>
      </c>
      <c r="P2691" s="116">
        <v>2940</v>
      </c>
      <c r="Q2691" s="116">
        <v>2899.3</v>
      </c>
      <c r="R2691">
        <v>232346</v>
      </c>
    </row>
    <row r="2692" spans="1:18" x14ac:dyDescent="0.25">
      <c r="A2692" s="163">
        <v>45968</v>
      </c>
      <c r="B2692" s="116">
        <v>2912.45</v>
      </c>
      <c r="C2692" s="116">
        <v>2898.35</v>
      </c>
      <c r="D2692" s="116">
        <v>2870.8</v>
      </c>
      <c r="E2692" s="116">
        <v>2875.55</v>
      </c>
      <c r="F2692" s="116">
        <v>2898.35</v>
      </c>
      <c r="G2692">
        <v>5845</v>
      </c>
      <c r="H2692" s="116"/>
      <c r="I2692" s="116"/>
      <c r="L2692" s="163">
        <v>45968</v>
      </c>
      <c r="M2692" s="116">
        <v>2896.8</v>
      </c>
      <c r="N2692" s="116">
        <v>2909.6</v>
      </c>
      <c r="O2692" s="116">
        <v>2871</v>
      </c>
      <c r="P2692" s="116">
        <v>2880</v>
      </c>
      <c r="Q2692" s="116">
        <v>2896.8</v>
      </c>
      <c r="R2692">
        <v>278821</v>
      </c>
    </row>
    <row r="2693" spans="1:18" x14ac:dyDescent="0.25">
      <c r="A2693" s="163">
        <v>45971</v>
      </c>
      <c r="B2693" s="116">
        <v>2914.1</v>
      </c>
      <c r="C2693" s="116">
        <v>2902.6</v>
      </c>
      <c r="D2693" s="116">
        <v>2860.2</v>
      </c>
      <c r="E2693" s="116">
        <v>2885.85</v>
      </c>
      <c r="F2693" s="116">
        <v>2902.6</v>
      </c>
      <c r="G2693">
        <v>5004</v>
      </c>
      <c r="H2693" s="116"/>
      <c r="I2693" s="116"/>
      <c r="L2693" s="163">
        <v>45971</v>
      </c>
      <c r="M2693" s="116">
        <v>2903.9</v>
      </c>
      <c r="N2693" s="116">
        <v>2915</v>
      </c>
      <c r="O2693" s="116">
        <v>2860.1</v>
      </c>
      <c r="P2693" s="116">
        <v>2898</v>
      </c>
      <c r="Q2693" s="116">
        <v>2903.9</v>
      </c>
      <c r="R2693">
        <v>325413</v>
      </c>
    </row>
    <row r="2694" spans="1:18" x14ac:dyDescent="0.25">
      <c r="A2694" s="163">
        <v>45972</v>
      </c>
      <c r="B2694" s="116">
        <v>2939.2</v>
      </c>
      <c r="C2694" s="116">
        <v>2927</v>
      </c>
      <c r="D2694" s="116">
        <v>2870.7</v>
      </c>
      <c r="E2694" s="116">
        <v>2910</v>
      </c>
      <c r="F2694" s="116">
        <v>2927</v>
      </c>
      <c r="G2694">
        <v>7297</v>
      </c>
      <c r="H2694" s="116"/>
      <c r="I2694" s="116"/>
      <c r="L2694" s="163">
        <v>45972</v>
      </c>
      <c r="M2694" s="116">
        <v>2929.9</v>
      </c>
      <c r="N2694" s="116">
        <v>2938.1</v>
      </c>
      <c r="O2694" s="116">
        <v>2868.8</v>
      </c>
      <c r="P2694" s="116">
        <v>2918.9</v>
      </c>
      <c r="Q2694" s="116">
        <v>2929.9</v>
      </c>
      <c r="R2694">
        <v>510863</v>
      </c>
    </row>
    <row r="2695" spans="1:18" x14ac:dyDescent="0.25">
      <c r="A2695" s="163">
        <v>45973</v>
      </c>
      <c r="B2695" s="116">
        <v>2950</v>
      </c>
      <c r="C2695" s="116">
        <v>2942.2</v>
      </c>
      <c r="D2695" s="116">
        <v>2909.2</v>
      </c>
      <c r="E2695" s="116">
        <v>2938.95</v>
      </c>
      <c r="F2695" s="116">
        <v>2942.2</v>
      </c>
      <c r="G2695">
        <v>3569</v>
      </c>
      <c r="H2695" s="116"/>
      <c r="I2695" s="116"/>
      <c r="L2695" s="163">
        <v>45973</v>
      </c>
      <c r="M2695" s="116">
        <v>2941.4</v>
      </c>
      <c r="N2695" s="116">
        <v>2951.5</v>
      </c>
      <c r="O2695" s="116">
        <v>2907.7</v>
      </c>
      <c r="P2695" s="116">
        <v>2934.8</v>
      </c>
      <c r="Q2695" s="116">
        <v>2941.4</v>
      </c>
      <c r="R2695">
        <v>522290</v>
      </c>
    </row>
    <row r="2696" spans="1:18" x14ac:dyDescent="0.25">
      <c r="A2696" s="163">
        <v>45974</v>
      </c>
      <c r="B2696" s="116">
        <v>2958.95</v>
      </c>
      <c r="C2696" s="116">
        <v>2909.25</v>
      </c>
      <c r="D2696" s="116">
        <v>2889.4</v>
      </c>
      <c r="E2696" s="116">
        <v>2947.05</v>
      </c>
      <c r="F2696" s="116">
        <v>2909.25</v>
      </c>
      <c r="G2696">
        <v>5724</v>
      </c>
      <c r="H2696" s="116"/>
      <c r="I2696" s="116"/>
      <c r="L2696" s="163">
        <v>45974</v>
      </c>
      <c r="M2696" s="116">
        <v>2912</v>
      </c>
      <c r="N2696" s="116">
        <v>2965</v>
      </c>
      <c r="O2696" s="116">
        <v>2884.9</v>
      </c>
      <c r="P2696" s="116">
        <v>2950</v>
      </c>
      <c r="Q2696" s="116">
        <v>2912</v>
      </c>
      <c r="R2696">
        <v>332136</v>
      </c>
    </row>
    <row r="2697" spans="1:18" x14ac:dyDescent="0.25">
      <c r="A2697" s="163">
        <v>45975</v>
      </c>
      <c r="B2697" s="116">
        <v>2899.6</v>
      </c>
      <c r="C2697" s="116">
        <v>2839.15</v>
      </c>
      <c r="D2697" s="116">
        <v>2823</v>
      </c>
      <c r="E2697" s="116">
        <v>2899.6</v>
      </c>
      <c r="F2697" s="116">
        <v>2839.15</v>
      </c>
      <c r="G2697">
        <v>25030</v>
      </c>
      <c r="H2697" s="116"/>
      <c r="I2697" s="116"/>
      <c r="L2697" s="163">
        <v>45975</v>
      </c>
      <c r="M2697" s="116">
        <v>2839.1</v>
      </c>
      <c r="N2697" s="116">
        <v>2882.4</v>
      </c>
      <c r="O2697" s="116">
        <v>2819.8</v>
      </c>
      <c r="P2697" s="116">
        <v>2881</v>
      </c>
      <c r="Q2697" s="116">
        <v>2839.1</v>
      </c>
      <c r="R2697">
        <v>820807</v>
      </c>
    </row>
    <row r="2698" spans="1:18" x14ac:dyDescent="0.25">
      <c r="A2698" s="163">
        <v>45978</v>
      </c>
      <c r="B2698" s="116">
        <v>2848.25</v>
      </c>
      <c r="C2698" s="116">
        <v>2831.8</v>
      </c>
      <c r="D2698" s="116">
        <v>2821.5</v>
      </c>
      <c r="E2698" s="116">
        <v>2830</v>
      </c>
      <c r="F2698" s="116">
        <v>2831.8</v>
      </c>
      <c r="G2698">
        <v>5350</v>
      </c>
      <c r="H2698" s="116"/>
      <c r="I2698" s="116"/>
      <c r="L2698" s="163">
        <v>45978</v>
      </c>
      <c r="M2698" s="116">
        <v>2833.1</v>
      </c>
      <c r="N2698" s="116">
        <v>2852.3</v>
      </c>
      <c r="O2698" s="116">
        <v>2820.8</v>
      </c>
      <c r="P2698" s="116">
        <v>2830</v>
      </c>
      <c r="Q2698" s="116">
        <v>2833.1</v>
      </c>
      <c r="R2698">
        <v>474474</v>
      </c>
    </row>
    <row r="2699" spans="1:18" x14ac:dyDescent="0.25">
      <c r="A2699" s="163">
        <v>45979</v>
      </c>
      <c r="B2699" s="116">
        <v>2847.85</v>
      </c>
      <c r="C2699" s="116">
        <v>2816.25</v>
      </c>
      <c r="D2699" s="116">
        <v>2811</v>
      </c>
      <c r="E2699" s="116">
        <v>2846.1</v>
      </c>
      <c r="F2699" s="116">
        <v>2816.25</v>
      </c>
      <c r="G2699">
        <v>16518</v>
      </c>
      <c r="H2699" s="116"/>
      <c r="I2699" s="116"/>
      <c r="L2699" s="163">
        <v>45979</v>
      </c>
      <c r="M2699" s="116">
        <v>2816.6</v>
      </c>
      <c r="N2699" s="116">
        <v>2854.2</v>
      </c>
      <c r="O2699" s="116">
        <v>2810.1</v>
      </c>
      <c r="P2699" s="116">
        <v>2854.2</v>
      </c>
      <c r="Q2699" s="116">
        <v>2816.6</v>
      </c>
      <c r="R2699">
        <v>434039</v>
      </c>
    </row>
    <row r="2700" spans="1:18" x14ac:dyDescent="0.25">
      <c r="A2700" s="163">
        <v>45980</v>
      </c>
      <c r="B2700" s="116">
        <v>2821.3</v>
      </c>
      <c r="C2700" s="116">
        <v>2788.05</v>
      </c>
      <c r="D2700" s="116">
        <v>2771</v>
      </c>
      <c r="E2700" s="116">
        <v>2817.35</v>
      </c>
      <c r="F2700" s="116">
        <v>2788.05</v>
      </c>
      <c r="G2700">
        <v>44368</v>
      </c>
      <c r="H2700" s="116"/>
      <c r="I2700" s="116"/>
      <c r="L2700" s="163">
        <v>45980</v>
      </c>
      <c r="M2700" s="116">
        <v>2786.4</v>
      </c>
      <c r="N2700" s="116">
        <v>2834.9</v>
      </c>
      <c r="O2700" s="116">
        <v>2772.3</v>
      </c>
      <c r="P2700" s="116">
        <v>2827.9</v>
      </c>
      <c r="Q2700" s="116">
        <v>2786.4</v>
      </c>
      <c r="R2700">
        <v>580738</v>
      </c>
    </row>
    <row r="2701" spans="1:18" x14ac:dyDescent="0.25">
      <c r="A2701" s="163">
        <v>45981</v>
      </c>
      <c r="B2701" s="116">
        <v>2875</v>
      </c>
      <c r="C2701" s="116">
        <v>2852</v>
      </c>
      <c r="D2701" s="116">
        <v>2790.75</v>
      </c>
      <c r="E2701" s="116">
        <v>2790.75</v>
      </c>
      <c r="F2701" s="116">
        <v>2852</v>
      </c>
      <c r="G2701">
        <v>14446</v>
      </c>
      <c r="H2701" s="116"/>
      <c r="I2701" s="116"/>
      <c r="L2701" s="163">
        <v>45981</v>
      </c>
      <c r="M2701" s="116">
        <v>2851.6</v>
      </c>
      <c r="N2701" s="116">
        <v>2876</v>
      </c>
      <c r="O2701" s="116">
        <v>2791.1</v>
      </c>
      <c r="P2701" s="116">
        <v>2799</v>
      </c>
      <c r="Q2701" s="116">
        <v>2851.6</v>
      </c>
      <c r="R2701">
        <v>1054257</v>
      </c>
    </row>
    <row r="2702" spans="1:18" x14ac:dyDescent="0.25">
      <c r="A2702" s="163">
        <v>45982</v>
      </c>
      <c r="B2702" s="116">
        <v>2863.1</v>
      </c>
      <c r="C2702" s="116">
        <v>2835.7</v>
      </c>
      <c r="D2702" s="116">
        <v>2828.15</v>
      </c>
      <c r="E2702" s="116">
        <v>2863.1</v>
      </c>
      <c r="F2702" s="116">
        <v>2835.7</v>
      </c>
      <c r="G2702">
        <v>4438</v>
      </c>
      <c r="H2702" s="116"/>
      <c r="I2702" s="116"/>
      <c r="L2702" s="163">
        <v>45982</v>
      </c>
      <c r="M2702" s="116">
        <v>2838.4</v>
      </c>
      <c r="N2702" s="116">
        <v>2858</v>
      </c>
      <c r="O2702" s="116">
        <v>2822.7</v>
      </c>
      <c r="P2702" s="116">
        <v>2851.6</v>
      </c>
      <c r="Q2702" s="116">
        <v>2838.4</v>
      </c>
      <c r="R2702">
        <v>278651</v>
      </c>
    </row>
    <row r="2703" spans="1:18" x14ac:dyDescent="0.25">
      <c r="A2703" s="163">
        <v>45985</v>
      </c>
      <c r="B2703" s="116">
        <v>2835</v>
      </c>
      <c r="C2703" s="116">
        <v>2800.45</v>
      </c>
      <c r="D2703" s="116">
        <v>2793</v>
      </c>
      <c r="E2703" s="116">
        <v>2815.55</v>
      </c>
      <c r="F2703" s="116">
        <v>2800.45</v>
      </c>
      <c r="G2703">
        <v>16207</v>
      </c>
      <c r="H2703" s="116"/>
      <c r="I2703" s="116"/>
      <c r="L2703" s="163">
        <v>45985</v>
      </c>
      <c r="M2703" s="116">
        <v>2807.5</v>
      </c>
      <c r="N2703" s="116">
        <v>2838.6</v>
      </c>
      <c r="O2703" s="116">
        <v>2793.4</v>
      </c>
      <c r="P2703" s="116">
        <v>2838.4</v>
      </c>
      <c r="Q2703" s="116">
        <v>2807.5</v>
      </c>
      <c r="R2703">
        <v>1292039</v>
      </c>
    </row>
    <row r="2704" spans="1:18" x14ac:dyDescent="0.25">
      <c r="A2704" s="163">
        <v>45986</v>
      </c>
      <c r="B2704" s="116">
        <v>2828.6</v>
      </c>
      <c r="C2704" s="116">
        <v>2794.45</v>
      </c>
      <c r="D2704" s="116">
        <v>2780</v>
      </c>
      <c r="E2704" s="116">
        <v>2800.5</v>
      </c>
      <c r="F2704" s="116">
        <v>2794.45</v>
      </c>
      <c r="G2704">
        <v>2902</v>
      </c>
      <c r="H2704" s="116"/>
      <c r="I2704" s="116"/>
      <c r="L2704" s="163">
        <v>45986</v>
      </c>
      <c r="M2704" s="116">
        <v>2793.8</v>
      </c>
      <c r="N2704" s="116">
        <v>2828.7</v>
      </c>
      <c r="O2704" s="116">
        <v>2778.3</v>
      </c>
      <c r="P2704" s="116">
        <v>2811.4</v>
      </c>
      <c r="Q2704" s="116">
        <v>2793.8</v>
      </c>
      <c r="R2704">
        <v>437475</v>
      </c>
    </row>
    <row r="2705" spans="1:18" x14ac:dyDescent="0.25">
      <c r="A2705" s="163">
        <v>45987</v>
      </c>
      <c r="B2705" s="116">
        <v>2825</v>
      </c>
      <c r="C2705" s="116">
        <v>2808.5</v>
      </c>
      <c r="D2705" s="116">
        <v>2788.7</v>
      </c>
      <c r="E2705" s="116">
        <v>2794.5</v>
      </c>
      <c r="F2705" s="116">
        <v>2808.5</v>
      </c>
      <c r="G2705">
        <v>9484</v>
      </c>
      <c r="H2705" s="116"/>
      <c r="I2705" s="116"/>
      <c r="L2705" s="163">
        <v>45987</v>
      </c>
      <c r="M2705" s="116">
        <v>2809.8</v>
      </c>
      <c r="N2705" s="116">
        <v>2825.3</v>
      </c>
      <c r="O2705" s="116">
        <v>2784.6</v>
      </c>
      <c r="P2705" s="116">
        <v>2796.8</v>
      </c>
      <c r="Q2705" s="116">
        <v>2809.8</v>
      </c>
      <c r="R2705">
        <v>413644</v>
      </c>
    </row>
    <row r="2706" spans="1:18" x14ac:dyDescent="0.25">
      <c r="A2706" s="163">
        <v>45988</v>
      </c>
      <c r="B2706" s="116">
        <v>2860</v>
      </c>
      <c r="C2706" s="116">
        <v>2835.6</v>
      </c>
      <c r="D2706" s="116">
        <v>2807.2</v>
      </c>
      <c r="E2706" s="116">
        <v>2808.5</v>
      </c>
      <c r="F2706" s="116">
        <v>2835.6</v>
      </c>
      <c r="G2706">
        <v>9460</v>
      </c>
      <c r="H2706" s="116"/>
      <c r="I2706" s="116"/>
      <c r="L2706" s="163">
        <v>45988</v>
      </c>
      <c r="M2706" s="116">
        <v>2840</v>
      </c>
      <c r="N2706" s="116">
        <v>2864.2</v>
      </c>
      <c r="O2706" s="116">
        <v>2810</v>
      </c>
      <c r="P2706" s="116">
        <v>2810</v>
      </c>
      <c r="Q2706" s="116">
        <v>2840</v>
      </c>
      <c r="R2706">
        <v>555994</v>
      </c>
    </row>
    <row r="2707" spans="1:18" x14ac:dyDescent="0.25">
      <c r="A2707" s="163">
        <v>45989</v>
      </c>
      <c r="B2707" s="116">
        <v>2956.05</v>
      </c>
      <c r="C2707" s="116">
        <v>2928.6</v>
      </c>
      <c r="D2707" s="116">
        <v>2836.05</v>
      </c>
      <c r="E2707" s="116">
        <v>2836.05</v>
      </c>
      <c r="F2707" s="116">
        <v>2928.6</v>
      </c>
      <c r="G2707">
        <v>24739</v>
      </c>
      <c r="H2707" s="116"/>
      <c r="I2707" s="116"/>
      <c r="L2707" s="163">
        <v>45989</v>
      </c>
      <c r="M2707" s="116">
        <v>2927.3</v>
      </c>
      <c r="N2707" s="116">
        <v>2954.8</v>
      </c>
      <c r="O2707" s="116">
        <v>2836.8</v>
      </c>
      <c r="P2707" s="116">
        <v>2859.3</v>
      </c>
      <c r="Q2707" s="116">
        <v>2927.3</v>
      </c>
      <c r="R2707">
        <v>1212051</v>
      </c>
    </row>
    <row r="2708" spans="1:18" x14ac:dyDescent="0.25">
      <c r="A2708" s="163">
        <v>45992</v>
      </c>
      <c r="B2708" s="116">
        <v>2943.05</v>
      </c>
      <c r="C2708" s="116">
        <v>2920.35</v>
      </c>
      <c r="D2708" s="116">
        <v>2895.15</v>
      </c>
      <c r="E2708" s="116">
        <v>2921.05</v>
      </c>
      <c r="F2708" s="116">
        <v>2920.35</v>
      </c>
      <c r="G2708">
        <v>6334</v>
      </c>
      <c r="H2708" s="116"/>
      <c r="I2708" s="116"/>
      <c r="L2708" s="163">
        <v>45992</v>
      </c>
      <c r="M2708" s="116">
        <v>2923</v>
      </c>
      <c r="N2708" s="116">
        <v>2939.9</v>
      </c>
      <c r="O2708" s="116">
        <v>2896</v>
      </c>
      <c r="P2708" s="116">
        <v>2927.3</v>
      </c>
      <c r="Q2708" s="116">
        <v>2923</v>
      </c>
      <c r="R2708">
        <v>467183</v>
      </c>
    </row>
    <row r="2709" spans="1:18" x14ac:dyDescent="0.25">
      <c r="A2709" s="163">
        <v>45993</v>
      </c>
      <c r="B2709">
        <v>2922.15</v>
      </c>
      <c r="C2709">
        <v>2859.7</v>
      </c>
      <c r="D2709">
        <v>2848.3</v>
      </c>
      <c r="E2709">
        <v>2898.25</v>
      </c>
      <c r="F2709">
        <v>2859.7</v>
      </c>
      <c r="G2709">
        <v>4715</v>
      </c>
      <c r="H2709" s="116"/>
      <c r="I2709" s="116"/>
      <c r="L2709" s="163">
        <v>45993</v>
      </c>
      <c r="M2709" s="116">
        <v>2859.5</v>
      </c>
      <c r="N2709" s="116">
        <v>2922.3</v>
      </c>
      <c r="O2709" s="116">
        <v>2848.8</v>
      </c>
      <c r="P2709" s="116">
        <v>2922</v>
      </c>
      <c r="Q2709" s="116">
        <v>2859.5</v>
      </c>
      <c r="R2709">
        <v>526048</v>
      </c>
    </row>
    <row r="2710" spans="1:18" x14ac:dyDescent="0.25">
      <c r="A2710" s="163">
        <v>45994</v>
      </c>
      <c r="B2710">
        <v>2868.3</v>
      </c>
      <c r="C2710">
        <v>2830.05</v>
      </c>
      <c r="D2710">
        <v>2823.45</v>
      </c>
      <c r="E2710">
        <v>2848.65</v>
      </c>
      <c r="F2710">
        <v>2830.05</v>
      </c>
      <c r="G2710">
        <v>3740</v>
      </c>
      <c r="H2710" s="116"/>
      <c r="I2710" s="116"/>
      <c r="L2710" s="163">
        <v>45994</v>
      </c>
      <c r="M2710" s="116">
        <v>2830</v>
      </c>
      <c r="N2710" s="116">
        <v>2868.9</v>
      </c>
      <c r="O2710" s="116">
        <v>2822.6</v>
      </c>
      <c r="P2710" s="116">
        <v>2848.2</v>
      </c>
      <c r="Q2710" s="116">
        <v>2830</v>
      </c>
      <c r="R2710">
        <v>273168</v>
      </c>
    </row>
    <row r="2711" spans="1:18" x14ac:dyDescent="0.25">
      <c r="A2711" s="163">
        <v>45995</v>
      </c>
      <c r="B2711">
        <v>2847.75</v>
      </c>
      <c r="C2711">
        <v>2840.7</v>
      </c>
      <c r="D2711">
        <v>2812.1</v>
      </c>
      <c r="E2711">
        <v>2820.05</v>
      </c>
      <c r="F2711">
        <v>2840.7</v>
      </c>
      <c r="G2711">
        <v>84608</v>
      </c>
      <c r="H2711" s="116"/>
      <c r="I2711" s="116"/>
      <c r="L2711" s="163">
        <v>45995</v>
      </c>
      <c r="M2711" s="116">
        <v>2840.1</v>
      </c>
      <c r="N2711" s="116">
        <v>2849</v>
      </c>
      <c r="O2711" s="116">
        <v>2815.3</v>
      </c>
      <c r="P2711" s="116">
        <v>2820</v>
      </c>
      <c r="Q2711" s="116">
        <v>2840.1</v>
      </c>
      <c r="R2711">
        <v>117234</v>
      </c>
    </row>
    <row r="2712" spans="1:18" x14ac:dyDescent="0.25">
      <c r="A2712" s="163">
        <v>45996</v>
      </c>
      <c r="B2712">
        <v>2892.9</v>
      </c>
      <c r="C2712">
        <v>2886.2</v>
      </c>
      <c r="D2712">
        <v>2831.3</v>
      </c>
      <c r="E2712">
        <v>2845.3</v>
      </c>
      <c r="F2712">
        <v>2886.2</v>
      </c>
      <c r="G2712">
        <v>7001</v>
      </c>
      <c r="H2712" s="116"/>
      <c r="I2712" s="116"/>
      <c r="L2712" s="163">
        <v>45996</v>
      </c>
      <c r="M2712" s="116">
        <v>2885.4</v>
      </c>
      <c r="N2712" s="116">
        <v>2891.6</v>
      </c>
      <c r="O2712" s="116">
        <v>2828.3</v>
      </c>
      <c r="P2712" s="116">
        <v>2850.9</v>
      </c>
      <c r="Q2712" s="116">
        <v>2885.4</v>
      </c>
      <c r="R2712">
        <v>376436</v>
      </c>
    </row>
    <row r="2713" spans="1:18" x14ac:dyDescent="0.25">
      <c r="A2713" s="163">
        <v>45999</v>
      </c>
      <c r="B2713">
        <v>2880</v>
      </c>
      <c r="C2713">
        <v>2830.05</v>
      </c>
      <c r="D2713">
        <v>2803.45</v>
      </c>
      <c r="E2713">
        <v>2867.75</v>
      </c>
      <c r="F2713">
        <v>2830.05</v>
      </c>
      <c r="G2713">
        <v>5861</v>
      </c>
      <c r="H2713" s="116"/>
      <c r="I2713" s="116"/>
      <c r="L2713" s="163">
        <v>45999</v>
      </c>
      <c r="M2713" s="116">
        <v>2831.9</v>
      </c>
      <c r="N2713" s="116">
        <v>2885</v>
      </c>
      <c r="O2713" s="116">
        <v>2805.1</v>
      </c>
      <c r="P2713" s="116">
        <v>2885</v>
      </c>
      <c r="Q2713" s="116">
        <v>2831.9</v>
      </c>
      <c r="R2713">
        <v>267772</v>
      </c>
    </row>
    <row r="2714" spans="1:18" x14ac:dyDescent="0.25">
      <c r="A2714" s="163">
        <v>46000</v>
      </c>
      <c r="B2714">
        <v>2901.25</v>
      </c>
      <c r="C2714">
        <v>2895.35</v>
      </c>
      <c r="D2714">
        <v>2809.55</v>
      </c>
      <c r="E2714">
        <v>2809.55</v>
      </c>
      <c r="F2714">
        <v>2895.35</v>
      </c>
      <c r="G2714">
        <v>5485</v>
      </c>
      <c r="H2714" s="116"/>
      <c r="I2714" s="116"/>
      <c r="L2714" s="163">
        <v>46000</v>
      </c>
      <c r="M2714" s="116">
        <v>2894.8</v>
      </c>
      <c r="N2714" s="116">
        <v>2901.9</v>
      </c>
      <c r="O2714" s="116">
        <v>2808.7</v>
      </c>
      <c r="P2714" s="116">
        <v>2830</v>
      </c>
      <c r="Q2714" s="116">
        <v>2894.8</v>
      </c>
      <c r="R2714">
        <v>336135</v>
      </c>
    </row>
    <row r="2715" spans="1:18" x14ac:dyDescent="0.25">
      <c r="A2715" s="163">
        <v>46001</v>
      </c>
      <c r="B2715">
        <v>2951.3</v>
      </c>
      <c r="C2715">
        <v>2927.85</v>
      </c>
      <c r="D2715">
        <v>2895.75</v>
      </c>
      <c r="E2715">
        <v>2895.75</v>
      </c>
      <c r="F2715">
        <v>2927.85</v>
      </c>
      <c r="G2715">
        <v>64555</v>
      </c>
      <c r="H2715" s="116"/>
      <c r="I2715" s="116"/>
      <c r="L2715" s="163">
        <v>46001</v>
      </c>
      <c r="M2715" s="116">
        <v>2931.7</v>
      </c>
      <c r="N2715" s="116">
        <v>2953.2</v>
      </c>
      <c r="O2715" s="116">
        <v>2901.5</v>
      </c>
      <c r="P2715" s="116">
        <v>2908.5</v>
      </c>
      <c r="Q2715" s="116">
        <v>2931.7</v>
      </c>
      <c r="R2715">
        <v>439194</v>
      </c>
    </row>
    <row r="2716" spans="1:18" x14ac:dyDescent="0.25">
      <c r="A2716" s="163">
        <v>46002</v>
      </c>
      <c r="B2716">
        <v>2950.6</v>
      </c>
      <c r="C2716">
        <v>2942.4</v>
      </c>
      <c r="D2716">
        <v>2919.3</v>
      </c>
      <c r="E2716">
        <v>2937.85</v>
      </c>
      <c r="F2716">
        <v>2942.4</v>
      </c>
      <c r="G2716">
        <v>44317</v>
      </c>
      <c r="H2716" s="116"/>
      <c r="I2716" s="116"/>
      <c r="L2716" s="163">
        <v>46002</v>
      </c>
      <c r="M2716" s="116">
        <v>2943.7</v>
      </c>
      <c r="N2716" s="116">
        <v>2953.7</v>
      </c>
      <c r="O2716" s="116">
        <v>2919.3</v>
      </c>
      <c r="P2716" s="116">
        <v>2938.7</v>
      </c>
      <c r="Q2716" s="116">
        <v>2943.7</v>
      </c>
      <c r="R2716">
        <v>232626</v>
      </c>
    </row>
    <row r="2717" spans="1:18" x14ac:dyDescent="0.25">
      <c r="A2717" s="163">
        <v>46003</v>
      </c>
      <c r="B2717">
        <v>3029</v>
      </c>
      <c r="C2717">
        <v>3023.5</v>
      </c>
      <c r="D2717">
        <v>2924.45</v>
      </c>
      <c r="E2717">
        <v>2924.45</v>
      </c>
      <c r="F2717">
        <v>3023.5</v>
      </c>
      <c r="G2717">
        <v>9750</v>
      </c>
      <c r="H2717" s="116"/>
      <c r="I2717" s="116"/>
      <c r="L2717" s="163">
        <v>46003</v>
      </c>
      <c r="M2717" s="116">
        <v>3023.6</v>
      </c>
      <c r="N2717" s="116">
        <v>3029</v>
      </c>
      <c r="O2717" s="116">
        <v>2931</v>
      </c>
      <c r="P2717" s="116">
        <v>2931</v>
      </c>
      <c r="Q2717" s="116">
        <v>3023.6</v>
      </c>
      <c r="R2717">
        <v>814099</v>
      </c>
    </row>
    <row r="2718" spans="1:18" x14ac:dyDescent="0.25">
      <c r="A2718" s="163">
        <v>46006</v>
      </c>
      <c r="B2718">
        <v>3023.6</v>
      </c>
      <c r="C2718">
        <v>3001.6</v>
      </c>
      <c r="D2718">
        <v>2985.7</v>
      </c>
      <c r="E2718">
        <v>3023.5</v>
      </c>
      <c r="F2718">
        <v>3001.6</v>
      </c>
      <c r="G2718">
        <v>3085</v>
      </c>
      <c r="H2718" s="116"/>
      <c r="I2718" s="116"/>
      <c r="L2718" s="163">
        <v>46006</v>
      </c>
      <c r="M2718" s="116">
        <v>3001</v>
      </c>
      <c r="N2718" s="116">
        <v>3023.6</v>
      </c>
      <c r="O2718" s="116">
        <v>2984.9</v>
      </c>
      <c r="P2718" s="116">
        <v>3023.6</v>
      </c>
      <c r="Q2718" s="116">
        <v>3001</v>
      </c>
      <c r="R2718">
        <v>516076</v>
      </c>
    </row>
    <row r="2719" spans="1:18" x14ac:dyDescent="0.25">
      <c r="A2719" s="163">
        <v>46007</v>
      </c>
      <c r="B2719">
        <v>3039.95</v>
      </c>
      <c r="C2719">
        <v>3014.3</v>
      </c>
      <c r="D2719">
        <v>2998.1</v>
      </c>
      <c r="E2719">
        <v>2998.25</v>
      </c>
      <c r="F2719">
        <v>3014.3</v>
      </c>
      <c r="G2719">
        <v>17448</v>
      </c>
      <c r="H2719" s="116"/>
      <c r="I2719" s="116"/>
      <c r="L2719" s="163">
        <v>46007</v>
      </c>
      <c r="M2719" s="116">
        <v>3015.7</v>
      </c>
      <c r="N2719" s="116">
        <v>3040</v>
      </c>
      <c r="O2719" s="116">
        <v>2994.5</v>
      </c>
      <c r="P2719" s="116">
        <v>3001</v>
      </c>
      <c r="Q2719" s="116">
        <v>3015.7</v>
      </c>
      <c r="R2719">
        <v>542238</v>
      </c>
    </row>
    <row r="2720" spans="1:18" x14ac:dyDescent="0.25">
      <c r="A2720" s="163">
        <v>46008</v>
      </c>
      <c r="B2720">
        <v>3041.85</v>
      </c>
      <c r="C2720">
        <v>3033.6</v>
      </c>
      <c r="D2720">
        <v>2996.3</v>
      </c>
      <c r="E2720">
        <v>3041.85</v>
      </c>
      <c r="F2720">
        <v>3033.6</v>
      </c>
      <c r="G2720">
        <v>96795</v>
      </c>
      <c r="H2720" s="116"/>
      <c r="I2720" s="116"/>
      <c r="L2720" s="163">
        <v>46008</v>
      </c>
      <c r="M2720" s="116">
        <v>3033.3</v>
      </c>
      <c r="N2720" s="116">
        <v>3037.4</v>
      </c>
      <c r="O2720" s="116">
        <v>2993.3</v>
      </c>
      <c r="P2720" s="116">
        <v>3002</v>
      </c>
      <c r="Q2720" s="116">
        <v>3033.3</v>
      </c>
      <c r="R2720">
        <v>238180</v>
      </c>
    </row>
    <row r="2721" spans="1:18" x14ac:dyDescent="0.25">
      <c r="A2721" s="163">
        <v>46009</v>
      </c>
      <c r="B2721">
        <v>3053.4</v>
      </c>
      <c r="C2721">
        <v>3050.05</v>
      </c>
      <c r="D2721">
        <v>3016.3</v>
      </c>
      <c r="E2721">
        <v>3030.05</v>
      </c>
      <c r="F2721">
        <v>3050.05</v>
      </c>
      <c r="G2721">
        <v>9435</v>
      </c>
      <c r="H2721" s="116"/>
      <c r="I2721" s="116"/>
      <c r="L2721" s="163">
        <v>46009</v>
      </c>
      <c r="M2721" s="116">
        <v>3050.7</v>
      </c>
      <c r="N2721" s="116">
        <v>3053.8</v>
      </c>
      <c r="O2721" s="116">
        <v>3016.1</v>
      </c>
      <c r="P2721" s="116">
        <v>3033.3</v>
      </c>
      <c r="Q2721" s="116">
        <v>3050.7</v>
      </c>
      <c r="R2721">
        <v>571930</v>
      </c>
    </row>
    <row r="2722" spans="1:18" x14ac:dyDescent="0.25">
      <c r="A2722" s="163">
        <v>46010</v>
      </c>
      <c r="B2722">
        <v>3094</v>
      </c>
      <c r="C2722">
        <v>3090.15</v>
      </c>
      <c r="D2722">
        <v>3032.4</v>
      </c>
      <c r="E2722">
        <v>3069.65</v>
      </c>
      <c r="F2722">
        <v>3090.15</v>
      </c>
      <c r="G2722">
        <v>5336</v>
      </c>
      <c r="H2722" s="116"/>
      <c r="I2722" s="116"/>
      <c r="L2722" s="163">
        <v>46010</v>
      </c>
      <c r="M2722" s="116">
        <v>3090.3</v>
      </c>
      <c r="N2722" s="116">
        <v>3094</v>
      </c>
      <c r="O2722" s="116">
        <v>3030</v>
      </c>
      <c r="P2722" s="116">
        <v>3059.9</v>
      </c>
      <c r="Q2722" s="116">
        <v>3090.3</v>
      </c>
      <c r="R2722">
        <v>478720</v>
      </c>
    </row>
    <row r="2723" spans="1:18" x14ac:dyDescent="0.25">
      <c r="A2723" s="163">
        <v>46013</v>
      </c>
      <c r="B2723">
        <v>3139</v>
      </c>
      <c r="C2723">
        <v>3092.75</v>
      </c>
      <c r="D2723">
        <v>3076</v>
      </c>
      <c r="E2723">
        <v>3098.95</v>
      </c>
      <c r="F2723">
        <v>3092.75</v>
      </c>
      <c r="G2723">
        <v>4874</v>
      </c>
      <c r="H2723" s="116"/>
      <c r="I2723" s="116"/>
      <c r="L2723" s="163">
        <v>46013</v>
      </c>
      <c r="M2723" s="116">
        <v>3091.6</v>
      </c>
      <c r="N2723" s="116">
        <v>3140.5</v>
      </c>
      <c r="O2723" s="116">
        <v>3075.7</v>
      </c>
      <c r="P2723" s="116">
        <v>3090.3</v>
      </c>
      <c r="Q2723" s="116">
        <v>3091.6</v>
      </c>
      <c r="R2723">
        <v>411318</v>
      </c>
    </row>
    <row r="2724" spans="1:18" x14ac:dyDescent="0.25">
      <c r="A2724" s="163">
        <v>46014</v>
      </c>
      <c r="B2724">
        <v>3117.6</v>
      </c>
      <c r="C2724">
        <v>3111.4</v>
      </c>
      <c r="D2724">
        <v>3061.9</v>
      </c>
      <c r="E2724">
        <v>3075</v>
      </c>
      <c r="F2724">
        <v>3111.4</v>
      </c>
      <c r="G2724">
        <v>8149</v>
      </c>
      <c r="H2724" s="116"/>
      <c r="I2724" s="116"/>
      <c r="L2724" s="163">
        <v>46014</v>
      </c>
      <c r="M2724" s="116">
        <v>3111.7</v>
      </c>
      <c r="N2724" s="116">
        <v>3141.7</v>
      </c>
      <c r="O2724" s="116">
        <v>3055.8</v>
      </c>
      <c r="P2724" s="116">
        <v>3056.1</v>
      </c>
      <c r="Q2724" s="116">
        <v>3111.7</v>
      </c>
      <c r="R2724">
        <v>224198</v>
      </c>
    </row>
    <row r="2725" spans="1:18" x14ac:dyDescent="0.25">
      <c r="A2725" s="163">
        <v>46015</v>
      </c>
      <c r="B2725">
        <v>3118.6</v>
      </c>
      <c r="C2725">
        <v>3097.8</v>
      </c>
      <c r="D2725">
        <v>3084.95</v>
      </c>
      <c r="E2725">
        <v>3110</v>
      </c>
      <c r="F2725">
        <v>3097.8</v>
      </c>
      <c r="G2725">
        <v>2801</v>
      </c>
      <c r="H2725" s="116"/>
      <c r="I2725" s="116"/>
      <c r="L2725" s="163">
        <v>46015</v>
      </c>
      <c r="M2725" s="116">
        <v>3098.2</v>
      </c>
      <c r="N2725" s="116">
        <v>3120.4</v>
      </c>
      <c r="O2725" s="116">
        <v>3083.3</v>
      </c>
      <c r="P2725" s="116">
        <v>3105.2</v>
      </c>
      <c r="Q2725" s="116">
        <v>3098.2</v>
      </c>
      <c r="R2725">
        <v>178249</v>
      </c>
    </row>
    <row r="2726" spans="1:18" x14ac:dyDescent="0.25">
      <c r="A2726" s="163">
        <v>46017</v>
      </c>
      <c r="B2726">
        <v>3142</v>
      </c>
      <c r="C2726">
        <v>3102.7</v>
      </c>
      <c r="D2726">
        <v>3096.25</v>
      </c>
      <c r="E2726">
        <v>3129.8</v>
      </c>
      <c r="F2726">
        <v>3102.7</v>
      </c>
      <c r="G2726">
        <v>263900</v>
      </c>
      <c r="H2726" s="116"/>
      <c r="I2726" s="116"/>
      <c r="L2726" s="163">
        <v>46017</v>
      </c>
      <c r="M2726" s="116">
        <v>3101.6</v>
      </c>
      <c r="N2726" s="116">
        <v>3143</v>
      </c>
      <c r="O2726" s="116">
        <v>3093.9</v>
      </c>
      <c r="P2726" s="116">
        <v>3105</v>
      </c>
      <c r="Q2726" s="116">
        <v>3101.6</v>
      </c>
      <c r="R2726">
        <v>472293</v>
      </c>
    </row>
    <row r="2727" spans="1:18" x14ac:dyDescent="0.25">
      <c r="A2727" s="163">
        <v>46020</v>
      </c>
      <c r="B2727">
        <v>3108.6</v>
      </c>
      <c r="C2727">
        <v>3070.8</v>
      </c>
      <c r="D2727">
        <v>3053.05</v>
      </c>
      <c r="E2727">
        <v>3098.05</v>
      </c>
      <c r="F2727">
        <v>3070.8</v>
      </c>
      <c r="G2727">
        <v>209086</v>
      </c>
      <c r="H2727" s="116"/>
      <c r="I2727" s="116"/>
      <c r="L2727" s="163">
        <v>46020</v>
      </c>
      <c r="M2727" s="116">
        <v>3075.9</v>
      </c>
      <c r="N2727" s="116">
        <v>3107.5</v>
      </c>
      <c r="O2727" s="116">
        <v>3051</v>
      </c>
      <c r="P2727" s="116">
        <v>3101.6</v>
      </c>
      <c r="Q2727" s="116">
        <v>3075.9</v>
      </c>
      <c r="R2727">
        <v>214660</v>
      </c>
    </row>
    <row r="2728" spans="1:18" x14ac:dyDescent="0.25">
      <c r="A2728" s="163">
        <v>46021</v>
      </c>
      <c r="B2728">
        <v>3075</v>
      </c>
      <c r="C2728">
        <v>3044.8</v>
      </c>
      <c r="D2728">
        <v>3006</v>
      </c>
      <c r="E2728">
        <v>3050.05</v>
      </c>
      <c r="F2728">
        <v>3044.8</v>
      </c>
      <c r="G2728">
        <v>10394</v>
      </c>
      <c r="H2728" s="116"/>
      <c r="I2728" s="116"/>
      <c r="L2728" s="163">
        <v>46021</v>
      </c>
      <c r="M2728" s="116">
        <v>3038.3</v>
      </c>
      <c r="N2728" s="116">
        <v>3085</v>
      </c>
      <c r="O2728" s="116">
        <v>3004.3</v>
      </c>
      <c r="P2728" s="116">
        <v>3084.9</v>
      </c>
      <c r="Q2728" s="116">
        <v>3038.3</v>
      </c>
      <c r="R2728">
        <v>2049556</v>
      </c>
    </row>
    <row r="2729" spans="1:18" x14ac:dyDescent="0.25">
      <c r="A2729" s="163">
        <v>46022</v>
      </c>
      <c r="B2729">
        <v>3105</v>
      </c>
      <c r="C2729">
        <v>3074.4</v>
      </c>
      <c r="D2729">
        <v>3044.75</v>
      </c>
      <c r="E2729">
        <v>3044.75</v>
      </c>
      <c r="F2729">
        <v>3074.4</v>
      </c>
      <c r="G2729">
        <v>6026</v>
      </c>
      <c r="H2729" s="116"/>
      <c r="I2729" s="116"/>
      <c r="L2729" s="163">
        <v>46022</v>
      </c>
      <c r="M2729" s="116">
        <v>3075</v>
      </c>
      <c r="N2729" s="116">
        <v>3115.8</v>
      </c>
      <c r="O2729" s="116">
        <v>3040.2</v>
      </c>
      <c r="P2729" s="116">
        <v>3040.2</v>
      </c>
      <c r="Q2729" s="116">
        <v>3075</v>
      </c>
      <c r="R2729">
        <v>219075</v>
      </c>
    </row>
    <row r="2730" spans="1:18" x14ac:dyDescent="0.25">
      <c r="A2730" s="163">
        <v>46023</v>
      </c>
      <c r="B2730">
        <v>3070.4</v>
      </c>
      <c r="C2730">
        <v>3058.9</v>
      </c>
      <c r="D2730">
        <v>3040.25</v>
      </c>
      <c r="E2730">
        <v>3040.25</v>
      </c>
      <c r="F2730">
        <v>3058.9</v>
      </c>
      <c r="G2730">
        <v>1213</v>
      </c>
      <c r="H2730" s="116"/>
      <c r="I2730" s="116"/>
      <c r="L2730" s="163">
        <v>46023</v>
      </c>
      <c r="M2730" s="116">
        <v>3057.3</v>
      </c>
      <c r="N2730" s="116">
        <v>3077.9</v>
      </c>
      <c r="O2730" s="116">
        <v>3050.3</v>
      </c>
      <c r="P2730" s="116">
        <v>3077.9</v>
      </c>
      <c r="Q2730" s="116">
        <v>3057.3</v>
      </c>
      <c r="R2730">
        <v>74758</v>
      </c>
    </row>
    <row r="2731" spans="1:18" x14ac:dyDescent="0.25">
      <c r="A2731" s="163">
        <v>46024</v>
      </c>
      <c r="B2731">
        <v>3073.15</v>
      </c>
      <c r="C2731">
        <v>3057.5</v>
      </c>
      <c r="D2731">
        <v>3041.45</v>
      </c>
      <c r="E2731">
        <v>3067.8</v>
      </c>
      <c r="F2731">
        <v>3057.5</v>
      </c>
      <c r="G2731">
        <v>5865</v>
      </c>
      <c r="H2731" s="116"/>
      <c r="I2731" s="116"/>
      <c r="L2731" s="163">
        <v>46024</v>
      </c>
      <c r="M2731" s="116">
        <v>3059.5</v>
      </c>
      <c r="N2731" s="116">
        <v>3074.9</v>
      </c>
      <c r="O2731" s="116">
        <v>3042</v>
      </c>
      <c r="P2731" s="116">
        <v>3060</v>
      </c>
      <c r="Q2731" s="116">
        <v>3059.5</v>
      </c>
      <c r="R2731">
        <v>108406</v>
      </c>
    </row>
    <row r="2732" spans="1:18" x14ac:dyDescent="0.25">
      <c r="A2732" s="163">
        <v>46027</v>
      </c>
      <c r="B2732">
        <v>3118.65</v>
      </c>
      <c r="C2732">
        <v>3091.2</v>
      </c>
      <c r="D2732">
        <v>3052.95</v>
      </c>
      <c r="E2732">
        <v>3118.65</v>
      </c>
      <c r="F2732">
        <v>3091.2</v>
      </c>
      <c r="G2732">
        <v>5811</v>
      </c>
      <c r="H2732" s="116"/>
      <c r="I2732" s="116"/>
      <c r="L2732" s="163">
        <v>46027</v>
      </c>
      <c r="M2732" s="116">
        <v>3089.3</v>
      </c>
      <c r="N2732" s="116">
        <v>3095</v>
      </c>
      <c r="O2732" s="116">
        <v>3050</v>
      </c>
      <c r="P2732" s="116">
        <v>3059.5</v>
      </c>
      <c r="Q2732" s="116">
        <v>3089.3</v>
      </c>
      <c r="R2732">
        <v>268940</v>
      </c>
    </row>
    <row r="2733" spans="1:18" x14ac:dyDescent="0.25">
      <c r="A2733" s="163">
        <v>46028</v>
      </c>
      <c r="B2733">
        <v>3094.5</v>
      </c>
      <c r="C2733">
        <v>3051.35</v>
      </c>
      <c r="D2733">
        <v>2957.9</v>
      </c>
      <c r="E2733">
        <v>3094.5</v>
      </c>
      <c r="F2733">
        <v>3051.35</v>
      </c>
      <c r="G2733">
        <v>12734</v>
      </c>
      <c r="H2733" s="116"/>
      <c r="I2733" s="116"/>
      <c r="L2733" s="163">
        <v>46028</v>
      </c>
      <c r="M2733" s="116">
        <v>3051.4</v>
      </c>
      <c r="N2733" s="116">
        <v>3095.2</v>
      </c>
      <c r="O2733" s="116">
        <v>2955</v>
      </c>
      <c r="P2733" s="116">
        <v>3094.9</v>
      </c>
      <c r="Q2733" s="116">
        <v>3051.4</v>
      </c>
      <c r="R2733">
        <v>582002</v>
      </c>
    </row>
    <row r="2734" spans="1:18" x14ac:dyDescent="0.25">
      <c r="A2734" s="163">
        <v>46029</v>
      </c>
      <c r="B2734">
        <v>3101.95</v>
      </c>
      <c r="C2734">
        <v>3094.6</v>
      </c>
      <c r="D2734">
        <v>3030.25</v>
      </c>
      <c r="E2734">
        <v>3030.25</v>
      </c>
      <c r="F2734">
        <v>3094.6</v>
      </c>
      <c r="G2734">
        <v>3337</v>
      </c>
      <c r="H2734" s="116"/>
      <c r="I2734" s="116"/>
      <c r="L2734" s="163">
        <v>46029</v>
      </c>
      <c r="M2734" s="116">
        <v>3097.6</v>
      </c>
      <c r="N2734" s="116">
        <v>3102.4</v>
      </c>
      <c r="O2734" s="116">
        <v>3037.8</v>
      </c>
      <c r="P2734" s="116">
        <v>3051.5</v>
      </c>
      <c r="Q2734" s="116">
        <v>3097.6</v>
      </c>
      <c r="R2734">
        <v>375703</v>
      </c>
    </row>
    <row r="2735" spans="1:18" x14ac:dyDescent="0.25">
      <c r="A2735" s="163">
        <v>46030</v>
      </c>
      <c r="B2735">
        <v>3090.6</v>
      </c>
      <c r="C2735">
        <v>3041.1</v>
      </c>
      <c r="D2735">
        <v>3038.25</v>
      </c>
      <c r="E2735">
        <v>3088.5</v>
      </c>
      <c r="F2735">
        <v>3041.1</v>
      </c>
      <c r="G2735">
        <v>3415</v>
      </c>
      <c r="H2735" s="116"/>
      <c r="I2735" s="116"/>
      <c r="L2735" s="163">
        <v>46030</v>
      </c>
      <c r="M2735" s="116">
        <v>3042.3</v>
      </c>
      <c r="N2735" s="116">
        <v>3097.4</v>
      </c>
      <c r="O2735" s="116">
        <v>3035.7</v>
      </c>
      <c r="P2735" s="116">
        <v>3097.4</v>
      </c>
      <c r="Q2735" s="116">
        <v>3042.3</v>
      </c>
      <c r="R2735">
        <v>269895</v>
      </c>
    </row>
    <row r="2736" spans="1:18" x14ac:dyDescent="0.25">
      <c r="A2736" s="163">
        <v>46031</v>
      </c>
      <c r="B2736">
        <v>3067.25</v>
      </c>
      <c r="C2736">
        <v>3021.45</v>
      </c>
      <c r="D2736">
        <v>3001.05</v>
      </c>
      <c r="E2736">
        <v>3047.5</v>
      </c>
      <c r="F2736">
        <v>3021.45</v>
      </c>
      <c r="G2736">
        <v>13720</v>
      </c>
      <c r="H2736" s="116"/>
      <c r="I2736" s="116"/>
      <c r="L2736" s="163">
        <v>46031</v>
      </c>
      <c r="M2736" s="116">
        <v>3023.2</v>
      </c>
      <c r="N2736" s="116">
        <v>3069.6</v>
      </c>
      <c r="O2736" s="116">
        <v>3000.8</v>
      </c>
      <c r="P2736" s="116">
        <v>3040</v>
      </c>
      <c r="Q2736" s="116">
        <v>3023.2</v>
      </c>
      <c r="R2736">
        <v>165278</v>
      </c>
    </row>
    <row r="2737" spans="1:18" x14ac:dyDescent="0.25">
      <c r="A2737" s="163">
        <v>46034</v>
      </c>
      <c r="B2737">
        <v>3055</v>
      </c>
      <c r="C2737">
        <v>3047.2</v>
      </c>
      <c r="D2737">
        <v>3001</v>
      </c>
      <c r="E2737">
        <v>3001</v>
      </c>
      <c r="F2737">
        <v>3047.2</v>
      </c>
      <c r="G2737">
        <v>2334</v>
      </c>
      <c r="H2737" s="116"/>
      <c r="I2737" s="116"/>
      <c r="L2737" s="163">
        <v>46034</v>
      </c>
      <c r="M2737" s="116">
        <v>3046</v>
      </c>
      <c r="N2737" s="116">
        <v>3055.8</v>
      </c>
      <c r="O2737" s="116">
        <v>3001.1</v>
      </c>
      <c r="P2737" s="116">
        <v>3001.1</v>
      </c>
      <c r="Q2737" s="116">
        <v>3046</v>
      </c>
      <c r="R2737">
        <v>140741</v>
      </c>
    </row>
    <row r="2738" spans="1:18" x14ac:dyDescent="0.25">
      <c r="A2738" s="163">
        <v>46035</v>
      </c>
      <c r="B2738">
        <v>3065.2</v>
      </c>
      <c r="C2738">
        <v>3035.3</v>
      </c>
      <c r="D2738">
        <v>3009.3</v>
      </c>
      <c r="E2738">
        <v>3009.3</v>
      </c>
      <c r="F2738">
        <v>3035.3</v>
      </c>
      <c r="G2738">
        <v>2544</v>
      </c>
      <c r="H2738" s="116"/>
      <c r="I2738" s="116"/>
      <c r="L2738" s="163">
        <v>46035</v>
      </c>
      <c r="M2738" s="116">
        <v>3039.6</v>
      </c>
      <c r="N2738" s="116">
        <v>3066.8</v>
      </c>
      <c r="O2738" s="116">
        <v>3024</v>
      </c>
      <c r="P2738" s="116">
        <v>3044.9</v>
      </c>
      <c r="Q2738" s="116">
        <v>3039.6</v>
      </c>
      <c r="R2738">
        <v>176473</v>
      </c>
    </row>
    <row r="2739" spans="1:18" x14ac:dyDescent="0.25">
      <c r="A2739" s="163">
        <v>46036</v>
      </c>
      <c r="B2739">
        <v>3063</v>
      </c>
      <c r="C2739">
        <v>3029.8</v>
      </c>
      <c r="D2739">
        <v>2976.2</v>
      </c>
      <c r="E2739">
        <v>2976.2</v>
      </c>
      <c r="F2739">
        <v>3029.8</v>
      </c>
      <c r="G2739">
        <v>2387</v>
      </c>
      <c r="H2739" s="116"/>
      <c r="I2739" s="116"/>
      <c r="L2739" s="163">
        <v>46036</v>
      </c>
      <c r="M2739" s="116">
        <v>3032</v>
      </c>
      <c r="N2739" s="116">
        <v>3068.1</v>
      </c>
      <c r="O2739" s="116">
        <v>3003</v>
      </c>
      <c r="P2739" s="116">
        <v>3003</v>
      </c>
      <c r="Q2739" s="116">
        <v>3032</v>
      </c>
      <c r="R2739">
        <v>291875</v>
      </c>
    </row>
    <row r="2740" spans="1:18" x14ac:dyDescent="0.25">
      <c r="A2740" s="163">
        <v>46038</v>
      </c>
      <c r="B2740">
        <v>3071.1</v>
      </c>
      <c r="C2740">
        <v>3025.85</v>
      </c>
      <c r="D2740">
        <v>3009.35</v>
      </c>
      <c r="E2740">
        <v>3029.9</v>
      </c>
      <c r="F2740">
        <v>3025.85</v>
      </c>
      <c r="G2740">
        <v>3445</v>
      </c>
      <c r="H2740" s="116"/>
      <c r="I2740" s="116"/>
      <c r="L2740" s="163">
        <v>46038</v>
      </c>
      <c r="M2740" s="116">
        <v>3027.4</v>
      </c>
      <c r="N2740" s="116">
        <v>3072</v>
      </c>
      <c r="O2740" s="116">
        <v>3010</v>
      </c>
      <c r="P2740" s="116">
        <v>3039.8</v>
      </c>
      <c r="Q2740" s="116">
        <v>3027.4</v>
      </c>
      <c r="R2740">
        <v>255342</v>
      </c>
    </row>
    <row r="2741" spans="1:18" x14ac:dyDescent="0.25">
      <c r="A2741" s="163">
        <v>46041</v>
      </c>
      <c r="B2741">
        <v>3028.25</v>
      </c>
      <c r="C2741">
        <v>2958.2</v>
      </c>
      <c r="D2741">
        <v>2940.6</v>
      </c>
      <c r="E2741">
        <v>2966.15</v>
      </c>
      <c r="F2741">
        <v>2958.2</v>
      </c>
      <c r="G2741">
        <v>4076</v>
      </c>
      <c r="H2741" s="116"/>
      <c r="I2741" s="116"/>
      <c r="L2741" s="163">
        <v>46041</v>
      </c>
      <c r="M2741" s="116">
        <v>2962.5</v>
      </c>
      <c r="N2741" s="116">
        <v>3029.3</v>
      </c>
      <c r="O2741" s="116">
        <v>2939.9</v>
      </c>
      <c r="P2741" s="116">
        <v>3001</v>
      </c>
      <c r="Q2741" s="116">
        <v>2962.5</v>
      </c>
      <c r="R2741">
        <v>507707</v>
      </c>
    </row>
    <row r="2742" spans="1:18" x14ac:dyDescent="0.25">
      <c r="A2742" s="163">
        <v>46042</v>
      </c>
      <c r="B2742">
        <v>2978.55</v>
      </c>
      <c r="C2742">
        <v>2873.15</v>
      </c>
      <c r="D2742">
        <v>2840</v>
      </c>
      <c r="E2742">
        <v>2958.25</v>
      </c>
      <c r="F2742">
        <v>2873.15</v>
      </c>
      <c r="G2742">
        <v>10714</v>
      </c>
      <c r="H2742" s="116"/>
      <c r="I2742" s="116"/>
      <c r="L2742" s="163">
        <v>46042</v>
      </c>
      <c r="M2742" s="116">
        <v>2883.2</v>
      </c>
      <c r="N2742" s="116">
        <v>2979.4</v>
      </c>
      <c r="O2742" s="116">
        <v>2833</v>
      </c>
      <c r="P2742" s="116">
        <v>2970</v>
      </c>
      <c r="Q2742" s="116">
        <v>2883.2</v>
      </c>
      <c r="R2742">
        <v>668685</v>
      </c>
    </row>
    <row r="2743" spans="1:18" x14ac:dyDescent="0.25">
      <c r="A2743" s="163">
        <v>46043</v>
      </c>
      <c r="B2743">
        <v>2853.15</v>
      </c>
      <c r="C2743">
        <v>2675.9</v>
      </c>
      <c r="D2743">
        <v>2668.3</v>
      </c>
      <c r="E2743">
        <v>2853.15</v>
      </c>
      <c r="F2743">
        <v>2675.9</v>
      </c>
      <c r="G2743">
        <v>43890</v>
      </c>
      <c r="H2743" s="116"/>
      <c r="I2743" s="116"/>
      <c r="L2743" s="163">
        <v>46043</v>
      </c>
      <c r="M2743" s="116">
        <v>2676.9</v>
      </c>
      <c r="N2743" s="116">
        <v>2815</v>
      </c>
      <c r="O2743" s="116">
        <v>2661.6</v>
      </c>
      <c r="P2743" s="116">
        <v>2802.6</v>
      </c>
      <c r="Q2743" s="116">
        <v>2676.9</v>
      </c>
      <c r="R2743">
        <v>1969559</v>
      </c>
    </row>
    <row r="2744" spans="1:18" x14ac:dyDescent="0.25">
      <c r="A2744" s="163">
        <v>46044</v>
      </c>
      <c r="B2744">
        <v>2754.1</v>
      </c>
      <c r="C2744">
        <v>2734.2</v>
      </c>
      <c r="D2744">
        <v>2677.85</v>
      </c>
      <c r="E2744">
        <v>2677.85</v>
      </c>
      <c r="F2744">
        <v>2734.2</v>
      </c>
      <c r="G2744">
        <v>7391</v>
      </c>
      <c r="H2744" s="116"/>
      <c r="I2744" s="116"/>
      <c r="L2744" s="163">
        <v>46044</v>
      </c>
      <c r="M2744" s="116">
        <v>2735.9</v>
      </c>
      <c r="N2744" s="116">
        <v>2754</v>
      </c>
      <c r="O2744" s="116">
        <v>2684</v>
      </c>
      <c r="P2744" s="116">
        <v>2684</v>
      </c>
      <c r="Q2744" s="116">
        <v>2735.9</v>
      </c>
      <c r="R2744">
        <v>753474</v>
      </c>
    </row>
    <row r="2745" spans="1:18" x14ac:dyDescent="0.25">
      <c r="A2745" s="163">
        <v>46045</v>
      </c>
      <c r="B2745">
        <v>2738.5</v>
      </c>
      <c r="C2745">
        <v>2714.95</v>
      </c>
      <c r="D2745">
        <v>2703.35</v>
      </c>
      <c r="E2745">
        <v>2721.1</v>
      </c>
      <c r="F2745">
        <v>2714.95</v>
      </c>
      <c r="G2745">
        <v>3274</v>
      </c>
      <c r="H2745" s="116"/>
      <c r="I2745" s="116"/>
      <c r="L2745" s="163">
        <v>46045</v>
      </c>
      <c r="M2745" s="116">
        <v>2713.7</v>
      </c>
      <c r="N2745" s="116">
        <v>2757</v>
      </c>
      <c r="O2745" s="116">
        <v>2701</v>
      </c>
      <c r="P2745" s="116">
        <v>2757</v>
      </c>
      <c r="Q2745" s="116">
        <v>2713.7</v>
      </c>
      <c r="R2745">
        <v>406215</v>
      </c>
    </row>
    <row r="2746" spans="1:18" x14ac:dyDescent="0.25">
      <c r="A2746" s="163">
        <v>46049</v>
      </c>
      <c r="B2746">
        <v>2734.45</v>
      </c>
      <c r="C2746">
        <v>2684.7</v>
      </c>
      <c r="D2746">
        <v>2643.75</v>
      </c>
      <c r="E2746">
        <v>2717.75</v>
      </c>
      <c r="F2746">
        <v>2684.7</v>
      </c>
      <c r="G2746">
        <v>39309</v>
      </c>
      <c r="H2746" s="116"/>
      <c r="I2746" s="116"/>
      <c r="L2746" s="163">
        <v>46049</v>
      </c>
      <c r="M2746" s="116">
        <v>2682.2</v>
      </c>
      <c r="N2746" s="116">
        <v>2734.8</v>
      </c>
      <c r="O2746" s="116">
        <v>2645</v>
      </c>
      <c r="P2746" s="116">
        <v>2722.9</v>
      </c>
      <c r="Q2746" s="116">
        <v>2682.2</v>
      </c>
      <c r="R2746">
        <v>326475</v>
      </c>
    </row>
    <row r="2747" spans="1:18" x14ac:dyDescent="0.25">
      <c r="A2747" s="163">
        <v>46050</v>
      </c>
      <c r="B2747">
        <v>2837.65</v>
      </c>
      <c r="C2747">
        <v>2812.7</v>
      </c>
      <c r="D2747">
        <v>2693.6</v>
      </c>
      <c r="E2747">
        <v>2693.6</v>
      </c>
      <c r="F2747">
        <v>2812.7</v>
      </c>
      <c r="G2747">
        <v>23831</v>
      </c>
      <c r="H2747" s="116"/>
      <c r="I2747" s="116"/>
      <c r="L2747" s="163">
        <v>46050</v>
      </c>
      <c r="M2747" s="116">
        <v>2817</v>
      </c>
      <c r="N2747" s="116">
        <v>2837</v>
      </c>
      <c r="O2747" s="116">
        <v>2687.1</v>
      </c>
      <c r="P2747" s="116">
        <v>2687.1</v>
      </c>
      <c r="Q2747" s="116">
        <v>2817</v>
      </c>
      <c r="R2747">
        <v>607301</v>
      </c>
    </row>
    <row r="2748" spans="1:18" x14ac:dyDescent="0.25">
      <c r="A2748" s="163">
        <v>46051</v>
      </c>
      <c r="B2748">
        <v>2828</v>
      </c>
      <c r="C2748">
        <v>2818.35</v>
      </c>
      <c r="D2748">
        <v>2785</v>
      </c>
      <c r="E2748">
        <v>2813.8</v>
      </c>
      <c r="F2748">
        <v>2818.35</v>
      </c>
      <c r="G2748">
        <v>6732</v>
      </c>
      <c r="H2748" s="116"/>
      <c r="I2748" s="116"/>
      <c r="L2748" s="163">
        <v>46051</v>
      </c>
      <c r="M2748" s="116">
        <v>2819.9</v>
      </c>
      <c r="N2748" s="116">
        <v>2835</v>
      </c>
      <c r="O2748" s="116">
        <v>2782</v>
      </c>
      <c r="P2748" s="116">
        <v>2835</v>
      </c>
      <c r="Q2748" s="116">
        <v>2819.9</v>
      </c>
      <c r="R2748">
        <v>881502</v>
      </c>
    </row>
    <row r="2749" spans="1:18" x14ac:dyDescent="0.25">
      <c r="A2749" s="163">
        <v>46052</v>
      </c>
      <c r="B2749">
        <v>2829.4</v>
      </c>
      <c r="C2749">
        <v>2816</v>
      </c>
      <c r="D2749">
        <v>2789.9</v>
      </c>
      <c r="E2749">
        <v>2801.95</v>
      </c>
      <c r="F2749">
        <v>2816</v>
      </c>
      <c r="G2749">
        <v>7122</v>
      </c>
      <c r="H2749" s="116"/>
      <c r="I2749" s="116"/>
      <c r="L2749" s="163">
        <v>46052</v>
      </c>
      <c r="M2749" s="116">
        <v>2816.3</v>
      </c>
      <c r="N2749" s="116">
        <v>2840.4</v>
      </c>
      <c r="O2749" s="116">
        <v>2788.4</v>
      </c>
      <c r="P2749" s="116">
        <v>2818</v>
      </c>
      <c r="Q2749" s="116">
        <v>2816.3</v>
      </c>
      <c r="R2749">
        <v>426581</v>
      </c>
    </row>
    <row r="2750" spans="1:18" x14ac:dyDescent="0.25">
      <c r="A2750" s="163">
        <v>46054</v>
      </c>
      <c r="B2750">
        <v>2879.85</v>
      </c>
      <c r="C2750">
        <v>2727.8</v>
      </c>
      <c r="D2750">
        <v>2714.95</v>
      </c>
      <c r="E2750">
        <v>2760.1</v>
      </c>
      <c r="F2750">
        <v>2727.8</v>
      </c>
      <c r="G2750">
        <v>9265</v>
      </c>
      <c r="H2750" s="116"/>
      <c r="I2750" s="116"/>
      <c r="L2750" s="163">
        <v>46054</v>
      </c>
      <c r="M2750" s="116">
        <v>2726.5</v>
      </c>
      <c r="N2750" s="116">
        <v>2881.5</v>
      </c>
      <c r="O2750" s="116">
        <v>2711.2</v>
      </c>
      <c r="P2750" s="116">
        <v>2792.3</v>
      </c>
      <c r="Q2750" s="116">
        <v>2726.5</v>
      </c>
      <c r="R2750">
        <v>202474</v>
      </c>
    </row>
    <row r="2751" spans="1:18" x14ac:dyDescent="0.25">
      <c r="A2751" s="163">
        <v>46055</v>
      </c>
      <c r="B2751">
        <v>2806.2</v>
      </c>
      <c r="C2751">
        <v>2802.3</v>
      </c>
      <c r="D2751">
        <v>2718.9</v>
      </c>
      <c r="E2751">
        <v>2727.9</v>
      </c>
      <c r="F2751">
        <v>2802.3</v>
      </c>
      <c r="G2751">
        <v>5915</v>
      </c>
      <c r="H2751" s="116"/>
      <c r="I2751" s="116"/>
      <c r="L2751" s="163">
        <v>46055</v>
      </c>
      <c r="M2751" s="116">
        <v>2801.6</v>
      </c>
      <c r="N2751" s="116">
        <v>2806.6</v>
      </c>
      <c r="O2751" s="116">
        <v>2719.3</v>
      </c>
      <c r="P2751" s="116">
        <v>2727</v>
      </c>
      <c r="Q2751" s="116">
        <v>2801.6</v>
      </c>
      <c r="R2751">
        <v>149919</v>
      </c>
    </row>
    <row r="2752" spans="1:18" x14ac:dyDescent="0.25">
      <c r="A2752" s="163">
        <v>46056</v>
      </c>
      <c r="B2752">
        <v>3070.2</v>
      </c>
      <c r="C2752">
        <v>2911.45</v>
      </c>
      <c r="D2752">
        <v>2904.2</v>
      </c>
      <c r="E2752">
        <v>3023.65</v>
      </c>
      <c r="F2752">
        <v>2911.45</v>
      </c>
      <c r="G2752">
        <v>21785</v>
      </c>
      <c r="H2752" s="116"/>
      <c r="I2752" s="116"/>
      <c r="L2752" s="163">
        <v>46056</v>
      </c>
      <c r="M2752" s="116">
        <v>2912.2</v>
      </c>
      <c r="N2752" s="116">
        <v>3081.7</v>
      </c>
      <c r="O2752" s="116">
        <v>2903.2</v>
      </c>
      <c r="P2752" s="116">
        <v>2999</v>
      </c>
      <c r="Q2752" s="116">
        <v>2912.2</v>
      </c>
      <c r="R2752">
        <v>811932</v>
      </c>
    </row>
    <row r="2753" spans="1:18" x14ac:dyDescent="0.25">
      <c r="A2753" s="163">
        <v>46057</v>
      </c>
      <c r="B2753">
        <v>2939</v>
      </c>
      <c r="C2753">
        <v>2916.2</v>
      </c>
      <c r="D2753">
        <v>2885.5</v>
      </c>
      <c r="E2753">
        <v>2911.35</v>
      </c>
      <c r="F2753">
        <v>2916.2</v>
      </c>
      <c r="G2753">
        <v>4023</v>
      </c>
      <c r="H2753" s="116"/>
      <c r="I2753" s="116"/>
      <c r="L2753" s="163">
        <v>46057</v>
      </c>
      <c r="M2753" s="116">
        <v>2920.6</v>
      </c>
      <c r="N2753" s="116">
        <v>2943.9</v>
      </c>
      <c r="O2753" s="116">
        <v>2888</v>
      </c>
      <c r="P2753" s="116">
        <v>2890.2</v>
      </c>
      <c r="Q2753" s="116">
        <v>2920.6</v>
      </c>
      <c r="R2753">
        <v>254596</v>
      </c>
    </row>
    <row r="2754" spans="1:18" x14ac:dyDescent="0.25">
      <c r="A2754" s="163">
        <v>46058</v>
      </c>
      <c r="B2754">
        <v>2964.95</v>
      </c>
      <c r="C2754">
        <v>2905.25</v>
      </c>
      <c r="D2754">
        <v>2886.4</v>
      </c>
      <c r="E2754">
        <v>2964.95</v>
      </c>
      <c r="F2754">
        <v>2905.25</v>
      </c>
      <c r="G2754">
        <v>3416</v>
      </c>
      <c r="H2754" s="116"/>
      <c r="I2754" s="116"/>
      <c r="L2754" s="163">
        <v>46058</v>
      </c>
      <c r="M2754" s="116">
        <v>2906.3</v>
      </c>
      <c r="N2754" s="116">
        <v>2937.9</v>
      </c>
      <c r="O2754" s="116">
        <v>2886.2</v>
      </c>
      <c r="P2754" s="116">
        <v>2935.3</v>
      </c>
      <c r="Q2754" s="116">
        <v>2906.3</v>
      </c>
      <c r="R2754">
        <v>97591</v>
      </c>
    </row>
    <row r="2755" spans="1:18" x14ac:dyDescent="0.25">
      <c r="A2755" s="163">
        <v>46059</v>
      </c>
      <c r="B2755">
        <v>2926</v>
      </c>
      <c r="C2755">
        <v>2902.8</v>
      </c>
      <c r="D2755">
        <v>2863.6</v>
      </c>
      <c r="E2755">
        <v>2905.05</v>
      </c>
      <c r="F2755">
        <v>2902.8</v>
      </c>
      <c r="G2755">
        <v>908</v>
      </c>
      <c r="H2755" s="116"/>
      <c r="I2755" s="116"/>
      <c r="L2755" s="163">
        <v>46059</v>
      </c>
      <c r="M2755" s="116">
        <v>2901.6</v>
      </c>
      <c r="N2755" s="116">
        <v>2919.8</v>
      </c>
      <c r="O2755" s="116">
        <v>2863</v>
      </c>
      <c r="P2755" s="116">
        <v>2898.9</v>
      </c>
      <c r="Q2755" s="116">
        <v>2901.6</v>
      </c>
      <c r="R2755">
        <v>137382</v>
      </c>
    </row>
    <row r="2756" spans="1:18" x14ac:dyDescent="0.25">
      <c r="A2756" s="163">
        <v>46062</v>
      </c>
      <c r="B2756">
        <v>3013.1</v>
      </c>
      <c r="C2756">
        <v>2986</v>
      </c>
      <c r="D2756">
        <v>2906.7</v>
      </c>
      <c r="E2756">
        <v>2910.1</v>
      </c>
      <c r="F2756">
        <v>2986</v>
      </c>
      <c r="G2756">
        <v>64858</v>
      </c>
      <c r="H2756" s="116"/>
      <c r="I2756" s="116"/>
      <c r="L2756" s="163">
        <v>46062</v>
      </c>
      <c r="M2756" s="116">
        <v>2986.7</v>
      </c>
      <c r="N2756" s="116">
        <v>3013.9</v>
      </c>
      <c r="O2756" s="116">
        <v>2905.6</v>
      </c>
      <c r="P2756" s="116">
        <v>2905.6</v>
      </c>
      <c r="Q2756" s="116">
        <v>2986.7</v>
      </c>
      <c r="R2756">
        <v>403307</v>
      </c>
    </row>
    <row r="2757" spans="1:18" x14ac:dyDescent="0.25">
      <c r="A2757" s="163">
        <v>46063</v>
      </c>
      <c r="B2757">
        <v>3025.4</v>
      </c>
      <c r="C2757">
        <v>2962.15</v>
      </c>
      <c r="D2757">
        <v>2952.7</v>
      </c>
      <c r="E2757">
        <v>3025.4</v>
      </c>
      <c r="F2757">
        <v>2962.15</v>
      </c>
      <c r="G2757">
        <v>6584</v>
      </c>
      <c r="H2757" s="116"/>
      <c r="I2757" s="116"/>
      <c r="L2757" s="163">
        <v>46063</v>
      </c>
      <c r="M2757" s="116">
        <v>2961.9</v>
      </c>
      <c r="N2757" s="116">
        <v>3014.9</v>
      </c>
      <c r="O2757" s="116">
        <v>2951</v>
      </c>
      <c r="P2757" s="116">
        <v>3010</v>
      </c>
      <c r="Q2757" s="116">
        <v>2961.9</v>
      </c>
      <c r="R2757">
        <v>220571</v>
      </c>
    </row>
    <row r="2758" spans="1:18" x14ac:dyDescent="0.25">
      <c r="A2758" s="163">
        <v>46064</v>
      </c>
      <c r="B2758">
        <v>2956.25</v>
      </c>
      <c r="C2758">
        <v>2948.85</v>
      </c>
      <c r="D2758">
        <v>2915.45</v>
      </c>
      <c r="E2758">
        <v>2955</v>
      </c>
      <c r="F2758">
        <v>2948.85</v>
      </c>
      <c r="G2758">
        <v>34170</v>
      </c>
      <c r="H2758" s="116"/>
      <c r="I2758" s="116"/>
      <c r="L2758" s="163">
        <v>46064</v>
      </c>
      <c r="M2758" s="116">
        <v>2949.1</v>
      </c>
      <c r="N2758" s="116">
        <v>2959.9</v>
      </c>
      <c r="O2758" s="116">
        <v>2914.8</v>
      </c>
      <c r="P2758" s="116">
        <v>2951</v>
      </c>
      <c r="Q2758" s="116">
        <v>2949.1</v>
      </c>
      <c r="R2758">
        <v>149239</v>
      </c>
    </row>
    <row r="2759" spans="1:18" x14ac:dyDescent="0.25">
      <c r="A2759" s="163">
        <v>46065</v>
      </c>
      <c r="B2759">
        <v>2937.7</v>
      </c>
      <c r="C2759">
        <v>2840.4</v>
      </c>
      <c r="D2759">
        <v>2814.1</v>
      </c>
      <c r="E2759">
        <v>2906.15</v>
      </c>
      <c r="F2759">
        <v>2840.4</v>
      </c>
      <c r="G2759">
        <v>13440</v>
      </c>
      <c r="H2759" s="116"/>
      <c r="I2759" s="116"/>
      <c r="L2759" s="163">
        <v>46065</v>
      </c>
      <c r="M2759" s="116">
        <v>2841.5</v>
      </c>
      <c r="N2759" s="116">
        <v>2937.4</v>
      </c>
      <c r="O2759" s="116">
        <v>2812.5</v>
      </c>
      <c r="P2759" s="116">
        <v>2932.3</v>
      </c>
      <c r="Q2759" s="116">
        <v>2841.5</v>
      </c>
      <c r="R2759">
        <v>395601</v>
      </c>
    </row>
    <row r="2760" spans="1:18" x14ac:dyDescent="0.25">
      <c r="A2760" s="163">
        <v>46066</v>
      </c>
      <c r="B2760">
        <v>2839.9</v>
      </c>
      <c r="C2760">
        <v>2833.15</v>
      </c>
      <c r="D2760">
        <v>2770.5</v>
      </c>
      <c r="E2760">
        <v>2806.15</v>
      </c>
      <c r="F2760">
        <v>2833.15</v>
      </c>
      <c r="G2760">
        <v>5675</v>
      </c>
      <c r="H2760" s="116"/>
      <c r="I2760" s="116"/>
      <c r="L2760" s="163">
        <v>46066</v>
      </c>
      <c r="M2760" s="116">
        <v>2833.4</v>
      </c>
      <c r="N2760" s="116">
        <v>2841</v>
      </c>
      <c r="O2760" s="116">
        <v>2765.6</v>
      </c>
      <c r="P2760" s="116">
        <v>2815</v>
      </c>
      <c r="Q2760" s="116">
        <v>2833.4</v>
      </c>
      <c r="R2760">
        <v>196550</v>
      </c>
    </row>
    <row r="2761" spans="1:18" x14ac:dyDescent="0.25">
      <c r="A2761" s="163">
        <v>46069</v>
      </c>
      <c r="B2761">
        <v>2850</v>
      </c>
      <c r="C2761">
        <v>2848.4</v>
      </c>
      <c r="D2761">
        <v>2801.15</v>
      </c>
      <c r="E2761">
        <v>2801.15</v>
      </c>
      <c r="F2761">
        <v>2848.4</v>
      </c>
      <c r="G2761">
        <v>2764</v>
      </c>
      <c r="H2761" s="116"/>
      <c r="I2761" s="116"/>
      <c r="L2761" s="163">
        <v>46069</v>
      </c>
      <c r="M2761" s="116">
        <v>2847.8</v>
      </c>
      <c r="N2761" s="116">
        <v>2852.1</v>
      </c>
      <c r="O2761" s="116">
        <v>2792.8</v>
      </c>
      <c r="P2761" s="116">
        <v>2830</v>
      </c>
      <c r="Q2761" s="116">
        <v>2847.8</v>
      </c>
      <c r="R2761">
        <v>110372</v>
      </c>
    </row>
    <row r="2762" spans="1:18" x14ac:dyDescent="0.25">
      <c r="A2762" s="163">
        <v>46070</v>
      </c>
      <c r="B2762">
        <v>2883.35</v>
      </c>
      <c r="C2762">
        <v>2743.2</v>
      </c>
      <c r="D2762">
        <v>2732</v>
      </c>
      <c r="E2762">
        <v>2833.65</v>
      </c>
      <c r="F2762">
        <v>2743.2</v>
      </c>
      <c r="G2762">
        <v>17712</v>
      </c>
      <c r="H2762" s="116"/>
      <c r="I2762" s="116"/>
      <c r="L2762" s="163">
        <v>46070</v>
      </c>
      <c r="M2762" s="116">
        <v>2742.9</v>
      </c>
      <c r="N2762" s="116">
        <v>2883.1</v>
      </c>
      <c r="O2762" s="116">
        <v>2731.1</v>
      </c>
      <c r="P2762" s="116">
        <v>2847.7</v>
      </c>
      <c r="Q2762" s="116">
        <v>2742.9</v>
      </c>
      <c r="R2762">
        <v>595424</v>
      </c>
    </row>
    <row r="2763" spans="1:18" x14ac:dyDescent="0.25">
      <c r="A2763" s="163">
        <v>46071</v>
      </c>
      <c r="B2763">
        <v>2742.7</v>
      </c>
      <c r="C2763">
        <v>2730.95</v>
      </c>
      <c r="D2763">
        <v>2699.45</v>
      </c>
      <c r="E2763">
        <v>2715</v>
      </c>
      <c r="F2763">
        <v>2730.95</v>
      </c>
      <c r="G2763">
        <v>358221</v>
      </c>
      <c r="H2763" s="116"/>
      <c r="I2763" s="116"/>
      <c r="L2763" s="163">
        <v>46071</v>
      </c>
      <c r="M2763" s="116">
        <v>2730.4</v>
      </c>
      <c r="N2763" s="116">
        <v>2744.3</v>
      </c>
      <c r="O2763" s="116">
        <v>2695.8</v>
      </c>
      <c r="P2763" s="116">
        <v>2710</v>
      </c>
      <c r="Q2763" s="116">
        <v>2730.4</v>
      </c>
      <c r="R2763">
        <v>449947</v>
      </c>
    </row>
    <row r="2764" spans="1:18" x14ac:dyDescent="0.25">
      <c r="A2764" s="163">
        <v>46072</v>
      </c>
      <c r="B2764">
        <v>2731.4</v>
      </c>
      <c r="C2764">
        <v>2679.05</v>
      </c>
      <c r="D2764">
        <v>2664.75</v>
      </c>
      <c r="E2764">
        <v>2731.4</v>
      </c>
      <c r="F2764">
        <v>2679.05</v>
      </c>
      <c r="G2764">
        <v>10082</v>
      </c>
      <c r="H2764" s="116"/>
      <c r="I2764" s="116"/>
      <c r="L2764" s="163">
        <v>46072</v>
      </c>
      <c r="M2764" s="116">
        <v>2678.7</v>
      </c>
      <c r="N2764" s="116">
        <v>2741</v>
      </c>
      <c r="O2764" s="116">
        <v>2663.9</v>
      </c>
      <c r="P2764" s="116">
        <v>2740.9</v>
      </c>
      <c r="Q2764" s="116">
        <v>2678.7</v>
      </c>
      <c r="R2764">
        <v>550346</v>
      </c>
    </row>
    <row r="2765" spans="1:18" x14ac:dyDescent="0.25">
      <c r="A2765" s="163">
        <v>46073</v>
      </c>
      <c r="B2765">
        <v>2715</v>
      </c>
      <c r="C2765">
        <v>2687.95</v>
      </c>
      <c r="D2765">
        <v>2651.95</v>
      </c>
      <c r="E2765">
        <v>2651.95</v>
      </c>
      <c r="F2765">
        <v>2687.95</v>
      </c>
      <c r="G2765">
        <v>26669</v>
      </c>
      <c r="H2765" s="116"/>
      <c r="I2765" s="116"/>
      <c r="L2765" s="163">
        <v>46073</v>
      </c>
      <c r="M2765" s="116">
        <v>2689.1</v>
      </c>
      <c r="N2765" s="116">
        <v>2715.5</v>
      </c>
      <c r="O2765" s="116">
        <v>2660.3</v>
      </c>
      <c r="P2765" s="116">
        <v>2661</v>
      </c>
      <c r="Q2765" s="116">
        <v>2689.1</v>
      </c>
      <c r="R2765">
        <v>449654</v>
      </c>
    </row>
    <row r="2766" spans="1:18" x14ac:dyDescent="0.25">
      <c r="A2766" s="163">
        <v>46076</v>
      </c>
      <c r="B2766">
        <v>2727.05</v>
      </c>
      <c r="C2766">
        <v>2649.65</v>
      </c>
      <c r="D2766">
        <v>2624.2</v>
      </c>
      <c r="E2766">
        <v>2727</v>
      </c>
      <c r="F2766">
        <v>2649.65</v>
      </c>
      <c r="G2766">
        <v>160887</v>
      </c>
      <c r="H2766" s="116"/>
      <c r="I2766" s="116"/>
      <c r="L2766" s="163">
        <v>46076</v>
      </c>
      <c r="M2766" s="116">
        <v>2646.1</v>
      </c>
      <c r="N2766" s="116">
        <v>2718.9</v>
      </c>
      <c r="O2766" s="116">
        <v>2622.5</v>
      </c>
      <c r="P2766" s="116">
        <v>2718.9</v>
      </c>
      <c r="Q2766" s="116">
        <v>2646.1</v>
      </c>
      <c r="R2766">
        <v>464410</v>
      </c>
    </row>
    <row r="2767" spans="1:18" x14ac:dyDescent="0.25">
      <c r="A2767" s="163">
        <v>46077</v>
      </c>
      <c r="B2767">
        <v>2626</v>
      </c>
      <c r="C2767">
        <v>2582.4</v>
      </c>
      <c r="D2767">
        <v>2554</v>
      </c>
      <c r="E2767">
        <v>2625.1</v>
      </c>
      <c r="F2767">
        <v>2582.4</v>
      </c>
      <c r="G2767">
        <v>22107</v>
      </c>
      <c r="H2767" s="116"/>
      <c r="I2767" s="116"/>
      <c r="L2767" s="163">
        <v>46077</v>
      </c>
      <c r="M2767" s="116">
        <v>2583.6</v>
      </c>
      <c r="N2767" s="116">
        <v>2632</v>
      </c>
      <c r="O2767" s="116">
        <v>2553</v>
      </c>
      <c r="P2767" s="116">
        <v>2625</v>
      </c>
      <c r="Q2767" s="116">
        <v>2583.6</v>
      </c>
      <c r="R2767">
        <v>602613</v>
      </c>
    </row>
    <row r="2768" spans="1:18" x14ac:dyDescent="0.25">
      <c r="A2768" s="163">
        <v>46078</v>
      </c>
      <c r="B2768">
        <v>2620.35</v>
      </c>
      <c r="C2768">
        <v>2613.5</v>
      </c>
      <c r="D2768">
        <v>2571.5500000000002</v>
      </c>
      <c r="E2768">
        <v>2571.5500000000002</v>
      </c>
      <c r="F2768">
        <v>2613.5</v>
      </c>
      <c r="G2768">
        <v>8644</v>
      </c>
      <c r="H2768" s="116"/>
      <c r="I2768" s="116"/>
      <c r="L2768" s="163">
        <v>46078</v>
      </c>
      <c r="M2768" s="116">
        <v>2614.9</v>
      </c>
      <c r="N2768" s="116">
        <v>2619.3000000000002</v>
      </c>
      <c r="O2768" s="116">
        <v>2571.5</v>
      </c>
      <c r="P2768" s="116">
        <v>2594.1</v>
      </c>
      <c r="Q2768" s="116">
        <v>2614.9</v>
      </c>
      <c r="R2768">
        <v>377432</v>
      </c>
    </row>
    <row r="2769" spans="1:18" x14ac:dyDescent="0.25">
      <c r="A2769" s="163">
        <v>46079</v>
      </c>
      <c r="B2769">
        <v>2628</v>
      </c>
      <c r="C2769">
        <v>2617.25</v>
      </c>
      <c r="D2769">
        <v>2596</v>
      </c>
      <c r="E2769">
        <v>2620</v>
      </c>
      <c r="F2769">
        <v>2617.25</v>
      </c>
      <c r="G2769">
        <v>4427</v>
      </c>
      <c r="H2769" s="116"/>
      <c r="I2769" s="116"/>
      <c r="L2769" s="163">
        <v>46079</v>
      </c>
      <c r="M2769" s="116">
        <v>2617.1999999999998</v>
      </c>
      <c r="N2769" s="116">
        <v>2628.8</v>
      </c>
      <c r="O2769" s="116">
        <v>2595.3000000000002</v>
      </c>
      <c r="P2769" s="116">
        <v>2620</v>
      </c>
      <c r="Q2769" s="116">
        <v>2617.1999999999998</v>
      </c>
      <c r="R2769">
        <v>441973</v>
      </c>
    </row>
    <row r="2770" spans="1:18" x14ac:dyDescent="0.25">
      <c r="A2770" s="163">
        <v>46080</v>
      </c>
      <c r="B2770">
        <v>2607.3000000000002</v>
      </c>
      <c r="C2770">
        <v>2562.9</v>
      </c>
      <c r="D2770">
        <v>2555.0500000000002</v>
      </c>
      <c r="E2770">
        <v>2606.6999999999998</v>
      </c>
      <c r="F2770">
        <v>2562.9</v>
      </c>
      <c r="G2770">
        <v>8474</v>
      </c>
      <c r="H2770" s="116"/>
      <c r="I2770" s="116"/>
      <c r="L2770" s="163">
        <v>46080</v>
      </c>
      <c r="M2770" s="116">
        <v>2562.1999999999998</v>
      </c>
      <c r="N2770" s="116">
        <v>2615.1999999999998</v>
      </c>
      <c r="O2770" s="116">
        <v>2555</v>
      </c>
      <c r="P2770" s="116">
        <v>2601</v>
      </c>
      <c r="Q2770" s="116">
        <v>2562.1999999999998</v>
      </c>
      <c r="R2770">
        <v>655543</v>
      </c>
    </row>
    <row r="2771" spans="1:18" x14ac:dyDescent="0.25">
      <c r="A2771" s="163">
        <v>46083</v>
      </c>
      <c r="B2771">
        <v>2552.1</v>
      </c>
      <c r="C2771">
        <v>2537.5500000000002</v>
      </c>
      <c r="D2771">
        <v>2313.75</v>
      </c>
      <c r="E2771">
        <v>2313.75</v>
      </c>
      <c r="F2771">
        <v>2537.5500000000002</v>
      </c>
      <c r="G2771">
        <v>11561</v>
      </c>
      <c r="H2771" s="116"/>
      <c r="I2771" s="116"/>
      <c r="L2771" s="163">
        <v>46083</v>
      </c>
      <c r="M2771" s="116">
        <v>2537</v>
      </c>
      <c r="N2771" s="116">
        <v>2553</v>
      </c>
      <c r="O2771" s="116">
        <v>2474.9</v>
      </c>
      <c r="P2771" s="116">
        <v>2474.9</v>
      </c>
      <c r="Q2771" s="116">
        <v>2537</v>
      </c>
      <c r="R2771">
        <v>215252</v>
      </c>
    </row>
    <row r="2772" spans="1:18" x14ac:dyDescent="0.25">
      <c r="A2772" s="163">
        <v>46085</v>
      </c>
      <c r="B2772">
        <v>2542</v>
      </c>
      <c r="C2772">
        <v>2534.8000000000002</v>
      </c>
      <c r="D2772">
        <v>2480</v>
      </c>
      <c r="E2772">
        <v>2515.1999999999998</v>
      </c>
      <c r="F2772">
        <v>2534.8000000000002</v>
      </c>
      <c r="G2772">
        <v>10994</v>
      </c>
      <c r="H2772" s="116"/>
      <c r="I2772" s="116"/>
      <c r="L2772" s="163">
        <v>46085</v>
      </c>
      <c r="M2772" s="116">
        <v>2536.6</v>
      </c>
      <c r="N2772" s="116">
        <v>2542.1999999999998</v>
      </c>
      <c r="O2772" s="116">
        <v>2480.1999999999998</v>
      </c>
      <c r="P2772" s="116">
        <v>2524.8000000000002</v>
      </c>
      <c r="Q2772" s="116">
        <v>2536.6</v>
      </c>
      <c r="R2772">
        <v>378542</v>
      </c>
    </row>
    <row r="2773" spans="1:18" x14ac:dyDescent="0.25">
      <c r="A2773" s="163">
        <v>46086</v>
      </c>
      <c r="B2773">
        <v>2576.85</v>
      </c>
      <c r="C2773">
        <v>2568.4</v>
      </c>
      <c r="D2773">
        <v>2543.25</v>
      </c>
      <c r="E2773">
        <v>2569.35</v>
      </c>
      <c r="F2773">
        <v>2568.4</v>
      </c>
      <c r="G2773">
        <v>8496</v>
      </c>
      <c r="H2773" s="116"/>
      <c r="I2773" s="116"/>
      <c r="L2773" s="163">
        <v>46086</v>
      </c>
      <c r="M2773" s="116">
        <v>2563.1</v>
      </c>
      <c r="N2773" s="116">
        <v>2577.6999999999998</v>
      </c>
      <c r="O2773" s="116">
        <v>2541.1</v>
      </c>
      <c r="P2773" s="116">
        <v>2552</v>
      </c>
      <c r="Q2773" s="116">
        <v>2563.1</v>
      </c>
      <c r="R2773">
        <v>456733</v>
      </c>
    </row>
    <row r="2774" spans="1:18" x14ac:dyDescent="0.25">
      <c r="A2774" s="163">
        <v>46087</v>
      </c>
      <c r="B2774">
        <v>2648.9</v>
      </c>
      <c r="C2774">
        <v>2622.45</v>
      </c>
      <c r="D2774">
        <v>2567.9499999999998</v>
      </c>
      <c r="E2774">
        <v>2567.9499999999998</v>
      </c>
      <c r="F2774">
        <v>2622.45</v>
      </c>
      <c r="G2774">
        <v>186768</v>
      </c>
      <c r="H2774" s="116"/>
      <c r="I2774" s="116"/>
      <c r="L2774" s="163">
        <v>46087</v>
      </c>
      <c r="M2774" s="116">
        <v>2622.7</v>
      </c>
      <c r="N2774" s="116">
        <v>2649</v>
      </c>
      <c r="O2774" s="116">
        <v>2555.1</v>
      </c>
      <c r="P2774" s="116">
        <v>2563.1</v>
      </c>
      <c r="Q2774" s="116">
        <v>2622.7</v>
      </c>
      <c r="R2774">
        <v>371737</v>
      </c>
    </row>
    <row r="2775" spans="1:18" x14ac:dyDescent="0.25">
      <c r="A2775" s="163">
        <v>46090</v>
      </c>
      <c r="B2775">
        <v>2603</v>
      </c>
      <c r="C2775">
        <v>2552.4</v>
      </c>
      <c r="D2775">
        <v>2537.6</v>
      </c>
      <c r="E2775">
        <v>2603</v>
      </c>
      <c r="F2775">
        <v>2552.4</v>
      </c>
      <c r="G2775">
        <v>6473</v>
      </c>
      <c r="H2775" s="116"/>
      <c r="I2775" s="116"/>
      <c r="L2775" s="163">
        <v>46090</v>
      </c>
      <c r="M2775" s="116">
        <v>2552.4</v>
      </c>
      <c r="N2775" s="116">
        <v>2600</v>
      </c>
      <c r="O2775" s="116">
        <v>2535.9</v>
      </c>
      <c r="P2775" s="116">
        <v>2600</v>
      </c>
      <c r="Q2775" s="116">
        <v>2552.4</v>
      </c>
      <c r="R2775">
        <v>272202</v>
      </c>
    </row>
    <row r="2776" spans="1:18" x14ac:dyDescent="0.25">
      <c r="A2776" s="163">
        <v>46091</v>
      </c>
      <c r="B2776">
        <v>2605</v>
      </c>
      <c r="C2776">
        <v>2597.6999999999998</v>
      </c>
      <c r="D2776">
        <v>2557</v>
      </c>
      <c r="E2776">
        <v>2558.3000000000002</v>
      </c>
      <c r="F2776">
        <v>2597.6999999999998</v>
      </c>
      <c r="G2776">
        <v>8174</v>
      </c>
      <c r="H2776" s="116"/>
      <c r="I2776" s="116"/>
      <c r="L2776" s="163">
        <v>46091</v>
      </c>
      <c r="M2776" s="116">
        <v>2596.6</v>
      </c>
      <c r="N2776" s="116">
        <v>2605.5</v>
      </c>
      <c r="O2776" s="116">
        <v>2555.1</v>
      </c>
      <c r="P2776" s="116">
        <v>2577.3000000000002</v>
      </c>
      <c r="Q2776" s="116">
        <v>2596.6</v>
      </c>
      <c r="R2776">
        <v>246261</v>
      </c>
    </row>
    <row r="2777" spans="1:18" x14ac:dyDescent="0.25">
      <c r="A2777" s="163">
        <v>46092</v>
      </c>
      <c r="B2777">
        <v>2615.65</v>
      </c>
      <c r="C2777">
        <v>2487.1</v>
      </c>
      <c r="D2777">
        <v>2478.6</v>
      </c>
      <c r="E2777">
        <v>2615.65</v>
      </c>
      <c r="F2777">
        <v>2487.1</v>
      </c>
      <c r="G2777">
        <v>11674</v>
      </c>
      <c r="H2777" s="116"/>
      <c r="I2777" s="116"/>
      <c r="L2777" s="163">
        <v>46092</v>
      </c>
      <c r="M2777" s="116">
        <v>2488.6999999999998</v>
      </c>
      <c r="N2777" s="116">
        <v>2608.5</v>
      </c>
      <c r="O2777" s="116">
        <v>2475.5</v>
      </c>
      <c r="P2777" s="116">
        <v>2604.9</v>
      </c>
      <c r="Q2777" s="116">
        <v>2488.6999999999998</v>
      </c>
      <c r="R2777">
        <v>617038</v>
      </c>
    </row>
    <row r="2778" spans="1:18" x14ac:dyDescent="0.25">
      <c r="A2778" s="163">
        <v>46093</v>
      </c>
      <c r="B2778">
        <v>2637.15</v>
      </c>
      <c r="C2778">
        <v>2628.15</v>
      </c>
      <c r="D2778">
        <v>2448</v>
      </c>
      <c r="E2778">
        <v>2452.9499999999998</v>
      </c>
      <c r="F2778">
        <v>2628.15</v>
      </c>
      <c r="G2778">
        <v>46918</v>
      </c>
      <c r="H2778" s="116"/>
      <c r="I2778" s="116"/>
      <c r="L2778" s="163">
        <v>46093</v>
      </c>
      <c r="M2778" s="116">
        <v>2626.3</v>
      </c>
      <c r="N2778" s="116">
        <v>2636.8</v>
      </c>
      <c r="O2778" s="116">
        <v>2446.6</v>
      </c>
      <c r="P2778" s="116">
        <v>2475.1</v>
      </c>
      <c r="Q2778" s="116">
        <v>2626.3</v>
      </c>
      <c r="R2778">
        <v>1288113</v>
      </c>
    </row>
    <row r="2779" spans="1:18" x14ac:dyDescent="0.25">
      <c r="A2779" s="163">
        <v>46094</v>
      </c>
      <c r="B2779">
        <v>2620</v>
      </c>
      <c r="C2779">
        <v>2498.15</v>
      </c>
      <c r="D2779">
        <v>2492.75</v>
      </c>
      <c r="E2779">
        <v>2596.9499999999998</v>
      </c>
      <c r="F2779">
        <v>2498.15</v>
      </c>
      <c r="G2779">
        <v>16135</v>
      </c>
      <c r="H2779" s="116"/>
      <c r="I2779" s="116"/>
      <c r="L2779" s="163">
        <v>46094</v>
      </c>
      <c r="M2779" s="116">
        <v>2499.6999999999998</v>
      </c>
      <c r="N2779" s="116">
        <v>2623.5</v>
      </c>
      <c r="O2779" s="116">
        <v>2491.3000000000002</v>
      </c>
      <c r="P2779" s="116">
        <v>2609.9</v>
      </c>
      <c r="Q2779" s="116">
        <v>2499.6999999999998</v>
      </c>
      <c r="R2779">
        <v>649413</v>
      </c>
    </row>
    <row r="2780" spans="1:18" x14ac:dyDescent="0.25">
      <c r="A2780" s="163">
        <v>46097</v>
      </c>
      <c r="B2780">
        <v>2522.4</v>
      </c>
      <c r="C2780">
        <v>2447.4</v>
      </c>
      <c r="D2780">
        <v>2426.5500000000002</v>
      </c>
      <c r="E2780">
        <v>2470.65</v>
      </c>
      <c r="F2780">
        <v>2447.4</v>
      </c>
      <c r="G2780">
        <v>11142</v>
      </c>
      <c r="H2780" s="116"/>
      <c r="I2780" s="116"/>
      <c r="L2780" s="163">
        <v>46097</v>
      </c>
      <c r="M2780" s="116">
        <v>2449</v>
      </c>
      <c r="N2780" s="116">
        <v>2523.4</v>
      </c>
      <c r="O2780" s="116">
        <v>2425.9</v>
      </c>
      <c r="P2780" s="116">
        <v>2484.9</v>
      </c>
      <c r="Q2780" s="116">
        <v>2449</v>
      </c>
      <c r="R2780">
        <v>973496</v>
      </c>
    </row>
    <row r="2781" spans="1:18" x14ac:dyDescent="0.25">
      <c r="A2781" s="163">
        <v>46098</v>
      </c>
      <c r="B2781">
        <v>2508.9499999999998</v>
      </c>
      <c r="C2781">
        <v>2498.75</v>
      </c>
      <c r="D2781">
        <v>2438.75</v>
      </c>
      <c r="E2781">
        <v>2456.3000000000002</v>
      </c>
      <c r="F2781">
        <v>2498.75</v>
      </c>
      <c r="G2781">
        <v>24985</v>
      </c>
      <c r="H2781" s="116"/>
      <c r="I2781" s="116"/>
      <c r="L2781" s="163">
        <v>46098</v>
      </c>
      <c r="M2781" s="116">
        <v>2498</v>
      </c>
      <c r="N2781" s="116">
        <v>2508.5</v>
      </c>
      <c r="O2781" s="116">
        <v>2439.9</v>
      </c>
      <c r="P2781" s="116">
        <v>2449</v>
      </c>
      <c r="Q2781" s="116">
        <v>2498</v>
      </c>
      <c r="R2781">
        <v>786987</v>
      </c>
    </row>
    <row r="2782" spans="1:18" x14ac:dyDescent="0.25">
      <c r="A2782" s="163">
        <v>46099</v>
      </c>
      <c r="B2782">
        <v>2590</v>
      </c>
      <c r="C2782">
        <v>2568.1</v>
      </c>
      <c r="D2782">
        <v>2483.35</v>
      </c>
      <c r="E2782">
        <v>2490.0500000000002</v>
      </c>
      <c r="F2782">
        <v>2568.1</v>
      </c>
      <c r="G2782">
        <v>259484</v>
      </c>
      <c r="H2782" s="116"/>
      <c r="I2782" s="116"/>
      <c r="L2782" s="163">
        <v>46099</v>
      </c>
      <c r="M2782" s="116">
        <v>2569.4</v>
      </c>
      <c r="N2782" s="116">
        <v>2592</v>
      </c>
      <c r="O2782" s="116">
        <v>2482.5</v>
      </c>
      <c r="P2782" s="116">
        <v>2498</v>
      </c>
      <c r="Q2782" s="116">
        <v>2569.4</v>
      </c>
      <c r="R2782">
        <v>756135</v>
      </c>
    </row>
    <row r="2783" spans="1:18" x14ac:dyDescent="0.25">
      <c r="A2783" s="163">
        <v>46100</v>
      </c>
      <c r="B2783">
        <v>2537.25</v>
      </c>
      <c r="C2783">
        <v>2479.85</v>
      </c>
      <c r="D2783">
        <v>2469</v>
      </c>
      <c r="E2783">
        <v>2514.9499999999998</v>
      </c>
      <c r="F2783">
        <v>2479.85</v>
      </c>
      <c r="G2783">
        <v>9433</v>
      </c>
      <c r="H2783" s="116"/>
      <c r="I2783" s="116"/>
      <c r="L2783" s="163">
        <v>46100</v>
      </c>
      <c r="M2783" s="116">
        <v>2478.8000000000002</v>
      </c>
      <c r="N2783" s="116">
        <v>2547</v>
      </c>
      <c r="O2783" s="116">
        <v>2467.6</v>
      </c>
      <c r="P2783" s="116">
        <v>2505.3000000000002</v>
      </c>
      <c r="Q2783" s="116">
        <v>2478.8000000000002</v>
      </c>
      <c r="R2783">
        <v>513483</v>
      </c>
    </row>
    <row r="2784" spans="1:18" x14ac:dyDescent="0.25">
      <c r="A2784" s="163">
        <v>46101</v>
      </c>
      <c r="B2784">
        <v>2523.9</v>
      </c>
      <c r="C2784">
        <v>2454.5</v>
      </c>
      <c r="D2784">
        <v>2446.4</v>
      </c>
      <c r="E2784">
        <v>2489</v>
      </c>
      <c r="F2784">
        <v>2454.5</v>
      </c>
      <c r="G2784">
        <v>11737</v>
      </c>
      <c r="H2784" s="116"/>
      <c r="I2784" s="116"/>
      <c r="L2784" s="163">
        <v>46101</v>
      </c>
      <c r="M2784" s="116">
        <v>2454.5</v>
      </c>
      <c r="N2784" s="116">
        <v>2524.5</v>
      </c>
      <c r="O2784" s="116">
        <v>2445.3000000000002</v>
      </c>
      <c r="P2784" s="116">
        <v>2486</v>
      </c>
      <c r="Q2784" s="116">
        <v>2454.5</v>
      </c>
      <c r="R2784">
        <v>676836</v>
      </c>
    </row>
    <row r="2785" spans="1:18" x14ac:dyDescent="0.25">
      <c r="A2785" s="163">
        <v>46104</v>
      </c>
      <c r="B2785">
        <v>2440.4</v>
      </c>
      <c r="C2785">
        <v>2388.0500000000002</v>
      </c>
      <c r="D2785">
        <v>2380.1</v>
      </c>
      <c r="E2785">
        <v>2426.1</v>
      </c>
      <c r="F2785">
        <v>2388.0500000000002</v>
      </c>
      <c r="G2785">
        <v>10323</v>
      </c>
      <c r="H2785" s="116"/>
      <c r="I2785" s="116"/>
      <c r="L2785" s="163">
        <v>46104</v>
      </c>
      <c r="M2785" s="116">
        <v>2391.5</v>
      </c>
      <c r="N2785" s="116">
        <v>2443.1999999999998</v>
      </c>
      <c r="O2785" s="116">
        <v>2381</v>
      </c>
      <c r="P2785" s="116">
        <v>2440</v>
      </c>
      <c r="Q2785" s="116">
        <v>2391.5</v>
      </c>
      <c r="R2785">
        <v>687490</v>
      </c>
    </row>
    <row r="2786" spans="1:18" x14ac:dyDescent="0.25">
      <c r="A2786" s="163">
        <v>46105</v>
      </c>
      <c r="B2786">
        <v>2484.1</v>
      </c>
      <c r="C2786">
        <v>2470.3000000000002</v>
      </c>
      <c r="D2786">
        <v>2389</v>
      </c>
      <c r="E2786">
        <v>2484.1</v>
      </c>
      <c r="F2786">
        <v>2470.3000000000002</v>
      </c>
      <c r="G2786">
        <v>10423</v>
      </c>
      <c r="H2786" s="116"/>
      <c r="I2786" s="116"/>
      <c r="L2786" s="163">
        <v>46105</v>
      </c>
      <c r="M2786" s="116">
        <v>2471.6</v>
      </c>
      <c r="N2786" s="116">
        <v>2479.8000000000002</v>
      </c>
      <c r="O2786" s="116">
        <v>2386.9</v>
      </c>
      <c r="P2786" s="116">
        <v>2470</v>
      </c>
      <c r="Q2786" s="116">
        <v>2471.6</v>
      </c>
      <c r="R2786">
        <v>1285249</v>
      </c>
    </row>
    <row r="2787" spans="1:18" x14ac:dyDescent="0.25">
      <c r="A2787" s="163">
        <v>46106</v>
      </c>
      <c r="B2787">
        <v>2581.6999999999998</v>
      </c>
      <c r="C2787">
        <v>2568</v>
      </c>
      <c r="D2787">
        <v>2486.4</v>
      </c>
      <c r="E2787">
        <v>2525.3000000000002</v>
      </c>
      <c r="F2787">
        <v>2568</v>
      </c>
      <c r="G2787">
        <v>25266</v>
      </c>
      <c r="H2787" s="116"/>
      <c r="I2787" s="116"/>
      <c r="L2787" s="163">
        <v>46106</v>
      </c>
      <c r="M2787" s="116">
        <v>2568.1</v>
      </c>
      <c r="N2787" s="116">
        <v>2581.8000000000002</v>
      </c>
      <c r="O2787" s="116">
        <v>2484.8000000000002</v>
      </c>
      <c r="P2787" s="116">
        <v>2502</v>
      </c>
      <c r="Q2787" s="116">
        <v>2568.1</v>
      </c>
      <c r="R2787">
        <v>847207</v>
      </c>
    </row>
    <row r="2788" spans="1:18" x14ac:dyDescent="0.25">
      <c r="A2788" s="163">
        <v>46108</v>
      </c>
      <c r="B2788">
        <v>2553.1999999999998</v>
      </c>
      <c r="C2788">
        <v>2494.6</v>
      </c>
      <c r="D2788">
        <v>2484.1</v>
      </c>
      <c r="E2788">
        <v>2553.15</v>
      </c>
      <c r="F2788">
        <v>2494.6</v>
      </c>
      <c r="G2788">
        <v>8106</v>
      </c>
      <c r="H2788" s="116"/>
      <c r="I2788" s="116"/>
      <c r="L2788" s="163">
        <v>46108</v>
      </c>
      <c r="M2788" s="116">
        <v>2494.9</v>
      </c>
      <c r="N2788" s="116">
        <v>2564</v>
      </c>
      <c r="O2788" s="116">
        <v>2481.6</v>
      </c>
      <c r="P2788" s="116">
        <v>2564</v>
      </c>
      <c r="Q2788" s="116">
        <v>2494.9</v>
      </c>
      <c r="R2788">
        <v>599547</v>
      </c>
    </row>
    <row r="2789" spans="1:18" x14ac:dyDescent="0.25">
      <c r="A2789" s="163">
        <v>46111</v>
      </c>
      <c r="B2789">
        <v>2469.9499999999998</v>
      </c>
      <c r="C2789">
        <v>2437.1999999999998</v>
      </c>
      <c r="D2789">
        <v>2427</v>
      </c>
      <c r="E2789">
        <v>2469.9499999999998</v>
      </c>
      <c r="F2789">
        <v>2437.1999999999998</v>
      </c>
      <c r="G2789">
        <v>5932</v>
      </c>
      <c r="H2789" s="116"/>
      <c r="I2789" s="116"/>
      <c r="L2789" s="163">
        <v>46111</v>
      </c>
      <c r="M2789" s="116">
        <v>2438</v>
      </c>
      <c r="N2789" s="116">
        <v>2475</v>
      </c>
      <c r="O2789" s="116">
        <v>2425.1</v>
      </c>
      <c r="P2789" s="116">
        <v>2460</v>
      </c>
      <c r="Q2789" s="116">
        <v>2438</v>
      </c>
      <c r="R2789">
        <v>796377</v>
      </c>
    </row>
    <row r="2790" spans="1:18" x14ac:dyDescent="0.25">
      <c r="A2790" s="163">
        <v>46113</v>
      </c>
      <c r="B2790">
        <v>2586</v>
      </c>
      <c r="C2790">
        <v>2555.4</v>
      </c>
      <c r="D2790">
        <v>2461.1999999999998</v>
      </c>
      <c r="E2790">
        <v>2461.1999999999998</v>
      </c>
      <c r="F2790">
        <v>2555.4</v>
      </c>
      <c r="G2790">
        <v>11171</v>
      </c>
      <c r="H2790" s="116"/>
      <c r="I2790" s="116"/>
      <c r="L2790" s="163">
        <v>46113</v>
      </c>
      <c r="M2790" s="116">
        <v>2555.1999999999998</v>
      </c>
      <c r="N2790" s="116">
        <v>2587.9</v>
      </c>
      <c r="O2790" s="116">
        <v>2464.1</v>
      </c>
      <c r="P2790" s="116">
        <v>2500.4</v>
      </c>
      <c r="Q2790" s="116">
        <v>2555.1999999999998</v>
      </c>
      <c r="R2790">
        <v>656244</v>
      </c>
    </row>
    <row r="2791" spans="1:18" x14ac:dyDescent="0.25">
      <c r="A2791" s="163">
        <v>46114</v>
      </c>
      <c r="B2791">
        <v>2478.6</v>
      </c>
      <c r="C2791">
        <v>2415.35</v>
      </c>
      <c r="D2791">
        <v>2397</v>
      </c>
      <c r="E2791">
        <v>2461.25</v>
      </c>
      <c r="F2791">
        <v>2415.35</v>
      </c>
      <c r="G2791">
        <v>23109</v>
      </c>
      <c r="H2791" s="116"/>
      <c r="I2791" s="116"/>
      <c r="L2791" s="163">
        <v>46114</v>
      </c>
      <c r="M2791" s="116">
        <v>2416.1</v>
      </c>
      <c r="N2791" s="116">
        <v>2485</v>
      </c>
      <c r="O2791" s="116">
        <v>2395.3000000000002</v>
      </c>
      <c r="P2791" s="116">
        <v>2485</v>
      </c>
      <c r="Q2791" s="116">
        <v>2416.1</v>
      </c>
      <c r="R2791">
        <v>715256</v>
      </c>
    </row>
    <row r="2792" spans="1:18" x14ac:dyDescent="0.25">
      <c r="A2792" s="163">
        <v>46118</v>
      </c>
      <c r="B2792">
        <v>2444</v>
      </c>
      <c r="C2792">
        <v>2432.6</v>
      </c>
      <c r="D2792">
        <v>2356</v>
      </c>
      <c r="E2792">
        <v>2427</v>
      </c>
      <c r="F2792">
        <v>2432.6</v>
      </c>
      <c r="G2792">
        <v>14896</v>
      </c>
      <c r="H2792" s="116"/>
      <c r="I2792" s="116"/>
      <c r="L2792" s="163">
        <v>46118</v>
      </c>
      <c r="M2792" s="116">
        <v>2433.8000000000002</v>
      </c>
      <c r="N2792" s="116">
        <v>2443.6</v>
      </c>
      <c r="O2792" s="116">
        <v>2355</v>
      </c>
      <c r="P2792" s="116">
        <v>2425</v>
      </c>
      <c r="Q2792" s="116">
        <v>2433.8000000000002</v>
      </c>
      <c r="R2792">
        <v>1106561</v>
      </c>
    </row>
    <row r="2793" spans="1:18" x14ac:dyDescent="0.25">
      <c r="A2793" s="163">
        <v>46119</v>
      </c>
      <c r="B2793">
        <v>2431.5</v>
      </c>
      <c r="C2793">
        <v>2396.0500000000002</v>
      </c>
      <c r="D2793">
        <v>2362</v>
      </c>
      <c r="E2793">
        <v>2429.5500000000002</v>
      </c>
      <c r="F2793">
        <v>2396.0500000000002</v>
      </c>
      <c r="G2793">
        <v>10455</v>
      </c>
      <c r="H2793" s="116"/>
      <c r="I2793" s="116"/>
      <c r="L2793" s="163">
        <v>46119</v>
      </c>
      <c r="M2793" s="116">
        <v>2396</v>
      </c>
      <c r="N2793" s="116">
        <v>2433</v>
      </c>
      <c r="O2793" s="116">
        <v>2361</v>
      </c>
      <c r="P2793" s="116">
        <v>2418</v>
      </c>
      <c r="Q2793" s="116">
        <v>2396</v>
      </c>
      <c r="R2793">
        <v>1004701</v>
      </c>
    </row>
    <row r="2794" spans="1:18" x14ac:dyDescent="0.25">
      <c r="A2794" s="163">
        <v>46120</v>
      </c>
      <c r="B2794">
        <v>2515.85</v>
      </c>
      <c r="C2794">
        <v>2436.3000000000002</v>
      </c>
      <c r="D2794">
        <v>2421</v>
      </c>
      <c r="E2794">
        <v>2515.85</v>
      </c>
      <c r="F2794">
        <v>2436.3000000000002</v>
      </c>
      <c r="G2794">
        <v>23347</v>
      </c>
      <c r="H2794" s="116"/>
      <c r="I2794" s="116"/>
      <c r="L2794" s="163">
        <v>46120</v>
      </c>
      <c r="M2794" s="116">
        <v>2435.1</v>
      </c>
      <c r="N2794" s="116">
        <v>2506</v>
      </c>
      <c r="O2794" s="116">
        <v>2420.1999999999998</v>
      </c>
      <c r="P2794" s="116">
        <v>2500</v>
      </c>
      <c r="Q2794" s="116">
        <v>2435.1</v>
      </c>
      <c r="R2794">
        <v>894536</v>
      </c>
    </row>
    <row r="2795" spans="1:18" x14ac:dyDescent="0.25">
      <c r="A2795" s="163">
        <v>46121</v>
      </c>
      <c r="B2795">
        <v>2451.3000000000002</v>
      </c>
      <c r="C2795">
        <v>2399.9</v>
      </c>
      <c r="D2795">
        <v>2382</v>
      </c>
      <c r="E2795">
        <v>2439.35</v>
      </c>
      <c r="F2795">
        <v>2399.9</v>
      </c>
      <c r="G2795">
        <v>18862</v>
      </c>
      <c r="H2795" s="116"/>
      <c r="I2795" s="116"/>
      <c r="L2795" s="163">
        <v>46121</v>
      </c>
      <c r="M2795" s="116">
        <v>2399.8000000000002</v>
      </c>
      <c r="N2795" s="116">
        <v>2451</v>
      </c>
      <c r="O2795" s="116">
        <v>2381.3000000000002</v>
      </c>
      <c r="P2795" s="116">
        <v>2435.1</v>
      </c>
      <c r="Q2795" s="116">
        <v>2399.8000000000002</v>
      </c>
      <c r="R2795">
        <v>764432</v>
      </c>
    </row>
    <row r="2796" spans="1:18" x14ac:dyDescent="0.25">
      <c r="A2796" s="163">
        <v>46122</v>
      </c>
      <c r="B2796">
        <v>2479</v>
      </c>
      <c r="C2796">
        <v>2471.15</v>
      </c>
      <c r="D2796">
        <v>2399.9499999999998</v>
      </c>
      <c r="E2796">
        <v>2399.9499999999998</v>
      </c>
      <c r="F2796">
        <v>2471.15</v>
      </c>
      <c r="G2796">
        <v>22043</v>
      </c>
      <c r="H2796" s="116"/>
      <c r="I2796" s="116"/>
      <c r="L2796" s="163">
        <v>46122</v>
      </c>
      <c r="M2796" s="116">
        <v>2473.4</v>
      </c>
      <c r="N2796" s="116">
        <v>2479.4</v>
      </c>
      <c r="O2796" s="116">
        <v>2404.9</v>
      </c>
      <c r="P2796" s="116">
        <v>2406.4</v>
      </c>
      <c r="Q2796" s="116">
        <v>2473.4</v>
      </c>
      <c r="R2796">
        <v>766761</v>
      </c>
    </row>
    <row r="2797" spans="1:18" x14ac:dyDescent="0.25">
      <c r="A2797" s="163">
        <v>46125</v>
      </c>
      <c r="B2797">
        <v>2477.1999999999998</v>
      </c>
      <c r="C2797">
        <v>2445.0500000000002</v>
      </c>
      <c r="D2797">
        <v>2371.8000000000002</v>
      </c>
      <c r="E2797">
        <v>2422.9</v>
      </c>
      <c r="F2797">
        <v>2445.0500000000002</v>
      </c>
      <c r="G2797">
        <v>14386</v>
      </c>
      <c r="H2797" s="116"/>
      <c r="I2797" s="116"/>
      <c r="L2797" s="163">
        <v>46125</v>
      </c>
      <c r="M2797" s="116">
        <v>2443.1999999999998</v>
      </c>
      <c r="N2797" s="116">
        <v>2479.6</v>
      </c>
      <c r="O2797" s="116">
        <v>2371.5</v>
      </c>
      <c r="P2797" s="116">
        <v>2420</v>
      </c>
      <c r="Q2797" s="116">
        <v>2443.1999999999998</v>
      </c>
      <c r="R2797">
        <v>688170</v>
      </c>
    </row>
    <row r="2798" spans="1:18" x14ac:dyDescent="0.25">
      <c r="A2798" s="163">
        <v>46127</v>
      </c>
      <c r="B2798">
        <v>2508.9499999999998</v>
      </c>
      <c r="C2798">
        <v>2498.4499999999998</v>
      </c>
      <c r="D2798">
        <v>2455.15</v>
      </c>
      <c r="E2798">
        <v>2455.15</v>
      </c>
      <c r="F2798">
        <v>2498.4499999999998</v>
      </c>
      <c r="G2798">
        <v>21137</v>
      </c>
      <c r="H2798" s="116"/>
      <c r="I2798" s="116"/>
      <c r="L2798" s="163">
        <v>46127</v>
      </c>
      <c r="M2798" s="116">
        <v>2500.5</v>
      </c>
      <c r="N2798" s="116">
        <v>2509.5</v>
      </c>
      <c r="O2798" s="116">
        <v>2457</v>
      </c>
      <c r="P2798" s="116">
        <v>2475</v>
      </c>
      <c r="Q2798" s="116">
        <v>2500.5</v>
      </c>
      <c r="R2798">
        <v>551458</v>
      </c>
    </row>
    <row r="2799" spans="1:18" x14ac:dyDescent="0.25">
      <c r="A2799" s="163">
        <v>46128</v>
      </c>
      <c r="B2799">
        <v>2520.65</v>
      </c>
      <c r="C2799">
        <v>2503.0500000000002</v>
      </c>
      <c r="D2799">
        <v>2480.4499999999998</v>
      </c>
      <c r="E2799">
        <v>2519.9499999999998</v>
      </c>
      <c r="F2799">
        <v>2503.0500000000002</v>
      </c>
      <c r="G2799">
        <v>7266</v>
      </c>
      <c r="H2799" s="116"/>
      <c r="I2799" s="116"/>
      <c r="L2799" s="163">
        <v>46128</v>
      </c>
      <c r="M2799" s="116">
        <v>2504</v>
      </c>
      <c r="N2799" s="116">
        <v>2521.6999999999998</v>
      </c>
      <c r="O2799" s="116">
        <v>2480</v>
      </c>
      <c r="P2799" s="116">
        <v>2512</v>
      </c>
      <c r="Q2799" s="116">
        <v>2504</v>
      </c>
      <c r="R2799">
        <v>238499</v>
      </c>
    </row>
    <row r="2800" spans="1:18" x14ac:dyDescent="0.25">
      <c r="A2800" s="163">
        <v>46129</v>
      </c>
      <c r="B2800">
        <v>2525.6</v>
      </c>
      <c r="C2800">
        <v>2493.65</v>
      </c>
      <c r="D2800">
        <v>2490</v>
      </c>
      <c r="E2800">
        <v>2519.1</v>
      </c>
      <c r="F2800">
        <v>2493.65</v>
      </c>
      <c r="G2800">
        <v>11789</v>
      </c>
      <c r="H2800" s="116"/>
      <c r="I2800" s="116"/>
      <c r="L2800" s="163">
        <v>46129</v>
      </c>
      <c r="M2800" s="116">
        <v>2494.5</v>
      </c>
      <c r="N2800" s="116">
        <v>2525</v>
      </c>
      <c r="O2800" s="116">
        <v>2488.5</v>
      </c>
      <c r="P2800" s="116">
        <v>2508.5</v>
      </c>
      <c r="Q2800" s="116">
        <v>2494.5</v>
      </c>
      <c r="R2800">
        <v>277954</v>
      </c>
    </row>
    <row r="2801" spans="1:18" x14ac:dyDescent="0.25">
      <c r="A2801" s="163">
        <v>46132</v>
      </c>
      <c r="B2801">
        <v>2548.5500000000002</v>
      </c>
      <c r="C2801">
        <v>2464.4</v>
      </c>
      <c r="D2801">
        <v>2457.5500000000002</v>
      </c>
      <c r="E2801">
        <v>2548.5500000000002</v>
      </c>
      <c r="F2801">
        <v>2464.4</v>
      </c>
      <c r="G2801">
        <v>5383</v>
      </c>
      <c r="H2801" s="116"/>
      <c r="I2801" s="116"/>
      <c r="L2801" s="163">
        <v>46132</v>
      </c>
      <c r="M2801" s="116">
        <v>2465.1</v>
      </c>
      <c r="N2801" s="116">
        <v>2510</v>
      </c>
      <c r="O2801" s="116">
        <v>2456.1999999999998</v>
      </c>
      <c r="P2801" s="116">
        <v>2510</v>
      </c>
      <c r="Q2801" s="116">
        <v>2465.1</v>
      </c>
      <c r="R2801">
        <v>349689</v>
      </c>
    </row>
    <row r="2802" spans="1:18" x14ac:dyDescent="0.25">
      <c r="A2802" s="163">
        <v>46133</v>
      </c>
      <c r="B2802">
        <v>2499.25</v>
      </c>
      <c r="C2802">
        <v>2474.0500000000002</v>
      </c>
      <c r="D2802">
        <v>2467.4499999999998</v>
      </c>
      <c r="E2802">
        <v>2474.85</v>
      </c>
      <c r="F2802">
        <v>2474.0500000000002</v>
      </c>
      <c r="G2802">
        <v>3699</v>
      </c>
      <c r="H2802" s="116"/>
      <c r="I2802" s="116"/>
      <c r="L2802" s="163">
        <v>46133</v>
      </c>
      <c r="M2802" s="116">
        <v>2471</v>
      </c>
      <c r="N2802" s="116">
        <v>2499.9</v>
      </c>
      <c r="O2802" s="116">
        <v>2463.6</v>
      </c>
      <c r="P2802" s="116">
        <v>2471.8000000000002</v>
      </c>
      <c r="Q2802" s="116">
        <v>2471</v>
      </c>
      <c r="R2802">
        <v>460567</v>
      </c>
    </row>
    <row r="2803" spans="1:18" x14ac:dyDescent="0.25">
      <c r="A2803" s="163">
        <v>46134</v>
      </c>
      <c r="B2803">
        <v>2506.75</v>
      </c>
      <c r="C2803">
        <v>2493.1</v>
      </c>
      <c r="D2803">
        <v>2453</v>
      </c>
      <c r="E2803">
        <v>2470</v>
      </c>
      <c r="F2803">
        <v>2493.1</v>
      </c>
      <c r="G2803">
        <v>90393</v>
      </c>
      <c r="H2803" s="116"/>
      <c r="I2803" s="116"/>
      <c r="L2803" s="163">
        <v>46134</v>
      </c>
      <c r="M2803" s="116">
        <v>2492.8000000000002</v>
      </c>
      <c r="N2803" s="116">
        <v>2507</v>
      </c>
      <c r="O2803" s="116">
        <v>2452</v>
      </c>
      <c r="P2803" s="116">
        <v>2470</v>
      </c>
      <c r="Q2803" s="116">
        <v>2492.8000000000002</v>
      </c>
      <c r="R2803">
        <v>326961</v>
      </c>
    </row>
    <row r="2804" spans="1:18" x14ac:dyDescent="0.25">
      <c r="A2804" s="163">
        <v>46135</v>
      </c>
      <c r="B2804">
        <v>2549.0500000000002</v>
      </c>
      <c r="C2804">
        <v>2541.9499999999998</v>
      </c>
      <c r="D2804">
        <v>2467.1999999999998</v>
      </c>
      <c r="E2804">
        <v>2493.1</v>
      </c>
      <c r="F2804">
        <v>2541.9499999999998</v>
      </c>
      <c r="G2804">
        <v>37045</v>
      </c>
      <c r="H2804" s="116"/>
      <c r="I2804" s="116"/>
      <c r="L2804" s="163">
        <v>46135</v>
      </c>
      <c r="M2804" s="116">
        <v>2542.4</v>
      </c>
      <c r="N2804" s="116">
        <v>2549.9</v>
      </c>
      <c r="O2804" s="116">
        <v>2466</v>
      </c>
      <c r="P2804" s="116">
        <v>2484.3000000000002</v>
      </c>
      <c r="Q2804" s="116">
        <v>2542.4</v>
      </c>
      <c r="R2804">
        <v>950680</v>
      </c>
    </row>
    <row r="2805" spans="1:18" x14ac:dyDescent="0.25">
      <c r="A2805" s="163">
        <v>46136</v>
      </c>
      <c r="B2805">
        <v>2563.4</v>
      </c>
      <c r="C2805">
        <v>2493.9</v>
      </c>
      <c r="D2805">
        <v>2473.1</v>
      </c>
      <c r="E2805">
        <v>2561.65</v>
      </c>
      <c r="F2805">
        <v>2493.9</v>
      </c>
      <c r="G2805">
        <v>17231</v>
      </c>
      <c r="H2805" s="116"/>
      <c r="I2805" s="116"/>
      <c r="L2805" s="163">
        <v>46136</v>
      </c>
      <c r="M2805" s="116">
        <v>2493.6</v>
      </c>
      <c r="N2805" s="116">
        <v>2563.6999999999998</v>
      </c>
      <c r="O2805" s="116">
        <v>2472.1999999999998</v>
      </c>
      <c r="P2805" s="116">
        <v>2559</v>
      </c>
      <c r="Q2805" s="116">
        <v>2493.6</v>
      </c>
      <c r="R2805">
        <v>411464</v>
      </c>
    </row>
    <row r="2806" spans="1:18" x14ac:dyDescent="0.25">
      <c r="A2806" s="163">
        <v>46139</v>
      </c>
      <c r="B2806">
        <v>2549</v>
      </c>
      <c r="C2806">
        <v>2508</v>
      </c>
      <c r="D2806">
        <v>2495.4499999999998</v>
      </c>
      <c r="E2806">
        <v>2504.25</v>
      </c>
      <c r="F2806">
        <v>2508</v>
      </c>
      <c r="G2806">
        <v>13232</v>
      </c>
      <c r="H2806" s="116"/>
      <c r="I2806" s="116"/>
      <c r="L2806" s="163">
        <v>46139</v>
      </c>
      <c r="M2806" s="116">
        <v>2508.1999999999998</v>
      </c>
      <c r="N2806" s="116">
        <v>2549</v>
      </c>
      <c r="O2806" s="116">
        <v>2496.6999999999998</v>
      </c>
      <c r="P2806" s="116">
        <v>2516.8000000000002</v>
      </c>
      <c r="Q2806" s="116">
        <v>2508.1999999999998</v>
      </c>
      <c r="R2806">
        <v>341589</v>
      </c>
    </row>
    <row r="2807" spans="1:18" x14ac:dyDescent="0.25">
      <c r="A2807" s="163">
        <v>46140</v>
      </c>
      <c r="B2807">
        <v>2543.9</v>
      </c>
      <c r="C2807">
        <v>2532.8000000000002</v>
      </c>
      <c r="D2807">
        <v>2486.65</v>
      </c>
      <c r="E2807">
        <v>2510</v>
      </c>
      <c r="F2807">
        <v>2532.8000000000002</v>
      </c>
      <c r="G2807">
        <v>9099</v>
      </c>
      <c r="H2807" s="116"/>
      <c r="I2807" s="116"/>
      <c r="L2807" s="163">
        <v>46140</v>
      </c>
      <c r="M2807" s="116">
        <v>2532.8000000000002</v>
      </c>
      <c r="N2807" s="116">
        <v>2544.8000000000002</v>
      </c>
      <c r="O2807" s="116">
        <v>2484.4</v>
      </c>
      <c r="P2807" s="116">
        <v>2508.1999999999998</v>
      </c>
      <c r="Q2807" s="116">
        <v>2532.8000000000002</v>
      </c>
      <c r="R2807">
        <v>306944</v>
      </c>
    </row>
    <row r="2808" spans="1:18" x14ac:dyDescent="0.25">
      <c r="A2808" s="163">
        <v>46141</v>
      </c>
      <c r="B2808">
        <v>2602.8000000000002</v>
      </c>
      <c r="C2808">
        <v>2543.1999999999998</v>
      </c>
      <c r="D2808">
        <v>2538.5500000000002</v>
      </c>
      <c r="E2808">
        <v>2544.9</v>
      </c>
      <c r="F2808">
        <v>2543.1999999999998</v>
      </c>
      <c r="G2808">
        <v>14897</v>
      </c>
      <c r="H2808" s="116"/>
      <c r="I2808" s="116"/>
      <c r="L2808" s="163">
        <v>46141</v>
      </c>
      <c r="M2808" s="116">
        <v>2543.6</v>
      </c>
      <c r="N2808" s="116">
        <v>2604</v>
      </c>
      <c r="O2808" s="116">
        <v>2538.3000000000002</v>
      </c>
      <c r="P2808" s="116">
        <v>2551</v>
      </c>
      <c r="Q2808" s="116">
        <v>2543.6</v>
      </c>
      <c r="R2808">
        <v>350550</v>
      </c>
    </row>
    <row r="2809" spans="1:18" x14ac:dyDescent="0.25">
      <c r="A2809" s="163">
        <v>46142</v>
      </c>
      <c r="B2809">
        <v>2566.8000000000002</v>
      </c>
      <c r="C2809">
        <v>2519.1999999999998</v>
      </c>
      <c r="D2809">
        <v>2490</v>
      </c>
      <c r="E2809">
        <v>2566.8000000000002</v>
      </c>
      <c r="F2809">
        <v>2519.1999999999998</v>
      </c>
      <c r="G2809">
        <v>5970</v>
      </c>
      <c r="H2809" s="116"/>
      <c r="I2809" s="116"/>
      <c r="L2809" s="163">
        <v>46142</v>
      </c>
      <c r="M2809" s="116">
        <v>2518.6</v>
      </c>
      <c r="N2809" s="116">
        <v>2543.5</v>
      </c>
      <c r="O2809" s="116">
        <v>2488.9</v>
      </c>
      <c r="P2809" s="116">
        <v>2543.5</v>
      </c>
      <c r="Q2809" s="116">
        <v>2518.6</v>
      </c>
      <c r="R2809">
        <v>413405</v>
      </c>
    </row>
    <row r="2810" spans="1:18" x14ac:dyDescent="0.25">
      <c r="A2810" s="163">
        <v>46146</v>
      </c>
      <c r="B2810">
        <v>2565.75</v>
      </c>
      <c r="C2810">
        <v>2551.4</v>
      </c>
      <c r="D2810">
        <v>2520</v>
      </c>
      <c r="E2810">
        <v>2524.9</v>
      </c>
      <c r="F2810">
        <v>2551.4</v>
      </c>
      <c r="G2810">
        <v>52074</v>
      </c>
      <c r="H2810" s="116"/>
      <c r="I2810" s="116"/>
      <c r="L2810" s="163">
        <v>46146</v>
      </c>
      <c r="M2810" s="116">
        <v>2551.4</v>
      </c>
      <c r="N2810" s="116">
        <v>2565</v>
      </c>
      <c r="O2810" s="116">
        <v>2520</v>
      </c>
      <c r="P2810" s="116">
        <v>2520.4</v>
      </c>
      <c r="Q2810" s="116">
        <v>2551.4</v>
      </c>
      <c r="R2810">
        <v>280967</v>
      </c>
    </row>
    <row r="2811" spans="1:18" x14ac:dyDescent="0.25">
      <c r="A2811" s="163">
        <v>46147</v>
      </c>
      <c r="B2811">
        <v>2566.9</v>
      </c>
      <c r="C2811">
        <v>2527.6</v>
      </c>
      <c r="D2811">
        <v>2495</v>
      </c>
      <c r="E2811">
        <v>2546.9</v>
      </c>
      <c r="F2811">
        <v>2527.6</v>
      </c>
      <c r="G2811">
        <v>94905</v>
      </c>
      <c r="H2811" s="116"/>
      <c r="I2811" s="116"/>
      <c r="L2811" s="163">
        <v>46147</v>
      </c>
      <c r="M2811" s="116">
        <v>2522.8000000000002</v>
      </c>
      <c r="N2811" s="116">
        <v>2567.8000000000002</v>
      </c>
      <c r="O2811" s="116">
        <v>2495</v>
      </c>
      <c r="P2811" s="116">
        <v>2553</v>
      </c>
      <c r="Q2811" s="116">
        <v>2522.8000000000002</v>
      </c>
      <c r="R2811">
        <v>554217</v>
      </c>
    </row>
    <row r="2812" spans="1:18" x14ac:dyDescent="0.25">
      <c r="A2812" s="163">
        <v>46148</v>
      </c>
      <c r="B2812">
        <v>2760</v>
      </c>
      <c r="C2812">
        <v>2719.4</v>
      </c>
      <c r="D2812">
        <v>2585</v>
      </c>
      <c r="E2812">
        <v>2604.9499999999998</v>
      </c>
      <c r="F2812">
        <v>2719.4</v>
      </c>
      <c r="G2812">
        <v>198593</v>
      </c>
      <c r="H2812" s="116"/>
      <c r="I2812" s="116"/>
      <c r="L2812" s="163">
        <v>46148</v>
      </c>
      <c r="M2812" s="116">
        <v>2719.6</v>
      </c>
      <c r="N2812" s="116">
        <v>2762</v>
      </c>
      <c r="O2812" s="116">
        <v>2582.1999999999998</v>
      </c>
      <c r="P2812" s="116">
        <v>2605</v>
      </c>
      <c r="Q2812" s="116">
        <v>2719.6</v>
      </c>
      <c r="R2812">
        <v>4206668</v>
      </c>
    </row>
    <row r="2813" spans="1:18" x14ac:dyDescent="0.25">
      <c r="A2813" s="163">
        <v>46149</v>
      </c>
      <c r="B2813">
        <v>2781.15</v>
      </c>
      <c r="C2813">
        <v>2771.9</v>
      </c>
      <c r="D2813">
        <v>2659.5</v>
      </c>
      <c r="E2813">
        <v>2729.55</v>
      </c>
      <c r="F2813">
        <v>2771.9</v>
      </c>
      <c r="G2813">
        <v>33941</v>
      </c>
      <c r="H2813" s="116"/>
      <c r="I2813" s="116"/>
      <c r="L2813" s="163">
        <v>46149</v>
      </c>
      <c r="M2813" s="116">
        <v>2771.3</v>
      </c>
      <c r="N2813" s="116">
        <v>2780</v>
      </c>
      <c r="O2813" s="116">
        <v>2655</v>
      </c>
      <c r="P2813" s="116">
        <v>2714.9</v>
      </c>
      <c r="Q2813" s="116">
        <v>2771.3</v>
      </c>
      <c r="R2813">
        <v>796612</v>
      </c>
    </row>
    <row r="2814" spans="1:18" x14ac:dyDescent="0.25">
      <c r="A2814" s="163">
        <v>46150</v>
      </c>
      <c r="B2814">
        <v>2818.95</v>
      </c>
      <c r="C2814">
        <v>2780.75</v>
      </c>
      <c r="D2814">
        <v>2769.95</v>
      </c>
      <c r="E2814">
        <v>2770</v>
      </c>
      <c r="F2814">
        <v>2780.75</v>
      </c>
      <c r="G2814">
        <v>29258</v>
      </c>
      <c r="H2814" s="116"/>
      <c r="I2814" s="116"/>
      <c r="L2814" s="163">
        <v>46150</v>
      </c>
      <c r="M2814" s="116">
        <v>2780.8</v>
      </c>
      <c r="N2814" s="116">
        <v>2819.3</v>
      </c>
      <c r="O2814" s="116">
        <v>2770</v>
      </c>
      <c r="P2814" s="116">
        <v>2775.4</v>
      </c>
      <c r="Q2814" s="116">
        <v>2780.8</v>
      </c>
      <c r="R2814">
        <v>516387</v>
      </c>
    </row>
    <row r="2815" spans="1:18" x14ac:dyDescent="0.25">
      <c r="A2815" s="163">
        <v>46153</v>
      </c>
      <c r="B2815">
        <v>2830.5</v>
      </c>
      <c r="C2815">
        <v>2798.45</v>
      </c>
      <c r="D2815">
        <v>2736.1</v>
      </c>
      <c r="E2815">
        <v>2779.95</v>
      </c>
      <c r="F2815">
        <v>2798.45</v>
      </c>
      <c r="G2815">
        <v>17437</v>
      </c>
      <c r="H2815" s="116"/>
      <c r="I2815" s="116"/>
      <c r="L2815" s="163">
        <v>46153</v>
      </c>
      <c r="M2815" s="116">
        <v>2798.5</v>
      </c>
      <c r="N2815" s="116">
        <v>2832.1</v>
      </c>
      <c r="O2815" s="116">
        <v>2739.6</v>
      </c>
      <c r="P2815" s="116">
        <v>2777</v>
      </c>
      <c r="Q2815" s="116">
        <v>2798.5</v>
      </c>
      <c r="R2815">
        <v>596821</v>
      </c>
    </row>
    <row r="2816" spans="1:18" x14ac:dyDescent="0.25">
      <c r="A2816" s="163">
        <v>46154</v>
      </c>
      <c r="B2816">
        <v>2799.5</v>
      </c>
      <c r="C2816">
        <v>2721.25</v>
      </c>
      <c r="D2816">
        <v>2715.05</v>
      </c>
      <c r="E2816">
        <v>2780.15</v>
      </c>
      <c r="F2816">
        <v>2721.25</v>
      </c>
      <c r="G2816">
        <v>135395</v>
      </c>
      <c r="H2816" s="116"/>
      <c r="I2816" s="116"/>
      <c r="L2816" s="163">
        <v>46154</v>
      </c>
      <c r="M2816" s="116">
        <v>2721.2</v>
      </c>
      <c r="N2816" s="116">
        <v>2800</v>
      </c>
      <c r="O2816" s="116">
        <v>2714.1</v>
      </c>
      <c r="P2816" s="116">
        <v>2785</v>
      </c>
      <c r="Q2816" s="116">
        <v>2721.2</v>
      </c>
      <c r="R2816">
        <v>475622</v>
      </c>
    </row>
    <row r="2817" spans="1:18" x14ac:dyDescent="0.25">
      <c r="A2817" s="163">
        <v>46155</v>
      </c>
      <c r="B2817">
        <v>2778.5</v>
      </c>
      <c r="C2817">
        <v>2694.1</v>
      </c>
      <c r="D2817">
        <v>2689.25</v>
      </c>
      <c r="E2817">
        <v>2778.5</v>
      </c>
      <c r="F2817">
        <v>2694.1</v>
      </c>
      <c r="G2817">
        <v>378873</v>
      </c>
      <c r="H2817" s="116"/>
      <c r="I2817" s="116"/>
      <c r="L2817" s="163">
        <v>46155</v>
      </c>
      <c r="M2817" s="116">
        <v>2695.2</v>
      </c>
      <c r="N2817" s="116">
        <v>2756.3</v>
      </c>
      <c r="O2817" s="116">
        <v>2688.8</v>
      </c>
      <c r="P2817" s="116">
        <v>2738.9</v>
      </c>
      <c r="Q2817" s="116">
        <v>2695.2</v>
      </c>
      <c r="R2817">
        <v>642859</v>
      </c>
    </row>
    <row r="2818" spans="1:18" x14ac:dyDescent="0.25">
      <c r="A2818" s="163">
        <v>46156</v>
      </c>
      <c r="B2818">
        <v>2739</v>
      </c>
      <c r="C2818">
        <v>2730.2</v>
      </c>
      <c r="D2818">
        <v>2667.1</v>
      </c>
      <c r="E2818">
        <v>2719.75</v>
      </c>
      <c r="F2818">
        <v>2730.2</v>
      </c>
      <c r="G2818">
        <v>7394</v>
      </c>
      <c r="H2818" s="116"/>
      <c r="I2818" s="116"/>
      <c r="L2818" s="163">
        <v>46156</v>
      </c>
      <c r="M2818" s="116">
        <v>2729.4</v>
      </c>
      <c r="N2818" s="116">
        <v>2739.9</v>
      </c>
      <c r="O2818" s="116">
        <v>2664.9</v>
      </c>
      <c r="P2818" s="116">
        <v>2714</v>
      </c>
      <c r="Q2818" s="116">
        <v>2729.4</v>
      </c>
      <c r="R2818">
        <v>270823</v>
      </c>
    </row>
    <row r="2819" spans="1:18" x14ac:dyDescent="0.25">
      <c r="A2819" s="163">
        <v>46157</v>
      </c>
      <c r="B2819">
        <v>2735.6</v>
      </c>
      <c r="C2819">
        <v>2688.65</v>
      </c>
      <c r="D2819">
        <v>2685.1</v>
      </c>
      <c r="E2819">
        <v>2730.3</v>
      </c>
      <c r="F2819">
        <v>2688.65</v>
      </c>
      <c r="G2819">
        <v>11936</v>
      </c>
      <c r="H2819" s="116"/>
      <c r="I2819" s="116"/>
      <c r="L2819" s="163">
        <v>46157</v>
      </c>
      <c r="M2819" s="116">
        <v>2689.5</v>
      </c>
      <c r="N2819" s="116">
        <v>2740.1</v>
      </c>
      <c r="O2819" s="116">
        <v>2685</v>
      </c>
      <c r="P2819" s="116">
        <v>2739</v>
      </c>
      <c r="Q2819" s="116">
        <v>2689.5</v>
      </c>
      <c r="R2819">
        <v>345387</v>
      </c>
    </row>
    <row r="2820" spans="1:18" x14ac:dyDescent="0.25">
      <c r="A2820" s="163">
        <v>46160</v>
      </c>
      <c r="B2820">
        <v>2680</v>
      </c>
      <c r="C2820">
        <v>2639.2</v>
      </c>
      <c r="D2820">
        <v>2608.9</v>
      </c>
      <c r="E2820">
        <v>2674.2</v>
      </c>
      <c r="F2820">
        <v>2639.2</v>
      </c>
      <c r="G2820">
        <v>123385</v>
      </c>
      <c r="H2820" s="116"/>
      <c r="I2820" s="116"/>
      <c r="L2820" s="163">
        <v>46160</v>
      </c>
      <c r="M2820" s="116">
        <v>2639.9</v>
      </c>
      <c r="N2820" s="116">
        <v>2685</v>
      </c>
      <c r="O2820" s="116">
        <v>2607.1999999999998</v>
      </c>
      <c r="P2820" s="116">
        <v>2666</v>
      </c>
      <c r="Q2820" s="116">
        <v>2639.9</v>
      </c>
      <c r="R2820">
        <v>227858</v>
      </c>
    </row>
    <row r="2821" spans="1:18" x14ac:dyDescent="0.25">
      <c r="A2821" s="163">
        <v>46161</v>
      </c>
      <c r="B2821">
        <v>2665.05</v>
      </c>
      <c r="C2821">
        <v>2635.55</v>
      </c>
      <c r="D2821">
        <v>2628</v>
      </c>
      <c r="E2821">
        <v>2628</v>
      </c>
      <c r="F2821">
        <v>2635.55</v>
      </c>
      <c r="G2821">
        <v>7519</v>
      </c>
      <c r="H2821" s="116"/>
      <c r="I2821" s="116"/>
      <c r="L2821" s="163">
        <v>46161</v>
      </c>
      <c r="M2821" s="116">
        <v>2637.2</v>
      </c>
      <c r="N2821" s="116">
        <v>2668.8</v>
      </c>
      <c r="O2821" s="116">
        <v>2631</v>
      </c>
      <c r="P2821" s="116">
        <v>2649.9</v>
      </c>
      <c r="Q2821" s="116">
        <v>2637.2</v>
      </c>
      <c r="R2821">
        <v>226571</v>
      </c>
    </row>
    <row r="2822" spans="1:18" x14ac:dyDescent="0.25">
      <c r="A2822" s="163">
        <v>46162</v>
      </c>
      <c r="B2822">
        <v>2619.6</v>
      </c>
      <c r="C2822">
        <v>2613.35</v>
      </c>
      <c r="D2822">
        <v>2593</v>
      </c>
      <c r="E2822">
        <v>2600</v>
      </c>
      <c r="F2822">
        <v>2613.35</v>
      </c>
      <c r="G2822">
        <v>29815</v>
      </c>
      <c r="H2822" s="116"/>
      <c r="I2822" s="116"/>
      <c r="L2822" s="163">
        <v>46162</v>
      </c>
      <c r="M2822" s="116">
        <v>2613.3000000000002</v>
      </c>
      <c r="N2822" s="116">
        <v>2622.1</v>
      </c>
      <c r="O2822" s="116">
        <v>2590.5</v>
      </c>
      <c r="P2822" s="116">
        <v>2617.1999999999998</v>
      </c>
      <c r="Q2822" s="116">
        <v>2613.3000000000002</v>
      </c>
      <c r="R2822">
        <v>342170</v>
      </c>
    </row>
    <row r="2823" spans="1:18" x14ac:dyDescent="0.25">
      <c r="A2823" s="163">
        <v>46163</v>
      </c>
      <c r="B2823">
        <v>2645.2</v>
      </c>
      <c r="C2823">
        <v>2619.75</v>
      </c>
      <c r="D2823">
        <v>2600.1</v>
      </c>
      <c r="E2823">
        <v>2625.05</v>
      </c>
      <c r="F2823">
        <v>2619.75</v>
      </c>
      <c r="G2823">
        <v>23212</v>
      </c>
      <c r="H2823" s="116"/>
      <c r="I2823" s="116"/>
      <c r="L2823" s="163">
        <v>46163</v>
      </c>
      <c r="M2823" s="116">
        <v>2620.4</v>
      </c>
      <c r="N2823" s="116">
        <v>2648.9</v>
      </c>
      <c r="O2823" s="116">
        <v>2600.1</v>
      </c>
      <c r="P2823" s="116">
        <v>2634.5</v>
      </c>
      <c r="Q2823" s="116">
        <v>2620.4</v>
      </c>
      <c r="R2823">
        <v>459611</v>
      </c>
    </row>
    <row r="2824" spans="1:18" x14ac:dyDescent="0.25">
      <c r="A2824" s="163">
        <v>46164</v>
      </c>
      <c r="B2824">
        <v>2690.1</v>
      </c>
      <c r="C2824">
        <v>2637.4</v>
      </c>
      <c r="D2824">
        <v>2631</v>
      </c>
      <c r="E2824">
        <v>2640.9</v>
      </c>
      <c r="F2824">
        <v>2637.4</v>
      </c>
      <c r="G2824">
        <v>10607</v>
      </c>
      <c r="H2824" s="116"/>
      <c r="I2824" s="116"/>
      <c r="L2824" s="163">
        <v>46164</v>
      </c>
      <c r="M2824" s="116">
        <v>2639.4</v>
      </c>
      <c r="N2824" s="116">
        <v>2688</v>
      </c>
      <c r="O2824" s="116">
        <v>2630.1</v>
      </c>
      <c r="P2824" s="116">
        <v>2661.9</v>
      </c>
      <c r="Q2824" s="116">
        <v>2639.4</v>
      </c>
      <c r="R2824">
        <v>521212</v>
      </c>
    </row>
    <row r="2825" spans="1:18" x14ac:dyDescent="0.25">
      <c r="A2825" s="163">
        <v>46167</v>
      </c>
      <c r="B2825">
        <v>2719.4</v>
      </c>
      <c r="C2825">
        <v>2711.75</v>
      </c>
      <c r="D2825">
        <v>2656.2</v>
      </c>
      <c r="E2825">
        <v>2659.25</v>
      </c>
      <c r="F2825">
        <v>2711.75</v>
      </c>
      <c r="G2825">
        <v>6971</v>
      </c>
      <c r="H2825" s="116"/>
      <c r="I2825" s="116"/>
      <c r="L2825" s="163">
        <v>46167</v>
      </c>
      <c r="M2825" s="116">
        <v>2711</v>
      </c>
      <c r="N2825" s="116">
        <v>2724</v>
      </c>
      <c r="O2825" s="116">
        <v>2655.4</v>
      </c>
      <c r="P2825" s="116">
        <v>2661</v>
      </c>
      <c r="Q2825" s="116">
        <v>2711</v>
      </c>
      <c r="R2825">
        <v>170564</v>
      </c>
    </row>
    <row r="2826" spans="1:18" x14ac:dyDescent="0.25">
      <c r="A2826" s="163">
        <v>46168</v>
      </c>
      <c r="B2826">
        <v>2770.9</v>
      </c>
      <c r="C2826">
        <v>2749.45</v>
      </c>
      <c r="D2826">
        <v>2715.7</v>
      </c>
      <c r="E2826">
        <v>2725.25</v>
      </c>
      <c r="F2826">
        <v>2749.45</v>
      </c>
      <c r="G2826">
        <v>25138</v>
      </c>
      <c r="H2826" s="116"/>
      <c r="I2826" s="116"/>
      <c r="L2826" s="163">
        <v>46168</v>
      </c>
      <c r="M2826" s="116">
        <v>2749.7</v>
      </c>
      <c r="N2826" s="116">
        <v>2772.9</v>
      </c>
      <c r="O2826" s="116">
        <v>2712</v>
      </c>
      <c r="P2826" s="116">
        <v>2729.9</v>
      </c>
      <c r="Q2826" s="116">
        <v>2749.7</v>
      </c>
      <c r="R2826">
        <v>704640</v>
      </c>
    </row>
    <row r="2827" spans="1:18" x14ac:dyDescent="0.25">
      <c r="A2827" s="163">
        <v>46169</v>
      </c>
      <c r="B2827">
        <v>2776.65</v>
      </c>
      <c r="C2827">
        <v>2738.4</v>
      </c>
      <c r="D2827">
        <v>2725</v>
      </c>
      <c r="E2827">
        <v>2776.65</v>
      </c>
      <c r="F2827">
        <v>2738.4</v>
      </c>
      <c r="G2827">
        <v>19818</v>
      </c>
      <c r="H2827" s="116"/>
      <c r="I2827" s="116"/>
      <c r="L2827" s="163">
        <v>46169</v>
      </c>
      <c r="M2827" s="116">
        <v>2736.8</v>
      </c>
      <c r="N2827" s="116">
        <v>2776.4</v>
      </c>
      <c r="O2827" s="116">
        <v>2725</v>
      </c>
      <c r="P2827" s="116">
        <v>2768</v>
      </c>
      <c r="Q2827" s="116">
        <v>2736.8</v>
      </c>
      <c r="R2827">
        <v>222202</v>
      </c>
    </row>
    <row r="2828" spans="1:18" x14ac:dyDescent="0.25">
      <c r="A2828" s="163">
        <v>46171</v>
      </c>
      <c r="B2828">
        <v>2756.1</v>
      </c>
      <c r="C2828">
        <v>2718.75</v>
      </c>
      <c r="D2828">
        <v>2678</v>
      </c>
      <c r="E2828">
        <v>2715.05</v>
      </c>
      <c r="F2828">
        <v>2718.75</v>
      </c>
      <c r="G2828">
        <v>21897</v>
      </c>
      <c r="H2828" s="116"/>
      <c r="I2828" s="116"/>
      <c r="L2828" s="163">
        <v>46171</v>
      </c>
      <c r="M2828" s="116">
        <v>2715.8</v>
      </c>
      <c r="N2828" s="116">
        <v>2759</v>
      </c>
      <c r="O2828" s="116">
        <v>2678.8</v>
      </c>
      <c r="P2828" s="116">
        <v>2740.7</v>
      </c>
      <c r="Q2828" s="116">
        <v>2715.8</v>
      </c>
      <c r="R2828">
        <v>2087600</v>
      </c>
    </row>
    <row r="2829" spans="1:18" x14ac:dyDescent="0.25">
      <c r="A2829" s="163">
        <v>46174</v>
      </c>
      <c r="B2829">
        <v>2718.75</v>
      </c>
      <c r="C2829">
        <v>2695.85</v>
      </c>
      <c r="D2829">
        <v>2676</v>
      </c>
      <c r="E2829">
        <v>2718.75</v>
      </c>
      <c r="F2829">
        <v>2695.85</v>
      </c>
      <c r="G2829">
        <v>63491</v>
      </c>
      <c r="H2829" s="116"/>
      <c r="I2829" s="116"/>
      <c r="L2829" s="163">
        <v>46174</v>
      </c>
      <c r="M2829" s="116">
        <v>2696.2</v>
      </c>
      <c r="N2829" s="116">
        <v>2719</v>
      </c>
      <c r="O2829" s="116">
        <v>2674.2</v>
      </c>
      <c r="P2829" s="116">
        <v>2719</v>
      </c>
      <c r="Q2829" s="116">
        <v>2696.2</v>
      </c>
      <c r="R2829">
        <v>362133</v>
      </c>
    </row>
    <row r="2830" spans="1:18" x14ac:dyDescent="0.25">
      <c r="A2830" s="163">
        <v>46175</v>
      </c>
      <c r="B2830">
        <v>2753.5</v>
      </c>
      <c r="C2830">
        <v>2747.4</v>
      </c>
      <c r="D2830">
        <v>2655.7</v>
      </c>
      <c r="E2830">
        <v>2675.05</v>
      </c>
      <c r="F2830">
        <v>2747.4</v>
      </c>
      <c r="G2830">
        <v>7934</v>
      </c>
      <c r="H2830" s="116"/>
      <c r="I2830" s="116"/>
      <c r="L2830" s="163">
        <v>46175</v>
      </c>
      <c r="M2830" s="116">
        <v>2745.3</v>
      </c>
      <c r="N2830" s="116">
        <v>2752.8</v>
      </c>
      <c r="O2830" s="116">
        <v>2651.2</v>
      </c>
      <c r="P2830" s="116">
        <v>2682</v>
      </c>
      <c r="Q2830" s="116">
        <v>2745.3</v>
      </c>
      <c r="R2830">
        <v>503919</v>
      </c>
    </row>
    <row r="2831" spans="1:18" x14ac:dyDescent="0.25">
      <c r="A2831" s="163">
        <v>46176</v>
      </c>
      <c r="B2831">
        <v>2754.45</v>
      </c>
      <c r="C2831">
        <v>2717.2</v>
      </c>
      <c r="D2831">
        <v>2710</v>
      </c>
      <c r="E2831">
        <v>2739.95</v>
      </c>
      <c r="F2831">
        <v>2717.2</v>
      </c>
      <c r="G2831">
        <v>132627</v>
      </c>
      <c r="H2831" s="116"/>
      <c r="I2831" s="116"/>
      <c r="L2831" s="163">
        <v>46176</v>
      </c>
      <c r="M2831" s="116">
        <v>2718.4</v>
      </c>
      <c r="N2831" s="116">
        <v>2758</v>
      </c>
      <c r="O2831" s="116">
        <v>2711.6</v>
      </c>
      <c r="P2831" s="116">
        <v>2740.1</v>
      </c>
      <c r="Q2831" s="116">
        <v>2718.4</v>
      </c>
      <c r="R2831">
        <v>530894</v>
      </c>
    </row>
    <row r="2832" spans="1:18" x14ac:dyDescent="0.25">
      <c r="A2832" s="163">
        <v>46177</v>
      </c>
      <c r="B2832">
        <v>2740</v>
      </c>
      <c r="C2832">
        <v>2726.5</v>
      </c>
      <c r="D2832">
        <v>2696.85</v>
      </c>
      <c r="E2832">
        <v>2710.05</v>
      </c>
      <c r="F2832">
        <v>2726.5</v>
      </c>
      <c r="G2832">
        <v>41698</v>
      </c>
      <c r="H2832" s="116"/>
      <c r="I2832" s="116"/>
      <c r="L2832" s="163">
        <v>46177</v>
      </c>
      <c r="M2832" s="116">
        <v>2726.6</v>
      </c>
      <c r="N2832" s="116">
        <v>2739</v>
      </c>
      <c r="O2832" s="116">
        <v>2693.7</v>
      </c>
      <c r="P2832" s="116">
        <v>2706</v>
      </c>
      <c r="Q2832" s="116">
        <v>2726.6</v>
      </c>
      <c r="R2832">
        <v>316793</v>
      </c>
    </row>
    <row r="2833" spans="1:18" x14ac:dyDescent="0.25">
      <c r="A2833" s="163">
        <v>46178</v>
      </c>
      <c r="B2833">
        <v>2744</v>
      </c>
      <c r="C2833">
        <v>2704.9</v>
      </c>
      <c r="D2833">
        <v>2694</v>
      </c>
      <c r="E2833">
        <v>2730.05</v>
      </c>
      <c r="F2833">
        <v>2704.9</v>
      </c>
      <c r="G2833">
        <v>16516</v>
      </c>
      <c r="H2833" s="116"/>
      <c r="I2833" s="116"/>
      <c r="L2833" s="163">
        <v>46178</v>
      </c>
      <c r="M2833" s="116">
        <v>2704.9</v>
      </c>
      <c r="N2833" s="116">
        <v>2745</v>
      </c>
      <c r="O2833" s="116">
        <v>2692</v>
      </c>
      <c r="P2833" s="116">
        <v>2745</v>
      </c>
      <c r="Q2833" s="116">
        <v>2704.9</v>
      </c>
      <c r="R2833">
        <v>162064</v>
      </c>
    </row>
    <row r="2834" spans="1:18" x14ac:dyDescent="0.25">
      <c r="A2834" s="163">
        <v>46181</v>
      </c>
      <c r="B2834">
        <v>2689</v>
      </c>
      <c r="C2834">
        <v>2674.75</v>
      </c>
      <c r="D2834">
        <v>2609.25</v>
      </c>
      <c r="E2834">
        <v>2673.6</v>
      </c>
      <c r="F2834">
        <v>2674.75</v>
      </c>
      <c r="G2834">
        <v>107877</v>
      </c>
      <c r="H2834" s="116"/>
      <c r="I2834" s="116"/>
      <c r="L2834" s="163">
        <v>46181</v>
      </c>
      <c r="M2834" s="116">
        <v>2674.4</v>
      </c>
      <c r="N2834" s="116">
        <v>2690.3</v>
      </c>
      <c r="O2834" s="116">
        <v>2610.4</v>
      </c>
      <c r="P2834" s="116">
        <v>2647</v>
      </c>
      <c r="Q2834" s="116">
        <v>2674.4</v>
      </c>
      <c r="R2834">
        <v>605925</v>
      </c>
    </row>
    <row r="2835" spans="1:18" x14ac:dyDescent="0.25">
      <c r="A2835" s="163">
        <v>46182</v>
      </c>
      <c r="B2835">
        <v>2732</v>
      </c>
      <c r="C2835">
        <v>2685.85</v>
      </c>
      <c r="D2835">
        <v>2672</v>
      </c>
      <c r="E2835">
        <v>2674</v>
      </c>
      <c r="F2835">
        <v>2685.85</v>
      </c>
      <c r="G2835">
        <v>27133</v>
      </c>
      <c r="H2835" s="116"/>
      <c r="I2835" s="116"/>
      <c r="L2835" s="163">
        <v>46182</v>
      </c>
      <c r="M2835" s="116">
        <v>2689.6</v>
      </c>
      <c r="N2835" s="116">
        <v>2733.6</v>
      </c>
      <c r="O2835" s="116">
        <v>2673</v>
      </c>
      <c r="P2835" s="116">
        <v>2674.9</v>
      </c>
      <c r="Q2835" s="116">
        <v>2689.6</v>
      </c>
      <c r="R2835">
        <v>463994</v>
      </c>
    </row>
    <row r="2836" spans="1:18" x14ac:dyDescent="0.25">
      <c r="A2836" s="163">
        <v>46183</v>
      </c>
      <c r="B2836">
        <v>2754.9</v>
      </c>
      <c r="C2836">
        <v>2732.95</v>
      </c>
      <c r="D2836">
        <v>2700.9</v>
      </c>
      <c r="E2836">
        <v>2709.4</v>
      </c>
      <c r="F2836">
        <v>2732.95</v>
      </c>
      <c r="G2836">
        <v>49403</v>
      </c>
      <c r="H2836" s="116"/>
      <c r="I2836" s="116"/>
      <c r="L2836" s="163">
        <v>46183</v>
      </c>
      <c r="M2836" s="116">
        <v>2734.1</v>
      </c>
      <c r="N2836" s="116">
        <v>2754.8</v>
      </c>
      <c r="O2836" s="116">
        <v>2699</v>
      </c>
      <c r="P2836" s="116">
        <v>2699</v>
      </c>
      <c r="Q2836" s="116">
        <v>2734.1</v>
      </c>
      <c r="R2836">
        <v>482986</v>
      </c>
    </row>
    <row r="2837" spans="1:18" x14ac:dyDescent="0.25">
      <c r="A2837" s="163">
        <v>46184</v>
      </c>
      <c r="B2837">
        <v>2750.15</v>
      </c>
      <c r="C2837">
        <v>2658.95</v>
      </c>
      <c r="D2837">
        <v>2652</v>
      </c>
      <c r="E2837">
        <v>2750.15</v>
      </c>
      <c r="F2837">
        <v>2658.95</v>
      </c>
      <c r="G2837">
        <v>18410</v>
      </c>
      <c r="H2837" s="116"/>
      <c r="I2837" s="116"/>
      <c r="L2837" s="163">
        <v>46184</v>
      </c>
      <c r="M2837" s="116">
        <v>2658.4</v>
      </c>
      <c r="N2837" s="116">
        <v>2734</v>
      </c>
      <c r="O2837" s="116">
        <v>2650</v>
      </c>
      <c r="P2837" s="116">
        <v>2734</v>
      </c>
      <c r="Q2837" s="116">
        <v>2658.4</v>
      </c>
      <c r="R2837">
        <v>552102</v>
      </c>
    </row>
    <row r="2838" spans="1:18" x14ac:dyDescent="0.25">
      <c r="A2838" s="163">
        <v>46185</v>
      </c>
      <c r="B2838">
        <v>2746.8</v>
      </c>
      <c r="C2838">
        <v>2738.4</v>
      </c>
      <c r="D2838">
        <v>2686.05</v>
      </c>
      <c r="E2838">
        <v>2686.05</v>
      </c>
      <c r="F2838">
        <v>2738.4</v>
      </c>
      <c r="G2838">
        <v>12145</v>
      </c>
      <c r="H2838" s="116"/>
      <c r="I2838" s="116"/>
      <c r="L2838" s="163">
        <v>46185</v>
      </c>
      <c r="M2838" s="116">
        <v>2743</v>
      </c>
      <c r="N2838" s="116">
        <v>2748</v>
      </c>
      <c r="O2838" s="116">
        <v>2681.3</v>
      </c>
      <c r="P2838" s="116">
        <v>2696.7</v>
      </c>
      <c r="Q2838" s="116">
        <v>2743</v>
      </c>
      <c r="R2838">
        <v>245864</v>
      </c>
    </row>
    <row r="2839" spans="1:18" x14ac:dyDescent="0.25">
      <c r="A2839" s="163">
        <v>46188</v>
      </c>
      <c r="B2839">
        <v>2767.7</v>
      </c>
      <c r="C2839">
        <v>2719.65</v>
      </c>
      <c r="D2839">
        <v>2714.95</v>
      </c>
      <c r="E2839">
        <v>2765</v>
      </c>
      <c r="F2839">
        <v>2719.65</v>
      </c>
      <c r="G2839">
        <v>10527</v>
      </c>
      <c r="H2839" s="116"/>
      <c r="I2839" s="116"/>
      <c r="L2839" s="163">
        <v>46188</v>
      </c>
      <c r="M2839" s="116">
        <v>2720.5</v>
      </c>
      <c r="N2839" s="116">
        <v>2768.9</v>
      </c>
      <c r="O2839" s="116">
        <v>2712.1</v>
      </c>
      <c r="P2839" s="116">
        <v>2760.9</v>
      </c>
      <c r="Q2839" s="116">
        <v>2720.5</v>
      </c>
      <c r="R2839">
        <v>496251</v>
      </c>
    </row>
    <row r="2840" spans="1:18" x14ac:dyDescent="0.25">
      <c r="A2840" s="163">
        <v>46189</v>
      </c>
      <c r="B2840">
        <v>2783</v>
      </c>
      <c r="C2840">
        <v>2742.15</v>
      </c>
      <c r="D2840">
        <v>2736.4</v>
      </c>
      <c r="E2840">
        <v>2743.15</v>
      </c>
      <c r="F2840">
        <v>2742.15</v>
      </c>
      <c r="G2840">
        <v>37473</v>
      </c>
      <c r="H2840" s="116"/>
      <c r="I2840" s="116"/>
      <c r="L2840" s="163">
        <v>46189</v>
      </c>
      <c r="M2840" s="116">
        <v>2744</v>
      </c>
      <c r="N2840" s="116">
        <v>2784</v>
      </c>
      <c r="O2840" s="116">
        <v>2730</v>
      </c>
      <c r="P2840" s="116">
        <v>2730</v>
      </c>
      <c r="Q2840" s="116">
        <v>2744</v>
      </c>
      <c r="R2840">
        <v>687248</v>
      </c>
    </row>
    <row r="2841" spans="1:18" x14ac:dyDescent="0.25">
      <c r="A2841" s="163">
        <v>46190</v>
      </c>
      <c r="B2841">
        <v>2756.95</v>
      </c>
      <c r="C2841">
        <v>2704.6</v>
      </c>
      <c r="D2841">
        <v>2653</v>
      </c>
      <c r="E2841">
        <v>2742.8</v>
      </c>
      <c r="F2841">
        <v>2704.6</v>
      </c>
      <c r="G2841">
        <v>11537</v>
      </c>
      <c r="H2841" s="116"/>
      <c r="I2841" s="116"/>
      <c r="L2841" s="163">
        <v>46190</v>
      </c>
      <c r="M2841" s="116">
        <v>2705.5</v>
      </c>
      <c r="N2841" s="116">
        <v>2760</v>
      </c>
      <c r="O2841" s="116">
        <v>2651.2</v>
      </c>
      <c r="P2841" s="116">
        <v>2750.9</v>
      </c>
      <c r="Q2841" s="116">
        <v>2705.5</v>
      </c>
      <c r="R2841">
        <v>499787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2026-06-17T16:33:38Z</dcterms:modified>
  <cp:category/>
  <cp:contentStatus/>
</cp:coreProperties>
</file>